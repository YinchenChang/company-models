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9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導覽" sheetId="1" state="visible" r:id="rId3"/>
    <sheet name="摘要" sheetId="2" state="visible" r:id="rId4"/>
    <sheet name="輸入與假設" sheetId="3" state="visible" r:id="rId5"/>
    <sheet name="各期收支" sheetId="4" state="visible" r:id="rId6"/>
    <sheet name="季度追蹤" sheetId="5" state="visible" r:id="rId7"/>
    <sheet name="運營_產能與收入" sheetId="6" state="visible" r:id="rId8"/>
    <sheet name="運營_站點" sheetId="7" state="visible" r:id="rId9"/>
    <sheet name="每MW經濟性" sheetId="8" state="visible" r:id="rId10"/>
    <sheet name="資產負債_既有債務" sheetId="9" state="visible" r:id="rId11"/>
    <sheet name="資產負債_新債與新股" sheetId="10" state="visible" r:id="rId12"/>
    <sheet name="資產負債_租賃承諾" sheetId="11" state="visible" r:id="rId13"/>
    <sheet name="損益" sheetId="12" state="visible" r:id="rId14"/>
    <sheet name="評價_DCF與目標價" sheetId="13" state="visible" r:id="rId15"/>
    <sheet name="評價_反向DCF" sheetId="14" state="visible" r:id="rId16"/>
    <sheet name="評價_可比公司" sheetId="15" state="visible" r:id="rId17"/>
    <sheet name="檢查_連動" sheetId="16" state="visible" r:id="rId18"/>
    <sheet name="檢查_版本紀錄" sheetId="17" state="visible" r:id="rId19"/>
    <sheet name="來源" sheetId="18" state="visible" r:id="rId20"/>
    <sheet name="Tokenomics_取數" sheetId="19" state="visible" r:id="rId21"/>
  </sheets>
  <definedNames>
    <definedName function="false" hidden="false" name="TK_AvgDraw_GB200" vbProcedure="false">Tokenomics_取數!$G$76</definedName>
    <definedName function="false" hidden="false" name="TK_AvgDraw_GB300" vbProcedure="false">Tokenomics_取數!$G$77</definedName>
    <definedName function="false" hidden="false" name="TK_AvgDraw_H100" vbProcedure="false">Tokenomics_取數!$G$75</definedName>
    <definedName function="false" hidden="false" name="TK_AvgDraw_RU" vbProcedure="false">Tokenomics_取數!$G$79</definedName>
    <definedName function="false" hidden="false" name="TK_AvgDraw_VR200" vbProcedure="false">Tokenomics_取數!$G$78</definedName>
    <definedName function="false" hidden="false" name="TK_CapexFacility_GB200" vbProcedure="false">Tokenomics_取數!$G$26</definedName>
    <definedName function="false" hidden="false" name="TK_CapexFacility_GB300" vbProcedure="false">Tokenomics_取數!$G$27</definedName>
    <definedName function="false" hidden="false" name="TK_CapexFacility_H100" vbProcedure="false">Tokenomics_取數!$G$25</definedName>
    <definedName function="false" hidden="false" name="TK_CapexFacility_RU" vbProcedure="false">Tokenomics_取數!$G$29</definedName>
    <definedName function="false" hidden="false" name="TK_CapexFacility_VR200" vbProcedure="false">Tokenomics_取數!$G$28</definedName>
    <definedName function="false" hidden="false" name="TK_CapexIT_GB200" vbProcedure="false">Tokenomics_取數!$G$21</definedName>
    <definedName function="false" hidden="false" name="TK_CapexIT_GB300" vbProcedure="false">Tokenomics_取數!$G$22</definedName>
    <definedName function="false" hidden="false" name="TK_CapexIT_H100" vbProcedure="false">Tokenomics_取數!$G$20</definedName>
    <definedName function="false" hidden="false" name="TK_CapexIT_RU" vbProcedure="false">Tokenomics_取數!$G$24</definedName>
    <definedName function="false" hidden="false" name="TK_CapexIT_VR200" vbProcedure="false">Tokenomics_取數!$G$23</definedName>
    <definedName function="false" hidden="false" name="TK_CapexTotal_GB200" vbProcedure="false">Tokenomics_取數!$G$31</definedName>
    <definedName function="false" hidden="false" name="TK_CapexTotal_GB300" vbProcedure="false">Tokenomics_取數!$G$32</definedName>
    <definedName function="false" hidden="false" name="TK_CapexTotal_H100" vbProcedure="false">Tokenomics_取數!$G$30</definedName>
    <definedName function="false" hidden="false" name="TK_CapexTotal_RU" vbProcedure="false">Tokenomics_取數!$G$34</definedName>
    <definedName function="false" hidden="false" name="TK_CapexTotal_VR200" vbProcedure="false">Tokenomics_取數!$G$33</definedName>
    <definedName function="false" hidden="false" name="TK_DeprFac_GB200" vbProcedure="false">Tokenomics_取數!$G$71</definedName>
    <definedName function="false" hidden="false" name="TK_DeprFac_GB300" vbProcedure="false">Tokenomics_取數!$G$72</definedName>
    <definedName function="false" hidden="false" name="TK_DeprFac_H100" vbProcedure="false">Tokenomics_取數!$G$70</definedName>
    <definedName function="false" hidden="false" name="TK_DeprFac_RU" vbProcedure="false">Tokenomics_取數!$G$74</definedName>
    <definedName function="false" hidden="false" name="TK_DeprFac_VR200" vbProcedure="false">Tokenomics_取數!$G$73</definedName>
    <definedName function="false" hidden="false" name="TK_DeprIT_GB200" vbProcedure="false">Tokenomics_取數!$G$66</definedName>
    <definedName function="false" hidden="false" name="TK_DeprIT_GB300" vbProcedure="false">Tokenomics_取數!$G$67</definedName>
    <definedName function="false" hidden="false" name="TK_DeprIT_H100" vbProcedure="false">Tokenomics_取數!$G$65</definedName>
    <definedName function="false" hidden="false" name="TK_DeprIT_RU" vbProcedure="false">Tokenomics_取數!$G$69</definedName>
    <definedName function="false" hidden="false" name="TK_DeprIT_VR200" vbProcedure="false">Tokenomics_取數!$G$68</definedName>
    <definedName function="false" hidden="false" name="TK_DeprLifeIT_GB200" vbProcedure="false">Tokenomics_取數!$G$61</definedName>
    <definedName function="false" hidden="false" name="TK_DeprLifeIT_GB300" vbProcedure="false">Tokenomics_取數!$G$62</definedName>
    <definedName function="false" hidden="false" name="TK_DeprLifeIT_H100" vbProcedure="false">Tokenomics_取數!$G$60</definedName>
    <definedName function="false" hidden="false" name="TK_DeprLifeIT_RU" vbProcedure="false">Tokenomics_取數!$G$64</definedName>
    <definedName function="false" hidden="false" name="TK_DeprLifeIT_VR200" vbProcedure="false">Tokenomics_取數!$G$63</definedName>
    <definedName function="false" hidden="false" name="TK_FacCapexMW" vbProcedure="false">Tokenomics_取數!$G$56</definedName>
    <definedName function="false" hidden="false" name="TK_FacilityGW_GB200" vbProcedure="false">Tokenomics_取數!$G$16</definedName>
    <definedName function="false" hidden="false" name="TK_FacilityGW_GB300" vbProcedure="false">Tokenomics_取數!$G$17</definedName>
    <definedName function="false" hidden="false" name="TK_FacilityGW_H100" vbProcedure="false">Tokenomics_取數!$G$15</definedName>
    <definedName function="false" hidden="false" name="TK_FacilityGW_RU" vbProcedure="false">Tokenomics_取數!$G$19</definedName>
    <definedName function="false" hidden="false" name="TK_FacilityGW_VR200" vbProcedure="false">Tokenomics_取數!$G$18</definedName>
    <definedName function="false" hidden="false" name="TK_GPUhrEcon_GB200" vbProcedure="false">Tokenomics_取數!$G$46</definedName>
    <definedName function="false" hidden="false" name="TK_GPUhrEcon_GB300" vbProcedure="false">Tokenomics_取數!$G$47</definedName>
    <definedName function="false" hidden="false" name="TK_GPUhrEcon_H100" vbProcedure="false">Tokenomics_取數!$G$45</definedName>
    <definedName function="false" hidden="false" name="TK_GPUhrEcon_RU" vbProcedure="false">Tokenomics_取數!$G$49</definedName>
    <definedName function="false" hidden="false" name="TK_GPUhrEcon_VR200" vbProcedure="false">Tokenomics_取數!$G$48</definedName>
    <definedName function="false" hidden="false" name="TK_GPUhr_GB200_vsCW" vbProcedure="false">Tokenomics_取數!$G$57</definedName>
    <definedName function="false" hidden="false" name="TK_GPUhr_GB300_vsBE" vbProcedure="false">Tokenomics_取數!$G$58</definedName>
    <definedName function="false" hidden="false" name="TK_GPUsPerGW_GB200" vbProcedure="false">Tokenomics_取數!$G$11</definedName>
    <definedName function="false" hidden="false" name="TK_GPUsPerGW_GB300" vbProcedure="false">Tokenomics_取數!$G$12</definedName>
    <definedName function="false" hidden="false" name="TK_GPUsPerGW_H100" vbProcedure="false">Tokenomics_取數!$G$10</definedName>
    <definedName function="false" hidden="false" name="TK_GPUsPerGW_RU" vbProcedure="false">Tokenomics_取數!$G$14</definedName>
    <definedName function="false" hidden="false" name="TK_GPUsPerGW_VR200" vbProcedure="false">Tokenomics_取數!$G$13</definedName>
    <definedName function="false" hidden="false" name="TK_HoldAcct_GB200" vbProcedure="false">Tokenomics_取數!$G$36</definedName>
    <definedName function="false" hidden="false" name="TK_HoldAcct_GB300" vbProcedure="false">Tokenomics_取數!$G$37</definedName>
    <definedName function="false" hidden="false" name="TK_HoldAcct_H100" vbProcedure="false">Tokenomics_取數!$G$35</definedName>
    <definedName function="false" hidden="false" name="TK_HoldAcct_RU" vbProcedure="false">Tokenomics_取數!$G$39</definedName>
    <definedName function="false" hidden="false" name="TK_HoldAcct_VR200" vbProcedure="false">Tokenomics_取數!$G$38</definedName>
    <definedName function="false" hidden="false" name="TK_HoldEcon_GB200" vbProcedure="false">Tokenomics_取數!$G$41</definedName>
    <definedName function="false" hidden="false" name="TK_HoldEcon_GB300" vbProcedure="false">Tokenomics_取數!$G$42</definedName>
    <definedName function="false" hidden="false" name="TK_HoldEcon_H100" vbProcedure="false">Tokenomics_取數!$G$40</definedName>
    <definedName function="false" hidden="false" name="TK_HoldEcon_RU" vbProcedure="false">Tokenomics_取數!$G$44</definedName>
    <definedName function="false" hidden="false" name="TK_HoldEcon_VR200" vbProcedure="false">Tokenomics_取數!$G$43</definedName>
    <definedName function="false" hidden="false" name="TK_MaintFac_GB200" vbProcedure="false">Tokenomics_取數!$G$91</definedName>
    <definedName function="false" hidden="false" name="TK_MaintFac_GB300" vbProcedure="false">Tokenomics_取數!$G$92</definedName>
    <definedName function="false" hidden="false" name="TK_MaintFac_H100" vbProcedure="false">Tokenomics_取數!$G$90</definedName>
    <definedName function="false" hidden="false" name="TK_MaintFac_RU" vbProcedure="false">Tokenomics_取數!$G$94</definedName>
    <definedName function="false" hidden="false" name="TK_MaintFac_VR200" vbProcedure="false">Tokenomics_取數!$G$93</definedName>
    <definedName function="false" hidden="false" name="TK_MaintIT_GB200" vbProcedure="false">Tokenomics_取數!$G$86</definedName>
    <definedName function="false" hidden="false" name="TK_MaintIT_GB300" vbProcedure="false">Tokenomics_取數!$G$87</definedName>
    <definedName function="false" hidden="false" name="TK_MaintIT_H100" vbProcedure="false">Tokenomics_取數!$G$85</definedName>
    <definedName function="false" hidden="false" name="TK_MaintIT_RU" vbProcedure="false">Tokenomics_取數!$G$89</definedName>
    <definedName function="false" hidden="false" name="TK_MaintIT_VR200" vbProcedure="false">Tokenomics_取數!$G$88</definedName>
    <definedName function="false" hidden="false" name="TK_OpexGW_GB200" vbProcedure="false">Tokenomics_取數!$G$106</definedName>
    <definedName function="false" hidden="false" name="TK_OpexGW_GB300" vbProcedure="false">Tokenomics_取數!$G$107</definedName>
    <definedName function="false" hidden="false" name="TK_OpexGW_H100" vbProcedure="false">Tokenomics_取數!$G$105</definedName>
    <definedName function="false" hidden="false" name="TK_OpexGW_RU" vbProcedure="false">Tokenomics_取數!$G$109</definedName>
    <definedName function="false" hidden="false" name="TK_OpexGW_VR200" vbProcedure="false">Tokenomics_取數!$G$108</definedName>
    <definedName function="false" hidden="false" name="TK_PowerCost_GB200" vbProcedure="false">Tokenomics_取數!$G$51</definedName>
    <definedName function="false" hidden="false" name="TK_PowerCost_GB300" vbProcedure="false">Tokenomics_取數!$G$52</definedName>
    <definedName function="false" hidden="false" name="TK_PowerCost_H100" vbProcedure="false">Tokenomics_取數!$G$50</definedName>
    <definedName function="false" hidden="false" name="TK_PowerCost_RU" vbProcedure="false">Tokenomics_取數!$G$54</definedName>
    <definedName function="false" hidden="false" name="TK_PowerCost_VR200" vbProcedure="false">Tokenomics_取數!$G$53</definedName>
    <definedName function="false" hidden="false" name="TK_PowerPrice_GB200" vbProcedure="false">Tokenomics_取數!$G$81</definedName>
    <definedName function="false" hidden="false" name="TK_PowerPrice_GB300" vbProcedure="false">Tokenomics_取數!$G$82</definedName>
    <definedName function="false" hidden="false" name="TK_PowerPrice_H100" vbProcedure="false">Tokenomics_取數!$G$80</definedName>
    <definedName function="false" hidden="false" name="TK_PowerPrice_RU" vbProcedure="false">Tokenomics_取數!$G$84</definedName>
    <definedName function="false" hidden="false" name="TK_PowerPrice_VR200" vbProcedure="false">Tokenomics_取數!$G$83</definedName>
    <definedName function="false" hidden="false" name="TK_RacksPerGW_GB200" vbProcedure="false">Tokenomics_取數!$G$6</definedName>
    <definedName function="false" hidden="false" name="TK_RacksPerGW_GB300" vbProcedure="false">Tokenomics_取數!$G$7</definedName>
    <definedName function="false" hidden="false" name="TK_RacksPerGW_H100" vbProcedure="false">Tokenomics_取數!$G$5</definedName>
    <definedName function="false" hidden="false" name="TK_RacksPerGW_RU" vbProcedure="false">Tokenomics_取數!$G$9</definedName>
    <definedName function="false" hidden="false" name="TK_RacksPerGW_VR200" vbProcedure="false">Tokenomics_取數!$G$8</definedName>
    <definedName function="false" hidden="false" name="TK_RevGWFleet_GB200" vbProcedure="false">Tokenomics_取數!$G$111</definedName>
    <definedName function="false" hidden="false" name="TK_RevGWFleet_GB300" vbProcedure="false">Tokenomics_取數!$G$112</definedName>
    <definedName function="false" hidden="false" name="TK_RevGWFleet_H100" vbProcedure="false">Tokenomics_取數!$G$110</definedName>
    <definedName function="false" hidden="false" name="TK_RevGWFleet_RU" vbProcedure="false">Tokenomics_取數!$G$114</definedName>
    <definedName function="false" hidden="false" name="TK_RevGWFleet_VR200" vbProcedure="false">Tokenomics_取數!$G$113</definedName>
    <definedName function="false" hidden="false" name="TK_RevGW_Fleet_VR200" vbProcedure="false">Tokenomics_取數!$G$59</definedName>
    <definedName function="false" hidden="false" name="TK_StaffSW_GB200" vbProcedure="false">Tokenomics_取數!$G$96</definedName>
    <definedName function="false" hidden="false" name="TK_StaffSW_GB300" vbProcedure="false">Tokenomics_取數!$G$97</definedName>
    <definedName function="false" hidden="false" name="TK_StaffSW_H100" vbProcedure="false">Tokenomics_取數!$G$95</definedName>
    <definedName function="false" hidden="false" name="TK_StaffSW_RU" vbProcedure="false">Tokenomics_取數!$G$99</definedName>
    <definedName function="false" hidden="false" name="TK_StaffSW_VR200" vbProcedure="false">Tokenomics_取數!$G$98</definedName>
    <definedName function="false" hidden="false" name="TK_TaxIns_GB200" vbProcedure="false">Tokenomics_取數!$G$101</definedName>
    <definedName function="false" hidden="false" name="TK_TaxIns_GB300" vbProcedure="false">Tokenomics_取數!$G$102</definedName>
    <definedName function="false" hidden="false" name="TK_TaxIns_H100" vbProcedure="false">Tokenomics_取數!$G$100</definedName>
    <definedName function="false" hidden="false" name="TK_TaxIns_RU" vbProcedure="false">Tokenomics_取數!$G$104</definedName>
    <definedName function="false" hidden="false" name="TK_TaxIns_VR200" vbProcedure="false">Tokenomics_取數!$G$103</definedName>
    <definedName function="false" hidden="false" name="TK_Util" vbProcedure="false">Tokenomics_取數!$G$55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<sst xmlns="http://schemas.openxmlformats.org/spreadsheetml/2006/main" count="4068" uniqueCount="2303">
  <si>
    <r>
      <rPr>
        <b val="true"/>
        <sz val="14"/>
        <rFont val="Arial"/>
        <family val="0"/>
        <charset val="1"/>
      </rPr>
      <t xml:space="preserve">CoreWeave </t>
    </r>
    <r>
      <rPr>
        <b val="true"/>
        <sz val="14"/>
        <rFont val="Noto Sans CJK SC"/>
        <family val="2"/>
      </rPr>
      <t xml:space="preserve">收支與評價模型 — </t>
    </r>
    <r>
      <rPr>
        <b val="true"/>
        <sz val="14"/>
        <rFont val="Arial"/>
        <family val="0"/>
        <charset val="1"/>
      </rPr>
      <t xml:space="preserve">Excel </t>
    </r>
    <r>
      <rPr>
        <b val="true"/>
        <sz val="14"/>
        <rFont val="Noto Sans CJK SC"/>
        <family val="2"/>
      </rPr>
      <t xml:space="preserve">版 </t>
    </r>
    <r>
      <rPr>
        <b val="true"/>
        <sz val="14"/>
        <rFont val="Arial"/>
        <family val="0"/>
        <charset val="1"/>
      </rPr>
      <t xml:space="preserve">v4.7</t>
    </r>
    <r>
      <rPr>
        <b val="true"/>
        <sz val="14"/>
        <rFont val="Noto Sans CJK SC"/>
        <family val="2"/>
      </rPr>
      <t xml:space="preserve">（更新 </t>
    </r>
    <r>
      <rPr>
        <b val="true"/>
        <sz val="14"/>
        <rFont val="Arial"/>
        <family val="0"/>
        <charset val="1"/>
      </rPr>
      <t xml:space="preserve">2026-09-25</t>
    </r>
    <r>
      <rPr>
        <b val="true"/>
        <sz val="14"/>
        <rFont val="Noto Sans CJK SC"/>
        <family val="2"/>
      </rPr>
      <t xml:space="preserve">；與 </t>
    </r>
    <r>
      <rPr>
        <b val="true"/>
        <sz val="14"/>
        <rFont val="Arial"/>
        <family val="0"/>
        <charset val="1"/>
      </rPr>
      <t xml:space="preserve">HTML v4.7 </t>
    </r>
    <r>
      <rPr>
        <b val="true"/>
        <sz val="14"/>
        <rFont val="Noto Sans CJK SC"/>
        <family val="2"/>
      </rPr>
      <t xml:space="preserve">同步；市價截至 </t>
    </r>
    <r>
      <rPr>
        <b val="true"/>
        <sz val="14"/>
        <rFont val="Arial"/>
        <family val="0"/>
        <charset val="1"/>
      </rPr>
      <t xml:space="preserve">2026-09-24 </t>
    </r>
    <r>
      <rPr>
        <b val="true"/>
        <sz val="14"/>
        <rFont val="Noto Sans CJK SC"/>
        <family val="2"/>
      </rPr>
      <t xml:space="preserve">收盤）</t>
    </r>
  </si>
  <si>
    <t xml:space="preserve">這個活頁簿在回答什麼</t>
  </si>
  <si>
    <r>
      <rPr>
        <sz val="10"/>
        <rFont val="Noto Sans CJK SC"/>
        <family val="2"/>
      </rPr>
      <t xml:space="preserve">一句話：</t>
    </r>
    <r>
      <rPr>
        <sz val="10"/>
        <rFont val="Arial"/>
        <family val="0"/>
        <charset val="1"/>
      </rPr>
      <t xml:space="preserve">CoreWeave </t>
    </r>
    <r>
      <rPr>
        <sz val="10"/>
        <rFont val="Noto Sans CJK SC"/>
        <family val="2"/>
      </rPr>
      <t xml:space="preserve">手上 </t>
    </r>
    <r>
      <rPr>
        <sz val="10"/>
        <rFont val="Arial"/>
        <family val="0"/>
        <charset val="1"/>
      </rPr>
      <t xml:space="preserve">$103.7bn </t>
    </r>
    <r>
      <rPr>
        <sz val="10"/>
        <rFont val="Noto Sans CJK SC"/>
        <family val="2"/>
      </rPr>
      <t xml:space="preserve">的合約（</t>
    </r>
    <r>
      <rPr>
        <sz val="10"/>
        <rFont val="Arial"/>
        <family val="0"/>
        <charset val="1"/>
      </rPr>
      <t xml:space="preserve">RPO</t>
    </r>
    <r>
      <rPr>
        <sz val="10"/>
        <rFont val="Noto Sans CJK SC"/>
        <family val="2"/>
      </rPr>
      <t xml:space="preserve">）在 </t>
    </r>
    <r>
      <rPr>
        <sz val="10"/>
        <rFont val="Arial"/>
        <family val="0"/>
        <charset val="1"/>
      </rPr>
      <t xml:space="preserve">2030 </t>
    </r>
    <r>
      <rPr>
        <sz val="10"/>
        <rFont val="Noto Sans CJK SC"/>
        <family val="2"/>
      </rPr>
      <t xml:space="preserve">年前能變成多少現金，而同一段時間要付出多少現金——</t>
    </r>
  </si>
  <si>
    <t xml:space="preserve">差額就是必須向外籌措的金額。所有分頁用同一組數字，改任何一個輸入，後面全部會跟著動。</t>
  </si>
  <si>
    <t xml:space="preserve">分頁結構（依模組分組，分頁標籤顏色相同者為同一模組）</t>
  </si>
  <si>
    <r>
      <rPr>
        <sz val="10"/>
        <rFont val="Noto Sans CJK SC"/>
        <family val="2"/>
      </rPr>
      <t xml:space="preserve">摘要            一頁摘要：結論、與市場共識的差異、現價隱含什麼、驗證點（</t>
    </r>
    <r>
      <rPr>
        <sz val="10"/>
        <rFont val="Arial"/>
        <family val="0"/>
        <charset val="1"/>
      </rPr>
      <t xml:space="preserve">v4.3</t>
    </r>
    <r>
      <rPr>
        <sz val="10"/>
        <rFont val="Noto Sans CJK SC"/>
        <family val="2"/>
      </rPr>
      <t xml:space="preserve">；全部活公式）。</t>
    </r>
  </si>
  <si>
    <r>
      <rPr>
        <sz val="10"/>
        <rFont val="Noto Sans CJK SC"/>
        <family val="2"/>
      </rPr>
      <t xml:space="preserve">輸入與假設      所有可調參數（</t>
    </r>
    <r>
      <rPr>
        <sz val="10"/>
        <rFont val="Arial"/>
        <family val="0"/>
        <charset val="1"/>
      </rPr>
      <t xml:space="preserve">A </t>
    </r>
    <r>
      <rPr>
        <sz val="10"/>
        <rFont val="Noto Sans CJK SC"/>
        <family val="2"/>
      </rPr>
      <t xml:space="preserve">情境 → </t>
    </r>
    <r>
      <rPr>
        <sz val="10"/>
        <rFont val="Arial"/>
        <family val="0"/>
        <charset val="1"/>
      </rPr>
      <t xml:space="preserve">B </t>
    </r>
    <r>
      <rPr>
        <sz val="10"/>
        <rFont val="Noto Sans CJK SC"/>
        <family val="2"/>
      </rPr>
      <t xml:space="preserve">產能與收入 → </t>
    </r>
    <r>
      <rPr>
        <sz val="10"/>
        <rFont val="Arial"/>
        <family val="0"/>
        <charset val="1"/>
      </rPr>
      <t xml:space="preserve">C </t>
    </r>
    <r>
      <rPr>
        <sz val="10"/>
        <rFont val="Noto Sans CJK SC"/>
        <family val="2"/>
      </rPr>
      <t xml:space="preserve">利潤率 → </t>
    </r>
    <r>
      <rPr>
        <sz val="10"/>
        <rFont val="Arial"/>
        <family val="0"/>
        <charset val="1"/>
      </rPr>
      <t xml:space="preserve">D </t>
    </r>
    <r>
      <rPr>
        <sz val="10"/>
        <rFont val="Noto Sans CJK SC"/>
        <family val="2"/>
      </rPr>
      <t xml:space="preserve">支出 → </t>
    </r>
    <r>
      <rPr>
        <sz val="10"/>
        <rFont val="Arial"/>
        <family val="0"/>
        <charset val="1"/>
      </rPr>
      <t xml:space="preserve">E </t>
    </r>
    <r>
      <rPr>
        <sz val="10"/>
        <rFont val="Noto Sans CJK SC"/>
        <family val="2"/>
      </rPr>
      <t xml:space="preserve">融資 → </t>
    </r>
    <r>
      <rPr>
        <sz val="10"/>
        <rFont val="Arial"/>
        <family val="0"/>
        <charset val="1"/>
      </rPr>
      <t xml:space="preserve">F </t>
    </r>
    <r>
      <rPr>
        <sz val="10"/>
        <rFont val="Noto Sans CJK SC"/>
        <family val="2"/>
      </rPr>
      <t xml:space="preserve">評價 → </t>
    </r>
    <r>
      <rPr>
        <sz val="10"/>
        <rFont val="Arial"/>
        <family val="0"/>
        <charset val="1"/>
      </rPr>
      <t xml:space="preserve">G 1H </t>
    </r>
    <r>
      <rPr>
        <sz val="10"/>
        <rFont val="Noto Sans CJK SC"/>
        <family val="2"/>
      </rPr>
      <t xml:space="preserve">實際 → </t>
    </r>
    <r>
      <rPr>
        <sz val="10"/>
        <rFont val="Arial"/>
        <family val="0"/>
        <charset val="1"/>
      </rPr>
      <t xml:space="preserve">H </t>
    </r>
    <r>
      <rPr>
        <sz val="10"/>
        <rFont val="Noto Sans CJK SC"/>
        <family val="2"/>
      </rPr>
      <t xml:space="preserve">情境區間運算表 → </t>
    </r>
    <r>
      <rPr>
        <sz val="10"/>
        <rFont val="Arial"/>
        <family val="0"/>
        <charset val="1"/>
      </rPr>
      <t xml:space="preserve">I </t>
    </r>
    <r>
      <rPr>
        <sz val="10"/>
        <rFont val="Noto Sans CJK SC"/>
        <family val="2"/>
      </rPr>
      <t xml:space="preserve">市場共識 → </t>
    </r>
    <r>
      <rPr>
        <sz val="10"/>
        <rFont val="Arial"/>
        <family val="0"/>
        <charset val="1"/>
      </rPr>
      <t xml:space="preserve">J </t>
    </r>
    <r>
      <rPr>
        <sz val="10"/>
        <rFont val="Noto Sans CJK SC"/>
        <family val="2"/>
      </rPr>
      <t xml:space="preserve">季度追蹤輸入）。</t>
    </r>
  </si>
  <si>
    <t xml:space="preserve">各期收支        類現金流量：來源、用途、融資前缺口、期前融資瀑布。</t>
  </si>
  <si>
    <r>
      <rPr>
        <sz val="10"/>
        <rFont val="Noto Sans CJK SC"/>
        <family val="2"/>
      </rPr>
      <t xml:space="preserve">季度追蹤        焦點季的模型／共識／指引／實際與差距（</t>
    </r>
    <r>
      <rPr>
        <sz val="10"/>
        <rFont val="Arial"/>
        <family val="0"/>
        <charset val="1"/>
      </rPr>
      <t xml:space="preserve">v4.4</t>
    </r>
    <r>
      <rPr>
        <sz val="10"/>
        <rFont val="Noto Sans CJK SC"/>
        <family val="2"/>
      </rPr>
      <t xml:space="preserve">；由年度模型拆分，只用於追蹤；實際數填在輸入與假設 </t>
    </r>
    <r>
      <rPr>
        <sz val="10"/>
        <rFont val="Arial"/>
        <family val="0"/>
        <charset val="1"/>
      </rPr>
      <t xml:space="preserve">J </t>
    </r>
    <r>
      <rPr>
        <sz val="10"/>
        <rFont val="Noto Sans CJK SC"/>
        <family val="2"/>
      </rPr>
      <t xml:space="preserve">區）。</t>
    </r>
  </si>
  <si>
    <r>
      <rPr>
        <sz val="10"/>
        <rFont val="Noto Sans CJK SC"/>
        <family val="2"/>
      </rPr>
      <t xml:space="preserve">運營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產能與收入  合約排程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機房產能 → 收入 → 現金；運營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站點：房東揭露與租金檢驗。</t>
    </r>
  </si>
  <si>
    <r>
      <rPr>
        <sz val="10"/>
        <rFont val="Noto Sans CJK SC"/>
        <family val="2"/>
      </rPr>
      <t xml:space="preserve">資產負債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既有債務／新債與新股／租賃承諾  類資產負債表：</t>
    </r>
    <r>
      <rPr>
        <sz val="10"/>
        <rFont val="Arial"/>
        <family val="0"/>
        <charset val="1"/>
      </rPr>
      <t xml:space="preserve">10-Q </t>
    </r>
    <r>
      <rPr>
        <sz val="10"/>
        <rFont val="Noto Sans CJK SC"/>
        <family val="2"/>
      </rPr>
      <t xml:space="preserve">債務明細、每期現金與總債務與股數、租賃承諾。</t>
    </r>
  </si>
  <si>
    <r>
      <rPr>
        <sz val="10"/>
        <rFont val="Noto Sans CJK SC"/>
        <family val="2"/>
      </rPr>
      <t xml:space="preserve">損益            類損益表（</t>
    </r>
    <r>
      <rPr>
        <sz val="10"/>
        <rFont val="Arial"/>
        <family val="0"/>
        <charset val="1"/>
      </rPr>
      <t xml:space="preserve">FY26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實際＋下半年模型）。</t>
    </r>
  </si>
  <si>
    <r>
      <rPr>
        <sz val="10"/>
        <rFont val="Noto Sans CJK SC"/>
        <family val="2"/>
      </rPr>
      <t xml:space="preserve">評價</t>
    </r>
    <r>
      <rPr>
        <sz val="10"/>
        <rFont val="Arial"/>
        <family val="0"/>
        <charset val="1"/>
      </rPr>
      <t xml:space="preserve">_DCF</t>
    </r>
    <r>
      <rPr>
        <sz val="10"/>
        <rFont val="Noto Sans CJK SC"/>
        <family val="2"/>
      </rPr>
      <t xml:space="preserve">與目標價／評價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可比公司  </t>
    </r>
    <r>
      <rPr>
        <sz val="10"/>
        <rFont val="Arial"/>
        <family val="0"/>
        <charset val="1"/>
      </rPr>
      <t xml:space="preserve">DCF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EV/EBITDA</t>
    </r>
    <r>
      <rPr>
        <sz val="10"/>
        <rFont val="Noto Sans CJK SC"/>
        <family val="2"/>
      </rPr>
      <t xml:space="preserve">、加權目標價；同業 </t>
    </r>
    <r>
      <rPr>
        <sz val="10"/>
        <rFont val="Arial"/>
        <family val="0"/>
        <charset val="1"/>
      </rPr>
      <t xml:space="preserve">EV/Sales </t>
    </r>
    <r>
      <rPr>
        <sz val="10"/>
        <rFont val="Noto Sans CJK SC"/>
        <family val="2"/>
      </rPr>
      <t xml:space="preserve">比較。</t>
    </r>
  </si>
  <si>
    <r>
      <rPr>
        <sz val="10"/>
        <rFont val="Noto Sans CJK SC"/>
        <family val="2"/>
      </rPr>
      <t xml:space="preserve">評價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反向</t>
    </r>
    <r>
      <rPr>
        <sz val="10"/>
        <rFont val="Arial"/>
        <family val="0"/>
        <charset val="1"/>
      </rPr>
      <t xml:space="preserve">DCF    </t>
    </r>
    <r>
      <rPr>
        <sz val="10"/>
        <rFont val="Noto Sans CJK SC"/>
        <family val="2"/>
      </rPr>
      <t xml:space="preserve">現價隱含的收入與成本（目標搜尋＋</t>
    </r>
    <r>
      <rPr>
        <sz val="10"/>
        <rFont val="Arial"/>
        <family val="0"/>
        <charset val="1"/>
      </rPr>
      <t xml:space="preserve">HTML </t>
    </r>
    <r>
      <rPr>
        <sz val="10"/>
        <rFont val="Noto Sans CJK SC"/>
        <family val="2"/>
      </rPr>
      <t xml:space="preserve">快照）。</t>
    </r>
  </si>
  <si>
    <r>
      <rPr>
        <sz val="10"/>
        <rFont val="Noto Sans CJK SC"/>
        <family val="2"/>
      </rPr>
      <t xml:space="preserve">檢查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連動／檢查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版本紀錄  恆等式與口徑檢查；每一版的變更與目標價；來源：每個硬編碼數字的出處。</t>
    </r>
  </si>
  <si>
    <t xml:space="preserve">註：『各期收支』『資產與負債』『損益』並非會計準則的正式三表，而是對應公司實際運營的類三表呈現。</t>
  </si>
  <si>
    <t xml:space="preserve">顏色規則</t>
  </si>
  <si>
    <r>
      <rPr>
        <sz val="10"/>
        <rFont val="Noto Sans CJK SC"/>
        <family val="2"/>
      </rPr>
      <t xml:space="preserve">藍字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手動輸入值（可改）｜黑字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本頁公式｜綠字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跨頁連結｜黃底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關鍵假設｜灰字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說明與來源</t>
    </r>
  </si>
  <si>
    <t xml:space="preserve">■ 重點：容量上限與產能瓶頸是什麼關係</t>
  </si>
  <si>
    <t xml:space="preserve">這是整個模型最常被誤解的地方，所以單獨說明。</t>
  </si>
  <si>
    <t xml:space="preserve">兩條線各自獨立產生：</t>
  </si>
  <si>
    <r>
      <rPr>
        <sz val="10"/>
        <rFont val="Arial"/>
        <family val="0"/>
        <charset val="1"/>
      </rPr>
      <t xml:space="preserve">  (A) </t>
    </r>
    <r>
      <rPr>
        <sz val="10"/>
        <rFont val="Noto Sans CJK SC"/>
        <family val="2"/>
      </rPr>
      <t xml:space="preserve">排程 </t>
    </r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＝ 已簽約、依 </t>
    </r>
    <r>
      <rPr>
        <sz val="10"/>
        <rFont val="Arial"/>
        <family val="0"/>
        <charset val="1"/>
      </rPr>
      <t xml:space="preserve">10-Q </t>
    </r>
    <r>
      <rPr>
        <sz val="10"/>
        <rFont val="Noto Sans CJK SC"/>
        <family val="2"/>
      </rPr>
      <t xml:space="preserve">揭露的時程「應該」在本期認列的收入。</t>
    </r>
  </si>
  <si>
    <r>
      <rPr>
        <sz val="10"/>
        <rFont val="Noto Sans CJK SC"/>
        <family val="2"/>
      </rPr>
      <t xml:space="preserve">      公式：</t>
    </r>
    <r>
      <rPr>
        <sz val="10"/>
        <rFont val="Arial"/>
        <family val="0"/>
        <charset val="1"/>
      </rPr>
      <t xml:space="preserve">(6/30 RPO </t>
    </r>
    <r>
      <rPr>
        <sz val="10"/>
        <rFont val="Noto Sans CJK SC"/>
        <family val="2"/>
      </rPr>
      <t xml:space="preserve">＋ </t>
    </r>
    <r>
      <rPr>
        <sz val="10"/>
        <rFont val="Arial"/>
        <family val="0"/>
        <charset val="1"/>
      </rPr>
      <t xml:space="preserve">Q3 </t>
    </r>
    <r>
      <rPr>
        <sz val="10"/>
        <rFont val="Noto Sans CJK SC"/>
        <family val="2"/>
      </rPr>
      <t xml:space="preserve">新增承諾</t>
    </r>
    <r>
      <rPr>
        <sz val="10"/>
        <rFont val="Arial"/>
        <family val="0"/>
        <charset val="1"/>
      </rPr>
      <t xml:space="preserve">) × </t>
    </r>
    <r>
      <rPr>
        <sz val="10"/>
        <rFont val="Noto Sans CJK SC"/>
        <family val="2"/>
      </rPr>
      <t xml:space="preserve">本期權重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權重合計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五期認列比例</t>
    </r>
  </si>
  <si>
    <t xml:space="preserve">      這條線只看合約，完全不管機房蓋好了沒。</t>
  </si>
  <si>
    <r>
      <rPr>
        <sz val="10"/>
        <rFont val="Arial"/>
        <family val="0"/>
        <charset val="1"/>
      </rPr>
      <t xml:space="preserve">  (B) </t>
    </r>
    <r>
      <rPr>
        <sz val="10"/>
        <rFont val="Noto Sans CJK SC"/>
        <family val="2"/>
      </rPr>
      <t xml:space="preserve">容量上限 ＝ 本期實際能交付的最大收入 ＝ 平均在役 </t>
    </r>
    <r>
      <rPr>
        <sz val="10"/>
        <rFont val="Arial"/>
        <family val="0"/>
        <charset val="1"/>
      </rPr>
      <t xml:space="preserve">MW ×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利用率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期間係數。</t>
    </r>
  </si>
  <si>
    <t xml:space="preserve">      這條線只看機房，完全不管簽了多少約。</t>
  </si>
  <si>
    <t xml:space="preserve">兩條線相減，方向決定意義：</t>
  </si>
  <si>
    <r>
      <rPr>
        <sz val="10"/>
        <rFont val="Noto Sans CJK SC"/>
        <family val="2"/>
      </rPr>
      <t xml:space="preserve">  排程 </t>
    </r>
    <r>
      <rPr>
        <sz val="10"/>
        <rFont val="Arial"/>
        <family val="0"/>
        <charset val="1"/>
      </rPr>
      <t xml:space="preserve">&gt; </t>
    </r>
    <r>
      <rPr>
        <sz val="10"/>
        <rFont val="Noto Sans CJK SC"/>
        <family val="2"/>
      </rPr>
      <t xml:space="preserve">容量 → 差額＝『產能瓶頸』。合約在手但機房還沒好，這段收入本期收不到，</t>
    </r>
  </si>
  <si>
    <t xml:space="preserve">      也不遞延到下期（模型不做遞延，是保守處理）。本期收入 ＝ 排程 − 瓶頸 ＝ 容量上限。</t>
  </si>
  <si>
    <r>
      <rPr>
        <sz val="10"/>
        <rFont val="Noto Sans CJK SC"/>
        <family val="2"/>
      </rPr>
      <t xml:space="preserve">  容量 </t>
    </r>
    <r>
      <rPr>
        <sz val="10"/>
        <rFont val="Arial"/>
        <family val="0"/>
        <charset val="1"/>
      </rPr>
      <t xml:space="preserve">&gt; </t>
    </r>
    <r>
      <rPr>
        <sz val="10"/>
        <rFont val="Noto Sans CJK SC"/>
        <family val="2"/>
      </rPr>
      <t xml:space="preserve">排程 → 差額＝『未被期初 </t>
    </r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占用的產能』。機房好了但期初合約沒占滿，</t>
    </r>
  </si>
  <si>
    <t xml:space="preserve">      這段要靠新簽約來賣，乘上『新產能簽約率』後成為『新簽約收入』，賣不掉的是『未售產能』。</t>
  </si>
  <si>
    <r>
      <rPr>
        <sz val="10"/>
        <rFont val="Noto Sans CJK SC"/>
        <family val="2"/>
      </rPr>
      <t xml:space="preserve">所以本模型的收入有兩個來源，而且互斥：期初 </t>
    </r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轉換（受容量封頂）＋ 新簽約（用剩餘容量）。</t>
    </r>
  </si>
  <si>
    <r>
      <rPr>
        <sz val="10"/>
        <rFont val="Noto Sans CJK SC"/>
        <family val="2"/>
      </rPr>
      <t xml:space="preserve">基準路徑下，</t>
    </r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下半年與 </t>
    </r>
    <r>
      <rPr>
        <sz val="10"/>
        <rFont val="Arial"/>
        <family val="0"/>
        <charset val="1"/>
      </rPr>
      <t xml:space="preserve">FY27 </t>
    </r>
    <r>
      <rPr>
        <sz val="10"/>
        <rFont val="Noto Sans CJK SC"/>
        <family val="2"/>
      </rPr>
      <t xml:space="preserve">是瓶頸期（合約多於機房），</t>
    </r>
    <r>
      <rPr>
        <sz val="10"/>
        <rFont val="Arial"/>
        <family val="0"/>
        <charset val="1"/>
      </rPr>
      <t xml:space="preserve">FY28 </t>
    </r>
    <r>
      <rPr>
        <sz val="10"/>
        <rFont val="Noto Sans CJK SC"/>
        <family val="2"/>
      </rPr>
      <t xml:space="preserve">之後反轉為產能多於期初合約——</t>
    </r>
  </si>
  <si>
    <r>
      <rPr>
        <sz val="10"/>
        <rFont val="Noto Sans CJK SC"/>
        <family val="2"/>
      </rPr>
      <t xml:space="preserve">這就是為什麼 </t>
    </r>
    <r>
      <rPr>
        <sz val="10"/>
        <rFont val="Arial"/>
        <family val="0"/>
        <charset val="1"/>
      </rPr>
      <t xml:space="preserve">FY28 </t>
    </r>
    <r>
      <rPr>
        <sz val="10"/>
        <rFont val="Noto Sans CJK SC"/>
        <family val="2"/>
      </rPr>
      <t xml:space="preserve">起的收入愈來愈依賴『還沒簽的約』，也是 </t>
    </r>
    <r>
      <rPr>
        <sz val="10"/>
        <rFont val="Arial"/>
        <family val="0"/>
        <charset val="1"/>
      </rPr>
      <t xml:space="preserve">8 GW </t>
    </r>
    <r>
      <rPr>
        <sz val="10"/>
        <rFont val="Noto Sans CJK SC"/>
        <family val="2"/>
      </rPr>
      <t xml:space="preserve">敘事的真正風險所在。</t>
    </r>
  </si>
  <si>
    <t xml:space="preserve">■ 收入之後的三道折扣（產能與收入頁）</t>
  </si>
  <si>
    <r>
      <rPr>
        <sz val="10"/>
        <rFont val="Noto Sans CJK SC"/>
        <family val="2"/>
      </rPr>
      <t xml:space="preserve">  收入 → 扣信用損失（違約率 </t>
    </r>
    <r>
      <rPr>
        <sz val="10"/>
        <rFont val="Arial"/>
        <family val="0"/>
        <charset val="1"/>
      </rPr>
      <t xml:space="preserve">× (1−</t>
    </r>
    <r>
      <rPr>
        <sz val="10"/>
        <rFont val="Noto Sans CJK SC"/>
        <family val="2"/>
      </rPr>
      <t xml:space="preserve">回收率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）→ 收現 → 乘『</t>
    </r>
    <r>
      <rPr>
        <sz val="10"/>
        <rFont val="Arial"/>
        <family val="0"/>
        <charset val="1"/>
      </rPr>
      <t xml:space="preserve">EBITDAR </t>
    </r>
    <r>
      <rPr>
        <sz val="10"/>
        <rFont val="Noto Sans CJK SC"/>
        <family val="2"/>
      </rPr>
      <t xml:space="preserve">率』→ 可支應資本用途的現金。</t>
    </r>
  </si>
  <si>
    <t xml:space="preserve">  貢獻率是租金與利息『之前』的比率，因為租金與利息在支出頁單獨列示，不可在此重複扣除。</t>
  </si>
  <si>
    <r>
      <rPr>
        <sz val="10"/>
        <rFont val="Arial"/>
        <family val="0"/>
        <charset val="1"/>
      </rPr>
      <t xml:space="preserve">  Q2 </t>
    </r>
    <r>
      <rPr>
        <sz val="10"/>
        <rFont val="Noto Sans CJK SC"/>
        <family val="2"/>
      </rPr>
      <t xml:space="preserve">反推上限：</t>
    </r>
    <r>
      <rPr>
        <sz val="10"/>
        <rFont val="Arial"/>
        <family val="0"/>
        <charset val="1"/>
      </rPr>
      <t xml:space="preserve">Adj. EBITDA </t>
    </r>
    <r>
      <rPr>
        <sz val="10"/>
        <rFont val="Noto Sans CJK SC"/>
        <family val="2"/>
      </rPr>
      <t xml:space="preserve">率 </t>
    </r>
    <r>
      <rPr>
        <sz val="10"/>
        <rFont val="Arial"/>
        <family val="0"/>
        <charset val="1"/>
      </rPr>
      <t xml:space="preserve">59%</t>
    </r>
    <r>
      <rPr>
        <sz val="10"/>
        <rFont val="Noto Sans CJK SC"/>
        <family val="2"/>
      </rPr>
      <t xml:space="preserve">（已扣營業租賃 </t>
    </r>
    <r>
      <rPr>
        <sz val="10"/>
        <rFont val="Arial"/>
        <family val="0"/>
        <charset val="1"/>
      </rPr>
      <t xml:space="preserve">0.500</t>
    </r>
    <r>
      <rPr>
        <sz val="10"/>
        <rFont val="Noto Sans CJK SC"/>
        <family val="2"/>
      </rPr>
      <t xml:space="preserve">＋變動租賃 </t>
    </r>
    <r>
      <rPr>
        <sz val="10"/>
        <rFont val="Arial"/>
        <family val="0"/>
        <charset val="1"/>
      </rPr>
      <t xml:space="preserve">0.150</t>
    </r>
    <r>
      <rPr>
        <sz val="10"/>
        <rFont val="Noto Sans CJK SC"/>
        <family val="2"/>
      </rPr>
      <t xml:space="preserve">，約營收 </t>
    </r>
    <r>
      <rPr>
        <sz val="10"/>
        <rFont val="Arial"/>
        <family val="0"/>
        <charset val="1"/>
      </rPr>
      <t xml:space="preserve">25%</t>
    </r>
    <r>
      <rPr>
        <sz val="10"/>
        <rFont val="Noto Sans CJK SC"/>
        <family val="2"/>
      </rPr>
      <t xml:space="preserve">）→ 租金前約 </t>
    </r>
    <r>
      <rPr>
        <sz val="10"/>
        <rFont val="Arial"/>
        <family val="0"/>
        <charset val="1"/>
      </rPr>
      <t xml:space="preserve">84%</t>
    </r>
    <r>
      <rPr>
        <sz val="10"/>
        <rFont val="Noto Sans CJK SC"/>
        <family val="2"/>
      </rPr>
      <t xml:space="preserve">。</t>
    </r>
  </si>
  <si>
    <r>
      <rPr>
        <b val="true"/>
        <sz val="10"/>
        <rFont val="Noto Sans CJK SC"/>
        <family val="2"/>
      </rPr>
      <t xml:space="preserve">■ 期別口徑：</t>
    </r>
    <r>
      <rPr>
        <b val="true"/>
        <sz val="10"/>
        <rFont val="Arial"/>
        <family val="0"/>
        <charset val="1"/>
      </rPr>
      <t xml:space="preserve">FY26 </t>
    </r>
    <r>
      <rPr>
        <b val="true"/>
        <sz val="10"/>
        <rFont val="Noto Sans CJK SC"/>
        <family val="2"/>
      </rPr>
      <t xml:space="preserve">＝ </t>
    </r>
    <r>
      <rPr>
        <b val="true"/>
        <sz val="10"/>
        <rFont val="Arial"/>
        <family val="0"/>
        <charset val="1"/>
      </rPr>
      <t xml:space="preserve">1H </t>
    </r>
    <r>
      <rPr>
        <b val="true"/>
        <sz val="10"/>
        <rFont val="Noto Sans CJK SC"/>
        <family val="2"/>
      </rPr>
      <t xml:space="preserve">實際 ＋ </t>
    </r>
    <r>
      <rPr>
        <b val="true"/>
        <sz val="10"/>
        <rFont val="Arial"/>
        <family val="0"/>
        <charset val="1"/>
      </rPr>
      <t xml:space="preserve">2H </t>
    </r>
    <r>
      <rPr>
        <b val="true"/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</si>
  <si>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  支出與資金頁與損益頁的 </t>
    </r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欄，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部分直接採用 </t>
    </r>
    <r>
      <rPr>
        <sz val="10"/>
        <rFont val="Arial"/>
        <family val="0"/>
        <charset val="1"/>
      </rPr>
      <t xml:space="preserve">10-Q </t>
    </r>
    <r>
      <rPr>
        <sz val="10"/>
        <rFont val="Noto Sans CJK SC"/>
        <family val="2"/>
      </rPr>
      <t xml:space="preserve">現金流量表的實際值（</t>
    </r>
    <r>
      <rPr>
        <sz val="10"/>
        <rFont val="Arial"/>
        <family val="0"/>
        <charset val="1"/>
      </rPr>
      <t xml:space="preserve">CFO 3.663</t>
    </r>
    <r>
      <rPr>
        <sz val="10"/>
        <rFont val="Noto Sans CJK SC"/>
        <family val="2"/>
      </rPr>
      <t xml:space="preserve">、現金購置 </t>
    </r>
    <r>
      <rPr>
        <sz val="10"/>
        <rFont val="Arial"/>
        <family val="0"/>
        <charset val="1"/>
      </rPr>
      <t xml:space="preserve">14.117</t>
    </r>
    <r>
      <rPr>
        <sz val="10"/>
        <rFont val="Noto Sans CJK SC"/>
        <family val="2"/>
      </rPr>
      <t xml:space="preserve">、</t>
    </r>
  </si>
  <si>
    <r>
      <rPr>
        <sz val="10"/>
        <rFont val="Arial"/>
        <family val="0"/>
        <charset val="1"/>
      </rPr>
      <t xml:space="preserve">  JV 0.688</t>
    </r>
    <r>
      <rPr>
        <sz val="10"/>
        <rFont val="Noto Sans CJK SC"/>
        <family val="2"/>
      </rPr>
      <t xml:space="preserve">、借款 </t>
    </r>
    <r>
      <rPr>
        <sz val="10"/>
        <rFont val="Arial"/>
        <family val="0"/>
        <charset val="1"/>
      </rPr>
      <t xml:space="preserve">16.747</t>
    </r>
    <r>
      <rPr>
        <sz val="10"/>
        <rFont val="Noto Sans CJK SC"/>
        <family val="2"/>
      </rPr>
      <t xml:space="preserve">、還款 </t>
    </r>
    <r>
      <rPr>
        <sz val="10"/>
        <rFont val="Arial"/>
        <family val="0"/>
        <charset val="1"/>
      </rPr>
      <t xml:space="preserve">5.219</t>
    </r>
    <r>
      <rPr>
        <sz val="10"/>
        <rFont val="Noto Sans CJK SC"/>
        <family val="2"/>
      </rPr>
      <t xml:space="preserve">、私募股權 </t>
    </r>
    <r>
      <rPr>
        <sz val="10"/>
        <rFont val="Arial"/>
        <family val="0"/>
        <charset val="1"/>
      </rPr>
      <t xml:space="preserve">2.982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capped call 0.492</t>
    </r>
    <r>
      <rPr>
        <sz val="10"/>
        <rFont val="Noto Sans CJK SC"/>
        <family val="2"/>
      </rPr>
      <t xml:space="preserve">），</t>
    </r>
    <r>
      <rPr>
        <sz val="10"/>
        <rFont val="Arial"/>
        <family val="0"/>
        <charset val="1"/>
      </rPr>
      <t xml:space="preserve">2H </t>
    </r>
    <r>
      <rPr>
        <sz val="10"/>
        <rFont val="Noto Sans CJK SC"/>
        <family val="2"/>
      </rPr>
      <t xml:space="preserve">部分才是模型推算。</t>
    </r>
  </si>
  <si>
    <r>
      <rPr>
        <sz val="10"/>
        <rFont val="Noto Sans CJK SC"/>
        <family val="2"/>
      </rPr>
      <t xml:space="preserve">  因此 </t>
    </r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的 </t>
    </r>
    <r>
      <rPr>
        <sz val="10"/>
        <rFont val="Arial"/>
        <family val="0"/>
        <charset val="1"/>
      </rPr>
      <t xml:space="preserve">CapEx 37.1 </t>
    </r>
    <r>
      <rPr>
        <sz val="10"/>
        <rFont val="Noto Sans CJK SC"/>
        <family val="2"/>
      </rPr>
      <t xml:space="preserve">與營收 </t>
    </r>
    <r>
      <rPr>
        <sz val="10"/>
        <rFont val="Arial"/>
        <family val="0"/>
        <charset val="1"/>
      </rPr>
      <t xml:space="preserve">12.8 </t>
    </r>
    <r>
      <rPr>
        <sz val="10"/>
        <rFont val="Noto Sans CJK SC"/>
        <family val="2"/>
      </rPr>
      <t xml:space="preserve">可以直接對照公司全年指引 </t>
    </r>
    <r>
      <rPr>
        <sz val="10"/>
        <rFont val="Arial"/>
        <family val="0"/>
        <charset val="1"/>
      </rPr>
      <t xml:space="preserve">35–39 </t>
    </r>
    <r>
      <rPr>
        <sz val="10"/>
        <rFont val="Noto Sans CJK SC"/>
        <family val="2"/>
      </rPr>
      <t xml:space="preserve">與 </t>
    </r>
    <r>
      <rPr>
        <sz val="10"/>
        <rFont val="Arial"/>
        <family val="0"/>
        <charset val="1"/>
      </rPr>
      <t xml:space="preserve">12.4–13.2</t>
    </r>
    <r>
      <rPr>
        <sz val="10"/>
        <rFont val="Noto Sans CJK SC"/>
        <family val="2"/>
      </rPr>
      <t xml:space="preserve">。</t>
    </r>
  </si>
  <si>
    <r>
      <rPr>
        <sz val="10"/>
        <rFont val="Noto Sans CJK SC"/>
        <family val="2"/>
      </rPr>
      <t xml:space="preserve">  產能與收入頁的首欄也是 </t>
    </r>
    <r>
      <rPr>
        <sz val="10"/>
        <rFont val="Arial"/>
        <family val="0"/>
        <charset val="1"/>
      </rPr>
      <t xml:space="preserve">FY26</t>
    </r>
    <r>
      <rPr>
        <sz val="10"/>
        <rFont val="Noto Sans CJK SC"/>
        <family val="2"/>
      </rPr>
      <t xml:space="preserve">，但標示「（模型期）」的收入列只含下半年：</t>
    </r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桶自 </t>
    </r>
    <r>
      <rPr>
        <sz val="10"/>
        <rFont val="Arial"/>
        <family val="0"/>
        <charset val="1"/>
      </rPr>
      <t xml:space="preserve">2026-06-30 </t>
    </r>
    <r>
      <rPr>
        <sz val="10"/>
        <rFont val="Noto Sans CJK SC"/>
        <family val="2"/>
      </rPr>
      <t xml:space="preserve">起算，</t>
    </r>
  </si>
  <si>
    <r>
      <rPr>
        <sz val="10"/>
        <rFont val="Arial"/>
        <family val="0"/>
        <charset val="1"/>
      </rPr>
      <t xml:space="preserve">  1H </t>
    </r>
    <r>
      <rPr>
        <sz val="10"/>
        <rFont val="Noto Sans CJK SC"/>
        <family val="2"/>
      </rPr>
      <t xml:space="preserve">的收入已經實現、不再受產能約束，因此 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實際單列，兩者相加即該頁的「</t>
    </r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全年總營收」。</t>
    </r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只折現 </t>
    </r>
    <r>
      <rPr>
        <sz val="10"/>
        <rFont val="Arial"/>
        <family val="0"/>
        <charset val="1"/>
      </rPr>
      <t xml:space="preserve">6/30 </t>
    </r>
    <r>
      <rPr>
        <sz val="10"/>
        <rFont val="Noto Sans CJK SC"/>
        <family val="2"/>
      </rPr>
      <t xml:space="preserve">之後的現金流。</t>
    </r>
  </si>
  <si>
    <r>
      <rPr>
        <sz val="10"/>
        <rFont val="Arial"/>
        <family val="0"/>
        <charset val="1"/>
      </rPr>
      <t xml:space="preserve">  1H </t>
    </r>
    <r>
      <rPr>
        <sz val="10"/>
        <rFont val="Noto Sans CJK SC"/>
        <family val="2"/>
      </rPr>
      <t xml:space="preserve">的利息與租金已包含在實際 </t>
    </r>
    <r>
      <rPr>
        <sz val="10"/>
        <rFont val="Arial"/>
        <family val="0"/>
        <charset val="1"/>
      </rPr>
      <t xml:space="preserve">CFO </t>
    </r>
    <r>
      <rPr>
        <sz val="10"/>
        <rFont val="Noto Sans CJK SC"/>
        <family val="2"/>
      </rPr>
      <t xml:space="preserve">內，所以支出頁那兩列的 </t>
    </r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欄只有 </t>
    </r>
    <r>
      <rPr>
        <sz val="10"/>
        <rFont val="Arial"/>
        <family val="0"/>
        <charset val="1"/>
      </rPr>
      <t xml:space="preserve">2H </t>
    </r>
    <r>
      <rPr>
        <sz val="10"/>
        <rFont val="Noto Sans CJK SC"/>
        <family val="2"/>
      </rPr>
      <t xml:space="preserve">金額；全年數字見「</t>
    </r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全年備忘」區。</t>
    </r>
  </si>
  <si>
    <t xml:space="preserve">■ 現金橋（支出與資金頁最下方）</t>
  </si>
  <si>
    <r>
      <rPr>
        <sz val="10"/>
        <rFont val="Arial"/>
        <family val="0"/>
        <charset val="1"/>
      </rPr>
      <t xml:space="preserve">  2025-12-31 </t>
    </r>
    <r>
      <rPr>
        <sz val="10"/>
        <rFont val="Noto Sans CJK SC"/>
        <family val="2"/>
      </rPr>
      <t xml:space="preserve">現金 </t>
    </r>
    <r>
      <rPr>
        <sz val="10"/>
        <rFont val="Arial"/>
        <family val="0"/>
        <charset val="1"/>
      </rPr>
      <t xml:space="preserve">3.127 </t>
    </r>
    <r>
      <rPr>
        <sz val="10"/>
        <rFont val="Noto Sans CJK SC"/>
        <family val="2"/>
      </rPr>
      <t xml:space="preserve">＋ 營運缺口 ＋ 股權／可轉債 ＋ 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實際借款 − 排程還本 − </t>
    </r>
    <r>
      <rPr>
        <sz val="10"/>
        <rFont val="Arial"/>
        <family val="0"/>
        <charset val="1"/>
      </rPr>
      <t xml:space="preserve">capped call </t>
    </r>
    <r>
      <rPr>
        <sz val="10"/>
        <rFont val="Noto Sans CJK SC"/>
        <family val="2"/>
      </rPr>
      <t xml:space="preserve">＋ 調節 ＝ 期末現金</t>
    </r>
  </si>
  <si>
    <t xml:space="preserve">  營運缺口＝營運來源 −（用途 − 排程還本）。股權、可轉債、信用額度都不算營運來源，這是刻意的：</t>
  </si>
  <si>
    <t xml:space="preserve">  它們回答的是「誰來補」，不是「本業能不能自給」。</t>
  </si>
  <si>
    <r>
      <rPr>
        <b val="true"/>
        <sz val="10"/>
        <rFont val="Arial"/>
        <family val="0"/>
        <charset val="1"/>
      </rPr>
      <t xml:space="preserve">■ v1.5 </t>
    </r>
    <r>
      <rPr>
        <b val="true"/>
        <sz val="10"/>
        <rFont val="Noto Sans CJK SC"/>
        <family val="2"/>
      </rPr>
      <t xml:space="preserve">變更（回應 </t>
    </r>
    <r>
      <rPr>
        <b val="true"/>
        <sz val="10"/>
        <rFont val="Arial"/>
        <family val="0"/>
        <charset val="1"/>
      </rPr>
      <t xml:space="preserve">Andy </t>
    </r>
    <r>
      <rPr>
        <b val="true"/>
        <sz val="10"/>
        <rFont val="Noto Sans CJK SC"/>
        <family val="2"/>
      </rPr>
      <t xml:space="preserve">反饋 </t>
    </r>
    <r>
      <rPr>
        <b val="true"/>
        <sz val="10"/>
        <rFont val="Arial"/>
        <family val="0"/>
        <charset val="1"/>
      </rPr>
      <t xml:space="preserve">1–5</t>
    </r>
    <r>
      <rPr>
        <b val="true"/>
        <sz val="10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</si>
  <si>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  1. </t>
    </r>
    <r>
      <rPr>
        <sz val="10"/>
        <rFont val="Noto Sans CJK SC"/>
        <family val="2"/>
      </rPr>
      <t xml:space="preserve">新增『站點租賃』頁：</t>
    </r>
    <r>
      <rPr>
        <sz val="10"/>
        <rFont val="Arial"/>
        <family val="0"/>
        <charset val="1"/>
      </rPr>
      <t xml:space="preserve">Helios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Polaris Forge 1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Core Scientific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Kenilworth </t>
    </r>
    <r>
      <rPr>
        <sz val="10"/>
        <rFont val="Noto Sans CJK SC"/>
        <family val="2"/>
      </rPr>
      <t xml:space="preserve">逐站列出契約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、合約值、每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年租金，</t>
    </r>
  </si>
  <si>
    <r>
      <rPr>
        <sz val="10"/>
        <rFont val="Noto Sans CJK SC"/>
        <family val="2"/>
      </rPr>
      <t xml:space="preserve">     並與 </t>
    </r>
    <r>
      <rPr>
        <sz val="10"/>
        <rFont val="Arial"/>
        <family val="0"/>
        <charset val="1"/>
      </rPr>
      <t xml:space="preserve">10-Q </t>
    </r>
    <r>
      <rPr>
        <sz val="10"/>
        <rFont val="Noto Sans CJK SC"/>
        <family val="2"/>
      </rPr>
      <t xml:space="preserve">租賃承諾總額 </t>
    </r>
    <r>
      <rPr>
        <sz val="10"/>
        <rFont val="Arial"/>
        <family val="0"/>
        <charset val="1"/>
      </rPr>
      <t xml:space="preserve">79.6 </t>
    </r>
    <r>
      <rPr>
        <sz val="10"/>
        <rFont val="Noto Sans CJK SC"/>
        <family val="2"/>
      </rPr>
      <t xml:space="preserve">對帳（具名 </t>
    </r>
    <r>
      <rPr>
        <sz val="10"/>
        <rFont val="Arial"/>
        <family val="0"/>
        <charset val="1"/>
      </rPr>
      <t xml:space="preserve">36.2</t>
    </r>
    <r>
      <rPr>
        <sz val="10"/>
        <rFont val="Noto Sans CJK SC"/>
        <family val="2"/>
      </rPr>
      <t xml:space="preserve">、未具名殘差 </t>
    </r>
    <r>
      <rPr>
        <sz val="10"/>
        <rFont val="Arial"/>
        <family val="0"/>
        <charset val="1"/>
      </rPr>
      <t xml:space="preserve">43.4</t>
    </r>
    <r>
      <rPr>
        <sz val="10"/>
        <rFont val="Noto Sans CJK SC"/>
        <family val="2"/>
      </rPr>
      <t xml:space="preserve">）；另以市場基準檢驗模型租金路徑。</t>
    </r>
  </si>
  <si>
    <r>
      <rPr>
        <sz val="10"/>
        <rFont val="Arial"/>
        <family val="0"/>
        <charset val="1"/>
      </rPr>
      <t xml:space="preserve">  2. </t>
    </r>
    <r>
      <rPr>
        <sz val="10"/>
        <rFont val="Noto Sans CJK SC"/>
        <family val="2"/>
      </rPr>
      <t xml:space="preserve">新增『債務明細』頁：</t>
    </r>
    <r>
      <rPr>
        <sz val="10"/>
        <rFont val="Arial"/>
        <family val="0"/>
        <charset val="1"/>
      </rPr>
      <t xml:space="preserve">10-Q 16 </t>
    </r>
    <r>
      <rPr>
        <sz val="10"/>
        <rFont val="Noto Sans CJK SC"/>
        <family val="2"/>
      </rPr>
      <t xml:space="preserve">筆工具逐筆列示（合計 </t>
    </r>
    <r>
      <rPr>
        <sz val="10"/>
        <rFont val="Arial"/>
        <family val="0"/>
        <charset val="1"/>
      </rPr>
      <t xml:space="preserve">35.551</t>
    </r>
    <r>
      <rPr>
        <sz val="10"/>
        <rFont val="Noto Sans CJK SC"/>
        <family val="2"/>
      </rPr>
      <t xml:space="preserve">、加權有效利率 </t>
    </r>
    <r>
      <rPr>
        <sz val="10"/>
        <rFont val="Arial"/>
        <family val="0"/>
        <charset val="1"/>
      </rPr>
      <t xml:space="preserve">8.4%</t>
    </r>
    <r>
      <rPr>
        <sz val="10"/>
        <rFont val="Noto Sans CJK SC"/>
        <family val="2"/>
      </rPr>
      <t xml:space="preserve">），存量利息改由到期表遞減本金推算。</t>
    </r>
  </si>
  <si>
    <r>
      <rPr>
        <sz val="10"/>
        <rFont val="Arial"/>
        <family val="0"/>
        <charset val="1"/>
      </rPr>
      <t xml:space="preserve">  3. JV </t>
    </r>
    <r>
      <rPr>
        <sz val="10"/>
        <rFont val="Noto Sans CJK SC"/>
        <family val="2"/>
      </rPr>
      <t xml:space="preserve">拆為「已承諾餘額 </t>
    </r>
    <r>
      <rPr>
        <sz val="10"/>
        <rFont val="Arial"/>
        <family val="0"/>
        <charset val="1"/>
      </rPr>
      <t xml:space="preserve">1.15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10-Q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年內履行）」＋「後續增資（假設）」兩列。</t>
    </r>
  </si>
  <si>
    <r>
      <rPr>
        <sz val="10"/>
        <rFont val="Arial"/>
        <family val="0"/>
        <charset val="1"/>
      </rPr>
      <t xml:space="preserve">  4. </t>
    </r>
    <r>
      <rPr>
        <sz val="10"/>
        <rFont val="Noto Sans CJK SC"/>
        <family val="2"/>
      </rPr>
      <t xml:space="preserve">毛 </t>
    </r>
    <r>
      <rPr>
        <sz val="10"/>
        <rFont val="Arial"/>
        <family val="0"/>
        <charset val="1"/>
      </rPr>
      <t xml:space="preserve">CapEx </t>
    </r>
    <r>
      <rPr>
        <sz val="10"/>
        <rFont val="Noto Sans CJK SC"/>
        <family val="2"/>
      </rPr>
      <t xml:space="preserve">改由 </t>
    </r>
    <r>
      <rPr>
        <sz val="10"/>
        <rFont val="Arial"/>
        <family val="0"/>
        <charset val="1"/>
      </rPr>
      <t xml:space="preserve">Accepted MW </t>
    </r>
    <r>
      <rPr>
        <sz val="10"/>
        <rFont val="Noto Sans CJK SC"/>
        <family val="2"/>
      </rPr>
      <t xml:space="preserve">推導：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本期新增</t>
    </r>
    <r>
      <rPr>
        <sz val="10"/>
        <rFont val="Arial"/>
        <family val="0"/>
        <charset val="1"/>
      </rPr>
      <t xml:space="preserve">×(1−λ)</t>
    </r>
    <r>
      <rPr>
        <sz val="10"/>
        <rFont val="Noto Sans CJK SC"/>
        <family val="2"/>
      </rPr>
      <t xml:space="preserve">＋次期新增</t>
    </r>
    <r>
      <rPr>
        <sz val="10"/>
        <rFont val="Arial"/>
        <family val="0"/>
        <charset val="1"/>
      </rPr>
      <t xml:space="preserve">×λ)×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成本；以 </t>
    </r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全年指引 </t>
    </r>
    <r>
      <rPr>
        <sz val="10"/>
        <rFont val="Arial"/>
        <family val="0"/>
        <charset val="1"/>
      </rPr>
      <t xml:space="preserve">35–39 </t>
    </r>
    <r>
      <rPr>
        <sz val="10"/>
        <rFont val="Noto Sans CJK SC"/>
        <family val="2"/>
      </rPr>
      <t xml:space="preserve">校準。</t>
    </r>
  </si>
  <si>
    <r>
      <rPr>
        <sz val="10"/>
        <rFont val="Arial"/>
        <family val="0"/>
        <charset val="1"/>
      </rPr>
      <t xml:space="preserve">  5. </t>
    </r>
    <r>
      <rPr>
        <sz val="10"/>
        <rFont val="Noto Sans CJK SC"/>
        <family val="2"/>
      </rPr>
      <t xml:space="preserve">刪除『受產能約束占 </t>
    </r>
    <r>
      <rPr>
        <sz val="10"/>
        <rFont val="Arial"/>
        <family val="0"/>
        <charset val="1"/>
      </rPr>
      <t xml:space="preserve">RPO</t>
    </r>
    <r>
      <rPr>
        <sz val="10"/>
        <rFont val="Noto Sans CJK SC"/>
        <family val="2"/>
      </rPr>
      <t xml:space="preserve">』（</t>
    </r>
    <r>
      <rPr>
        <sz val="10"/>
        <rFont val="Arial"/>
        <family val="0"/>
        <charset val="1"/>
      </rPr>
      <t xml:space="preserve">Oracle </t>
    </r>
    <r>
      <rPr>
        <sz val="10"/>
        <rFont val="Noto Sans CJK SC"/>
        <family val="2"/>
      </rPr>
      <t xml:space="preserve">模板遺留，</t>
    </r>
    <r>
      <rPr>
        <sz val="10"/>
        <rFont val="Arial"/>
        <family val="0"/>
        <charset val="1"/>
      </rPr>
      <t xml:space="preserve">CoreWeave </t>
    </r>
    <r>
      <rPr>
        <sz val="10"/>
        <rFont val="Noto Sans CJK SC"/>
        <family val="2"/>
      </rPr>
      <t xml:space="preserve">恆為 </t>
    </r>
    <r>
      <rPr>
        <sz val="10"/>
        <rFont val="Arial"/>
        <family val="0"/>
        <charset val="1"/>
      </rPr>
      <t xml:space="preserve">100%</t>
    </r>
    <r>
      <rPr>
        <sz val="10"/>
        <rFont val="Noto Sans CJK SC"/>
        <family val="2"/>
      </rPr>
      <t xml:space="preserve">）。</t>
    </r>
  </si>
  <si>
    <r>
      <rPr>
        <b val="true"/>
        <sz val="10"/>
        <rFont val="Arial"/>
        <family val="0"/>
        <charset val="1"/>
      </rPr>
      <t xml:space="preserve">■ v2.4</t>
    </r>
    <r>
      <rPr>
        <b val="true"/>
        <sz val="10"/>
        <rFont val="Noto Sans CJK SC"/>
        <family val="2"/>
      </rPr>
      <t xml:space="preserve">：股權吸收能力可調＋融資前缺口</t>
    </r>
  </si>
  <si>
    <r>
      <rPr>
        <sz val="10"/>
        <rFont val="Noto Sans CJK SC"/>
        <family val="2"/>
      </rPr>
      <t xml:space="preserve">  股權每年最多募到現市值的 </t>
    </r>
    <r>
      <rPr>
        <sz val="10"/>
        <rFont val="Arial"/>
        <family val="0"/>
        <charset val="1"/>
      </rPr>
      <t xml:space="preserve">20%</t>
    </r>
    <r>
      <rPr>
        <sz val="10"/>
        <rFont val="Noto Sans CJK SC"/>
        <family val="2"/>
      </rPr>
      <t xml:space="preserve">（可調；</t>
    </r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年實際約 </t>
    </r>
    <r>
      <rPr>
        <sz val="10"/>
        <rFont val="Arial"/>
        <family val="0"/>
        <charset val="1"/>
      </rPr>
      <t xml:space="preserve">13%</t>
    </r>
    <r>
      <rPr>
        <sz val="10"/>
        <rFont val="Noto Sans CJK SC"/>
        <family val="2"/>
      </rPr>
      <t xml:space="preserve">），超出部分以高息債 </t>
    </r>
    <r>
      <rPr>
        <sz val="10"/>
        <rFont val="Arial"/>
        <family val="0"/>
        <charset val="1"/>
      </rPr>
      <t xml:space="preserve">12% </t>
    </r>
    <r>
      <rPr>
        <sz val="10"/>
        <rFont val="Noto Sans CJK SC"/>
        <family val="2"/>
      </rPr>
      <t xml:space="preserve">補足（可調）。發行折價 </t>
    </r>
    <r>
      <rPr>
        <sz val="10"/>
        <rFont val="Arial"/>
        <family val="0"/>
        <charset val="1"/>
      </rPr>
      <t xml:space="preserve">10%</t>
    </r>
    <r>
      <rPr>
        <sz val="10"/>
        <rFont val="Noto Sans CJK SC"/>
        <family val="2"/>
      </rPr>
      <t xml:space="preserve">（可調）。</t>
    </r>
  </si>
  <si>
    <t xml:space="preserve">  「支出與資金」頁新增『融資前累積現金』：若不做任何新融資，現金會落到多少——負值即外部資金需求。</t>
  </si>
  <si>
    <r>
      <rPr>
        <sz val="10"/>
        <rFont val="Noto Sans CJK SC"/>
        <family val="2"/>
      </rPr>
      <t xml:space="preserve">  「</t>
    </r>
    <r>
      <rPr>
        <sz val="10"/>
        <rFont val="Arial"/>
        <family val="0"/>
        <charset val="1"/>
      </rPr>
      <t xml:space="preserve">EBITDAR </t>
    </r>
    <r>
      <rPr>
        <sz val="10"/>
        <rFont val="Noto Sans CJK SC"/>
        <family val="2"/>
      </rPr>
      <t xml:space="preserve">率」＝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率＋租金</t>
    </r>
    <r>
      <rPr>
        <sz val="10"/>
        <rFont val="Arial"/>
        <family val="0"/>
        <charset val="1"/>
      </rPr>
      <t xml:space="preserve">÷</t>
    </r>
    <r>
      <rPr>
        <sz val="10"/>
        <rFont val="Noto Sans CJK SC"/>
        <family val="2"/>
      </rPr>
      <t xml:space="preserve">營收：資金端使用的租金前利潤率，由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率推導、不是獨立輸入。</t>
    </r>
  </si>
  <si>
    <r>
      <rPr>
        <b val="true"/>
        <sz val="10"/>
        <rFont val="Arial"/>
        <family val="0"/>
        <charset val="1"/>
      </rPr>
      <t xml:space="preserve">■ v2.3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EBITDA </t>
    </r>
    <r>
      <rPr>
        <b val="true"/>
        <sz val="10"/>
        <rFont val="Noto Sans CJK SC"/>
        <family val="2"/>
      </rPr>
      <t xml:space="preserve">率單一來源＋融資校準</t>
    </r>
  </si>
  <si>
    <r>
      <rPr>
        <sz val="10"/>
        <rFont val="Arial"/>
        <family val="0"/>
        <charset val="1"/>
      </rPr>
      <t xml:space="preserve">  EBITDA </t>
    </r>
    <r>
      <rPr>
        <sz val="10"/>
        <rFont val="Noto Sans CJK SC"/>
        <family val="2"/>
      </rPr>
      <t xml:space="preserve">率只在「輸入」頁兩格設定：起始 </t>
    </r>
    <r>
      <rPr>
        <sz val="10"/>
        <rFont val="Arial"/>
        <family val="0"/>
        <charset val="1"/>
      </rPr>
      <t xml:space="preserve">59%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Q2 </t>
    </r>
    <r>
      <rPr>
        <sz val="10"/>
        <rFont val="Noto Sans CJK SC"/>
        <family val="2"/>
      </rPr>
      <t xml:space="preserve">實際）、穩態 </t>
    </r>
    <r>
      <rPr>
        <sz val="10"/>
        <rFont val="Arial"/>
        <family val="0"/>
        <charset val="1"/>
      </rPr>
      <t xml:space="preserve">65%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FY30</t>
    </r>
    <r>
      <rPr>
        <sz val="10"/>
        <rFont val="Noto Sans CJK SC"/>
        <family val="2"/>
      </rPr>
      <t xml:space="preserve">），中間線性爬升；損益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與資金現金都引用同一列。</t>
    </r>
  </si>
  <si>
    <r>
      <rPr>
        <sz val="10"/>
        <rFont val="Noto Sans CJK SC"/>
        <family val="2"/>
      </rPr>
      <t xml:space="preserve">  資金端</t>
    </r>
    <r>
      <rPr>
        <sz val="10"/>
        <rFont val="Arial"/>
        <family val="0"/>
        <charset val="1"/>
      </rPr>
      <t xml:space="preserve">EBITDAR </t>
    </r>
    <r>
      <rPr>
        <sz val="10"/>
        <rFont val="Noto Sans CJK SC"/>
        <family val="2"/>
      </rPr>
      <t xml:space="preserve">率＝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率＋租金</t>
    </r>
    <r>
      <rPr>
        <sz val="10"/>
        <rFont val="Arial"/>
        <family val="0"/>
        <charset val="1"/>
      </rPr>
      <t xml:space="preserve">÷</t>
    </r>
    <r>
      <rPr>
        <sz val="10"/>
        <rFont val="Noto Sans CJK SC"/>
        <family val="2"/>
      </rPr>
      <t xml:space="preserve">營收（租金在支出端另列，故加回）；非算力服務現金＝服務營收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同一貢獻率。</t>
    </r>
  </si>
  <si>
    <r>
      <rPr>
        <sz val="10"/>
        <rFont val="Noto Sans CJK SC"/>
        <family val="2"/>
      </rPr>
      <t xml:space="preserve">  債務上限預設 </t>
    </r>
    <r>
      <rPr>
        <sz val="10"/>
        <rFont val="Arial"/>
        <family val="0"/>
        <charset val="1"/>
      </rPr>
      <t xml:space="preserve">1.0x</t>
    </r>
    <r>
      <rPr>
        <sz val="10"/>
        <rFont val="Noto Sans CJK SC"/>
        <family val="2"/>
      </rPr>
      <t xml:space="preserve">（依 </t>
    </r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年實際融資組合：債務約 </t>
    </r>
    <r>
      <rPr>
        <sz val="10"/>
        <rFont val="Arial"/>
        <family val="0"/>
        <charset val="1"/>
      </rPr>
      <t xml:space="preserve">77%</t>
    </r>
    <r>
      <rPr>
        <sz val="10"/>
        <rFont val="Noto Sans CJK SC"/>
        <family val="2"/>
      </rPr>
      <t xml:space="preserve">、股權約 </t>
    </r>
    <r>
      <rPr>
        <sz val="10"/>
        <rFont val="Arial"/>
        <family val="0"/>
        <charset val="1"/>
      </rPr>
      <t xml:space="preserve">23%</t>
    </r>
    <r>
      <rPr>
        <sz val="10"/>
        <rFont val="Noto Sans CJK SC"/>
        <family val="2"/>
      </rPr>
      <t xml:space="preserve">）。敏感度：把穩態改成 </t>
    </r>
    <r>
      <rPr>
        <sz val="10"/>
        <rFont val="Arial"/>
        <family val="0"/>
        <charset val="1"/>
      </rPr>
      <t xml:space="preserve">59%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70%</t>
    </r>
    <r>
      <rPr>
        <sz val="10"/>
        <rFont val="Noto Sans CJK SC"/>
        <family val="2"/>
      </rPr>
      <t xml:space="preserve">、上限改成 </t>
    </r>
    <r>
      <rPr>
        <sz val="10"/>
        <rFont val="Arial"/>
        <family val="0"/>
        <charset val="1"/>
      </rPr>
      <t xml:space="preserve">0.4x </t>
    </r>
    <r>
      <rPr>
        <sz val="10"/>
        <rFont val="Noto Sans CJK SC"/>
        <family val="2"/>
      </rPr>
      <t xml:space="preserve">即可重算。</t>
    </r>
  </si>
  <si>
    <r>
      <rPr>
        <b val="true"/>
        <sz val="10"/>
        <rFont val="Arial"/>
        <family val="0"/>
        <charset val="1"/>
      </rPr>
      <t xml:space="preserve">■ v2.0</t>
    </r>
    <r>
      <rPr>
        <b val="true"/>
        <sz val="10"/>
        <rFont val="Noto Sans CJK SC"/>
        <family val="2"/>
      </rPr>
      <t xml:space="preserve">：期前融資瀑布（取代「透支利息＋扣缺口」）</t>
    </r>
  </si>
  <si>
    <r>
      <rPr>
        <sz val="10"/>
        <rFont val="Noto Sans CJK SC"/>
        <family val="2"/>
      </rPr>
      <t xml:space="preserve">  缺口在需要前一期先融好，使每期末現金不低於最低現金 </t>
    </r>
    <r>
      <rPr>
        <sz val="10"/>
        <rFont val="Arial"/>
        <family val="0"/>
        <charset val="1"/>
      </rPr>
      <t xml:space="preserve">2.0bn</t>
    </r>
    <r>
      <rPr>
        <sz val="10"/>
        <rFont val="Noto Sans CJK SC"/>
        <family val="2"/>
      </rPr>
      <t xml:space="preserve">。順序：未動用額度 </t>
    </r>
    <r>
      <rPr>
        <sz val="10"/>
        <rFont val="Arial"/>
        <family val="0"/>
        <charset val="1"/>
      </rPr>
      <t xml:space="preserve">10.0 → </t>
    </r>
    <r>
      <rPr>
        <sz val="10"/>
        <rFont val="Noto Sans CJK SC"/>
        <family val="2"/>
      </rPr>
      <t xml:space="preserve">資產層新債</t>
    </r>
  </si>
  <si>
    <r>
      <rPr>
        <sz val="10"/>
        <rFont val="Noto Sans CJK SC"/>
        <family val="2"/>
      </rPr>
      <t xml:space="preserve">  （總債務 ≤ </t>
    </r>
    <r>
      <rPr>
        <sz val="10"/>
        <rFont val="Arial"/>
        <family val="0"/>
        <charset val="1"/>
      </rPr>
      <t xml:space="preserve">1.0 × </t>
    </r>
    <r>
      <rPr>
        <sz val="10"/>
        <rFont val="Noto Sans CJK SC"/>
        <family val="2"/>
      </rPr>
      <t xml:space="preserve">期末 </t>
    </r>
    <r>
      <rPr>
        <sz val="10"/>
        <rFont val="Arial"/>
        <family val="0"/>
        <charset val="1"/>
      </rPr>
      <t xml:space="preserve">backlog</t>
    </r>
    <r>
      <rPr>
        <sz val="10"/>
        <rFont val="Noto Sans CJK SC"/>
        <family val="2"/>
      </rPr>
      <t xml:space="preserve">，依 </t>
    </r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年實際融資組合校準；</t>
    </r>
    <r>
      <rPr>
        <sz val="10"/>
        <rFont val="Arial"/>
        <family val="0"/>
        <charset val="1"/>
      </rPr>
      <t xml:space="preserve">0.4x </t>
    </r>
    <r>
      <rPr>
        <sz val="10"/>
        <rFont val="Noto Sans CJK SC"/>
        <family val="2"/>
      </rPr>
      <t xml:space="preserve">為敏感度）→ 股權（</t>
    </r>
    <r>
      <rPr>
        <sz val="10"/>
        <rFont val="Arial"/>
        <family val="0"/>
        <charset val="1"/>
      </rPr>
      <t xml:space="preserve">9/21 </t>
    </r>
    <r>
      <rPr>
        <sz val="10"/>
        <rFont val="Noto Sans CJK SC"/>
        <family val="2"/>
      </rPr>
      <t xml:space="preserve">收盤 </t>
    </r>
    <r>
      <rPr>
        <sz val="10"/>
        <rFont val="Arial"/>
        <family val="0"/>
        <charset val="1"/>
      </rPr>
      <t xml:space="preserve">$85.43 </t>
    </r>
    <r>
      <rPr>
        <sz val="10"/>
        <rFont val="Noto Sans CJK SC"/>
        <family val="2"/>
      </rPr>
      <t xml:space="preserve">折價 </t>
    </r>
    <r>
      <rPr>
        <sz val="10"/>
        <rFont val="Arial"/>
        <family val="0"/>
        <charset val="1"/>
      </rPr>
      <t xml:space="preserve">10% </t>
    </r>
    <r>
      <rPr>
        <sz val="10"/>
        <rFont val="Noto Sans CJK SC"/>
        <family val="2"/>
      </rPr>
      <t xml:space="preserve">發行）。</t>
    </r>
  </si>
  <si>
    <r>
      <rPr>
        <sz val="10"/>
        <rFont val="Arial"/>
        <family val="0"/>
        <charset val="1"/>
      </rPr>
      <t xml:space="preserve">  DCF </t>
    </r>
    <r>
      <rPr>
        <sz val="10"/>
        <rFont val="Noto Sans CJK SC"/>
        <family val="2"/>
      </rPr>
      <t xml:space="preserve">以融資後股數計每股，並加回新股募得現金的現值；</t>
    </r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用 </t>
    </r>
    <r>
      <rPr>
        <sz val="10"/>
        <rFont val="Arial"/>
        <family val="0"/>
        <charset val="1"/>
      </rPr>
      <t xml:space="preserve">FY27 </t>
    </r>
    <r>
      <rPr>
        <sz val="10"/>
        <rFont val="Noto Sans CJK SC"/>
        <family val="2"/>
      </rPr>
      <t xml:space="preserve">末淨負債與 </t>
    </r>
    <r>
      <rPr>
        <sz val="10"/>
        <rFont val="Arial"/>
        <family val="0"/>
        <charset val="1"/>
      </rPr>
      <t xml:space="preserve">FY27 </t>
    </r>
    <r>
      <rPr>
        <sz val="10"/>
        <rFont val="Noto Sans CJK SC"/>
        <family val="2"/>
      </rPr>
      <t xml:space="preserve">末股數。</t>
    </r>
  </si>
  <si>
    <r>
      <rPr>
        <sz val="10"/>
        <rFont val="Noto Sans CJK SC"/>
        <family val="2"/>
      </rPr>
      <t xml:space="preserve">  舊版的透支利息（借款利息）與扣 </t>
    </r>
    <r>
      <rPr>
        <sz val="10"/>
        <rFont val="Arial"/>
        <family val="0"/>
        <charset val="1"/>
      </rPr>
      <t xml:space="preserve">NTM </t>
    </r>
    <r>
      <rPr>
        <sz val="10"/>
        <rFont val="Noto Sans CJK SC"/>
        <family val="2"/>
      </rPr>
      <t xml:space="preserve">缺口（借款本金）並非重複計費；</t>
    </r>
    <r>
      <rPr>
        <sz val="10"/>
        <rFont val="Arial"/>
        <family val="0"/>
        <charset val="1"/>
      </rPr>
      <t xml:space="preserve">v2.0 </t>
    </r>
    <r>
      <rPr>
        <sz val="10"/>
        <rFont val="Noto Sans CJK SC"/>
        <family val="2"/>
      </rPr>
      <t xml:space="preserve">的差別是新債設上限、超出部分改以股權支應。瀑布位於「支出與資金」頁下方。</t>
    </r>
  </si>
  <si>
    <t xml:space="preserve">一頁摘要 — 結論、與市場的差異、現價隱含什麼、驗證點（全部依輸入連動）</t>
  </si>
  <si>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｜結論</t>
    </r>
  </si>
  <si>
    <r>
      <rPr>
        <sz val="10"/>
        <rFont val="Noto Sans CJK SC"/>
        <family val="2"/>
      </rPr>
      <t xml:space="preserve">結論｜評等代碼（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＝買進、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＝中立、−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＝賣出）</t>
    </r>
  </si>
  <si>
    <t xml:space="preserve">結論｜評等</t>
  </si>
  <si>
    <t xml:space="preserve">結論｜點位（加權目標價）</t>
  </si>
  <si>
    <t xml:space="preserve">US$</t>
  </si>
  <si>
    <t xml:space="preserve">結論｜現價</t>
  </si>
  <si>
    <t xml:space="preserve">結論｜空間</t>
  </si>
  <si>
    <t xml:space="preserve">%</t>
  </si>
  <si>
    <t xml:space="preserve">結論｜情境區間（下緣／上緣）</t>
  </si>
  <si>
    <t xml:space="preserve">結論｜方法區間（下緣／上緣）</t>
  </si>
  <si>
    <t xml:space="preserve">結論｜賣出門檻價</t>
  </si>
  <si>
    <t xml:space="preserve">結論｜點位 − 賣出門檻</t>
  </si>
  <si>
    <t xml:space="preserve">結論｜結論句</t>
  </si>
  <si>
    <t xml:space="preserve">結論｜情境判斷句</t>
  </si>
  <si>
    <r>
      <rPr>
        <sz val="10"/>
        <rFont val="Noto Sans CJK SC"/>
        <family val="2"/>
      </rPr>
      <t xml:space="preserve">結論｜每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經濟性句</t>
    </r>
  </si>
  <si>
    <r>
      <rPr>
        <sz val="9"/>
        <color rgb="FF595959"/>
        <rFont val="Noto Sans CJK SC"/>
        <family val="2"/>
      </rPr>
      <t xml:space="preserve">首個完整財年、目前情境；數字取自『每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經濟性』彙總表與每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收入對照（持有成本＝</t>
    </r>
    <r>
      <rPr>
        <sz val="9"/>
        <color rgb="FF595959"/>
        <rFont val="Arial"/>
        <family val="0"/>
        <charset val="1"/>
      </rPr>
      <t xml:space="preserve">Tokenomics IF_HoldEcon </t>
    </r>
    <r>
      <rPr>
        <sz val="9"/>
        <color rgb="FF595959"/>
        <rFont val="Noto Sans CJK SC"/>
        <family val="2"/>
      </rPr>
      <t xml:space="preserve">世代加權）</t>
    </r>
  </si>
  <si>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｜與市場的差異（模型：目前情境 </t>
    </r>
    <r>
      <rPr>
        <b val="true"/>
        <sz val="10"/>
        <rFont val="Arial"/>
        <family val="0"/>
        <charset val="1"/>
      </rPr>
      <t xml:space="preserve">vs </t>
    </r>
    <r>
      <rPr>
        <b val="true"/>
        <sz val="10"/>
        <rFont val="Noto Sans CJK SC"/>
        <family val="2"/>
      </rPr>
      <t xml:space="preserve">共識；</t>
    </r>
    <r>
      <rPr>
        <b val="true"/>
        <sz val="10"/>
        <rFont val="Arial"/>
        <family val="0"/>
        <charset val="1"/>
      </rPr>
      <t xml:space="preserve">FY26–FY28</t>
    </r>
    <r>
      <rPr>
        <b val="true"/>
        <sz val="10"/>
        <rFont val="Noto Sans CJK SC"/>
        <family val="2"/>
      </rPr>
      <t xml:space="preserve">）</t>
    </r>
  </si>
  <si>
    <t xml:space="preserve">項目</t>
  </si>
  <si>
    <t xml:space="preserve">單位</t>
  </si>
  <si>
    <t xml:space="preserve">FY26</t>
  </si>
  <si>
    <t xml:space="preserve">FY27</t>
  </si>
  <si>
    <t xml:space="preserve">FY28</t>
  </si>
  <si>
    <t xml:space="preserve">差異｜營收｜模型</t>
  </si>
  <si>
    <t xml:space="preserve">US$bn</t>
  </si>
  <si>
    <t xml:space="preserve">差異｜營收｜共識</t>
  </si>
  <si>
    <t xml:space="preserve">差異｜營收｜差距</t>
  </si>
  <si>
    <r>
      <rPr>
        <sz val="10"/>
        <rFont val="Noto Sans CJK SC"/>
        <family val="2"/>
      </rPr>
      <t xml:space="preserve">差異｜調整後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｜模型</t>
    </r>
  </si>
  <si>
    <r>
      <rPr>
        <sz val="10"/>
        <rFont val="Noto Sans CJK SC"/>
        <family val="2"/>
      </rPr>
      <t xml:space="preserve">差異｜調整後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｜共識</t>
    </r>
  </si>
  <si>
    <r>
      <rPr>
        <sz val="10"/>
        <rFont val="Noto Sans CJK SC"/>
        <family val="2"/>
      </rPr>
      <t xml:space="preserve">差異｜調整後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｜差距</t>
    </r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</si>
  <si>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模型＝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實際調整後 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（輸入與假設 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區，報導轉述 </t>
    </r>
    <r>
      <rPr>
        <sz val="9"/>
        <color rgb="FF595959"/>
        <rFont val="Arial"/>
        <family val="0"/>
        <charset val="1"/>
      </rPr>
      <t xml:space="preserve">[Verified]</t>
    </r>
    <r>
      <rPr>
        <sz val="9"/>
        <color rgb="FF595959"/>
        <rFont val="Noto Sans CJK SC"/>
        <family val="2"/>
      </rPr>
      <t xml:space="preserve">）＋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</si>
  <si>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差異｜調整後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｜差距（金額）</t>
    </r>
  </si>
  <si>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HTML </t>
    </r>
    <r>
      <rPr>
        <sz val="9"/>
        <color rgb="FF595959"/>
        <rFont val="Noto Sans CJK SC"/>
        <family val="2"/>
      </rPr>
      <t xml:space="preserve">一頁摘要、市場共識分頁同一呈現；判斷門檻仍用上一列比例</t>
    </r>
  </si>
  <si>
    <r>
      <rPr>
        <sz val="10"/>
        <rFont val="Noto Sans CJK SC"/>
        <family val="2"/>
      </rPr>
      <t xml:space="preserve">差異｜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率｜模型</t>
    </r>
  </si>
  <si>
    <r>
      <rPr>
        <sz val="10"/>
        <rFont val="Noto Sans CJK SC"/>
        <family val="2"/>
      </rPr>
      <t xml:space="preserve">差異｜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率｜共識</t>
    </r>
  </si>
  <si>
    <r>
      <rPr>
        <sz val="10"/>
        <rFont val="Noto Sans CJK SC"/>
        <family val="2"/>
      </rPr>
      <t xml:space="preserve">差異｜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率｜差距（百分點）</t>
    </r>
  </si>
  <si>
    <t xml:space="preserve">pt</t>
  </si>
  <si>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率以百分點列差距，不納入判斷</t>
    </r>
  </si>
  <si>
    <r>
      <rPr>
        <sz val="10"/>
        <rFont val="Noto Sans CJK SC"/>
        <family val="2"/>
      </rPr>
      <t xml:space="preserve">差異｜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（毛額）｜模型</t>
    </r>
  </si>
  <si>
    <r>
      <rPr>
        <sz val="10"/>
        <rFont val="Noto Sans CJK SC"/>
        <family val="2"/>
      </rPr>
      <t xml:space="preserve">差異｜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（毛額）｜共識</t>
    </r>
  </si>
  <si>
    <r>
      <rPr>
        <sz val="10"/>
        <rFont val="Noto Sans CJK SC"/>
        <family val="2"/>
      </rPr>
      <t xml:space="preserve">差異｜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（毛額）｜差距</t>
    </r>
  </si>
  <si>
    <r>
      <rPr>
        <sz val="9"/>
        <color rgb="FF595959"/>
        <rFont val="Noto Sans CJK SC"/>
        <family val="2"/>
      </rPr>
      <t xml:space="preserve">共識 </t>
    </r>
    <r>
      <rPr>
        <sz val="9"/>
        <color rgb="FF595959"/>
        <rFont val="Arial"/>
        <family val="0"/>
        <charset val="1"/>
      </rPr>
      <t xml:space="preserve">CapEx </t>
    </r>
    <r>
      <rPr>
        <sz val="9"/>
        <color rgb="FF595959"/>
        <rFont val="Noto Sans CJK SC"/>
        <family val="2"/>
      </rPr>
      <t xml:space="preserve">口徑未揭露；</t>
    </r>
    <r>
      <rPr>
        <sz val="9"/>
        <color rgb="FF595959"/>
        <rFont val="Arial"/>
        <family val="0"/>
        <charset val="1"/>
      </rPr>
      <t xml:space="preserve">FY26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實際毛額＋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Noto Sans CJK SC"/>
        <family val="2"/>
      </rPr>
      <t xml:space="preserve">模型毛額</t>
    </r>
  </si>
  <si>
    <t xml:space="preserve">差異｜淨負債｜模型</t>
  </si>
  <si>
    <t xml:space="preserve">差異｜淨負債｜共識</t>
  </si>
  <si>
    <t xml:space="preserve">差異｜淨負債｜差距</t>
  </si>
  <si>
    <t xml:space="preserve">共識淨負債不含租賃、口徑未揭露：只列不判斷</t>
  </si>
  <si>
    <t xml:space="preserve">差異｜淨負債｜差距（金額）</t>
  </si>
  <si>
    <t xml:space="preserve">差異｜分歧項目（超過門檻者）</t>
  </si>
  <si>
    <r>
      <rPr>
        <sz val="9"/>
        <color rgb="FF595959"/>
        <rFont val="Noto Sans CJK SC"/>
        <family val="2"/>
      </rPr>
      <t xml:space="preserve">營收、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CapEx </t>
    </r>
    <r>
      <rPr>
        <sz val="9"/>
        <color rgb="FF595959"/>
        <rFont val="Noto Sans CJK SC"/>
        <family val="2"/>
      </rPr>
      <t xml:space="preserve">任一項差距絕對值超過門檻即列出（與 </t>
    </r>
    <r>
      <rPr>
        <sz val="9"/>
        <color rgb="FF595959"/>
        <rFont val="Arial"/>
        <family val="0"/>
        <charset val="1"/>
      </rPr>
      <t xml:space="preserve">HTML </t>
    </r>
    <r>
      <rPr>
        <sz val="9"/>
        <color rgb="FF595959"/>
        <rFont val="Noto Sans CJK SC"/>
        <family val="2"/>
      </rPr>
      <t xml:space="preserve">判斷句同一規則）</t>
    </r>
  </si>
  <si>
    <r>
      <rPr>
        <sz val="10"/>
        <rFont val="Noto Sans CJK SC"/>
        <family val="2"/>
      </rPr>
      <t xml:space="preserve">差異｜分歧起始年（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FY26…3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FY28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＝無）</t>
    </r>
  </si>
  <si>
    <t xml:space="preserve">差異｜判斷句</t>
  </si>
  <si>
    <r>
      <rPr>
        <sz val="10"/>
        <rFont val="Noto Sans CJK SC"/>
        <family val="2"/>
      </rPr>
      <t xml:space="preserve">差異原因｜</t>
    </r>
    <r>
      <rPr>
        <sz val="10"/>
        <rFont val="Arial"/>
        <family val="0"/>
        <charset val="1"/>
      </rPr>
      <t xml:space="preserve">FY26</t>
    </r>
    <r>
      <rPr>
        <sz val="10"/>
        <rFont val="Noto Sans CJK SC"/>
        <family val="2"/>
      </rPr>
      <t xml:space="preserve">｜營收</t>
    </r>
  </si>
  <si>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＝類型、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＝原因（需附原因時顯示；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以利潤率差、其餘以比例門檻判斷）</t>
    </r>
  </si>
  <si>
    <r>
      <rPr>
        <sz val="10"/>
        <rFont val="Noto Sans CJK SC"/>
        <family val="2"/>
      </rPr>
      <t xml:space="preserve">差異原因｜</t>
    </r>
    <r>
      <rPr>
        <sz val="10"/>
        <rFont val="Arial"/>
        <family val="0"/>
        <charset val="1"/>
      </rPr>
      <t xml:space="preserve">FY26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</si>
  <si>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差異原因｜</t>
    </r>
    <r>
      <rPr>
        <sz val="10"/>
        <rFont val="Arial"/>
        <family val="0"/>
        <charset val="1"/>
      </rPr>
      <t xml:space="preserve">FY26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CapEx</t>
    </r>
  </si>
  <si>
    <r>
      <rPr>
        <sz val="10"/>
        <rFont val="Noto Sans CJK SC"/>
        <family val="2"/>
      </rPr>
      <t xml:space="preserve">差異原因｜</t>
    </r>
    <r>
      <rPr>
        <sz val="10"/>
        <rFont val="Arial"/>
        <family val="0"/>
        <charset val="1"/>
      </rPr>
      <t xml:space="preserve">FY26</t>
    </r>
    <r>
      <rPr>
        <sz val="10"/>
        <rFont val="Noto Sans CJK SC"/>
        <family val="2"/>
      </rPr>
      <t xml:space="preserve">｜淨負債</t>
    </r>
  </si>
  <si>
    <r>
      <rPr>
        <sz val="10"/>
        <rFont val="Noto Sans CJK SC"/>
        <family val="2"/>
      </rPr>
      <t xml:space="preserve">差異原因｜</t>
    </r>
    <r>
      <rPr>
        <sz val="10"/>
        <rFont val="Arial"/>
        <family val="0"/>
        <charset val="1"/>
      </rPr>
      <t xml:space="preserve">FY27</t>
    </r>
    <r>
      <rPr>
        <sz val="10"/>
        <rFont val="Noto Sans CJK SC"/>
        <family val="2"/>
      </rPr>
      <t xml:space="preserve">｜營收</t>
    </r>
  </si>
  <si>
    <r>
      <rPr>
        <sz val="10"/>
        <rFont val="Noto Sans CJK SC"/>
        <family val="2"/>
      </rPr>
      <t xml:space="preserve">差異原因｜</t>
    </r>
    <r>
      <rPr>
        <sz val="10"/>
        <rFont val="Arial"/>
        <family val="0"/>
        <charset val="1"/>
      </rPr>
      <t xml:space="preserve">FY27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</si>
  <si>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差異原因｜</t>
    </r>
    <r>
      <rPr>
        <sz val="10"/>
        <rFont val="Arial"/>
        <family val="0"/>
        <charset val="1"/>
      </rPr>
      <t xml:space="preserve">FY27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CapEx</t>
    </r>
  </si>
  <si>
    <r>
      <rPr>
        <sz val="10"/>
        <rFont val="Noto Sans CJK SC"/>
        <family val="2"/>
      </rPr>
      <t xml:space="preserve">差異原因｜</t>
    </r>
    <r>
      <rPr>
        <sz val="10"/>
        <rFont val="Arial"/>
        <family val="0"/>
        <charset val="1"/>
      </rPr>
      <t xml:space="preserve">FY27</t>
    </r>
    <r>
      <rPr>
        <sz val="10"/>
        <rFont val="Noto Sans CJK SC"/>
        <family val="2"/>
      </rPr>
      <t xml:space="preserve">｜淨負債</t>
    </r>
  </si>
  <si>
    <r>
      <rPr>
        <sz val="10"/>
        <rFont val="Noto Sans CJK SC"/>
        <family val="2"/>
      </rPr>
      <t xml:space="preserve">差異原因｜</t>
    </r>
    <r>
      <rPr>
        <sz val="10"/>
        <rFont val="Arial"/>
        <family val="0"/>
        <charset val="1"/>
      </rPr>
      <t xml:space="preserve">FY28</t>
    </r>
    <r>
      <rPr>
        <sz val="10"/>
        <rFont val="Noto Sans CJK SC"/>
        <family val="2"/>
      </rPr>
      <t xml:space="preserve">｜營收</t>
    </r>
  </si>
  <si>
    <r>
      <rPr>
        <sz val="10"/>
        <rFont val="Noto Sans CJK SC"/>
        <family val="2"/>
      </rPr>
      <t xml:space="preserve">差異原因｜</t>
    </r>
    <r>
      <rPr>
        <sz val="10"/>
        <rFont val="Arial"/>
        <family val="0"/>
        <charset val="1"/>
      </rPr>
      <t xml:space="preserve">FY28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</si>
  <si>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差異原因｜</t>
    </r>
    <r>
      <rPr>
        <sz val="10"/>
        <rFont val="Arial"/>
        <family val="0"/>
        <charset val="1"/>
      </rPr>
      <t xml:space="preserve">FY28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CapEx</t>
    </r>
  </si>
  <si>
    <r>
      <rPr>
        <sz val="10"/>
        <rFont val="Noto Sans CJK SC"/>
        <family val="2"/>
      </rPr>
      <t xml:space="preserve">差異原因｜</t>
    </r>
    <r>
      <rPr>
        <sz val="10"/>
        <rFont val="Arial"/>
        <family val="0"/>
        <charset val="1"/>
      </rPr>
      <t xml:space="preserve">FY28</t>
    </r>
    <r>
      <rPr>
        <sz val="10"/>
        <rFont val="Noto Sans CJK SC"/>
        <family val="2"/>
      </rPr>
      <t xml:space="preserve">｜淨負債</t>
    </r>
  </si>
  <si>
    <t xml:space="preserve">差異｜需附原因項數</t>
  </si>
  <si>
    <r>
      <rPr>
        <sz val="9"/>
        <color rgb="FF595959"/>
        <rFont val="Noto Sans CJK SC"/>
        <family val="2"/>
      </rPr>
      <t xml:space="preserve">營收、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（利潤率差）、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Noto Sans CJK SC"/>
        <family val="2"/>
      </rPr>
      <t xml:space="preserve">、淨負債 </t>
    </r>
    <r>
      <rPr>
        <sz val="9"/>
        <color rgb="FF595959"/>
        <rFont val="Arial"/>
        <family val="0"/>
        <charset val="1"/>
      </rPr>
      <t xml:space="preserve">× FY26–FY28</t>
    </r>
  </si>
  <si>
    <t xml:space="preserve">差異｜差異原因摘要</t>
  </si>
  <si>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HTML </t>
    </r>
    <r>
      <rPr>
        <sz val="9"/>
        <color rgb="FF595959"/>
        <rFont val="Noto Sans CJK SC"/>
        <family val="2"/>
      </rPr>
      <t xml:space="preserve">一頁摘要同一句</t>
    </r>
  </si>
  <si>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Noto Sans CJK SC"/>
        <family val="2"/>
      </rPr>
      <t xml:space="preserve">｜現價隱含什麼</t>
    </r>
  </si>
  <si>
    <r>
      <rPr>
        <sz val="10"/>
        <rFont val="Noto Sans CJK SC"/>
        <family val="2"/>
      </rPr>
      <t xml:space="preserve">隱含｜共識平均目標價隱含 </t>
    </r>
    <r>
      <rPr>
        <sz val="10"/>
        <rFont val="Arial"/>
        <family val="0"/>
        <charset val="1"/>
      </rPr>
      <t xml:space="preserve">FY28 EV/EBITDA</t>
    </r>
  </si>
  <si>
    <t xml:space="preserve">x</t>
  </si>
  <si>
    <r>
      <rPr>
        <sz val="9"/>
        <color rgb="FF595959"/>
        <rFont val="Noto Sans CJK SC"/>
        <family val="2"/>
      </rPr>
      <t xml:space="preserve">＝（共識平均目標價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股數＋共識 </t>
    </r>
    <r>
      <rPr>
        <sz val="9"/>
        <color rgb="FF595959"/>
        <rFont val="Arial"/>
        <family val="0"/>
        <charset val="1"/>
      </rPr>
      <t xml:space="preserve">FY28 </t>
    </r>
    <r>
      <rPr>
        <sz val="9"/>
        <color rgb="FF595959"/>
        <rFont val="Noto Sans CJK SC"/>
        <family val="2"/>
      </rPr>
      <t xml:space="preserve">淨負債）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共識 </t>
    </r>
    <r>
      <rPr>
        <sz val="9"/>
        <color rgb="FF595959"/>
        <rFont val="Arial"/>
        <family val="0"/>
        <charset val="1"/>
      </rPr>
      <t xml:space="preserve">FY28 </t>
    </r>
    <r>
      <rPr>
        <sz val="9"/>
        <color rgb="FF595959"/>
        <rFont val="Noto Sans CJK SC"/>
        <family val="2"/>
      </rPr>
      <t xml:space="preserve">調整後 </t>
    </r>
    <r>
      <rPr>
        <sz val="9"/>
        <color rgb="FF595959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</si>
  <si>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隱含｜現價隱含 </t>
    </r>
    <r>
      <rPr>
        <sz val="10"/>
        <rFont val="Arial"/>
        <family val="0"/>
        <charset val="1"/>
      </rPr>
      <t xml:space="preserve">FY28 EV/EBITDA</t>
    </r>
  </si>
  <si>
    <r>
      <rPr>
        <sz val="9"/>
        <color rgb="FF595959"/>
        <rFont val="Noto Sans CJK SC"/>
        <family val="2"/>
      </rPr>
      <t xml:space="preserve">同一共識 </t>
    </r>
    <r>
      <rPr>
        <sz val="9"/>
        <color rgb="FF595959"/>
        <rFont val="Arial"/>
        <family val="0"/>
        <charset val="1"/>
      </rPr>
      <t xml:space="preserve">FY28 </t>
    </r>
    <r>
      <rPr>
        <sz val="9"/>
        <color rgb="FF595959"/>
        <rFont val="Noto Sans CJK SC"/>
        <family val="2"/>
      </rPr>
      <t xml:space="preserve">數字，價格換成現價</t>
    </r>
  </si>
  <si>
    <t xml:space="preserve">隱含｜模型方法區間上緣</t>
  </si>
  <si>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EV/EBITDA </t>
    </r>
    <r>
      <rPr>
        <sz val="9"/>
        <color rgb="FF595959"/>
        <rFont val="Noto Sans CJK SC"/>
        <family val="2"/>
      </rPr>
      <t xml:space="preserve">腿錨定 </t>
    </r>
    <r>
      <rPr>
        <sz val="9"/>
        <color rgb="FF595959"/>
        <rFont val="Arial"/>
        <family val="0"/>
        <charset val="1"/>
      </rPr>
      <t xml:space="preserve">FY29 </t>
    </r>
    <r>
      <rPr>
        <sz val="9"/>
        <color rgb="FF595959"/>
        <rFont val="Noto Sans CJK SC"/>
        <family val="2"/>
      </rPr>
      <t xml:space="preserve">並折回 </t>
    </r>
    <r>
      <rPr>
        <sz val="9"/>
        <color rgb="FF595959"/>
        <rFont val="Arial"/>
        <family val="0"/>
        <charset val="1"/>
      </rPr>
      <t xml:space="preserve">2027-06-30</t>
    </r>
    <r>
      <rPr>
        <sz val="9"/>
        <color rgb="FF595959"/>
        <rFont val="Noto Sans CJK SC"/>
        <family val="2"/>
      </rPr>
      <t xml:space="preserve">，錨定年度與此不同</t>
    </r>
  </si>
  <si>
    <t xml:space="preserve">隱含｜隱含倍數句</t>
  </si>
  <si>
    <r>
      <rPr>
        <sz val="10"/>
        <rFont val="Noto Sans CJK SC"/>
        <family val="2"/>
      </rPr>
      <t xml:space="preserve">反向 </t>
    </r>
    <r>
      <rPr>
        <sz val="10"/>
        <rFont val="Arial"/>
        <family val="0"/>
        <charset val="1"/>
      </rPr>
      <t xml:space="preserve">DCF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FY30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年收入（目前／隱含／變動）</t>
    </r>
  </si>
  <si>
    <r>
      <rPr>
        <sz val="9"/>
        <color rgb="FF595959"/>
        <rFont val="Noto Sans CJK SC"/>
        <family val="2"/>
      </rPr>
      <t xml:space="preserve">快照（預設輸入）：見『評價</t>
    </r>
    <r>
      <rPr>
        <sz val="9"/>
        <color rgb="FF595959"/>
        <rFont val="Arial"/>
        <family val="0"/>
        <charset val="1"/>
      </rPr>
      <t xml:space="preserve">_</t>
    </r>
    <r>
      <rPr>
        <sz val="9"/>
        <color rgb="FF595959"/>
        <rFont val="Noto Sans CJK SC"/>
        <family val="2"/>
      </rPr>
      <t xml:space="preserve">反向</t>
    </r>
    <r>
      <rPr>
        <sz val="9"/>
        <color rgb="FF595959"/>
        <rFont val="Arial"/>
        <family val="0"/>
        <charset val="1"/>
      </rPr>
      <t xml:space="preserve">DCF</t>
    </r>
    <r>
      <rPr>
        <sz val="9"/>
        <color rgb="FF595959"/>
        <rFont val="Noto Sans CJK SC"/>
        <family val="2"/>
      </rPr>
      <t xml:space="preserve">』；改輸入後請以目標搜尋重算</t>
    </r>
  </si>
  <si>
    <r>
      <rPr>
        <sz val="10"/>
        <rFont val="Noto Sans CJK SC"/>
        <family val="2"/>
      </rPr>
      <t xml:space="preserve">反向 </t>
    </r>
    <r>
      <rPr>
        <sz val="10"/>
        <rFont val="Arial"/>
        <family val="0"/>
        <charset val="1"/>
      </rPr>
      <t xml:space="preserve">DCF</t>
    </r>
    <r>
      <rPr>
        <sz val="10"/>
        <rFont val="Noto Sans CJK SC"/>
        <family val="2"/>
      </rPr>
      <t xml:space="preserve">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建置成本（目前／隱含／變動）</t>
    </r>
  </si>
  <si>
    <r>
      <rPr>
        <sz val="10"/>
        <rFont val="Noto Sans CJK SC"/>
        <family val="2"/>
      </rPr>
      <t xml:space="preserve">反向 </t>
    </r>
    <r>
      <rPr>
        <sz val="10"/>
        <rFont val="Arial"/>
        <family val="0"/>
        <charset val="1"/>
      </rPr>
      <t xml:space="preserve">DCF</t>
    </r>
    <r>
      <rPr>
        <sz val="10"/>
        <rFont val="Noto Sans CJK SC"/>
        <family val="2"/>
      </rPr>
      <t xml:space="preserve">｜穩態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率（目前／隱含／變動 </t>
    </r>
    <r>
      <rPr>
        <sz val="10"/>
        <rFont val="Arial"/>
        <family val="0"/>
        <charset val="1"/>
      </rPr>
      <t xml:space="preserve">pt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</si>
  <si>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反向 </t>
    </r>
    <r>
      <rPr>
        <sz val="10"/>
        <rFont val="Arial"/>
        <family val="0"/>
        <charset val="1"/>
      </rPr>
      <t xml:space="preserve">DCF</t>
    </r>
    <r>
      <rPr>
        <sz val="10"/>
        <rFont val="Noto Sans CJK SC"/>
        <family val="2"/>
      </rPr>
      <t xml:space="preserve">｜加權目標價＝現價所需每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年收入（目前／隱含／變動）</t>
    </r>
  </si>
  <si>
    <r>
      <rPr>
        <b val="true"/>
        <sz val="10"/>
        <rFont val="Arial"/>
        <family val="0"/>
        <charset val="1"/>
      </rPr>
      <t xml:space="preserve">4</t>
    </r>
    <r>
      <rPr>
        <b val="true"/>
        <sz val="10"/>
        <rFont val="Noto Sans CJK SC"/>
        <family val="2"/>
      </rPr>
      <t xml:space="preserve">｜驗證點與市場看法（賣方與管理層數字標記 </t>
    </r>
    <r>
      <rPr>
        <b val="true"/>
        <sz val="10"/>
        <rFont val="Arial"/>
        <family val="0"/>
        <charset val="1"/>
      </rPr>
      <t xml:space="preserve">Interested-party</t>
    </r>
    <r>
      <rPr>
        <b val="true"/>
        <sz val="10"/>
        <rFont val="Noto Sans CJK SC"/>
        <family val="2"/>
      </rPr>
      <t xml:space="preserve">）</t>
    </r>
  </si>
  <si>
    <t xml:space="preserve">驗證｜焦點季</t>
  </si>
  <si>
    <r>
      <rPr>
        <sz val="9"/>
        <color rgb="FF595959"/>
        <rFont val="Noto Sans CJK SC"/>
        <family val="2"/>
      </rPr>
      <t xml:space="preserve">『輸入與假設』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Noto Sans CJK SC"/>
        <family val="2"/>
      </rPr>
      <t xml:space="preserve">區選擇；季度層由年度模型拆分，只用於追蹤</t>
    </r>
  </si>
  <si>
    <t xml:space="preserve">驗證｜營收（模型／共識／指引低／指引高／實際）</t>
  </si>
  <si>
    <r>
      <rPr>
        <sz val="9"/>
        <color rgb="FF595959"/>
        <rFont val="Noto Sans CJK SC"/>
        <family val="2"/>
      </rPr>
      <t xml:space="preserve">共識、指引為 </t>
    </r>
    <r>
      <rPr>
        <sz val="9"/>
        <color rgb="FF595959"/>
        <rFont val="Arial"/>
        <family val="0"/>
        <charset val="1"/>
      </rPr>
      <t xml:space="preserve">Interested-party</t>
    </r>
  </si>
  <si>
    <t xml:space="preserve">驗證｜營收｜句</t>
  </si>
  <si>
    <t xml:space="preserve">驗證｜調整後營業利益（模型／共識／指引低／指引高／實際）</t>
  </si>
  <si>
    <t xml:space="preserve">驗證｜調整後營業利益｜句</t>
  </si>
  <si>
    <r>
      <rPr>
        <sz val="10"/>
        <rFont val="Noto Sans CJK SC"/>
        <family val="2"/>
      </rPr>
      <t xml:space="preserve">驗證｜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（毛額）（模型／共識／指引低／指引高／實際）</t>
    </r>
  </si>
  <si>
    <r>
      <rPr>
        <b val="true"/>
        <sz val="10"/>
        <rFont val="Noto Sans CJK SC"/>
        <family val="2"/>
      </rPr>
      <t xml:space="preserve">驗證｜</t>
    </r>
    <r>
      <rPr>
        <b val="true"/>
        <sz val="10"/>
        <rFont val="Arial"/>
        <family val="0"/>
        <charset val="1"/>
      </rPr>
      <t xml:space="preserve">CapEx</t>
    </r>
    <r>
      <rPr>
        <b val="true"/>
        <sz val="10"/>
        <rFont val="Noto Sans CJK SC"/>
        <family val="2"/>
      </rPr>
      <t xml:space="preserve">（毛額）｜句</t>
    </r>
  </si>
  <si>
    <t xml:space="preserve">驗證｜評等分布（強力買進／買進／持有／賣出／強力賣出）</t>
  </si>
  <si>
    <t xml:space="preserve">家</t>
  </si>
  <si>
    <r>
      <rPr>
        <sz val="9"/>
        <color rgb="FF595959"/>
        <rFont val="Arial"/>
        <family val="0"/>
        <charset val="1"/>
      </rPr>
      <t xml:space="preserve">2026-09</t>
    </r>
    <r>
      <rPr>
        <sz val="9"/>
        <color rgb="FF595959"/>
        <rFont val="Noto Sans CJK SC"/>
        <family val="2"/>
      </rPr>
      <t xml:space="preserve">，合計 </t>
    </r>
    <r>
      <rPr>
        <sz val="9"/>
        <color rgb="FF595959"/>
        <rFont val="Arial"/>
        <family val="0"/>
        <charset val="1"/>
      </rPr>
      <t xml:space="preserve">40 </t>
    </r>
    <r>
      <rPr>
        <sz val="9"/>
        <color rgb="FF595959"/>
        <rFont val="Noto Sans CJK SC"/>
        <family val="2"/>
      </rPr>
      <t xml:space="preserve">家 </t>
    </r>
    <r>
      <rPr>
        <sz val="9"/>
        <color rgb="FF595959"/>
        <rFont val="Arial"/>
        <family val="0"/>
        <charset val="1"/>
      </rPr>
      <t xml:space="preserve">[Interested-party]</t>
    </r>
  </si>
  <si>
    <t xml:space="preserve">驗證｜目標價（平均／中位數／最低／最高）</t>
  </si>
  <si>
    <r>
      <rPr>
        <sz val="9"/>
        <color rgb="FF595959"/>
        <rFont val="Arial"/>
        <family val="0"/>
        <charset val="1"/>
      </rPr>
      <t xml:space="preserve">40 </t>
    </r>
    <r>
      <rPr>
        <sz val="9"/>
        <color rgb="FF595959"/>
        <rFont val="Noto Sans CJK SC"/>
        <family val="2"/>
      </rPr>
      <t xml:space="preserve">家；</t>
    </r>
    <r>
      <rPr>
        <sz val="9"/>
        <color rgb="FF595959"/>
        <rFont val="Arial"/>
        <family val="0"/>
        <charset val="1"/>
      </rPr>
      <t xml:space="preserve">S&amp;P Global Market Intelligence</t>
    </r>
    <r>
      <rPr>
        <sz val="9"/>
        <color rgb="FF595959"/>
        <rFont val="Noto Sans CJK SC"/>
        <family val="2"/>
      </rPr>
      <t xml:space="preserve">（經 </t>
    </r>
    <r>
      <rPr>
        <sz val="9"/>
        <color rgb="FF595959"/>
        <rFont val="Arial"/>
        <family val="0"/>
        <charset val="1"/>
      </rPr>
      <t xml:space="preserve">StockAnalysis.com</t>
    </r>
    <r>
      <rPr>
        <sz val="9"/>
        <color rgb="FF595959"/>
        <rFont val="Noto Sans CJK SC"/>
        <family val="2"/>
      </rPr>
      <t xml:space="preserve">），擷取 </t>
    </r>
    <r>
      <rPr>
        <sz val="9"/>
        <color rgb="FF595959"/>
        <rFont val="Arial"/>
        <family val="0"/>
        <charset val="1"/>
      </rPr>
      <t xml:space="preserve">2026-09-25 [Interested-party]</t>
    </r>
  </si>
  <si>
    <r>
      <rPr>
        <sz val="9"/>
        <color rgb="FF595959"/>
        <rFont val="Noto Sans CJK SC"/>
        <family val="2"/>
      </rPr>
      <t xml:space="preserve">來源獨立性：</t>
    </r>
    <r>
      <rPr>
        <sz val="9"/>
        <color rgb="FF595959"/>
        <rFont val="Arial"/>
        <family val="0"/>
        <charset val="1"/>
      </rPr>
      <t xml:space="preserve">StockAnalysis.com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MarketScreener </t>
    </r>
    <r>
      <rPr>
        <sz val="9"/>
        <color rgb="FF595959"/>
        <rFont val="Noto Sans CJK SC"/>
        <family val="2"/>
      </rPr>
      <t xml:space="preserve">的營收預估完全相同（</t>
    </r>
    <r>
      <rPr>
        <sz val="9"/>
        <color rgb="FF595959"/>
        <rFont val="Arial"/>
        <family val="0"/>
        <charset val="1"/>
      </rPr>
      <t xml:space="preserve">12.882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26.376</t>
    </r>
    <r>
      <rPr>
        <sz val="9"/>
        <color rgb="FF595959"/>
        <rFont val="Noto Sans CJK SC"/>
        <family val="2"/>
      </rPr>
      <t xml:space="preserve">），兩者皆引用 </t>
    </r>
    <r>
      <rPr>
        <sz val="9"/>
        <color rgb="FF595959"/>
        <rFont val="Arial"/>
        <family val="0"/>
        <charset val="1"/>
      </rPr>
      <t xml:space="preserve">S&amp;P Global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Capital IQ</t>
    </r>
    <r>
      <rPr>
        <sz val="9"/>
        <color rgb="FF595959"/>
        <rFont val="Noto Sans CJK SC"/>
        <family val="2"/>
      </rPr>
      <t xml:space="preserve">，屬同一來源的兩個呈現，不是獨立交叉驗證。獨立來源僅有 </t>
    </r>
    <r>
      <rPr>
        <sz val="9"/>
        <color rgb="FF595959"/>
        <rFont val="Arial"/>
        <family val="0"/>
        <charset val="1"/>
      </rPr>
      <t xml:space="preserve">LSEG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CNBC </t>
    </r>
    <r>
      <rPr>
        <sz val="9"/>
        <color rgb="FF595959"/>
        <rFont val="Noto Sans CJK SC"/>
        <family val="2"/>
      </rPr>
      <t xml:space="preserve">引用，日期較舊）。</t>
    </r>
  </si>
  <si>
    <r>
      <rPr>
        <sz val="9"/>
        <color rgb="FF595959"/>
        <rFont val="Noto Sans CJK SC"/>
        <family val="2"/>
      </rPr>
      <t xml:space="preserve">共識來源：</t>
    </r>
    <r>
      <rPr>
        <sz val="9"/>
        <color rgb="FF595959"/>
        <rFont val="Arial"/>
        <family val="0"/>
        <charset val="1"/>
      </rPr>
      <t xml:space="preserve">MarketScreener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S&amp;P Capital IQ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FactSet </t>
    </r>
    <r>
      <rPr>
        <sz val="9"/>
        <color rgb="FF595959"/>
        <rFont val="Noto Sans CJK SC"/>
        <family val="2"/>
      </rPr>
      <t xml:space="preserve">共識）、</t>
    </r>
    <r>
      <rPr>
        <sz val="9"/>
        <color rgb="FF595959"/>
        <rFont val="Arial"/>
        <family val="0"/>
        <charset val="1"/>
      </rPr>
      <t xml:space="preserve">S&amp;P Global Market Intelligence</t>
    </r>
    <r>
      <rPr>
        <sz val="9"/>
        <color rgb="FF595959"/>
        <rFont val="Noto Sans CJK SC"/>
        <family val="2"/>
      </rPr>
      <t xml:space="preserve">（經 </t>
    </r>
    <r>
      <rPr>
        <sz val="9"/>
        <color rgb="FF595959"/>
        <rFont val="Arial"/>
        <family val="0"/>
        <charset val="1"/>
      </rPr>
      <t xml:space="preserve">StockAnalysis.com</t>
    </r>
    <r>
      <rPr>
        <sz val="9"/>
        <color rgb="FF595959"/>
        <rFont val="Noto Sans CJK SC"/>
        <family val="2"/>
      </rPr>
      <t xml:space="preserve">）；擷取 </t>
    </r>
    <r>
      <rPr>
        <sz val="9"/>
        <color rgb="FF595959"/>
        <rFont val="Arial"/>
        <family val="0"/>
        <charset val="1"/>
      </rPr>
      <t xml:space="preserve">2026-09-25</t>
    </r>
    <r>
      <rPr>
        <sz val="9"/>
        <color rgb="FF595959"/>
        <rFont val="Noto Sans CJK SC"/>
        <family val="2"/>
      </rPr>
      <t xml:space="preserve">。逐筆來源、日期與標記見『輸入與假設』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Noto Sans CJK SC"/>
        <family val="2"/>
      </rPr>
      <t xml:space="preserve">區。</t>
    </r>
  </si>
  <si>
    <t xml:space="preserve">輸入（依類別排序；點左側 ＋／− 展開或收合。藍字可改；黃底為最關鍵假設）</t>
  </si>
  <si>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情境 → 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Noto Sans CJK SC"/>
        <family val="2"/>
      </rPr>
      <t xml:space="preserve">產能與收入 →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利潤率 →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支出（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Noto Sans CJK SC"/>
        <family val="2"/>
      </rPr>
      <t xml:space="preserve">／折舊／租賃／</t>
    </r>
    <r>
      <rPr>
        <sz val="9"/>
        <color rgb="FF595959"/>
        <rFont val="Arial"/>
        <family val="0"/>
        <charset val="1"/>
      </rPr>
      <t xml:space="preserve">JV</t>
    </r>
    <r>
      <rPr>
        <sz val="9"/>
        <color rgb="FF595959"/>
        <rFont val="Noto Sans CJK SC"/>
        <family val="2"/>
      </rPr>
      <t xml:space="preserve">）→ 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融資 → 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評價 → 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參考：</t>
    </r>
    <r>
      <rPr>
        <sz val="9"/>
        <color rgb="FF595959"/>
        <rFont val="Arial"/>
        <family val="0"/>
        <charset val="1"/>
      </rPr>
      <t xml:space="preserve">1H26 </t>
    </r>
    <r>
      <rPr>
        <sz val="9"/>
        <color rgb="FF595959"/>
        <rFont val="Noto Sans CJK SC"/>
        <family val="2"/>
      </rPr>
      <t xml:space="preserve">實際 → </t>
    </r>
    <r>
      <rPr>
        <sz val="9"/>
        <color rgb="FF595959"/>
        <rFont val="Arial"/>
        <family val="0"/>
        <charset val="1"/>
      </rPr>
      <t xml:space="preserve">H </t>
    </r>
    <r>
      <rPr>
        <sz val="9"/>
        <color rgb="FF595959"/>
        <rFont val="Noto Sans CJK SC"/>
        <family val="2"/>
      </rPr>
      <t xml:space="preserve">情境區間運算表 → 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Noto Sans CJK SC"/>
        <family val="2"/>
      </rPr>
      <t xml:space="preserve">市場共識 → 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Noto Sans CJK SC"/>
        <family val="2"/>
      </rPr>
      <t xml:space="preserve">季度追蹤輸入。灰底『▸』為明細子區，預設收合</t>
    </r>
  </si>
  <si>
    <r>
      <rPr>
        <b val="true"/>
        <sz val="10"/>
        <rFont val="Arial"/>
        <family val="0"/>
        <charset val="1"/>
      </rPr>
      <t xml:space="preserve">A</t>
    </r>
    <r>
      <rPr>
        <b val="true"/>
        <sz val="10"/>
        <rFont val="Noto Sans CJK SC"/>
        <family val="2"/>
      </rPr>
      <t xml:space="preserve">｜情境與規模（管理層擴張力道）</t>
    </r>
  </si>
  <si>
    <r>
      <rPr>
        <b val="true"/>
        <sz val="10"/>
        <rFont val="Noto Sans CJK SC"/>
        <family val="2"/>
      </rPr>
      <t xml:space="preserve">情境選擇（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＝保守 </t>
    </r>
    <r>
      <rPr>
        <b val="true"/>
        <sz val="10"/>
        <rFont val="Arial"/>
        <family val="0"/>
        <charset val="1"/>
      </rPr>
      <t xml:space="preserve">4.2 GW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＝基準 </t>
    </r>
    <r>
      <rPr>
        <b val="true"/>
        <sz val="10"/>
        <rFont val="Arial"/>
        <family val="0"/>
        <charset val="1"/>
      </rPr>
      <t xml:space="preserve">5.6 GW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Noto Sans CJK SC"/>
        <family val="2"/>
      </rPr>
      <t xml:space="preserve">＝積極 </t>
    </r>
    <r>
      <rPr>
        <b val="true"/>
        <sz val="10"/>
        <rFont val="Arial"/>
        <family val="0"/>
        <charset val="1"/>
      </rPr>
      <t xml:space="preserve">8 GW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</si>
  <si>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三情境只改變管理層的擴張力道；其餘假設相同。</t>
    </r>
    <r>
      <rPr>
        <sz val="9"/>
        <color rgb="FF595959"/>
        <rFont val="Arial"/>
        <family val="0"/>
        <charset val="1"/>
      </rPr>
      <t xml:space="preserve">FY26–FY27 </t>
    </r>
    <r>
      <rPr>
        <sz val="9"/>
        <color rgb="FF595959"/>
        <rFont val="Noto Sans CJK SC"/>
        <family val="2"/>
      </rPr>
      <t xml:space="preserve">三者相同（年底 </t>
    </r>
    <r>
      <rPr>
        <sz val="9"/>
        <color rgb="FF595959"/>
        <rFont val="Arial"/>
        <family val="0"/>
        <charset val="1"/>
      </rPr>
      <t xml:space="preserve">1,850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3,100 MW</t>
    </r>
    <r>
      <rPr>
        <sz val="9"/>
        <color rgb="FF595959"/>
        <rFont val="Noto Sans CJK SC"/>
        <family val="2"/>
      </rPr>
      <t xml:space="preserve">），</t>
    </r>
    <r>
      <rPr>
        <sz val="9"/>
        <color rgb="FF595959"/>
        <rFont val="Arial"/>
        <family val="0"/>
        <charset val="1"/>
      </rPr>
      <t xml:space="preserve">FY28 </t>
    </r>
    <r>
      <rPr>
        <sz val="9"/>
        <color rgb="FF595959"/>
        <rFont val="Noto Sans CJK SC"/>
        <family val="2"/>
      </rPr>
      <t xml:space="preserve">起分歧</t>
    </r>
  </si>
  <si>
    <r>
      <rPr>
        <b val="true"/>
        <sz val="10"/>
        <color rgb="FF1F3864"/>
        <rFont val="Noto Sans CJK SC"/>
        <family val="2"/>
      </rPr>
      <t xml:space="preserve">▸ 情境路徑明細（</t>
    </r>
    <r>
      <rPr>
        <b val="true"/>
        <sz val="10"/>
        <color rgb="FF1F3864"/>
        <rFont val="Arial"/>
        <family val="0"/>
        <charset val="1"/>
      </rPr>
      <t xml:space="preserve">Accepted MW</t>
    </r>
    <r>
      <rPr>
        <b val="true"/>
        <sz val="10"/>
        <color rgb="FF1F3864"/>
        <rFont val="Noto Sans CJK SC"/>
        <family val="2"/>
      </rPr>
      <t xml:space="preserve">、爬坡比例、表外租金基準）</t>
    </r>
  </si>
  <si>
    <r>
      <rPr>
        <b val="true"/>
        <sz val="11"/>
        <color rgb="FFFFFFFF"/>
        <rFont val="Arial"/>
        <family val="0"/>
        <charset val="1"/>
      </rPr>
      <t xml:space="preserve">Accepted MW </t>
    </r>
    <r>
      <rPr>
        <b val="true"/>
        <sz val="11"/>
        <color rgb="FFFFFFFF"/>
        <rFont val="Noto Sans CJK SC"/>
        <family val="2"/>
      </rPr>
      <t xml:space="preserve">路徑</t>
    </r>
  </si>
  <si>
    <t xml:space="preserve">FY29</t>
  </si>
  <si>
    <t xml:space="preserve">FY30</t>
  </si>
  <si>
    <r>
      <rPr>
        <b val="true"/>
        <sz val="11"/>
        <color rgb="FFFFFFFF"/>
        <rFont val="Arial"/>
        <family val="0"/>
        <charset val="1"/>
      </rPr>
      <t xml:space="preserve">FY31 </t>
    </r>
    <r>
      <rPr>
        <b val="true"/>
        <sz val="11"/>
        <color rgb="FFFFFFFF"/>
        <rFont val="Noto Sans CJK SC"/>
        <family val="2"/>
      </rPr>
      <t xml:space="preserve">新增 </t>
    </r>
    <r>
      <rPr>
        <b val="true"/>
        <sz val="11"/>
        <color rgb="FFFFFFFF"/>
        <rFont val="Arial"/>
        <family val="0"/>
        <charset val="1"/>
      </rPr>
      <t xml:space="preserve">MW</t>
    </r>
  </si>
  <si>
    <r>
      <rPr>
        <sz val="10"/>
        <rFont val="Noto Sans CJK SC"/>
        <family val="2"/>
      </rPr>
      <t xml:space="preserve">保守 </t>
    </r>
    <r>
      <rPr>
        <sz val="10"/>
        <rFont val="Arial"/>
        <family val="0"/>
        <charset val="1"/>
      </rPr>
      <t xml:space="preserve">4.2 GW</t>
    </r>
  </si>
  <si>
    <t xml:space="preserve">MW</t>
  </si>
  <si>
    <r>
      <rPr>
        <sz val="9"/>
        <color rgb="FF595959"/>
        <rFont val="Noto Sans CJK SC"/>
        <family val="2"/>
      </rPr>
      <t xml:space="preserve">只交付已簽約電力 </t>
    </r>
    <r>
      <rPr>
        <sz val="9"/>
        <color rgb="FF595959"/>
        <rFont val="Arial"/>
        <family val="0"/>
        <charset val="1"/>
      </rPr>
      <t xml:space="preserve">4.2 GW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8/11 </t>
    </r>
    <r>
      <rPr>
        <sz val="9"/>
        <color rgb="FF595959"/>
        <rFont val="Noto Sans CJK SC"/>
        <family val="2"/>
      </rPr>
      <t xml:space="preserve">法說），不再新簽</t>
    </r>
  </si>
  <si>
    <r>
      <rPr>
        <sz val="10"/>
        <rFont val="Noto Sans CJK SC"/>
        <family val="2"/>
      </rPr>
      <t xml:space="preserve">基準 </t>
    </r>
    <r>
      <rPr>
        <sz val="10"/>
        <rFont val="Arial"/>
        <family val="0"/>
        <charset val="1"/>
      </rPr>
      <t xml:space="preserve">5.6 GW</t>
    </r>
  </si>
  <si>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年後每年約 </t>
    </r>
    <r>
      <rPr>
        <sz val="9"/>
        <color rgb="FF595959"/>
        <rFont val="Arial"/>
        <family val="0"/>
        <charset val="1"/>
      </rPr>
      <t xml:space="preserve">+800 MW</t>
    </r>
  </si>
  <si>
    <r>
      <rPr>
        <sz val="10"/>
        <rFont val="Noto Sans CJK SC"/>
        <family val="2"/>
      </rPr>
      <t xml:space="preserve">積極 </t>
    </r>
    <r>
      <rPr>
        <sz val="10"/>
        <rFont val="Arial"/>
        <family val="0"/>
        <charset val="1"/>
      </rPr>
      <t xml:space="preserve">8 GW</t>
    </r>
  </si>
  <si>
    <r>
      <rPr>
        <sz val="9"/>
        <color rgb="FF595959"/>
        <rFont val="Noto Sans CJK SC"/>
        <family val="2"/>
      </rPr>
      <t xml:space="preserve">公司目標 </t>
    </r>
    <r>
      <rPr>
        <sz val="9"/>
        <color rgb="FF595959"/>
        <rFont val="Arial"/>
        <family val="0"/>
        <charset val="1"/>
      </rPr>
      <t xml:space="preserve">2030 ≥8 GW</t>
    </r>
  </si>
  <si>
    <r>
      <rPr>
        <sz val="10"/>
        <rFont val="Arial"/>
        <family val="0"/>
        <charset val="1"/>
      </rPr>
      <t xml:space="preserve">Billable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Accepted </t>
    </r>
    <r>
      <rPr>
        <sz val="10"/>
        <rFont val="Noto Sans CJK SC"/>
        <family val="2"/>
      </rPr>
      <t xml:space="preserve">爬坡比例</t>
    </r>
  </si>
  <si>
    <t xml:space="preserve">三情境共用</t>
  </si>
  <si>
    <t xml:space="preserve">表外現金租金（積極路徑）</t>
  </si>
  <si>
    <r>
      <rPr>
        <sz val="9"/>
        <color rgb="FF595959"/>
        <rFont val="Noto Sans CJK SC"/>
        <family val="2"/>
      </rPr>
      <t xml:space="preserve">其他情境依「新增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（相對 </t>
    </r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1,500 MW</t>
    </r>
    <r>
      <rPr>
        <sz val="9"/>
        <color rgb="FF595959"/>
        <rFont val="Noto Sans CJK SC"/>
        <family val="2"/>
      </rPr>
      <t xml:space="preserve">）」等比例縮放</t>
    </r>
  </si>
  <si>
    <r>
      <rPr>
        <sz val="10"/>
        <rFont val="Noto Sans CJK SC"/>
        <family val="2"/>
      </rPr>
      <t xml:space="preserve">表外租金起算 </t>
    </r>
    <r>
      <rPr>
        <sz val="10"/>
        <rFont val="Arial"/>
        <family val="0"/>
        <charset val="1"/>
      </rPr>
      <t xml:space="preserve">MW</t>
    </r>
  </si>
  <si>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Noto Sans CJK SC"/>
        <family val="2"/>
      </rPr>
      <t xml:space="preserve">主動電力；表外租金依超過此值的新增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等比例縮放（</t>
    </r>
    <r>
      <rPr>
        <sz val="9"/>
        <color rgb="FF595959"/>
        <rFont val="Arial"/>
        <family val="0"/>
        <charset val="1"/>
      </rPr>
      <t xml:space="preserve">company.json → scenarios.leaseRampFloorMw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</si>
  <si>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B</t>
    </r>
    <r>
      <rPr>
        <b val="true"/>
        <sz val="10"/>
        <rFont val="Noto Sans CJK SC"/>
        <family val="2"/>
      </rPr>
      <t xml:space="preserve">｜產能與收入（</t>
    </r>
    <r>
      <rPr>
        <b val="true"/>
        <sz val="10"/>
        <rFont val="Arial"/>
        <family val="0"/>
        <charset val="1"/>
      </rPr>
      <t xml:space="preserve">RPO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MW</t>
    </r>
    <r>
      <rPr>
        <b val="true"/>
        <sz val="10"/>
        <rFont val="Noto Sans CJK SC"/>
        <family val="2"/>
      </rPr>
      <t xml:space="preserve">、利用率、單價、簽約、信用）</t>
    </r>
  </si>
  <si>
    <t xml:space="preserve">6/30 RPO</t>
  </si>
  <si>
    <r>
      <rPr>
        <sz val="9"/>
        <color rgb="FF595959"/>
        <rFont val="Arial"/>
        <family val="0"/>
        <charset val="1"/>
      </rPr>
      <t xml:space="preserve">10-Q 103.7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backlog 104.2 </t>
    </r>
    <r>
      <rPr>
        <sz val="9"/>
        <color rgb="FF595959"/>
        <rFont val="Noto Sans CJK SC"/>
        <family val="2"/>
      </rPr>
      <t xml:space="preserve">含 </t>
    </r>
    <r>
      <rPr>
        <sz val="9"/>
        <color rgb="FF595959"/>
        <rFont val="Arial"/>
        <family val="0"/>
        <charset val="1"/>
      </rPr>
      <t xml:space="preserve">0.5 </t>
    </r>
    <r>
      <rPr>
        <sz val="9"/>
        <color rgb="FF595959"/>
        <rFont val="Noto Sans CJK SC"/>
        <family val="2"/>
      </rPr>
      <t xml:space="preserve">其他）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</si>
  <si>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Arial"/>
        <family val="0"/>
        <charset val="1"/>
      </rPr>
      <t xml:space="preserve">Q3 </t>
    </r>
    <r>
      <rPr>
        <sz val="10"/>
        <rFont val="Noto Sans CJK SC"/>
        <family val="2"/>
      </rPr>
      <t xml:space="preserve">初新增承諾</t>
    </r>
  </si>
  <si>
    <r>
      <rPr>
        <sz val="9"/>
        <color rgb="FF595959"/>
        <rFont val="Noto Sans CJK SC"/>
        <family val="2"/>
      </rPr>
      <t xml:space="preserve">法說「</t>
    </r>
    <r>
      <rPr>
        <sz val="9"/>
        <color rgb="FF595959"/>
        <rFont val="Arial"/>
        <family val="0"/>
        <charset val="1"/>
      </rPr>
      <t xml:space="preserve">&gt;25</t>
    </r>
    <r>
      <rPr>
        <sz val="9"/>
        <color rgb="FF595959"/>
        <rFont val="Noto Sans CJK SC"/>
        <family val="2"/>
      </rPr>
      <t xml:space="preserve">」，尚未入 </t>
    </r>
    <r>
      <rPr>
        <sz val="9"/>
        <color rgb="FF595959"/>
        <rFont val="Arial"/>
        <family val="0"/>
        <charset val="1"/>
      </rPr>
      <t xml:space="preserve">RPO [Interested-party]</t>
    </r>
  </si>
  <si>
    <r>
      <rPr>
        <sz val="10"/>
        <rFont val="Noto Sans CJK SC"/>
        <family val="2"/>
      </rPr>
      <t xml:space="preserve">五期認列比例（至 </t>
    </r>
    <r>
      <rPr>
        <sz val="10"/>
        <rFont val="Arial"/>
        <family val="0"/>
        <charset val="1"/>
      </rPr>
      <t xml:space="preserve">2030 </t>
    </r>
    <r>
      <rPr>
        <sz val="10"/>
        <rFont val="Noto Sans CJK SC"/>
        <family val="2"/>
      </rPr>
      <t xml:space="preserve">末）</t>
    </r>
  </si>
  <si>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桶 </t>
    </r>
    <r>
      <rPr>
        <sz val="9"/>
        <color rgb="FF595959"/>
        <rFont val="Arial"/>
        <family val="0"/>
        <charset val="1"/>
      </rPr>
      <t xml:space="preserve">41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39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20 </t>
    </r>
    <r>
      <rPr>
        <sz val="9"/>
        <color rgb="FF595959"/>
        <rFont val="Noto Sans CJK SC"/>
        <family val="2"/>
      </rPr>
      <t xml:space="preserve">線性分攤後五期合計 </t>
    </r>
    <r>
      <rPr>
        <sz val="9"/>
        <color rgb="FF595959"/>
        <rFont val="Arial"/>
        <family val="0"/>
        <charset val="1"/>
      </rPr>
      <t xml:space="preserve">84% [Derived]</t>
    </r>
  </si>
  <si>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桶權重合計</t>
    </r>
  </si>
  <si>
    <t xml:space="preserve">下方權重列的合計，用於歸一化</t>
  </si>
  <si>
    <r>
      <rPr>
        <sz val="10"/>
        <rFont val="Arial"/>
        <family val="0"/>
        <charset val="1"/>
      </rPr>
      <t xml:space="preserve">2025-12-31 </t>
    </r>
    <r>
      <rPr>
        <sz val="10"/>
        <rFont val="Noto Sans CJK SC"/>
        <family val="2"/>
      </rPr>
      <t xml:space="preserve">主動電力</t>
    </r>
  </si>
  <si>
    <r>
      <rPr>
        <sz val="9"/>
        <color rgb="FF595959"/>
        <rFont val="Arial"/>
        <family val="0"/>
        <charset val="1"/>
      </rPr>
      <t xml:space="preserve">Q4 2025 </t>
    </r>
    <r>
      <rPr>
        <sz val="9"/>
        <color rgb="FF595959"/>
        <rFont val="Noto Sans CJK SC"/>
        <family val="2"/>
      </rPr>
      <t xml:space="preserve">法說：年底 </t>
    </r>
    <r>
      <rPr>
        <sz val="9"/>
        <color rgb="FF595959"/>
        <rFont val="Arial"/>
        <family val="0"/>
        <charset val="1"/>
      </rPr>
      <t xml:space="preserve">&gt;850 MW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43 </t>
    </r>
    <r>
      <rPr>
        <sz val="9"/>
        <color rgb="FF595959"/>
        <rFont val="Noto Sans CJK SC"/>
        <family val="2"/>
      </rPr>
      <t xml:space="preserve">座資料中心 </t>
    </r>
    <r>
      <rPr>
        <sz val="9"/>
        <color rgb="FF595959"/>
        <rFont val="Arial"/>
        <family val="0"/>
        <charset val="1"/>
      </rPr>
      <t xml:space="preserve">[Verified]</t>
    </r>
  </si>
  <si>
    <t xml:space="preserve">6/30 Billable MW</t>
  </si>
  <si>
    <r>
      <rPr>
        <sz val="9"/>
        <color rgb="FF595959"/>
        <rFont val="Noto Sans CJK SC"/>
        <family val="2"/>
      </rPr>
      <t xml:space="preserve">主動電力 </t>
    </r>
    <r>
      <rPr>
        <sz val="9"/>
        <color rgb="FF595959"/>
        <rFont val="Arial"/>
        <family val="0"/>
        <charset val="1"/>
      </rPr>
      <t xml:space="preserve">1.5 GW </t>
    </r>
    <r>
      <rPr>
        <sz val="9"/>
        <color rgb="FF595959"/>
        <rFont val="Noto Sans CJK SC"/>
        <family val="2"/>
      </rPr>
      <t xml:space="preserve">扣爬坡中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</si>
  <si>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Noto Sans CJK SC"/>
        <family val="2"/>
      </rPr>
      <t xml:space="preserve">收入用平均在役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1=</t>
    </r>
    <r>
      <rPr>
        <sz val="10"/>
        <rFont val="Noto Sans CJK SC"/>
        <family val="2"/>
      </rPr>
      <t xml:space="preserve">是）</t>
    </r>
  </si>
  <si>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＝用期末存量全期化。</t>
    </r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Noto Sans CJK SC"/>
        <family val="2"/>
      </rPr>
      <t xml:space="preserve">交付後載（</t>
    </r>
    <r>
      <rPr>
        <sz val="9"/>
        <color rgb="FF595959"/>
        <rFont val="Arial"/>
        <family val="0"/>
        <charset val="1"/>
      </rPr>
      <t xml:space="preserve">6 </t>
    </r>
    <r>
      <rPr>
        <sz val="9"/>
        <color rgb="FF595959"/>
        <rFont val="Noto Sans CJK SC"/>
        <family val="2"/>
      </rPr>
      <t xml:space="preserve">月 </t>
    </r>
    <r>
      <rPr>
        <sz val="9"/>
        <color rgb="FF595959"/>
        <rFont val="Arial"/>
        <family val="0"/>
        <charset val="1"/>
      </rPr>
      <t xml:space="preserve">+300MW</t>
    </r>
    <r>
      <rPr>
        <sz val="9"/>
        <color rgb="FF595959"/>
        <rFont val="Noto Sans CJK SC"/>
        <family val="2"/>
      </rPr>
      <t xml:space="preserve">），建議 </t>
    </r>
    <r>
      <rPr>
        <sz val="9"/>
        <color rgb="FF595959"/>
        <rFont val="Arial"/>
        <family val="0"/>
        <charset val="1"/>
      </rPr>
      <t xml:space="preserve">1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</si>
  <si>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年收入倍數（整體）</t>
    </r>
  </si>
  <si>
    <r>
      <rPr>
        <sz val="9"/>
        <color rgb="FF595959"/>
        <rFont val="Noto Sans CJK SC"/>
        <family val="2"/>
      </rPr>
      <t xml:space="preserve">反向 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與壓力測試用；預設 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Noto Sans CJK SC"/>
        <family val="2"/>
      </rPr>
      <t xml:space="preserve">。以『目標搜尋』調整此格即可反解市價隱含單價</t>
    </r>
  </si>
  <si>
    <t xml:space="preserve">來源／標籤</t>
  </si>
  <si>
    <t xml:space="preserve">模型期長度（年）</t>
  </si>
  <si>
    <r>
      <rPr>
        <sz val="9"/>
        <color rgb="FF595959"/>
        <rFont val="Noto Sans CJK SC"/>
        <family val="2"/>
      </rPr>
      <t xml:space="preserve">勿改。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模型期為 </t>
    </r>
    <r>
      <rPr>
        <sz val="9"/>
        <color rgb="FF595959"/>
        <rFont val="Arial"/>
        <family val="0"/>
        <charset val="1"/>
      </rPr>
      <t xml:space="preserve">2026-07-01</t>
    </r>
    <r>
      <rPr>
        <sz val="9"/>
        <color rgb="FF595959"/>
        <rFont val="Noto Sans CJK SC"/>
        <family val="2"/>
      </rPr>
      <t xml:space="preserve">～</t>
    </r>
    <r>
      <rPr>
        <sz val="9"/>
        <color rgb="FF595959"/>
        <rFont val="Arial"/>
        <family val="0"/>
        <charset val="1"/>
      </rPr>
      <t xml:space="preserve">12-31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0.5 </t>
    </r>
    <r>
      <rPr>
        <sz val="9"/>
        <color rgb="FF595959"/>
        <rFont val="Noto Sans CJK SC"/>
        <family val="2"/>
      </rPr>
      <t xml:space="preserve">年）。只用於容量上限、電力、維護三處年率換算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</si>
  <si>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桶權重</t>
    </r>
  </si>
  <si>
    <r>
      <rPr>
        <sz val="9"/>
        <color rgb="FF595959"/>
        <rFont val="Arial"/>
        <family val="0"/>
        <charset val="1"/>
      </rPr>
      <t xml:space="preserve">10-Q 41%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24m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39%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25-48m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20%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49-78m </t>
    </r>
    <r>
      <rPr>
        <sz val="9"/>
        <color rgb="FF595959"/>
        <rFont val="Noto Sans CJK SC"/>
        <family val="2"/>
      </rPr>
      <t xml:space="preserve">桶內線性分攤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</si>
  <si>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Arial"/>
        <family val="0"/>
        <charset val="1"/>
      </rPr>
      <t xml:space="preserve">Accepted MW</t>
    </r>
    <r>
      <rPr>
        <sz val="10"/>
        <rFont val="Noto Sans CJK SC"/>
        <family val="2"/>
      </rPr>
      <t xml:space="preserve">（期末主動電力）</t>
    </r>
  </si>
  <si>
    <r>
      <rPr>
        <sz val="9"/>
        <color rgb="FF595959"/>
        <rFont val="Noto Sans CJK SC"/>
        <family val="2"/>
      </rPr>
      <t xml:space="preserve">＝依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區情境選擇器</t>
    </r>
  </si>
  <si>
    <t xml:space="preserve">Billable MW</t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</si>
  <si>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Accepted × </t>
    </r>
    <r>
      <rPr>
        <sz val="9"/>
        <color rgb="FF595959"/>
        <rFont val="Noto Sans CJK SC"/>
        <family val="2"/>
      </rPr>
      <t xml:space="preserve">爬坡比例（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區）</t>
    </r>
  </si>
  <si>
    <t xml:space="preserve">利用率</t>
  </si>
  <si>
    <r>
      <rPr>
        <sz val="9"/>
        <color rgb="FF595959"/>
        <rFont val="Noto Sans CJK SC"/>
        <family val="2"/>
      </rPr>
      <t xml:space="preserve">法說「近期產能實質售罄」，不擬合 </t>
    </r>
    <r>
      <rPr>
        <sz val="9"/>
        <color rgb="FF595959"/>
        <rFont val="Arial"/>
        <family val="0"/>
        <charset val="1"/>
      </rPr>
      <t xml:space="preserve">100% [Assumed]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</si>
  <si>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</t>
    </r>
  </si>
  <si>
    <t xml:space="preserve">US$bn/MW</t>
  </si>
  <si>
    <r>
      <rPr>
        <sz val="9"/>
        <color rgb="FF595959"/>
        <rFont val="Arial"/>
        <family val="0"/>
        <charset val="1"/>
      </rPr>
      <t xml:space="preserve">W4 Tokenomics </t>
    </r>
    <r>
      <rPr>
        <sz val="9"/>
        <color rgb="FF595959"/>
        <rFont val="Noto Sans CJK SC"/>
        <family val="2"/>
      </rPr>
      <t xml:space="preserve">錨：＝『每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經濟性』</t>
    </r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平均在役占比 </t>
    </r>
    <r>
      <rPr>
        <sz val="9"/>
        <color rgb="FF595959"/>
        <rFont val="Arial"/>
        <family val="0"/>
        <charset val="1"/>
      </rPr>
      <t xml:space="preserve">× IF_HoldEcon × </t>
    </r>
    <r>
      <rPr>
        <sz val="9"/>
        <color rgb="FF595959"/>
        <rFont val="Noto Sans CJK SC"/>
        <family val="2"/>
      </rPr>
      <t xml:space="preserve">定價倍數 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計費時數；利用率在收入端另乘）</t>
    </r>
  </si>
  <si>
    <t xml:space="preserve">新產能簽約率</t>
  </si>
  <si>
    <r>
      <rPr>
        <sz val="9"/>
        <color rgb="FF595959"/>
        <rFont val="Noto Sans CJK SC"/>
        <family val="2"/>
      </rPr>
      <t xml:space="preserve">未被期初 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Noto Sans CJK SC"/>
        <family val="2"/>
      </rPr>
      <t xml:space="preserve">占用的產能能賣掉的比例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</si>
  <si>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客戶違約率</t>
  </si>
  <si>
    <r>
      <rPr>
        <sz val="9"/>
        <color rgb="FF595959"/>
        <rFont val="Noto Sans CJK SC"/>
        <family val="2"/>
      </rPr>
      <t xml:space="preserve">前三大客戶 </t>
    </r>
    <r>
      <rPr>
        <sz val="9"/>
        <color rgb="FF595959"/>
        <rFont val="Arial"/>
        <family val="0"/>
        <charset val="1"/>
      </rPr>
      <t xml:space="preserve">72% </t>
    </r>
    <r>
      <rPr>
        <sz val="9"/>
        <color rgb="FF595959"/>
        <rFont val="Noto Sans CJK SC"/>
        <family val="2"/>
      </rPr>
      <t xml:space="preserve">營收的定價，非預測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</si>
  <si>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回收率</t>
  </si>
  <si>
    <t xml:space="preserve">[Assumed]</t>
  </si>
  <si>
    <t xml:space="preserve">非算力服務營收</t>
  </si>
  <si>
    <r>
      <rPr>
        <sz val="9"/>
        <color rgb="FF595959"/>
        <rFont val="Noto Sans CJK SC"/>
        <family val="2"/>
      </rPr>
      <t xml:space="preserve">軟體／儲存／</t>
    </r>
    <r>
      <rPr>
        <sz val="9"/>
        <color rgb="FF595959"/>
        <rFont val="Arial"/>
        <family val="0"/>
        <charset val="1"/>
      </rPr>
      <t xml:space="preserve">CPU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managed inference</t>
    </r>
    <r>
      <rPr>
        <sz val="9"/>
        <color rgb="FF595959"/>
        <rFont val="Noto Sans CJK SC"/>
        <family val="2"/>
      </rPr>
      <t xml:space="preserve">；損益營收與資金現金共用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</si>
  <si>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b val="true"/>
        <sz val="10"/>
        <color rgb="FF1F3864"/>
        <rFont val="Noto Sans CJK SC"/>
        <family val="2"/>
      </rPr>
      <t xml:space="preserve">▸ 世代組合（</t>
    </r>
    <r>
      <rPr>
        <b val="true"/>
        <sz val="10"/>
        <color rgb="FF1F3864"/>
        <rFont val="Arial"/>
        <family val="0"/>
        <charset val="1"/>
      </rPr>
      <t xml:space="preserve">W2</t>
    </r>
    <r>
      <rPr>
        <b val="true"/>
        <sz val="10"/>
        <color rgb="FF1F3864"/>
        <rFont val="Noto Sans CJK SC"/>
        <family val="2"/>
      </rPr>
      <t xml:space="preserve">；公司專屬，世代與 </t>
    </r>
    <r>
      <rPr>
        <b val="true"/>
        <sz val="10"/>
        <color rgb="FF1F3864"/>
        <rFont val="Arial"/>
        <family val="0"/>
        <charset val="1"/>
      </rPr>
      <t xml:space="preserve">Tokenomics </t>
    </r>
    <r>
      <rPr>
        <b val="true"/>
        <sz val="10"/>
        <color rgb="FF1F3864"/>
        <rFont val="Noto Sans CJK SC"/>
        <family val="2"/>
      </rPr>
      <t xml:space="preserve">同名；每 </t>
    </r>
    <r>
      <rPr>
        <b val="true"/>
        <sz val="10"/>
        <color rgb="FF1F3864"/>
        <rFont val="Arial"/>
        <family val="0"/>
        <charset val="1"/>
      </rPr>
      <t xml:space="preserve">MW </t>
    </r>
    <r>
      <rPr>
        <b val="true"/>
        <sz val="10"/>
        <color rgb="FF1F3864"/>
        <rFont val="Noto Sans CJK SC"/>
        <family val="2"/>
      </rPr>
      <t xml:space="preserve">資本支出、成本、收入依此加權）</t>
    </r>
  </si>
  <si>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Noto Sans CJK SC"/>
        <family val="2"/>
      </rPr>
      <t xml:space="preserve">方法（資本支出／營運成本／收入）</t>
    </r>
  </si>
  <si>
    <r>
      <rPr>
        <sz val="10"/>
        <rFont val="Arial"/>
        <family val="0"/>
        <charset val="1"/>
      </rPr>
      <t xml:space="preserve">tokenomics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bottomUp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tkAnchor</t>
    </r>
  </si>
  <si>
    <r>
      <rPr>
        <sz val="9"/>
        <color rgb="FF595959"/>
        <rFont val="Arial"/>
        <family val="0"/>
        <charset val="1"/>
      </rPr>
      <t xml:space="preserve">company.json → methodology.perMw</t>
    </r>
    <r>
      <rPr>
        <sz val="9"/>
        <color rgb="FF595959"/>
        <rFont val="Noto Sans CJK SC"/>
        <family val="2"/>
      </rPr>
      <t xml:space="preserve">（建置時決定公式）：</t>
    </r>
    <r>
      <rPr>
        <sz val="9"/>
        <color rgb="FF595959"/>
        <rFont val="Arial"/>
        <family val="0"/>
        <charset val="1"/>
      </rPr>
      <t xml:space="preserve">tokenomics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legacy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bottomUp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ebitdaPct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gpuHr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legacy</t>
    </r>
    <r>
      <rPr>
        <sz val="9"/>
        <color rgb="FF595959"/>
        <rFont val="Noto Sans CJK SC"/>
        <family val="2"/>
      </rPr>
      <t xml:space="preserve">；全為舊方法時與 </t>
    </r>
    <r>
      <rPr>
        <sz val="9"/>
        <color rgb="FF595959"/>
        <rFont val="Arial"/>
        <family val="0"/>
        <charset val="1"/>
      </rPr>
      <t xml:space="preserve">v4.5 </t>
    </r>
    <r>
      <rPr>
        <sz val="9"/>
        <color rgb="FF595959"/>
        <rFont val="Noto Sans CJK SC"/>
        <family val="2"/>
      </rPr>
      <t xml:space="preserve">相同</t>
    </r>
  </si>
  <si>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口徑（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IT </t>
    </r>
    <r>
      <rPr>
        <sz val="10"/>
        <rFont val="Noto Sans CJK SC"/>
        <family val="2"/>
      </rPr>
      <t xml:space="preserve">關鍵電力、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＝設施）</t>
    </r>
  </si>
  <si>
    <r>
      <rPr>
        <sz val="9"/>
        <color rgb="FF595959"/>
        <rFont val="Arial"/>
        <family val="0"/>
        <charset val="1"/>
      </rPr>
      <t xml:space="preserve">company.json → meta.mwBasis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IT </t>
    </r>
    <r>
      <rPr>
        <sz val="9"/>
        <color rgb="FF595959"/>
        <rFont val="Noto Sans CJK SC"/>
        <family val="2"/>
      </rPr>
      <t xml:space="preserve">關鍵電力；設施口徑時 </t>
    </r>
    <r>
      <rPr>
        <sz val="9"/>
        <color rgb="FF595959"/>
        <rFont val="Arial"/>
        <family val="0"/>
        <charset val="1"/>
      </rPr>
      <t xml:space="preserve">IT MW</t>
    </r>
    <r>
      <rPr>
        <sz val="9"/>
        <color rgb="FF595959"/>
        <rFont val="Noto Sans CJK SC"/>
        <family val="2"/>
      </rPr>
      <t xml:space="preserve">＝設施 </t>
    </r>
    <r>
      <rPr>
        <sz val="9"/>
        <color rgb="FF595959"/>
        <rFont val="Arial"/>
        <family val="0"/>
        <charset val="1"/>
      </rPr>
      <t xml:space="preserve">MW ÷ IF_FacilityGW</t>
    </r>
    <r>
      <rPr>
        <sz val="9"/>
        <color rgb="FF595959"/>
        <rFont val="Noto Sans CJK SC"/>
        <family val="2"/>
      </rPr>
      <t xml:space="preserve">（各 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值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換算係數）</t>
    </r>
    <r>
      <rPr>
        <sz val="9"/>
        <color rgb="FF595959"/>
        <rFont val="Arial"/>
        <family val="0"/>
        <charset val="1"/>
      </rPr>
      <t xml:space="preserve">[Assumed</t>
    </r>
    <r>
      <rPr>
        <sz val="9"/>
        <color rgb="FF595959"/>
        <rFont val="Noto Sans CJK SC"/>
        <family val="2"/>
      </rPr>
      <t xml:space="preserve">，見 </t>
    </r>
    <r>
      <rPr>
        <sz val="9"/>
        <color rgb="FF595959"/>
        <rFont val="Arial"/>
        <family val="0"/>
        <charset val="1"/>
      </rPr>
      <t xml:space="preserve">W1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6a </t>
    </r>
    <r>
      <rPr>
        <sz val="9"/>
        <color rgb="FF595959"/>
        <rFont val="Noto Sans CJK SC"/>
        <family val="2"/>
      </rPr>
      <t xml:space="preserve">步</t>
    </r>
    <r>
      <rPr>
        <sz val="9"/>
        <color rgb="FF595959"/>
        <rFont val="Arial"/>
        <family val="0"/>
        <charset val="1"/>
      </rPr>
      <t xml:space="preserve">]</t>
    </r>
  </si>
  <si>
    <r>
      <rPr>
        <sz val="10"/>
        <rFont val="Arial"/>
        <family val="0"/>
        <charset val="1"/>
      </rPr>
      <t xml:space="preserve">Tokenomics </t>
    </r>
    <r>
      <rPr>
        <sz val="10"/>
        <rFont val="Noto Sans CJK SC"/>
        <family val="2"/>
      </rPr>
      <t xml:space="preserve">成本情境（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＝低成本、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＝基準、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＝高成本）</t>
    </r>
  </si>
  <si>
    <r>
      <rPr>
        <sz val="9"/>
        <color rgb="FF595959"/>
        <rFont val="Noto Sans CJK SC"/>
        <family val="2"/>
      </rPr>
      <t xml:space="preserve">模型主值取基準；低／高只作敏感度（每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經濟性頁「敏感度」）</t>
    </r>
  </si>
  <si>
    <r>
      <rPr>
        <sz val="10"/>
        <rFont val="Noto Sans CJK SC"/>
        <family val="2"/>
      </rPr>
      <t xml:space="preserve">世代組合敏感度（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＝基準、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Rubin Ultra </t>
    </r>
    <r>
      <rPr>
        <sz val="10"/>
        <rFont val="Noto Sans CJK SC"/>
        <family val="2"/>
      </rPr>
      <t xml:space="preserve">版）</t>
    </r>
  </si>
  <si>
    <r>
      <rPr>
        <sz val="9"/>
        <color rgb="FF595959"/>
        <rFont val="Arial"/>
        <family val="0"/>
        <charset val="1"/>
      </rPr>
      <t xml:space="preserve">Rubin Ultra </t>
    </r>
    <r>
      <rPr>
        <sz val="9"/>
        <color rgb="FF595959"/>
        <rFont val="Noto Sans CJK SC"/>
        <family val="2"/>
      </rPr>
      <t xml:space="preserve">版（</t>
    </r>
    <r>
      <rPr>
        <sz val="9"/>
        <color rgb="FF595959"/>
        <rFont val="Arial"/>
        <family val="0"/>
        <charset val="1"/>
      </rPr>
      <t xml:space="preserve">FY29–FY30 </t>
    </r>
    <r>
      <rPr>
        <sz val="9"/>
        <color rgb="FF595959"/>
        <rFont val="Noto Sans CJK SC"/>
        <family val="2"/>
      </rPr>
      <t xml:space="preserve">新增 </t>
    </r>
    <r>
      <rPr>
        <sz val="9"/>
        <color rgb="FF595959"/>
        <rFont val="Arial"/>
        <family val="0"/>
        <charset val="1"/>
      </rPr>
      <t xml:space="preserve">100% Rubin Ultra</t>
    </r>
    <r>
      <rPr>
        <sz val="9"/>
        <color rgb="FF595959"/>
        <rFont val="Noto Sans CJK SC"/>
        <family val="2"/>
      </rPr>
      <t xml:space="preserve">）；只作敏感度</t>
    </r>
  </si>
  <si>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小時價格情境（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＝低、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＝基準、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＝高）</t>
    </r>
  </si>
  <si>
    <r>
      <rPr>
        <sz val="9"/>
        <color rgb="FF595959"/>
        <rFont val="Noto Sans CJK SC"/>
        <family val="2"/>
      </rPr>
      <t xml:space="preserve">只在 </t>
    </r>
    <r>
      <rPr>
        <sz val="9"/>
        <color rgb="FF595959"/>
        <rFont val="Arial"/>
        <family val="0"/>
        <charset val="1"/>
      </rPr>
      <t xml:space="preserve">revenue=gpuHr </t>
    </r>
    <r>
      <rPr>
        <sz val="9"/>
        <color rgb="FF595959"/>
        <rFont val="Noto Sans CJK SC"/>
        <family val="2"/>
      </rPr>
      <t xml:space="preserve">時影響收入；價格讀 </t>
    </r>
    <r>
      <rPr>
        <sz val="9"/>
        <color rgb="FF595959"/>
        <rFont val="Arial"/>
        <family val="0"/>
        <charset val="1"/>
      </rPr>
      <t xml:space="preserve">company.json → pricing.gpuHr</t>
    </r>
  </si>
  <si>
    <r>
      <rPr>
        <sz val="10"/>
        <rFont val="Noto Sans CJK SC"/>
        <family val="2"/>
      </rPr>
      <t xml:space="preserve">期初在役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2026-06-30</t>
    </r>
    <r>
      <rPr>
        <sz val="10"/>
        <rFont val="Noto Sans CJK SC"/>
        <family val="2"/>
      </rPr>
      <t xml:space="preserve">，世代組合起點）</t>
    </r>
  </si>
  <si>
    <r>
      <rPr>
        <sz val="9"/>
        <color rgb="FF595959"/>
        <rFont val="Arial"/>
        <family val="0"/>
        <charset val="1"/>
      </rPr>
      <t xml:space="preserve">company.json → fleet.openMix.activeMW</t>
    </r>
    <r>
      <rPr>
        <sz val="9"/>
        <color rgb="FF595959"/>
        <rFont val="Noto Sans CJK SC"/>
        <family val="2"/>
      </rPr>
      <t xml:space="preserve">（最新已申報季末主動電力）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</si>
  <si>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Noto Sans CJK SC"/>
        <family val="2"/>
      </rPr>
      <t xml:space="preserve">期初在役占比｜</t>
    </r>
    <r>
      <rPr>
        <sz val="10"/>
        <rFont val="Arial"/>
        <family val="0"/>
        <charset val="1"/>
      </rPr>
      <t xml:space="preserve">Hopper H100</t>
    </r>
  </si>
  <si>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W1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6b </t>
    </r>
    <r>
      <rPr>
        <sz val="9"/>
        <color rgb="FF595959"/>
        <rFont val="Noto Sans CJK SC"/>
        <family val="2"/>
      </rPr>
      <t xml:space="preserve">步（</t>
    </r>
    <r>
      <rPr>
        <sz val="9"/>
        <color rgb="FF595959"/>
        <rFont val="Arial"/>
        <family val="0"/>
        <charset val="1"/>
      </rPr>
      <t xml:space="preserve">coreweave/data/permw_inputs_20261007.json → fleetMix.openMix</t>
    </r>
    <r>
      <rPr>
        <sz val="9"/>
        <color rgb="FF595959"/>
        <rFont val="Noto Sans CJK SC"/>
        <family val="2"/>
      </rPr>
      <t xml:space="preserve">）：依年份分層——</t>
    </r>
    <r>
      <rPr>
        <sz val="9"/>
        <color rgb="FF595959"/>
        <rFont val="Arial"/>
        <family val="0"/>
        <charset val="1"/>
      </rPr>
      <t xml:space="preserve">2024 </t>
    </r>
    <r>
      <rPr>
        <sz val="9"/>
        <color rgb="FF595959"/>
        <rFont val="Noto Sans CJK SC"/>
        <family val="2"/>
      </rPr>
      <t xml:space="preserve">年底前 </t>
    </r>
    <r>
      <rPr>
        <sz val="9"/>
        <color rgb="FF595959"/>
        <rFont val="Arial"/>
        <family val="0"/>
        <charset val="1"/>
      </rPr>
      <t xml:space="preserve">360 MW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Hopper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年新增 </t>
    </r>
    <r>
      <rPr>
        <sz val="9"/>
        <color rgb="FF595959"/>
        <rFont val="Arial"/>
        <family val="0"/>
        <charset val="1"/>
      </rPr>
      <t xml:space="preserve">490 MW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GB200 70%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GB300 20%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H200 10%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上半年新增 </t>
    </r>
    <r>
      <rPr>
        <sz val="9"/>
        <color rgb="FF595959"/>
        <rFont val="Arial"/>
        <family val="0"/>
        <charset val="1"/>
      </rPr>
      <t xml:space="preserve">650 MW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GB300 85%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GB200 15%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錨點 </t>
    </r>
    <r>
      <rPr>
        <sz val="9"/>
        <color rgb="FF595959"/>
        <rFont val="Arial"/>
        <family val="0"/>
        <charset val="1"/>
      </rPr>
      <t xml:space="preserve">[Verified]</t>
    </r>
    <r>
      <rPr>
        <sz val="9"/>
        <color rgb="FF595959"/>
        <rFont val="Noto Sans CJK SC"/>
        <family val="2"/>
      </rPr>
      <t xml:space="preserve">、各層占比 </t>
    </r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W1 </t>
    </r>
    <r>
      <rPr>
        <sz val="9"/>
        <color rgb="FF595959"/>
        <rFont val="Noto Sans CJK SC"/>
        <family val="2"/>
      </rPr>
      <t xml:space="preserve">回報 </t>
    </r>
    <r>
      <rPr>
        <sz val="9"/>
        <color rgb="FF595959"/>
        <rFont val="Arial"/>
        <family val="0"/>
        <charset val="1"/>
      </rPr>
      <t xml:space="preserve">27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29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43% </t>
    </r>
    <r>
      <rPr>
        <sz val="9"/>
        <color rgb="FF595959"/>
        <rFont val="Noto Sans CJK SC"/>
        <family val="2"/>
      </rPr>
      <t xml:space="preserve">為四捨五入（區間 </t>
    </r>
    <r>
      <rPr>
        <sz val="9"/>
        <color rgb="FF595959"/>
        <rFont val="Arial"/>
        <family val="0"/>
        <charset val="1"/>
      </rPr>
      <t xml:space="preserve">Hopper 24–31%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GB200 20–42%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GB300 30–53%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</si>
  <si>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期初在役占比｜</t>
    </r>
    <r>
      <rPr>
        <sz val="10"/>
        <rFont val="Arial"/>
        <family val="0"/>
        <charset val="1"/>
      </rPr>
      <t xml:space="preserve">GB200 NVL72</t>
    </r>
  </si>
  <si>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Noto Sans CJK SC"/>
        <family val="2"/>
      </rPr>
      <t xml:space="preserve">；同上</t>
    </r>
  </si>
  <si>
    <r>
      <rPr>
        <sz val="10"/>
        <rFont val="Noto Sans CJK SC"/>
        <family val="2"/>
      </rPr>
      <t xml:space="preserve">期初在役占比｜</t>
    </r>
    <r>
      <rPr>
        <sz val="10"/>
        <rFont val="Arial"/>
        <family val="0"/>
        <charset val="1"/>
      </rPr>
      <t xml:space="preserve">GB300 NVL72</t>
    </r>
  </si>
  <si>
    <r>
      <rPr>
        <sz val="10"/>
        <rFont val="Noto Sans CJK SC"/>
        <family val="2"/>
      </rPr>
      <t xml:space="preserve">期初在役占比｜</t>
    </r>
    <r>
      <rPr>
        <sz val="10"/>
        <rFont val="Arial"/>
        <family val="0"/>
        <charset val="1"/>
      </rPr>
      <t xml:space="preserve">VR200 NVL72</t>
    </r>
  </si>
  <si>
    <r>
      <rPr>
        <sz val="10"/>
        <rFont val="Noto Sans CJK SC"/>
        <family val="2"/>
      </rPr>
      <t xml:space="preserve">期初在役占比｜</t>
    </r>
    <r>
      <rPr>
        <sz val="10"/>
        <rFont val="Arial"/>
        <family val="0"/>
        <charset val="1"/>
      </rPr>
      <t xml:space="preserve">Rubin Ultra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MGX NVL </t>
    </r>
    <r>
      <rPr>
        <sz val="10"/>
        <rFont val="Noto Sans CJK SC"/>
        <family val="2"/>
      </rPr>
      <t xml:space="preserve">單架，</t>
    </r>
    <r>
      <rPr>
        <sz val="10"/>
        <rFont val="Arial"/>
        <family val="0"/>
        <charset val="1"/>
      </rPr>
      <t xml:space="preserve">72 GPU</t>
    </r>
    <r>
      <rPr>
        <sz val="10"/>
        <rFont val="Noto Sans CJK SC"/>
        <family val="2"/>
      </rPr>
      <t xml:space="preserve">）</t>
    </r>
  </si>
  <si>
    <r>
      <rPr>
        <b val="true"/>
        <sz val="11"/>
        <color rgb="FFFFFFFF"/>
        <rFont val="Noto Sans CJK SC"/>
        <family val="2"/>
      </rPr>
      <t xml:space="preserve">新增 </t>
    </r>
    <r>
      <rPr>
        <b val="true"/>
        <sz val="11"/>
        <color rgb="FFFFFFFF"/>
        <rFont val="Arial"/>
        <family val="0"/>
        <charset val="1"/>
      </rPr>
      <t xml:space="preserve">MW </t>
    </r>
    <r>
      <rPr>
        <b val="true"/>
        <sz val="11"/>
        <color rgb="FFFFFFFF"/>
        <rFont val="Noto Sans CJK SC"/>
        <family val="2"/>
      </rPr>
      <t xml:space="preserve">的世代占比</t>
    </r>
  </si>
  <si>
    <r>
      <rPr>
        <sz val="10"/>
        <rFont val="Noto Sans CJK SC"/>
        <family val="2"/>
      </rPr>
      <t xml:space="preserve">新增占比（基準）｜</t>
    </r>
    <r>
      <rPr>
        <sz val="10"/>
        <rFont val="Arial"/>
        <family val="0"/>
        <charset val="1"/>
      </rPr>
      <t xml:space="preserve">Hopper H100</t>
    </r>
  </si>
  <si>
    <r>
      <rPr>
        <sz val="9"/>
        <color rgb="FF595959"/>
        <rFont val="Noto Sans CJK SC"/>
        <family val="2"/>
      </rPr>
      <t xml:space="preserve">工作單 </t>
    </r>
    <r>
      <rPr>
        <sz val="9"/>
        <color rgb="FF595959"/>
        <rFont val="Arial"/>
        <family val="0"/>
        <charset val="1"/>
      </rPr>
      <t xml:space="preserve">W2 </t>
    </r>
    <r>
      <rPr>
        <sz val="9"/>
        <color rgb="FF595959"/>
        <rFont val="Noto Sans CJK SC"/>
        <family val="2"/>
      </rPr>
      <t xml:space="preserve">預設 </t>
    </r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2H26 GB300 80%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GB200 20%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FY27 GB300 50%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VR200 50%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FY28–FY30 VR200 100%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W1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6b </t>
    </r>
    <r>
      <rPr>
        <sz val="9"/>
        <color rgb="FF595959"/>
        <rFont val="Noto Sans CJK SC"/>
        <family val="2"/>
      </rPr>
      <t xml:space="preserve">步：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主力、</t>
    </r>
    <r>
      <rPr>
        <sz val="9"/>
        <color rgb="FF595959"/>
        <rFont val="Arial"/>
        <family val="0"/>
        <charset val="1"/>
      </rPr>
      <t xml:space="preserve">Vera Rubin Q2 2026 </t>
    </r>
    <r>
      <rPr>
        <sz val="9"/>
        <color rgb="FF595959"/>
        <rFont val="Noto Sans CJK SC"/>
        <family val="2"/>
      </rPr>
      <t xml:space="preserve">才完成首套驗證、</t>
    </r>
    <r>
      <rPr>
        <sz val="9"/>
        <color rgb="FF595959"/>
        <rFont val="Arial"/>
        <family val="0"/>
        <charset val="1"/>
      </rPr>
      <t xml:space="preserve">Meta 2026-04-09 </t>
    </r>
    <r>
      <rPr>
        <sz val="9"/>
        <color rgb="FF595959"/>
        <rFont val="Noto Sans CJK SC"/>
        <family val="2"/>
      </rPr>
      <t xml:space="preserve">擴約含首批 </t>
    </r>
    <r>
      <rPr>
        <sz val="9"/>
        <color rgb="FF595959"/>
        <rFont val="Arial"/>
        <family val="0"/>
        <charset val="1"/>
      </rPr>
      <t xml:space="preserve">Vera Rubin</t>
    </r>
    <r>
      <rPr>
        <sz val="9"/>
        <color rgb="FF595959"/>
        <rFont val="Noto Sans CJK SC"/>
        <family val="2"/>
      </rPr>
      <t xml:space="preserve">，方向一致</t>
    </r>
  </si>
  <si>
    <r>
      <rPr>
        <sz val="10"/>
        <rFont val="Noto Sans CJK SC"/>
        <family val="2"/>
      </rPr>
      <t xml:space="preserve">新增占比（基準）｜</t>
    </r>
    <r>
      <rPr>
        <sz val="10"/>
        <rFont val="Arial"/>
        <family val="0"/>
        <charset val="1"/>
      </rPr>
      <t xml:space="preserve">GB200 NVL72</t>
    </r>
  </si>
  <si>
    <r>
      <rPr>
        <sz val="10"/>
        <rFont val="Noto Sans CJK SC"/>
        <family val="2"/>
      </rPr>
      <t xml:space="preserve">新增占比（基準）｜</t>
    </r>
    <r>
      <rPr>
        <sz val="10"/>
        <rFont val="Arial"/>
        <family val="0"/>
        <charset val="1"/>
      </rPr>
      <t xml:space="preserve">GB300 NVL72</t>
    </r>
  </si>
  <si>
    <r>
      <rPr>
        <sz val="10"/>
        <rFont val="Noto Sans CJK SC"/>
        <family val="2"/>
      </rPr>
      <t xml:space="preserve">新增占比（基準）｜</t>
    </r>
    <r>
      <rPr>
        <sz val="10"/>
        <rFont val="Arial"/>
        <family val="0"/>
        <charset val="1"/>
      </rPr>
      <t xml:space="preserve">VR200 NVL72</t>
    </r>
  </si>
  <si>
    <r>
      <rPr>
        <sz val="10"/>
        <rFont val="Noto Sans CJK SC"/>
        <family val="2"/>
      </rPr>
      <t xml:space="preserve">新增占比（基準）｜</t>
    </r>
    <r>
      <rPr>
        <sz val="10"/>
        <rFont val="Arial"/>
        <family val="0"/>
        <charset val="1"/>
      </rPr>
      <t xml:space="preserve">Rubin Ultra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MGX NVL </t>
    </r>
    <r>
      <rPr>
        <sz val="10"/>
        <rFont val="Noto Sans CJK SC"/>
        <family val="2"/>
      </rPr>
      <t xml:space="preserve">單架，</t>
    </r>
    <r>
      <rPr>
        <sz val="10"/>
        <rFont val="Arial"/>
        <family val="0"/>
        <charset val="1"/>
      </rPr>
      <t xml:space="preserve">72 GPU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</si>
  <si>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新增占比（</t>
    </r>
    <r>
      <rPr>
        <sz val="10"/>
        <rFont val="Arial"/>
        <family val="0"/>
        <charset val="1"/>
      </rPr>
      <t xml:space="preserve">Rubin Ultra </t>
    </r>
    <r>
      <rPr>
        <sz val="10"/>
        <rFont val="Noto Sans CJK SC"/>
        <family val="2"/>
      </rPr>
      <t xml:space="preserve">版）｜</t>
    </r>
    <r>
      <rPr>
        <sz val="10"/>
        <rFont val="Arial"/>
        <family val="0"/>
        <charset val="1"/>
      </rPr>
      <t xml:space="preserve">Hopper H100</t>
    </r>
  </si>
  <si>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Noto Sans CJK SC"/>
        <family val="2"/>
      </rPr>
      <t xml:space="preserve">（只作敏感度）</t>
    </r>
  </si>
  <si>
    <r>
      <rPr>
        <sz val="10"/>
        <rFont val="Noto Sans CJK SC"/>
        <family val="2"/>
      </rPr>
      <t xml:space="preserve">新增占比（</t>
    </r>
    <r>
      <rPr>
        <sz val="10"/>
        <rFont val="Arial"/>
        <family val="0"/>
        <charset val="1"/>
      </rPr>
      <t xml:space="preserve">Rubin Ultra </t>
    </r>
    <r>
      <rPr>
        <sz val="10"/>
        <rFont val="Noto Sans CJK SC"/>
        <family val="2"/>
      </rPr>
      <t xml:space="preserve">版）｜</t>
    </r>
    <r>
      <rPr>
        <sz val="10"/>
        <rFont val="Arial"/>
        <family val="0"/>
        <charset val="1"/>
      </rPr>
      <t xml:space="preserve">GB200 NVL72</t>
    </r>
  </si>
  <si>
    <r>
      <rPr>
        <sz val="10"/>
        <rFont val="Noto Sans CJK SC"/>
        <family val="2"/>
      </rPr>
      <t xml:space="preserve">新增占比（</t>
    </r>
    <r>
      <rPr>
        <sz val="10"/>
        <rFont val="Arial"/>
        <family val="0"/>
        <charset val="1"/>
      </rPr>
      <t xml:space="preserve">Rubin Ultra </t>
    </r>
    <r>
      <rPr>
        <sz val="10"/>
        <rFont val="Noto Sans CJK SC"/>
        <family val="2"/>
      </rPr>
      <t xml:space="preserve">版）｜</t>
    </r>
    <r>
      <rPr>
        <sz val="10"/>
        <rFont val="Arial"/>
        <family val="0"/>
        <charset val="1"/>
      </rPr>
      <t xml:space="preserve">GB300 NVL72</t>
    </r>
  </si>
  <si>
    <r>
      <rPr>
        <sz val="10"/>
        <rFont val="Noto Sans CJK SC"/>
        <family val="2"/>
      </rPr>
      <t xml:space="preserve">新增占比（</t>
    </r>
    <r>
      <rPr>
        <sz val="10"/>
        <rFont val="Arial"/>
        <family val="0"/>
        <charset val="1"/>
      </rPr>
      <t xml:space="preserve">Rubin Ultra </t>
    </r>
    <r>
      <rPr>
        <sz val="10"/>
        <rFont val="Noto Sans CJK SC"/>
        <family val="2"/>
      </rPr>
      <t xml:space="preserve">版）｜</t>
    </r>
    <r>
      <rPr>
        <sz val="10"/>
        <rFont val="Arial"/>
        <family val="0"/>
        <charset val="1"/>
      </rPr>
      <t xml:space="preserve">VR200 NVL72</t>
    </r>
  </si>
  <si>
    <r>
      <rPr>
        <sz val="10"/>
        <rFont val="Noto Sans CJK SC"/>
        <family val="2"/>
      </rPr>
      <t xml:space="preserve">新增占比（</t>
    </r>
    <r>
      <rPr>
        <sz val="10"/>
        <rFont val="Arial"/>
        <family val="0"/>
        <charset val="1"/>
      </rPr>
      <t xml:space="preserve">Rubin Ultra </t>
    </r>
    <r>
      <rPr>
        <sz val="10"/>
        <rFont val="Noto Sans CJK SC"/>
        <family val="2"/>
      </rPr>
      <t xml:space="preserve">版）｜</t>
    </r>
    <r>
      <rPr>
        <sz val="10"/>
        <rFont val="Arial"/>
        <family val="0"/>
        <charset val="1"/>
      </rPr>
      <t xml:space="preserve">Rubin Ultra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MGX NVL </t>
    </r>
    <r>
      <rPr>
        <sz val="10"/>
        <rFont val="Noto Sans CJK SC"/>
        <family val="2"/>
      </rPr>
      <t xml:space="preserve">單架，</t>
    </r>
    <r>
      <rPr>
        <sz val="10"/>
        <rFont val="Arial"/>
        <family val="0"/>
        <charset val="1"/>
      </rPr>
      <t xml:space="preserve">72 GPU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</si>
  <si>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新增占比（採用）｜</t>
    </r>
    <r>
      <rPr>
        <sz val="10"/>
        <rFont val="Arial"/>
        <family val="0"/>
        <charset val="1"/>
      </rPr>
      <t xml:space="preserve">Hopper H100</t>
    </r>
  </si>
  <si>
    <r>
      <rPr>
        <sz val="9"/>
        <color rgb="FF595959"/>
        <rFont val="Noto Sans CJK SC"/>
        <family val="2"/>
      </rPr>
      <t xml:space="preserve">＝依「世代組合敏感度」選擇基準或 </t>
    </r>
    <r>
      <rPr>
        <sz val="9"/>
        <color rgb="FF595959"/>
        <rFont val="Arial"/>
        <family val="0"/>
        <charset val="1"/>
      </rPr>
      <t xml:space="preserve">Rubin Ultra </t>
    </r>
    <r>
      <rPr>
        <sz val="9"/>
        <color rgb="FF595959"/>
        <rFont val="Noto Sans CJK SC"/>
        <family val="2"/>
      </rPr>
      <t xml:space="preserve">版</t>
    </r>
  </si>
  <si>
    <r>
      <rPr>
        <sz val="10"/>
        <rFont val="Noto Sans CJK SC"/>
        <family val="2"/>
      </rPr>
      <t xml:space="preserve">新增占比（採用）｜</t>
    </r>
    <r>
      <rPr>
        <sz val="10"/>
        <rFont val="Arial"/>
        <family val="0"/>
        <charset val="1"/>
      </rPr>
      <t xml:space="preserve">GB200 NVL72</t>
    </r>
  </si>
  <si>
    <r>
      <rPr>
        <sz val="10"/>
        <rFont val="Noto Sans CJK SC"/>
        <family val="2"/>
      </rPr>
      <t xml:space="preserve">新增占比（採用）｜</t>
    </r>
    <r>
      <rPr>
        <sz val="10"/>
        <rFont val="Arial"/>
        <family val="0"/>
        <charset val="1"/>
      </rPr>
      <t xml:space="preserve">GB300 NVL72</t>
    </r>
  </si>
  <si>
    <r>
      <rPr>
        <sz val="10"/>
        <rFont val="Noto Sans CJK SC"/>
        <family val="2"/>
      </rPr>
      <t xml:space="preserve">新增占比（採用）｜</t>
    </r>
    <r>
      <rPr>
        <sz val="10"/>
        <rFont val="Arial"/>
        <family val="0"/>
        <charset val="1"/>
      </rPr>
      <t xml:space="preserve">VR200 NVL72</t>
    </r>
  </si>
  <si>
    <r>
      <rPr>
        <sz val="10"/>
        <rFont val="Noto Sans CJK SC"/>
        <family val="2"/>
      </rPr>
      <t xml:space="preserve">新增占比（採用）｜</t>
    </r>
    <r>
      <rPr>
        <sz val="10"/>
        <rFont val="Arial"/>
        <family val="0"/>
        <charset val="1"/>
      </rPr>
      <t xml:space="preserve">Rubin Ultra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MGX NVL </t>
    </r>
    <r>
      <rPr>
        <sz val="10"/>
        <rFont val="Noto Sans CJK SC"/>
        <family val="2"/>
      </rPr>
      <t xml:space="preserve">單架，</t>
    </r>
    <r>
      <rPr>
        <sz val="10"/>
        <rFont val="Arial"/>
        <family val="0"/>
        <charset val="1"/>
      </rPr>
      <t xml:space="preserve">72 GPU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</si>
  <si>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新增占比合計（須為 </t>
    </r>
    <r>
      <rPr>
        <sz val="10"/>
        <rFont val="Arial"/>
        <family val="0"/>
        <charset val="1"/>
      </rPr>
      <t xml:space="preserve">100%</t>
    </r>
    <r>
      <rPr>
        <sz val="10"/>
        <rFont val="Noto Sans CJK SC"/>
        <family val="2"/>
      </rPr>
      <t xml:space="preserve">）</t>
    </r>
  </si>
  <si>
    <t xml:space="preserve">檢查頁核對</t>
  </si>
  <si>
    <r>
      <rPr>
        <b val="true"/>
        <sz val="11"/>
        <color rgb="FFFFFFFF"/>
        <rFont val="Arial"/>
        <family val="0"/>
        <charset val="1"/>
      </rPr>
      <t xml:space="preserve">TK </t>
    </r>
    <r>
      <rPr>
        <b val="true"/>
        <sz val="11"/>
        <color rgb="FFFFFFFF"/>
        <rFont val="Noto Sans CJK SC"/>
        <family val="2"/>
      </rPr>
      <t xml:space="preserve">資本與口徑（</t>
    </r>
    <r>
      <rPr>
        <b val="true"/>
        <sz val="11"/>
        <color rgb="FFFFFFFF"/>
        <rFont val="Arial"/>
        <family val="0"/>
        <charset val="1"/>
      </rPr>
      <t xml:space="preserve">IT </t>
    </r>
    <r>
      <rPr>
        <b val="true"/>
        <sz val="11"/>
        <color rgb="FFFFFFFF"/>
        <rFont val="Noto Sans CJK SC"/>
        <family val="2"/>
      </rPr>
      <t xml:space="preserve">設備、合計、設施／</t>
    </r>
    <r>
      <rPr>
        <b val="true"/>
        <sz val="11"/>
        <color rgb="FFFFFFFF"/>
        <rFont val="Arial"/>
        <family val="0"/>
        <charset val="1"/>
      </rPr>
      <t xml:space="preserve">IT</t>
    </r>
    <r>
      <rPr>
        <b val="true"/>
        <sz val="11"/>
        <color rgb="FFFFFFFF"/>
        <rFont val="Noto Sans CJK SC"/>
        <family val="2"/>
      </rPr>
      <t xml:space="preserve">、</t>
    </r>
    <r>
      <rPr>
        <b val="true"/>
        <sz val="11"/>
        <color rgb="FFFFFFFF"/>
        <rFont val="Arial"/>
        <family val="0"/>
        <charset val="1"/>
      </rPr>
      <t xml:space="preserve">MW </t>
    </r>
    <r>
      <rPr>
        <b val="true"/>
        <sz val="11"/>
        <color rgb="FFFFFFFF"/>
        <rFont val="Noto Sans CJK SC"/>
        <family val="2"/>
      </rPr>
      <t xml:space="preserve">換算、折舊年限）</t>
    </r>
  </si>
  <si>
    <t xml:space="preserve">世代</t>
  </si>
  <si>
    <r>
      <rPr>
        <b val="true"/>
        <sz val="11"/>
        <color rgb="FFFFFFFF"/>
        <rFont val="Arial"/>
        <family val="0"/>
        <charset val="1"/>
      </rPr>
      <t xml:space="preserve">IT </t>
    </r>
    <r>
      <rPr>
        <b val="true"/>
        <sz val="11"/>
        <color rgb="FFFFFFFF"/>
        <rFont val="Noto Sans CJK SC"/>
        <family val="2"/>
      </rPr>
      <t xml:space="preserve">設備</t>
    </r>
  </si>
  <si>
    <t xml:space="preserve">合計</t>
  </si>
  <si>
    <r>
      <rPr>
        <b val="true"/>
        <sz val="11"/>
        <color rgb="FFFFFFFF"/>
        <rFont val="Noto Sans CJK SC"/>
        <family val="2"/>
      </rPr>
      <t xml:space="preserve">設施／</t>
    </r>
    <r>
      <rPr>
        <b val="true"/>
        <sz val="11"/>
        <color rgb="FFFFFFFF"/>
        <rFont val="Arial"/>
        <family val="0"/>
        <charset val="1"/>
      </rPr>
      <t xml:space="preserve">IT</t>
    </r>
  </si>
  <si>
    <r>
      <rPr>
        <b val="true"/>
        <sz val="11"/>
        <color rgb="FFFFFFFF"/>
        <rFont val="Arial"/>
        <family val="0"/>
        <charset val="1"/>
      </rPr>
      <t xml:space="preserve">MW </t>
    </r>
    <r>
      <rPr>
        <b val="true"/>
        <sz val="11"/>
        <color rgb="FFFFFFFF"/>
        <rFont val="Noto Sans CJK SC"/>
        <family val="2"/>
      </rPr>
      <t xml:space="preserve">換算</t>
    </r>
  </si>
  <si>
    <t xml:space="preserve">折舊年限</t>
  </si>
  <si>
    <r>
      <rPr>
        <sz val="9"/>
        <color rgb="FF595959"/>
        <rFont val="Arial"/>
        <family val="0"/>
        <charset val="1"/>
      </rPr>
      <t xml:space="preserve">US$m</t>
    </r>
    <r>
      <rPr>
        <sz val="9"/>
        <color rgb="FF595959"/>
        <rFont val="Noto Sans CJK SC"/>
        <family val="2"/>
      </rPr>
      <t xml:space="preserve">／公司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IF_CapexIT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IF_CapexTotal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＝每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百萬美元，</t>
    </r>
    <r>
      <rPr>
        <sz val="9"/>
        <color rgb="FF595959"/>
        <rFont val="Arial"/>
        <family val="0"/>
        <charset val="1"/>
      </rPr>
      <t xml:space="preserve">× MW </t>
    </r>
    <r>
      <rPr>
        <sz val="9"/>
        <color rgb="FF595959"/>
        <rFont val="Noto Sans CJK SC"/>
        <family val="2"/>
      </rPr>
      <t xml:space="preserve">換算）；設施／</t>
    </r>
    <r>
      <rPr>
        <sz val="9"/>
        <color rgb="FF595959"/>
        <rFont val="Arial"/>
        <family val="0"/>
        <charset val="1"/>
      </rPr>
      <t xml:space="preserve">IT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IF_FacilityGW</t>
    </r>
    <r>
      <rPr>
        <sz val="9"/>
        <color rgb="FF595959"/>
        <rFont val="Noto Sans CJK SC"/>
        <family val="2"/>
      </rPr>
      <t xml:space="preserve">（基準）；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換算＝</t>
    </r>
    <r>
      <rPr>
        <sz val="9"/>
        <color rgb="FF595959"/>
        <rFont val="Arial"/>
        <family val="0"/>
        <charset val="1"/>
      </rPr>
      <t xml:space="preserve">IT </t>
    </r>
    <r>
      <rPr>
        <sz val="9"/>
        <color rgb="FF595959"/>
        <rFont val="Noto Sans CJK SC"/>
        <family val="2"/>
      </rPr>
      <t xml:space="preserve">口徑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、設施口徑 </t>
    </r>
    <r>
      <rPr>
        <sz val="9"/>
        <color rgb="FF595959"/>
        <rFont val="Arial"/>
        <family val="0"/>
        <charset val="1"/>
      </rPr>
      <t xml:space="preserve">1÷</t>
    </r>
    <r>
      <rPr>
        <sz val="9"/>
        <color rgb="FF595959"/>
        <rFont val="Noto Sans CJK SC"/>
        <family val="2"/>
      </rPr>
      <t xml:space="preserve">設施／</t>
    </r>
    <r>
      <rPr>
        <sz val="9"/>
        <color rgb="FF595959"/>
        <rFont val="Arial"/>
        <family val="0"/>
        <charset val="1"/>
      </rPr>
      <t xml:space="preserve">IT</t>
    </r>
    <r>
      <rPr>
        <sz val="9"/>
        <color rgb="FF595959"/>
        <rFont val="Noto Sans CJK SC"/>
        <family val="2"/>
      </rPr>
      <t xml:space="preserve">；折舊年限＝</t>
    </r>
    <r>
      <rPr>
        <sz val="9"/>
        <color rgb="FF595959"/>
        <rFont val="Arial"/>
        <family val="0"/>
        <charset val="1"/>
      </rPr>
      <t xml:space="preserve">IF_DeprLifeIT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v5.26 </t>
    </r>
    <r>
      <rPr>
        <sz val="9"/>
        <color rgb="FF595959"/>
        <rFont val="Noto Sans CJK SC"/>
        <family val="2"/>
      </rPr>
      <t xml:space="preserve">前空白，暫代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區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經濟壽命）</t>
    </r>
  </si>
  <si>
    <r>
      <rPr>
        <sz val="10"/>
        <rFont val="Arial"/>
        <family val="0"/>
        <charset val="1"/>
      </rPr>
      <t xml:space="preserve">TK </t>
    </r>
    <r>
      <rPr>
        <sz val="10"/>
        <rFont val="Noto Sans CJK SC"/>
        <family val="2"/>
      </rPr>
      <t xml:space="preserve">資本與口徑｜</t>
    </r>
    <r>
      <rPr>
        <sz val="10"/>
        <rFont val="Arial"/>
        <family val="0"/>
        <charset val="1"/>
      </rPr>
      <t xml:space="preserve">Hopper H100</t>
    </r>
  </si>
  <si>
    <t xml:space="preserve">H100</t>
  </si>
  <si>
    <r>
      <rPr>
        <sz val="10"/>
        <rFont val="Arial"/>
        <family val="0"/>
        <charset val="1"/>
      </rPr>
      <t xml:space="preserve">TK </t>
    </r>
    <r>
      <rPr>
        <sz val="10"/>
        <rFont val="Noto Sans CJK SC"/>
        <family val="2"/>
      </rPr>
      <t xml:space="preserve">資本與口徑｜</t>
    </r>
    <r>
      <rPr>
        <sz val="10"/>
        <rFont val="Arial"/>
        <family val="0"/>
        <charset val="1"/>
      </rPr>
      <t xml:space="preserve">GB200 NVL72</t>
    </r>
  </si>
  <si>
    <t xml:space="preserve">GB200</t>
  </si>
  <si>
    <r>
      <rPr>
        <sz val="10"/>
        <rFont val="Arial"/>
        <family val="0"/>
        <charset val="1"/>
      </rPr>
      <t xml:space="preserve">TK </t>
    </r>
    <r>
      <rPr>
        <sz val="10"/>
        <rFont val="Noto Sans CJK SC"/>
        <family val="2"/>
      </rPr>
      <t xml:space="preserve">資本與口徑｜</t>
    </r>
    <r>
      <rPr>
        <sz val="10"/>
        <rFont val="Arial"/>
        <family val="0"/>
        <charset val="1"/>
      </rPr>
      <t xml:space="preserve">GB300 NVL72</t>
    </r>
  </si>
  <si>
    <t xml:space="preserve">GB300</t>
  </si>
  <si>
    <r>
      <rPr>
        <sz val="10"/>
        <rFont val="Arial"/>
        <family val="0"/>
        <charset val="1"/>
      </rPr>
      <t xml:space="preserve">TK </t>
    </r>
    <r>
      <rPr>
        <sz val="10"/>
        <rFont val="Noto Sans CJK SC"/>
        <family val="2"/>
      </rPr>
      <t xml:space="preserve">資本與口徑｜</t>
    </r>
    <r>
      <rPr>
        <sz val="10"/>
        <rFont val="Arial"/>
        <family val="0"/>
        <charset val="1"/>
      </rPr>
      <t xml:space="preserve">VR200 NVL72</t>
    </r>
  </si>
  <si>
    <t xml:space="preserve">VR200</t>
  </si>
  <si>
    <r>
      <rPr>
        <sz val="10"/>
        <rFont val="Arial"/>
        <family val="0"/>
        <charset val="1"/>
      </rPr>
      <t xml:space="preserve">TK </t>
    </r>
    <r>
      <rPr>
        <sz val="10"/>
        <rFont val="Noto Sans CJK SC"/>
        <family val="2"/>
      </rPr>
      <t xml:space="preserve">資本與口徑｜</t>
    </r>
    <r>
      <rPr>
        <sz val="10"/>
        <rFont val="Arial"/>
        <family val="0"/>
        <charset val="1"/>
      </rPr>
      <t xml:space="preserve">Rubin Ultra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MGX NVL </t>
    </r>
    <r>
      <rPr>
        <sz val="10"/>
        <rFont val="Noto Sans CJK SC"/>
        <family val="2"/>
      </rPr>
      <t xml:space="preserve">單架，</t>
    </r>
    <r>
      <rPr>
        <sz val="10"/>
        <rFont val="Arial"/>
        <family val="0"/>
        <charset val="1"/>
      </rPr>
      <t xml:space="preserve">72 GPU</t>
    </r>
    <r>
      <rPr>
        <sz val="10"/>
        <rFont val="Noto Sans CJK SC"/>
        <family val="2"/>
      </rPr>
      <t xml:space="preserve">）</t>
    </r>
  </si>
  <si>
    <t xml:space="preserve">RU</t>
  </si>
  <si>
    <r>
      <rPr>
        <b val="true"/>
        <sz val="11"/>
        <color rgb="FFFFFFFF"/>
        <rFont val="Arial"/>
        <family val="0"/>
        <charset val="1"/>
      </rPr>
      <t xml:space="preserve">TK </t>
    </r>
    <r>
      <rPr>
        <b val="true"/>
        <sz val="11"/>
        <color rgb="FFFFFFFF"/>
        <rFont val="Noto Sans CJK SC"/>
        <family val="2"/>
      </rPr>
      <t xml:space="preserve">營運成本（電費、</t>
    </r>
    <r>
      <rPr>
        <b val="true"/>
        <sz val="11"/>
        <color rgb="FFFFFFFF"/>
        <rFont val="Arial"/>
        <family val="0"/>
        <charset val="1"/>
      </rPr>
      <t xml:space="preserve">IT </t>
    </r>
    <r>
      <rPr>
        <b val="true"/>
        <sz val="11"/>
        <color rgb="FFFFFFFF"/>
        <rFont val="Noto Sans CJK SC"/>
        <family val="2"/>
      </rPr>
      <t xml:space="preserve">維護、人員軟體、稅險）</t>
    </r>
  </si>
  <si>
    <t xml:space="preserve">電費</t>
  </si>
  <si>
    <r>
      <rPr>
        <b val="true"/>
        <sz val="11"/>
        <color rgb="FFFFFFFF"/>
        <rFont val="Arial"/>
        <family val="0"/>
        <charset val="1"/>
      </rPr>
      <t xml:space="preserve">IT </t>
    </r>
    <r>
      <rPr>
        <b val="true"/>
        <sz val="11"/>
        <color rgb="FFFFFFFF"/>
        <rFont val="Noto Sans CJK SC"/>
        <family val="2"/>
      </rPr>
      <t xml:space="preserve">維護</t>
    </r>
  </si>
  <si>
    <t xml:space="preserve">人員軟體</t>
  </si>
  <si>
    <r>
      <rPr>
        <b val="true"/>
        <sz val="11"/>
        <color rgb="FFFFFFFF"/>
        <rFont val="Noto Sans CJK SC"/>
        <family val="2"/>
      </rPr>
      <t xml:space="preserve">稅險</t>
    </r>
    <r>
      <rPr>
        <b val="true"/>
        <sz val="11"/>
        <color rgb="FFFFFFFF"/>
        <rFont val="Arial"/>
        <family val="0"/>
        <charset val="1"/>
      </rPr>
      <t xml:space="preserve">×IT</t>
    </r>
    <r>
      <rPr>
        <b val="true"/>
        <sz val="11"/>
        <color rgb="FFFFFFFF"/>
        <rFont val="Noto Sans CJK SC"/>
        <family val="2"/>
      </rPr>
      <t xml:space="preserve">占比</t>
    </r>
  </si>
  <si>
    <r>
      <rPr>
        <sz val="9"/>
        <color rgb="FF595959"/>
        <rFont val="Arial"/>
        <family val="0"/>
        <charset val="1"/>
      </rPr>
      <t xml:space="preserve">US$m</t>
    </r>
    <r>
      <rPr>
        <sz val="9"/>
        <color rgb="FF595959"/>
        <rFont val="Noto Sans CJK SC"/>
        <family val="2"/>
      </rPr>
      <t xml:space="preserve">／公司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／年。電費＝</t>
    </r>
    <r>
      <rPr>
        <sz val="9"/>
        <color rgb="FF595959"/>
        <rFont val="Arial"/>
        <family val="0"/>
        <charset val="1"/>
      </rPr>
      <t xml:space="preserve">IF_PowerCost</t>
    </r>
    <r>
      <rPr>
        <sz val="9"/>
        <color rgb="FF595959"/>
        <rFont val="Noto Sans CJK SC"/>
        <family val="2"/>
      </rPr>
      <t xml:space="preserve">（已含平均用電比與 </t>
    </r>
    <r>
      <rPr>
        <sz val="9"/>
        <color rgb="FF595959"/>
        <rFont val="Arial"/>
        <family val="0"/>
        <charset val="1"/>
      </rPr>
      <t xml:space="preserve">PUE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IT </t>
    </r>
    <r>
      <rPr>
        <sz val="9"/>
        <color rgb="FF595959"/>
        <rFont val="Noto Sans CJK SC"/>
        <family val="2"/>
      </rPr>
      <t xml:space="preserve">維護 </t>
    </r>
    <r>
      <rPr>
        <sz val="9"/>
        <color rgb="FF595959"/>
        <rFont val="Arial"/>
        <family val="0"/>
        <charset val="1"/>
      </rPr>
      <t xml:space="preserve">IF_MaintIT</t>
    </r>
    <r>
      <rPr>
        <sz val="9"/>
        <color rgb="FF595959"/>
        <rFont val="Noto Sans CJK SC"/>
        <family val="2"/>
      </rPr>
      <t xml:space="preserve">、人員軟體 </t>
    </r>
    <r>
      <rPr>
        <sz val="9"/>
        <color rgb="FF595959"/>
        <rFont val="Arial"/>
        <family val="0"/>
        <charset val="1"/>
      </rPr>
      <t xml:space="preserve">IF_StaffSW</t>
    </r>
    <r>
      <rPr>
        <sz val="9"/>
        <color rgb="FF595959"/>
        <rFont val="Noto Sans CJK SC"/>
        <family val="2"/>
      </rPr>
      <t xml:space="preserve">、稅險 </t>
    </r>
    <r>
      <rPr>
        <sz val="9"/>
        <color rgb="FF595959"/>
        <rFont val="Arial"/>
        <family val="0"/>
        <charset val="1"/>
      </rPr>
      <t xml:space="preserve">IF_TaxIns × IT </t>
    </r>
    <r>
      <rPr>
        <sz val="9"/>
        <color rgb="FF595959"/>
        <rFont val="Noto Sans CJK SC"/>
        <family val="2"/>
      </rPr>
      <t xml:space="preserve">資本占總資本比（</t>
    </r>
    <r>
      <rPr>
        <sz val="9"/>
        <color rgb="FF595959"/>
        <rFont val="Arial"/>
        <family val="0"/>
        <charset val="1"/>
      </rPr>
      <t xml:space="preserve">v5.26 </t>
    </r>
    <r>
      <rPr>
        <sz val="9"/>
        <color rgb="FF595959"/>
        <rFont val="Noto Sans CJK SC"/>
        <family val="2"/>
      </rPr>
      <t xml:space="preserve">前空白：</t>
    </r>
    <r>
      <rPr>
        <sz val="9"/>
        <color rgb="FF595959"/>
        <rFont val="Arial"/>
        <family val="0"/>
        <charset val="1"/>
      </rPr>
      <t xml:space="preserve">IT </t>
    </r>
    <r>
      <rPr>
        <sz val="9"/>
        <color rgb="FF595959"/>
        <rFont val="Noto Sans CJK SC"/>
        <family val="2"/>
      </rPr>
      <t xml:space="preserve">維護暫代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區『維護成本』、人員軟體與稅險暫代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</si>
  <si>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TK </t>
    </r>
    <r>
      <rPr>
        <sz val="10"/>
        <rFont val="Noto Sans CJK SC"/>
        <family val="2"/>
      </rPr>
      <t xml:space="preserve">營運成本｜</t>
    </r>
    <r>
      <rPr>
        <sz val="10"/>
        <rFont val="Arial"/>
        <family val="0"/>
        <charset val="1"/>
      </rPr>
      <t xml:space="preserve">Hopper H100</t>
    </r>
  </si>
  <si>
    <r>
      <rPr>
        <sz val="10"/>
        <rFont val="Arial"/>
        <family val="0"/>
        <charset val="1"/>
      </rPr>
      <t xml:space="preserve">TK </t>
    </r>
    <r>
      <rPr>
        <sz val="10"/>
        <rFont val="Noto Sans CJK SC"/>
        <family val="2"/>
      </rPr>
      <t xml:space="preserve">營運成本｜</t>
    </r>
    <r>
      <rPr>
        <sz val="10"/>
        <rFont val="Arial"/>
        <family val="0"/>
        <charset val="1"/>
      </rPr>
      <t xml:space="preserve">GB200 NVL72</t>
    </r>
  </si>
  <si>
    <r>
      <rPr>
        <sz val="10"/>
        <rFont val="Arial"/>
        <family val="0"/>
        <charset val="1"/>
      </rPr>
      <t xml:space="preserve">TK </t>
    </r>
    <r>
      <rPr>
        <sz val="10"/>
        <rFont val="Noto Sans CJK SC"/>
        <family val="2"/>
      </rPr>
      <t xml:space="preserve">營運成本｜</t>
    </r>
    <r>
      <rPr>
        <sz val="10"/>
        <rFont val="Arial"/>
        <family val="0"/>
        <charset val="1"/>
      </rPr>
      <t xml:space="preserve">GB300 NVL72</t>
    </r>
  </si>
  <si>
    <r>
      <rPr>
        <sz val="10"/>
        <rFont val="Arial"/>
        <family val="0"/>
        <charset val="1"/>
      </rPr>
      <t xml:space="preserve">TK </t>
    </r>
    <r>
      <rPr>
        <sz val="10"/>
        <rFont val="Noto Sans CJK SC"/>
        <family val="2"/>
      </rPr>
      <t xml:space="preserve">營運成本｜</t>
    </r>
    <r>
      <rPr>
        <sz val="10"/>
        <rFont val="Arial"/>
        <family val="0"/>
        <charset val="1"/>
      </rPr>
      <t xml:space="preserve">VR200 NVL72</t>
    </r>
  </si>
  <si>
    <r>
      <rPr>
        <sz val="10"/>
        <rFont val="Arial"/>
        <family val="0"/>
        <charset val="1"/>
      </rPr>
      <t xml:space="preserve">TK </t>
    </r>
    <r>
      <rPr>
        <sz val="10"/>
        <rFont val="Noto Sans CJK SC"/>
        <family val="2"/>
      </rPr>
      <t xml:space="preserve">營運成本｜</t>
    </r>
    <r>
      <rPr>
        <sz val="10"/>
        <rFont val="Arial"/>
        <family val="0"/>
        <charset val="1"/>
      </rPr>
      <t xml:space="preserve">Rubin Ultra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MGX NVL </t>
    </r>
    <r>
      <rPr>
        <sz val="10"/>
        <rFont val="Noto Sans CJK SC"/>
        <family val="2"/>
      </rPr>
      <t xml:space="preserve">單架，</t>
    </r>
    <r>
      <rPr>
        <sz val="10"/>
        <rFont val="Arial"/>
        <family val="0"/>
        <charset val="1"/>
      </rPr>
      <t xml:space="preserve">72 GPU</t>
    </r>
    <r>
      <rPr>
        <sz val="10"/>
        <rFont val="Noto Sans CJK SC"/>
        <family val="2"/>
      </rPr>
      <t xml:space="preserve">）</t>
    </r>
  </si>
  <si>
    <r>
      <rPr>
        <b val="true"/>
        <sz val="11"/>
        <color rgb="FFFFFFFF"/>
        <rFont val="Arial"/>
        <family val="0"/>
        <charset val="1"/>
      </rPr>
      <t xml:space="preserve">TK </t>
    </r>
    <r>
      <rPr>
        <b val="true"/>
        <sz val="11"/>
        <color rgb="FFFFFFFF"/>
        <rFont val="Noto Sans CJK SC"/>
        <family val="2"/>
      </rPr>
      <t xml:space="preserve">收入參考（</t>
    </r>
    <r>
      <rPr>
        <b val="true"/>
        <sz val="11"/>
        <color rgb="FFFFFFFF"/>
        <rFont val="Arial"/>
        <family val="0"/>
        <charset val="1"/>
      </rPr>
      <t xml:space="preserve">GPU </t>
    </r>
    <r>
      <rPr>
        <b val="true"/>
        <sz val="11"/>
        <color rgb="FFFFFFFF"/>
        <rFont val="Noto Sans CJK SC"/>
        <family val="2"/>
      </rPr>
      <t xml:space="preserve">數、</t>
    </r>
    <r>
      <rPr>
        <b val="true"/>
        <sz val="11"/>
        <color rgb="FFFFFFFF"/>
        <rFont val="Arial"/>
        <family val="0"/>
        <charset val="1"/>
      </rPr>
      <t xml:space="preserve">GPU </t>
    </r>
    <r>
      <rPr>
        <b val="true"/>
        <sz val="11"/>
        <color rgb="FFFFFFFF"/>
        <rFont val="Noto Sans CJK SC"/>
        <family val="2"/>
      </rPr>
      <t xml:space="preserve">小時持有成本、經濟持有成本、</t>
    </r>
    <r>
      <rPr>
        <b val="true"/>
        <sz val="11"/>
        <color rgb="FFFFFFFF"/>
        <rFont val="Arial"/>
        <family val="0"/>
        <charset val="1"/>
      </rPr>
      <t xml:space="preserve">GPU </t>
    </r>
    <r>
      <rPr>
        <b val="true"/>
        <sz val="11"/>
        <color rgb="FFFFFFFF"/>
        <rFont val="Noto Sans CJK SC"/>
        <family val="2"/>
      </rPr>
      <t xml:space="preserve">小時合約價）</t>
    </r>
  </si>
  <si>
    <r>
      <rPr>
        <b val="true"/>
        <sz val="11"/>
        <color rgb="FFFFFFFF"/>
        <rFont val="Arial"/>
        <family val="0"/>
        <charset val="1"/>
      </rPr>
      <t xml:space="preserve">GPU</t>
    </r>
    <r>
      <rPr>
        <b val="true"/>
        <sz val="11"/>
        <color rgb="FFFFFFFF"/>
        <rFont val="Noto Sans CJK SC"/>
        <family val="2"/>
      </rPr>
      <t xml:space="preserve">／</t>
    </r>
    <r>
      <rPr>
        <b val="true"/>
        <sz val="11"/>
        <color rgb="FFFFFFFF"/>
        <rFont val="Arial"/>
        <family val="0"/>
        <charset val="1"/>
      </rPr>
      <t xml:space="preserve">MW</t>
    </r>
  </si>
  <si>
    <r>
      <rPr>
        <b val="true"/>
        <sz val="11"/>
        <color rgb="FFFFFFFF"/>
        <rFont val="Arial"/>
        <family val="0"/>
        <charset val="1"/>
      </rPr>
      <t xml:space="preserve">GPU </t>
    </r>
    <r>
      <rPr>
        <b val="true"/>
        <sz val="11"/>
        <color rgb="FFFFFFFF"/>
        <rFont val="Noto Sans CJK SC"/>
        <family val="2"/>
      </rPr>
      <t xml:space="preserve">時成本</t>
    </r>
  </si>
  <si>
    <t xml:space="preserve">持有成本</t>
  </si>
  <si>
    <t xml:space="preserve">合約價</t>
  </si>
  <si>
    <r>
      <rPr>
        <sz val="9"/>
        <color rgb="FF595959"/>
        <rFont val="Arial"/>
        <family val="0"/>
        <charset val="1"/>
      </rPr>
      <t xml:space="preserve">GPU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IF_GPUsPerGW ÷ 1000 × MW </t>
    </r>
    <r>
      <rPr>
        <sz val="9"/>
        <color rgb="FF595959"/>
        <rFont val="Noto Sans CJK SC"/>
        <family val="2"/>
      </rPr>
      <t xml:space="preserve">換算（顆）；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時成本＝</t>
    </r>
    <r>
      <rPr>
        <sz val="9"/>
        <color rgb="FF595959"/>
        <rFont val="Arial"/>
        <family val="0"/>
        <charset val="1"/>
      </rPr>
      <t xml:space="preserve">IF_GPUhrEcon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US$/GPU-hr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時數、不含利潤）；持有成本＝</t>
    </r>
    <r>
      <rPr>
        <sz val="9"/>
        <color rgb="FF595959"/>
        <rFont val="Arial"/>
        <family val="0"/>
        <charset val="1"/>
      </rPr>
      <t xml:space="preserve">IF_HoldEcon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US$m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／年，含廠房資本回收）；合約價＝</t>
    </r>
    <r>
      <rPr>
        <sz val="9"/>
        <color rgb="FF595959"/>
        <rFont val="Arial"/>
        <family val="0"/>
        <charset val="1"/>
      </rPr>
      <t xml:space="preserve">company.json → pricing.gpuHr</t>
    </r>
    <r>
      <rPr>
        <sz val="9"/>
        <color rgb="FF595959"/>
        <rFont val="Noto Sans CJK SC"/>
        <family val="2"/>
      </rPr>
      <t xml:space="preserve">（空白＝不適用）</t>
    </r>
  </si>
  <si>
    <r>
      <rPr>
        <sz val="10"/>
        <rFont val="Arial"/>
        <family val="0"/>
        <charset val="1"/>
      </rPr>
      <t xml:space="preserve">TK </t>
    </r>
    <r>
      <rPr>
        <sz val="10"/>
        <rFont val="Noto Sans CJK SC"/>
        <family val="2"/>
      </rPr>
      <t xml:space="preserve">收入參考｜</t>
    </r>
    <r>
      <rPr>
        <sz val="10"/>
        <rFont val="Arial"/>
        <family val="0"/>
        <charset val="1"/>
      </rPr>
      <t xml:space="preserve">Hopper H100</t>
    </r>
  </si>
  <si>
    <r>
      <rPr>
        <sz val="10"/>
        <rFont val="Arial"/>
        <family val="0"/>
        <charset val="1"/>
      </rPr>
      <t xml:space="preserve">TK </t>
    </r>
    <r>
      <rPr>
        <sz val="10"/>
        <rFont val="Noto Sans CJK SC"/>
        <family val="2"/>
      </rPr>
      <t xml:space="preserve">收入參考｜</t>
    </r>
    <r>
      <rPr>
        <sz val="10"/>
        <rFont val="Arial"/>
        <family val="0"/>
        <charset val="1"/>
      </rPr>
      <t xml:space="preserve">GB200 NVL72</t>
    </r>
  </si>
  <si>
    <r>
      <rPr>
        <sz val="10"/>
        <rFont val="Arial"/>
        <family val="0"/>
        <charset val="1"/>
      </rPr>
      <t xml:space="preserve">TK </t>
    </r>
    <r>
      <rPr>
        <sz val="10"/>
        <rFont val="Noto Sans CJK SC"/>
        <family val="2"/>
      </rPr>
      <t xml:space="preserve">收入參考｜</t>
    </r>
    <r>
      <rPr>
        <sz val="10"/>
        <rFont val="Arial"/>
        <family val="0"/>
        <charset val="1"/>
      </rPr>
      <t xml:space="preserve">GB300 NVL72</t>
    </r>
  </si>
  <si>
    <r>
      <rPr>
        <sz val="10"/>
        <rFont val="Arial"/>
        <family val="0"/>
        <charset val="1"/>
      </rPr>
      <t xml:space="preserve">TK </t>
    </r>
    <r>
      <rPr>
        <sz val="10"/>
        <rFont val="Noto Sans CJK SC"/>
        <family val="2"/>
      </rPr>
      <t xml:space="preserve">收入參考｜</t>
    </r>
    <r>
      <rPr>
        <sz val="10"/>
        <rFont val="Arial"/>
        <family val="0"/>
        <charset val="1"/>
      </rPr>
      <t xml:space="preserve">VR200 NVL72</t>
    </r>
  </si>
  <si>
    <r>
      <rPr>
        <sz val="10"/>
        <rFont val="Arial"/>
        <family val="0"/>
        <charset val="1"/>
      </rPr>
      <t xml:space="preserve">TK </t>
    </r>
    <r>
      <rPr>
        <sz val="10"/>
        <rFont val="Noto Sans CJK SC"/>
        <family val="2"/>
      </rPr>
      <t xml:space="preserve">收入參考｜</t>
    </r>
    <r>
      <rPr>
        <sz val="10"/>
        <rFont val="Arial"/>
        <family val="0"/>
        <charset val="1"/>
      </rPr>
      <t xml:space="preserve">Rubin Ultra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MGX NVL </t>
    </r>
    <r>
      <rPr>
        <sz val="10"/>
        <rFont val="Noto Sans CJK SC"/>
        <family val="2"/>
      </rPr>
      <t xml:space="preserve">單架，</t>
    </r>
    <r>
      <rPr>
        <sz val="10"/>
        <rFont val="Arial"/>
        <family val="0"/>
        <charset val="1"/>
      </rPr>
      <t xml:space="preserve">72 GPU</t>
    </r>
    <r>
      <rPr>
        <sz val="10"/>
        <rFont val="Noto Sans CJK SC"/>
        <family val="2"/>
      </rPr>
      <t xml:space="preserve">）</t>
    </r>
  </si>
  <si>
    <r>
      <rPr>
        <b val="true"/>
        <sz val="11"/>
        <color rgb="FFFFFFFF"/>
        <rFont val="Noto Sans CJK SC"/>
        <family val="2"/>
      </rPr>
      <t xml:space="preserve">定價倍數 </t>
    </r>
    <r>
      <rPr>
        <b val="true"/>
        <sz val="11"/>
        <color rgb="FFFFFFFF"/>
        <rFont val="Arial"/>
        <family val="0"/>
        <charset val="1"/>
      </rPr>
      <t xml:space="preserve">k</t>
    </r>
    <r>
      <rPr>
        <b val="true"/>
        <sz val="11"/>
        <color rgb="FFFFFFFF"/>
        <rFont val="Noto Sans CJK SC"/>
        <family val="2"/>
      </rPr>
      <t xml:space="preserve">（</t>
    </r>
    <r>
      <rPr>
        <b val="true"/>
        <sz val="11"/>
        <color rgb="FFFFFFFF"/>
        <rFont val="Arial"/>
        <family val="0"/>
        <charset val="1"/>
      </rPr>
      <t xml:space="preserve">W4</t>
    </r>
    <r>
      <rPr>
        <b val="true"/>
        <sz val="11"/>
        <color rgb="FFFFFFFF"/>
        <rFont val="Noto Sans CJK SC"/>
        <family val="2"/>
      </rPr>
      <t xml:space="preserve">；</t>
    </r>
    <r>
      <rPr>
        <b val="true"/>
        <sz val="11"/>
        <color rgb="FFFFFFFF"/>
        <rFont val="Arial"/>
        <family val="0"/>
        <charset val="1"/>
      </rPr>
      <t xml:space="preserve">Tokenomics </t>
    </r>
    <r>
      <rPr>
        <b val="true"/>
        <sz val="11"/>
        <color rgb="FFFFFFFF"/>
        <rFont val="Noto Sans CJK SC"/>
        <family val="2"/>
      </rPr>
      <t xml:space="preserve">錨的公司因素）</t>
    </r>
  </si>
  <si>
    <r>
      <rPr>
        <sz val="10"/>
        <rFont val="Noto Sans CJK SC"/>
        <family val="2"/>
      </rPr>
      <t xml:space="preserve">定價倍數 </t>
    </r>
    <r>
      <rPr>
        <sz val="10"/>
        <rFont val="Arial"/>
        <family val="0"/>
        <charset val="1"/>
      </rPr>
      <t xml:space="preserve">k_</t>
    </r>
    <r>
      <rPr>
        <sz val="10"/>
        <rFont val="Noto Sans CJK SC"/>
        <family val="2"/>
      </rPr>
      <t xml:space="preserve">長約（市場長約價 </t>
    </r>
    <r>
      <rPr>
        <sz val="10"/>
        <rFont val="Arial"/>
        <family val="0"/>
        <charset val="1"/>
      </rPr>
      <t xml:space="preserve">÷ Tokenomics </t>
    </r>
    <r>
      <rPr>
        <sz val="10"/>
        <rFont val="Noto Sans CJK SC"/>
        <family val="2"/>
      </rPr>
      <t xml:space="preserve">同世代持有成本）</t>
    </r>
  </si>
  <si>
    <t xml:space="preserve">倍</t>
  </si>
  <si>
    <r>
      <rPr>
        <sz val="9"/>
        <color rgb="FF595959"/>
        <rFont val="Arial"/>
        <family val="0"/>
        <charset val="1"/>
      </rPr>
      <t xml:space="preserve">company.json → pricing.anchorMultiple.long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0.7–1 [Analogy]</t>
    </r>
    <r>
      <rPr>
        <sz val="9"/>
        <color rgb="FF595959"/>
        <rFont val="Noto Sans CJK SC"/>
        <family val="2"/>
      </rPr>
      <t xml:space="preserve">；證據見『每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經濟性』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證據表（不以公司營收、</t>
    </r>
    <r>
      <rPr>
        <sz val="9"/>
        <color rgb="FF595959"/>
        <rFont val="Arial"/>
        <family val="0"/>
        <charset val="1"/>
      </rPr>
      <t xml:space="preserve">ARR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Noto Sans CJK SC"/>
        <family val="2"/>
      </rPr>
      <t xml:space="preserve">金額反推）</t>
    </r>
  </si>
  <si>
    <r>
      <rPr>
        <sz val="10"/>
        <rFont val="Noto Sans CJK SC"/>
        <family val="2"/>
      </rPr>
      <t xml:space="preserve">定價倍數 </t>
    </r>
    <r>
      <rPr>
        <sz val="10"/>
        <rFont val="Arial"/>
        <family val="0"/>
        <charset val="1"/>
      </rPr>
      <t xml:space="preserve">k_</t>
    </r>
    <r>
      <rPr>
        <sz val="10"/>
        <rFont val="Noto Sans CJK SC"/>
        <family val="2"/>
      </rPr>
      <t xml:space="preserve">現貨（市場現貨價 </t>
    </r>
    <r>
      <rPr>
        <sz val="10"/>
        <rFont val="Arial"/>
        <family val="0"/>
        <charset val="1"/>
      </rPr>
      <t xml:space="preserve">÷ Tokenomics </t>
    </r>
    <r>
      <rPr>
        <sz val="10"/>
        <rFont val="Noto Sans CJK SC"/>
        <family val="2"/>
      </rPr>
      <t xml:space="preserve">同世代持有成本）</t>
    </r>
  </si>
  <si>
    <r>
      <rPr>
        <sz val="9"/>
        <color rgb="FF595959"/>
        <rFont val="Arial"/>
        <family val="0"/>
        <charset val="1"/>
      </rPr>
      <t xml:space="preserve">company.json → pricing.anchorMultiple.spot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1.5–2.3 [Analogy]</t>
    </r>
  </si>
  <si>
    <r>
      <rPr>
        <sz val="10"/>
        <rFont val="Noto Sans CJK SC"/>
        <family val="2"/>
      </rPr>
      <t xml:space="preserve">長約占比調整（百分點；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涵蓋估計）</t>
    </r>
  </si>
  <si>
    <r>
      <rPr>
        <sz val="9"/>
        <color rgb="FF595959"/>
        <rFont val="Noto Sans CJK SC"/>
        <family val="2"/>
      </rPr>
      <t xml:space="preserve">長約占比＝</t>
    </r>
    <r>
      <rPr>
        <sz val="9"/>
        <color rgb="FF595959"/>
        <rFont val="Arial"/>
        <family val="0"/>
        <charset val="1"/>
      </rPr>
      <t xml:space="preserve">MIN(1, MAX(0, RPO </t>
    </r>
    <r>
      <rPr>
        <sz val="9"/>
        <color rgb="FF595959"/>
        <rFont val="Noto Sans CJK SC"/>
        <family val="2"/>
      </rPr>
      <t xml:space="preserve">涵蓋的產能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在役計費產能 ＋ 本格</t>
    </r>
    <r>
      <rPr>
        <sz val="9"/>
        <color rgb="FF595959"/>
        <rFont val="Arial"/>
        <family val="0"/>
        <charset val="1"/>
      </rPr>
      <t xml:space="preserve">))</t>
    </r>
    <r>
      <rPr>
        <sz val="9"/>
        <color rgb="FF595959"/>
        <rFont val="Noto Sans CJK SC"/>
        <family val="2"/>
      </rPr>
      <t xml:space="preserve">；敏感度用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</si>
  <si>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b val="true"/>
        <sz val="11"/>
        <color rgb="FFFFFFFF"/>
        <rFont val="Arial"/>
        <family val="0"/>
        <charset val="1"/>
      </rPr>
      <t xml:space="preserve">TK </t>
    </r>
    <r>
      <rPr>
        <b val="true"/>
        <sz val="11"/>
        <color rgb="FFFFFFFF"/>
        <rFont val="Noto Sans CJK SC"/>
        <family val="2"/>
      </rPr>
      <t xml:space="preserve">收入上限（客戶每 </t>
    </r>
    <r>
      <rPr>
        <b val="true"/>
        <sz val="11"/>
        <color rgb="FFFFFFFF"/>
        <rFont val="Arial"/>
        <family val="0"/>
        <charset val="1"/>
      </rPr>
      <t xml:space="preserve">GW </t>
    </r>
    <r>
      <rPr>
        <b val="true"/>
        <sz val="11"/>
        <color rgb="FFFFFFFF"/>
        <rFont val="Noto Sans CJK SC"/>
        <family val="2"/>
      </rPr>
      <t xml:space="preserve">付費 </t>
    </r>
    <r>
      <rPr>
        <b val="true"/>
        <sz val="11"/>
        <color rgb="FFFFFFFF"/>
        <rFont val="Arial"/>
        <family val="0"/>
        <charset val="1"/>
      </rPr>
      <t xml:space="preserve">token </t>
    </r>
    <r>
      <rPr>
        <b val="true"/>
        <sz val="11"/>
        <color rgb="FFFFFFFF"/>
        <rFont val="Noto Sans CJK SC"/>
        <family val="2"/>
      </rPr>
      <t xml:space="preserve">營收）</t>
    </r>
  </si>
  <si>
    <r>
      <rPr>
        <b val="true"/>
        <sz val="11"/>
        <color rgb="FFFFFFFF"/>
        <rFont val="Arial"/>
        <family val="0"/>
        <charset val="1"/>
      </rPr>
      <t xml:space="preserve">token </t>
    </r>
    <r>
      <rPr>
        <b val="true"/>
        <sz val="11"/>
        <color rgb="FFFFFFFF"/>
        <rFont val="Noto Sans CJK SC"/>
        <family val="2"/>
      </rPr>
      <t xml:space="preserve">營收</t>
    </r>
  </si>
  <si>
    <r>
      <rPr>
        <sz val="9"/>
        <color rgb="FF595959"/>
        <rFont val="Arial"/>
        <family val="0"/>
        <charset val="1"/>
      </rPr>
      <t xml:space="preserve">US$m</t>
    </r>
    <r>
      <rPr>
        <sz val="9"/>
        <color rgb="FF595959"/>
        <rFont val="Noto Sans CJK SC"/>
        <family val="2"/>
      </rPr>
      <t xml:space="preserve">／公司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／年＝</t>
    </r>
    <r>
      <rPr>
        <sz val="9"/>
        <color rgb="FF595959"/>
        <rFont val="Arial"/>
        <family val="0"/>
        <charset val="1"/>
      </rPr>
      <t xml:space="preserve">IF_RevGWFleet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有效單價、層級組合的理想上限；</t>
    </r>
    <r>
      <rPr>
        <sz val="9"/>
        <color rgb="FF595959"/>
        <rFont val="Arial"/>
        <family val="0"/>
        <charset val="1"/>
      </rPr>
      <t xml:space="preserve">× MW </t>
    </r>
    <r>
      <rPr>
        <sz val="9"/>
        <color rgb="FF595959"/>
        <rFont val="Noto Sans CJK SC"/>
        <family val="2"/>
      </rPr>
      <t xml:space="preserve">換算）。收入上限檢查：</t>
    </r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計費收入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本欄（快照沒有此名稱時空白＝不適用）</t>
    </r>
  </si>
  <si>
    <r>
      <rPr>
        <sz val="10"/>
        <rFont val="Arial"/>
        <family val="0"/>
        <charset val="1"/>
      </rPr>
      <t xml:space="preserve">TK </t>
    </r>
    <r>
      <rPr>
        <sz val="10"/>
        <rFont val="Noto Sans CJK SC"/>
        <family val="2"/>
      </rPr>
      <t xml:space="preserve">收入上限｜</t>
    </r>
    <r>
      <rPr>
        <sz val="10"/>
        <rFont val="Arial"/>
        <family val="0"/>
        <charset val="1"/>
      </rPr>
      <t xml:space="preserve">Hopper H100</t>
    </r>
  </si>
  <si>
    <r>
      <rPr>
        <sz val="10"/>
        <rFont val="Arial"/>
        <family val="0"/>
        <charset val="1"/>
      </rPr>
      <t xml:space="preserve">TK </t>
    </r>
    <r>
      <rPr>
        <sz val="10"/>
        <rFont val="Noto Sans CJK SC"/>
        <family val="2"/>
      </rPr>
      <t xml:space="preserve">收入上限｜</t>
    </r>
    <r>
      <rPr>
        <sz val="10"/>
        <rFont val="Arial"/>
        <family val="0"/>
        <charset val="1"/>
      </rPr>
      <t xml:space="preserve">GB200 NVL72</t>
    </r>
  </si>
  <si>
    <r>
      <rPr>
        <sz val="10"/>
        <rFont val="Arial"/>
        <family val="0"/>
        <charset val="1"/>
      </rPr>
      <t xml:space="preserve">TK </t>
    </r>
    <r>
      <rPr>
        <sz val="10"/>
        <rFont val="Noto Sans CJK SC"/>
        <family val="2"/>
      </rPr>
      <t xml:space="preserve">收入上限｜</t>
    </r>
    <r>
      <rPr>
        <sz val="10"/>
        <rFont val="Arial"/>
        <family val="0"/>
        <charset val="1"/>
      </rPr>
      <t xml:space="preserve">GB300 NVL72</t>
    </r>
  </si>
  <si>
    <r>
      <rPr>
        <sz val="10"/>
        <rFont val="Arial"/>
        <family val="0"/>
        <charset val="1"/>
      </rPr>
      <t xml:space="preserve">TK </t>
    </r>
    <r>
      <rPr>
        <sz val="10"/>
        <rFont val="Noto Sans CJK SC"/>
        <family val="2"/>
      </rPr>
      <t xml:space="preserve">收入上限｜</t>
    </r>
    <r>
      <rPr>
        <sz val="10"/>
        <rFont val="Arial"/>
        <family val="0"/>
        <charset val="1"/>
      </rPr>
      <t xml:space="preserve">VR200 NVL72</t>
    </r>
  </si>
  <si>
    <r>
      <rPr>
        <sz val="10"/>
        <rFont val="Arial"/>
        <family val="0"/>
        <charset val="1"/>
      </rPr>
      <t xml:space="preserve">TK </t>
    </r>
    <r>
      <rPr>
        <sz val="10"/>
        <rFont val="Noto Sans CJK SC"/>
        <family val="2"/>
      </rPr>
      <t xml:space="preserve">收入上限｜</t>
    </r>
    <r>
      <rPr>
        <sz val="10"/>
        <rFont val="Arial"/>
        <family val="0"/>
        <charset val="1"/>
      </rPr>
      <t xml:space="preserve">Rubin Ultra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MGX NVL </t>
    </r>
    <r>
      <rPr>
        <sz val="10"/>
        <rFont val="Noto Sans CJK SC"/>
        <family val="2"/>
      </rPr>
      <t xml:space="preserve">單架，</t>
    </r>
    <r>
      <rPr>
        <sz val="10"/>
        <rFont val="Arial"/>
        <family val="0"/>
        <charset val="1"/>
      </rPr>
      <t xml:space="preserve">72 GPU</t>
    </r>
    <r>
      <rPr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</si>
  <si>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｜利潤率（</t>
    </r>
    <r>
      <rPr>
        <b val="true"/>
        <sz val="10"/>
        <rFont val="Arial"/>
        <family val="0"/>
        <charset val="1"/>
      </rPr>
      <t xml:space="preserve">EBITDA </t>
    </r>
    <r>
      <rPr>
        <b val="true"/>
        <sz val="10"/>
        <rFont val="Noto Sans CJK SC"/>
        <family val="2"/>
      </rPr>
      <t xml:space="preserve">率單一來源；損益與資金共用）</t>
    </r>
  </si>
  <si>
    <r>
      <rPr>
        <sz val="10"/>
        <rFont val="Noto Sans CJK SC"/>
        <family val="2"/>
      </rPr>
      <t xml:space="preserve">起始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率（</t>
    </r>
    <r>
      <rPr>
        <sz val="10"/>
        <rFont val="Arial"/>
        <family val="0"/>
        <charset val="1"/>
      </rPr>
      <t xml:space="preserve">FY26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</si>
  <si>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W2 </t>
    </r>
    <r>
      <rPr>
        <sz val="9"/>
        <color rgb="FF595959"/>
        <rFont val="Noto Sans CJK SC"/>
        <family val="2"/>
      </rPr>
      <t xml:space="preserve">由下而上模式下不使用（保留為舊方法對照）</t>
    </r>
  </si>
  <si>
    <r>
      <rPr>
        <sz val="10"/>
        <rFont val="Noto Sans CJK SC"/>
        <family val="2"/>
      </rPr>
      <t xml:space="preserve">穩態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率（</t>
    </r>
    <r>
      <rPr>
        <sz val="10"/>
        <rFont val="Arial"/>
        <family val="0"/>
        <charset val="1"/>
      </rPr>
      <t xml:space="preserve">FY30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</si>
  <si>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W2 </t>
    </r>
    <r>
      <rPr>
        <sz val="9"/>
        <color rgb="FF595959"/>
        <rFont val="Noto Sans CJK SC"/>
        <family val="2"/>
      </rPr>
      <t xml:space="preserve">由下而上：預設＝由下而上 </t>
    </r>
    <r>
      <rPr>
        <sz val="9"/>
        <color rgb="FF595959"/>
        <rFont val="Arial"/>
        <family val="0"/>
        <charset val="1"/>
      </rPr>
      <t xml:space="preserve">FY30 EBITDA </t>
    </r>
    <r>
      <rPr>
        <sz val="9"/>
        <color rgb="FF595959"/>
        <rFont val="Noto Sans CJK SC"/>
        <family val="2"/>
      </rPr>
      <t xml:space="preserve">率（公式）；改成數值即為 </t>
    </r>
    <r>
      <rPr>
        <sz val="9"/>
        <color rgb="FF595959"/>
        <rFont val="Arial"/>
        <family val="0"/>
        <charset val="1"/>
      </rPr>
      <t xml:space="preserve">FY30 </t>
    </r>
    <r>
      <rPr>
        <sz val="9"/>
        <color rgb="FF595959"/>
        <rFont val="Noto Sans CJK SC"/>
        <family val="2"/>
      </rPr>
      <t xml:space="preserve">目標，差額線性分攤到各期（反向 </t>
    </r>
    <r>
      <rPr>
        <sz val="9"/>
        <color rgb="FF595959"/>
        <rFont val="Arial"/>
        <family val="0"/>
        <charset val="1"/>
      </rPr>
      <t xml:space="preserve">DCF</t>
    </r>
    <r>
      <rPr>
        <sz val="9"/>
        <color rgb="FF595959"/>
        <rFont val="Noto Sans CJK SC"/>
        <family val="2"/>
      </rPr>
      <t xml:space="preserve">、敏感度用）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</si>
  <si>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</si>
  <si>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r>
      <rPr>
        <sz val="9"/>
        <color rgb="FF595959"/>
        <rFont val="Arial"/>
        <family val="0"/>
        <charset val="1"/>
      </rPr>
      <t xml:space="preserve">W2 </t>
    </r>
    <r>
      <rPr>
        <sz val="9"/>
        <color rgb="FF595959"/>
        <rFont val="Noto Sans CJK SC"/>
        <family val="2"/>
      </rPr>
      <t xml:space="preserve">由下而上：＝『每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經濟性』由下而上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率＋（穩態 − 由下而上 </t>
    </r>
    <r>
      <rPr>
        <sz val="9"/>
        <color rgb="FF595959"/>
        <rFont val="Arial"/>
        <family val="0"/>
        <charset val="1"/>
      </rPr>
      <t xml:space="preserve">FY30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期數 </t>
    </r>
    <r>
      <rPr>
        <sz val="9"/>
        <color rgb="FF595959"/>
        <rFont val="Arial"/>
        <family val="0"/>
        <charset val="1"/>
      </rPr>
      <t xml:space="preserve">÷ 4</t>
    </r>
    <r>
      <rPr>
        <sz val="9"/>
        <color rgb="FF595959"/>
        <rFont val="Noto Sans CJK SC"/>
        <family val="2"/>
      </rPr>
      <t xml:space="preserve">（公式）</t>
    </r>
  </si>
  <si>
    <t xml:space="preserve">非算力服務現金</t>
  </si>
  <si>
    <r>
      <rPr>
        <sz val="9"/>
        <color rgb="FF595959"/>
        <rFont val="Noto Sans CJK SC"/>
        <family val="2"/>
      </rPr>
      <t xml:space="preserve">＝服務營收 </t>
    </r>
    <r>
      <rPr>
        <sz val="9"/>
        <color rgb="FF595959"/>
        <rFont val="Arial"/>
        <family val="0"/>
        <charset val="1"/>
      </rPr>
      <t xml:space="preserve">× EBITDAR </t>
    </r>
    <r>
      <rPr>
        <sz val="9"/>
        <color rgb="FF595959"/>
        <rFont val="Noto Sans CJK SC"/>
        <family val="2"/>
      </rPr>
      <t xml:space="preserve">率（公式）</t>
    </r>
  </si>
  <si>
    <r>
      <rPr>
        <b val="true"/>
        <sz val="10"/>
        <color rgb="FF1F3864"/>
        <rFont val="Noto Sans CJK SC"/>
        <family val="2"/>
      </rPr>
      <t xml:space="preserve">▸ 電力／維護 </t>
    </r>
    <r>
      <rPr>
        <b val="true"/>
        <sz val="10"/>
        <color rgb="FF1F3864"/>
        <rFont val="Arial"/>
        <family val="0"/>
        <charset val="1"/>
      </rPr>
      <t xml:space="preserve">overlay</t>
    </r>
    <r>
      <rPr>
        <b val="true"/>
        <sz val="10"/>
        <color rgb="FF1F3864"/>
        <rFont val="Noto Sans CJK SC"/>
        <family val="2"/>
      </rPr>
      <t xml:space="preserve">（預設關閉；</t>
    </r>
    <r>
      <rPr>
        <b val="true"/>
        <sz val="10"/>
        <color rgb="FF1F3864"/>
        <rFont val="Arial"/>
        <family val="0"/>
        <charset val="1"/>
      </rPr>
      <t xml:space="preserve">EBITDA </t>
    </r>
    <r>
      <rPr>
        <b val="true"/>
        <sz val="10"/>
        <color rgb="FF1F3864"/>
        <rFont val="Noto Sans CJK SC"/>
        <family val="2"/>
      </rPr>
      <t xml:space="preserve">已含電費）</t>
    </r>
  </si>
  <si>
    <r>
      <rPr>
        <sz val="10"/>
        <rFont val="Noto Sans CJK SC"/>
        <family val="2"/>
      </rPr>
      <t xml:space="preserve">電力／維護 </t>
    </r>
    <r>
      <rPr>
        <sz val="10"/>
        <rFont val="Arial"/>
        <family val="0"/>
        <charset val="1"/>
      </rPr>
      <t xml:space="preserve">overlay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1=</t>
    </r>
    <r>
      <rPr>
        <sz val="10"/>
        <rFont val="Noto Sans CJK SC"/>
        <family val="2"/>
      </rPr>
      <t xml:space="preserve">開）</t>
    </r>
  </si>
  <si>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率已含電費，開啟會重複扣除，僅供壓力測試</t>
    </r>
  </si>
  <si>
    <t xml:space="preserve">電價</t>
  </si>
  <si>
    <t xml:space="preserve">$/MWh</t>
  </si>
  <si>
    <r>
      <rPr>
        <sz val="9"/>
        <color rgb="FF595959"/>
        <rFont val="Arial"/>
        <family val="0"/>
        <charset val="1"/>
      </rPr>
      <t xml:space="preserve">overlay </t>
    </r>
    <r>
      <rPr>
        <sz val="9"/>
        <color rgb="FF595959"/>
        <rFont val="Noto Sans CJK SC"/>
        <family val="2"/>
      </rPr>
      <t xml:space="preserve">用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</si>
  <si>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PUE</t>
  </si>
  <si>
    <t xml:space="preserve">維護成本</t>
  </si>
  <si>
    <t xml:space="preserve">US$m/MW</t>
  </si>
  <si>
    <r>
      <rPr>
        <b val="true"/>
        <sz val="10"/>
        <color rgb="FF1F3864"/>
        <rFont val="Noto Sans CJK SC"/>
        <family val="2"/>
      </rPr>
      <t xml:space="preserve">▸ 由下而上營運成本輸入（</t>
    </r>
    <r>
      <rPr>
        <b val="true"/>
        <sz val="10"/>
        <color rgb="FF1F3864"/>
        <rFont val="Arial"/>
        <family val="0"/>
        <charset val="1"/>
      </rPr>
      <t xml:space="preserve">W2</t>
    </r>
    <r>
      <rPr>
        <b val="true"/>
        <sz val="10"/>
        <color rgb="FF1F3864"/>
        <rFont val="Noto Sans CJK SC"/>
        <family val="2"/>
      </rPr>
      <t xml:space="preserve">；最近一季 </t>
    </r>
    <r>
      <rPr>
        <b val="true"/>
        <sz val="10"/>
        <color rgb="FF1F3864"/>
        <rFont val="Arial"/>
        <family val="0"/>
        <charset val="1"/>
      </rPr>
      <t xml:space="preserve">10-Q</t>
    </r>
    <r>
      <rPr>
        <b val="true"/>
        <sz val="10"/>
        <color rgb="FF1F3864"/>
        <rFont val="Noto Sans CJK SC"/>
        <family val="2"/>
      </rPr>
      <t xml:space="preserve">，公司專屬）</t>
    </r>
  </si>
  <si>
    <t xml:space="preserve">最近一季營收</t>
  </si>
  <si>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損益表 </t>
    </r>
    <r>
      <rPr>
        <sz val="9"/>
        <color rgb="FF595959"/>
        <rFont val="Arial"/>
        <family val="0"/>
        <charset val="1"/>
      </rPr>
      <t xml:space="preserve">[Verified]</t>
    </r>
  </si>
  <si>
    <t xml:space="preserve">最近一季營收成本</t>
  </si>
  <si>
    <t xml:space="preserve">最近一季技術與基礎設施</t>
  </si>
  <si>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損益表；</t>
    </r>
    <r>
      <rPr>
        <sz val="9"/>
        <color rgb="FF595959"/>
        <rFont val="Arial"/>
        <family val="0"/>
        <charset val="1"/>
      </rPr>
      <t xml:space="preserve">D&amp;A </t>
    </r>
    <r>
      <rPr>
        <sz val="9"/>
        <color rgb="FF595959"/>
        <rFont val="Noto Sans CJK SC"/>
        <family val="2"/>
      </rPr>
      <t xml:space="preserve">主要在此列 </t>
    </r>
    <r>
      <rPr>
        <sz val="9"/>
        <color rgb="FF595959"/>
        <rFont val="Arial"/>
        <family val="0"/>
        <charset val="1"/>
      </rPr>
      <t xml:space="preserve">[Verified]</t>
    </r>
  </si>
  <si>
    <t xml:space="preserve">最近一季銷售行銷</t>
  </si>
  <si>
    <r>
      <rPr>
        <sz val="10"/>
        <rFont val="Noto Sans CJK SC"/>
        <family val="2"/>
      </rPr>
      <t xml:space="preserve">　其中 </t>
    </r>
    <r>
      <rPr>
        <sz val="10"/>
        <rFont val="Arial"/>
        <family val="0"/>
        <charset val="1"/>
      </rPr>
      <t xml:space="preserve">SBC</t>
    </r>
    <r>
      <rPr>
        <sz val="10"/>
        <rFont val="Noto Sans CJK SC"/>
        <family val="2"/>
      </rPr>
      <t xml:space="preserve">（銷售行銷）</t>
    </r>
  </si>
  <si>
    <r>
      <rPr>
        <sz val="9"/>
        <color rgb="FF595959"/>
        <rFont val="Arial"/>
        <family val="0"/>
        <charset val="1"/>
      </rPr>
      <t xml:space="preserve">10-Q SBC </t>
    </r>
    <r>
      <rPr>
        <sz val="9"/>
        <color rgb="FF595959"/>
        <rFont val="Noto Sans CJK SC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[Verified]</t>
    </r>
  </si>
  <si>
    <t xml:space="preserve">最近一季一般管理</t>
  </si>
  <si>
    <r>
      <rPr>
        <sz val="10"/>
        <rFont val="Noto Sans CJK SC"/>
        <family val="2"/>
      </rPr>
      <t xml:space="preserve">　其中 </t>
    </r>
    <r>
      <rPr>
        <sz val="10"/>
        <rFont val="Arial"/>
        <family val="0"/>
        <charset val="1"/>
      </rPr>
      <t xml:space="preserve">SBC</t>
    </r>
    <r>
      <rPr>
        <sz val="10"/>
        <rFont val="Noto Sans CJK SC"/>
        <family val="2"/>
      </rPr>
      <t xml:space="preserve">（一般管理）</t>
    </r>
  </si>
  <si>
    <r>
      <rPr>
        <sz val="10"/>
        <rFont val="Noto Sans CJK SC"/>
        <family val="2"/>
      </rPr>
      <t xml:space="preserve">最近一季 </t>
    </r>
    <r>
      <rPr>
        <sz val="10"/>
        <rFont val="Arial"/>
        <family val="0"/>
        <charset val="1"/>
      </rPr>
      <t xml:space="preserve">D&amp;A </t>
    </r>
    <r>
      <rPr>
        <sz val="10"/>
        <rFont val="Noto Sans CJK SC"/>
        <family val="2"/>
      </rPr>
      <t xml:space="preserve">合計</t>
    </r>
  </si>
  <si>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現金流量表（未依列別揭露，視為全在營收成本與技術基礎設施）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</si>
  <si>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Noto Sans CJK SC"/>
        <family val="2"/>
      </rPr>
      <t xml:space="preserve">　</t>
    </r>
    <r>
      <rPr>
        <sz val="10"/>
        <rFont val="Arial"/>
        <family val="0"/>
        <charset val="1"/>
      </rPr>
      <t xml:space="preserve">SBC</t>
    </r>
    <r>
      <rPr>
        <sz val="10"/>
        <rFont val="Noto Sans CJK SC"/>
        <family val="2"/>
      </rPr>
      <t xml:space="preserve">（營收成本＋技術與基礎設施）</t>
    </r>
  </si>
  <si>
    <r>
      <rPr>
        <sz val="9"/>
        <color rgb="FF595959"/>
        <rFont val="Arial"/>
        <family val="0"/>
        <charset val="1"/>
      </rPr>
      <t xml:space="preserve">10-Q SBC </t>
    </r>
    <r>
      <rPr>
        <sz val="9"/>
        <color rgb="FF595959"/>
        <rFont val="Noto Sans CJK SC"/>
        <family val="2"/>
      </rPr>
      <t xml:space="preserve">附註：技術與基礎設施 </t>
    </r>
    <r>
      <rPr>
        <sz val="9"/>
        <color rgb="FF595959"/>
        <rFont val="Arial"/>
        <family val="0"/>
        <charset val="1"/>
      </rPr>
      <t xml:space="preserve">0.060</t>
    </r>
    <r>
      <rPr>
        <sz val="9"/>
        <color rgb="FF595959"/>
        <rFont val="Noto Sans CJK SC"/>
        <family val="2"/>
      </rPr>
      <t xml:space="preserve">＋營收成本 </t>
    </r>
    <r>
      <rPr>
        <sz val="9"/>
        <color rgb="FF595959"/>
        <rFont val="Arial"/>
        <family val="0"/>
        <charset val="1"/>
      </rPr>
      <t xml:space="preserve">0.009 [Verified]</t>
    </r>
  </si>
  <si>
    <t xml:space="preserve">最近一季營業租賃成本</t>
  </si>
  <si>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租賃附註 </t>
    </r>
    <r>
      <rPr>
        <sz val="9"/>
        <color rgb="FF595959"/>
        <rFont val="Arial"/>
        <family val="0"/>
        <charset val="1"/>
      </rPr>
      <t xml:space="preserve">[Verified]</t>
    </r>
  </si>
  <si>
    <t xml:space="preserve">最近一季變動租賃成本</t>
  </si>
  <si>
    <r>
      <rPr>
        <sz val="10"/>
        <rFont val="Noto Sans CJK SC"/>
        <family val="2"/>
      </rPr>
      <t xml:space="preserve">管銷率口徑（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＝扣 </t>
    </r>
    <r>
      <rPr>
        <sz val="10"/>
        <rFont val="Arial"/>
        <family val="0"/>
        <charset val="1"/>
      </rPr>
      <t xml:space="preserve">SBC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GAAP </t>
    </r>
    <r>
      <rPr>
        <sz val="10"/>
        <rFont val="Noto Sans CJK SC"/>
        <family val="2"/>
      </rPr>
      <t xml:space="preserve">含 </t>
    </r>
    <r>
      <rPr>
        <sz val="10"/>
        <rFont val="Arial"/>
        <family val="0"/>
        <charset val="1"/>
      </rPr>
      <t xml:space="preserve">SBC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</si>
  <si>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company.json → costs.sgaBasis</t>
    </r>
    <r>
      <rPr>
        <sz val="9"/>
        <color rgb="FF595959"/>
        <rFont val="Noto Sans CJK SC"/>
        <family val="2"/>
      </rPr>
      <t xml:space="preserve">；預設扣 </t>
    </r>
    <r>
      <rPr>
        <sz val="9"/>
        <color rgb="FF595959"/>
        <rFont val="Arial"/>
        <family val="0"/>
        <charset val="1"/>
      </rPr>
      <t xml:space="preserve">SBC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W1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6d </t>
    </r>
    <r>
      <rPr>
        <sz val="9"/>
        <color rgb="FF595959"/>
        <rFont val="Noto Sans CJK SC"/>
        <family val="2"/>
      </rPr>
      <t xml:space="preserve">步），</t>
    </r>
    <r>
      <rPr>
        <sz val="9"/>
        <color rgb="FF595959"/>
        <rFont val="Arial"/>
        <family val="0"/>
        <charset val="1"/>
      </rPr>
      <t xml:space="preserve">GAAP </t>
    </r>
    <r>
      <rPr>
        <sz val="9"/>
        <color rgb="FF595959"/>
        <rFont val="Noto Sans CJK SC"/>
        <family val="2"/>
      </rPr>
      <t xml:space="preserve">含 </t>
    </r>
    <r>
      <rPr>
        <sz val="9"/>
        <color rgb="FF595959"/>
        <rFont val="Arial"/>
        <family val="0"/>
        <charset val="1"/>
      </rPr>
      <t xml:space="preserve">SBC </t>
    </r>
    <r>
      <rPr>
        <sz val="9"/>
        <color rgb="FF595959"/>
        <rFont val="Noto Sans CJK SC"/>
        <family val="2"/>
      </rPr>
      <t xml:space="preserve">只作敏感度</t>
    </r>
  </si>
  <si>
    <r>
      <rPr>
        <sz val="10"/>
        <rFont val="Noto Sans CJK SC"/>
        <family val="2"/>
      </rPr>
      <t xml:space="preserve">管銷率（扣 </t>
    </r>
    <r>
      <rPr>
        <sz val="10"/>
        <rFont val="Arial"/>
        <family val="0"/>
        <charset val="1"/>
      </rPr>
      <t xml:space="preserve">D&amp;A</t>
    </r>
    <r>
      <rPr>
        <sz val="10"/>
        <rFont val="Noto Sans CJK SC"/>
        <family val="2"/>
      </rPr>
      <t xml:space="preserve">；各期持平）</t>
    </r>
  </si>
  <si>
    <r>
      <rPr>
        <sz val="9"/>
        <color rgb="FF595959"/>
        <rFont val="Noto Sans CJK SC"/>
        <family val="2"/>
      </rPr>
      <t xml:space="preserve">＝（銷售行銷 − </t>
    </r>
    <r>
      <rPr>
        <sz val="9"/>
        <color rgb="FF595959"/>
        <rFont val="Arial"/>
        <family val="0"/>
        <charset val="1"/>
      </rPr>
      <t xml:space="preserve">SBC </t>
    </r>
    <r>
      <rPr>
        <sz val="9"/>
        <color rgb="FF595959"/>
        <rFont val="Noto Sans CJK SC"/>
        <family val="2"/>
      </rPr>
      <t xml:space="preserve">＋ 一般管理 − </t>
    </r>
    <r>
      <rPr>
        <sz val="9"/>
        <color rgb="FF595959"/>
        <rFont val="Arial"/>
        <family val="0"/>
        <charset val="1"/>
      </rPr>
      <t xml:space="preserve">SBC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營收；銷售行銷與一般管理內的 </t>
    </r>
    <r>
      <rPr>
        <sz val="9"/>
        <color rgb="FF595959"/>
        <rFont val="Arial"/>
        <family val="0"/>
        <charset val="1"/>
      </rPr>
      <t xml:space="preserve">D&amp;A </t>
    </r>
    <r>
      <rPr>
        <sz val="9"/>
        <color rgb="FF595959"/>
        <rFont val="Noto Sans CJK SC"/>
        <family val="2"/>
      </rPr>
      <t xml:space="preserve">視為 </t>
    </r>
    <r>
      <rPr>
        <sz val="9"/>
        <color rgb="FF595959"/>
        <rFont val="Arial"/>
        <family val="0"/>
        <charset val="1"/>
      </rPr>
      <t xml:space="preserve">0 [Derived]</t>
    </r>
  </si>
  <si>
    <t xml:space="preserve">最近一季新增主動電力</t>
  </si>
  <si>
    <r>
      <rPr>
        <sz val="9"/>
        <color rgb="FF595959"/>
        <rFont val="Noto Sans CJK SC"/>
        <family val="2"/>
      </rPr>
      <t xml:space="preserve">法說（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新增近 </t>
    </r>
    <r>
      <rPr>
        <sz val="9"/>
        <color rgb="FF595959"/>
        <rFont val="Arial"/>
        <family val="0"/>
        <charset val="1"/>
      </rPr>
      <t xml:space="preserve">500 MW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平均在役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＝期末 − 新增 </t>
    </r>
    <r>
      <rPr>
        <sz val="9"/>
        <color rgb="FF595959"/>
        <rFont val="Arial"/>
        <family val="0"/>
        <charset val="1"/>
      </rPr>
      <t xml:space="preserve">÷ 2 [Interested-party]</t>
    </r>
  </si>
  <si>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｜支出（</t>
    </r>
    <r>
      <rPr>
        <b val="true"/>
        <sz val="10"/>
        <rFont val="Arial"/>
        <family val="0"/>
        <charset val="1"/>
      </rPr>
      <t xml:space="preserve">CapEx</t>
    </r>
    <r>
      <rPr>
        <b val="true"/>
        <sz val="10"/>
        <rFont val="Noto Sans CJK SC"/>
        <family val="2"/>
      </rPr>
      <t xml:space="preserve">、車隊折舊、租賃、</t>
    </r>
    <r>
      <rPr>
        <b val="true"/>
        <sz val="10"/>
        <rFont val="Arial"/>
        <family val="0"/>
        <charset val="1"/>
      </rPr>
      <t xml:space="preserve">JV</t>
    </r>
    <r>
      <rPr>
        <b val="true"/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</si>
  <si>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提前支出比例 </t>
    </r>
    <r>
      <rPr>
        <sz val="10"/>
        <rFont val="Arial"/>
        <family val="0"/>
        <charset val="1"/>
      </rPr>
      <t xml:space="preserve">λ</t>
    </r>
  </si>
  <si>
    <r>
      <rPr>
        <sz val="9"/>
        <color rgb="FF595959"/>
        <rFont val="Noto Sans CJK SC"/>
        <family val="2"/>
      </rPr>
      <t xml:space="preserve">次年才上線的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，其建置支出落在前一年的比例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</si>
  <si>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Arial"/>
        <family val="0"/>
        <charset val="1"/>
      </rPr>
      <t xml:space="preserve">FY31 </t>
    </r>
    <r>
      <rPr>
        <sz val="10"/>
        <rFont val="Noto Sans CJK SC"/>
        <family val="2"/>
      </rPr>
      <t xml:space="preserve">新增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FY30 </t>
    </r>
    <r>
      <rPr>
        <sz val="10"/>
        <rFont val="Noto Sans CJK SC"/>
        <family val="2"/>
      </rPr>
      <t xml:space="preserve">預建用）</t>
    </r>
  </si>
  <si>
    <r>
      <rPr>
        <sz val="9"/>
        <color rgb="FF595959"/>
        <rFont val="Noto Sans CJK SC"/>
        <family val="2"/>
      </rPr>
      <t xml:space="preserve">隨情境：保守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／基準 </t>
    </r>
    <r>
      <rPr>
        <sz val="9"/>
        <color rgb="FF595959"/>
        <rFont val="Arial"/>
        <family val="0"/>
        <charset val="1"/>
      </rPr>
      <t xml:space="preserve">500</t>
    </r>
    <r>
      <rPr>
        <sz val="9"/>
        <color rgb="FF595959"/>
        <rFont val="Noto Sans CJK SC"/>
        <family val="2"/>
      </rPr>
      <t xml:space="preserve">／積極 </t>
    </r>
    <r>
      <rPr>
        <sz val="9"/>
        <color rgb="FF595959"/>
        <rFont val="Arial"/>
        <family val="0"/>
        <charset val="1"/>
      </rPr>
      <t xml:space="preserve">1,000 [Assumed]</t>
    </r>
  </si>
  <si>
    <r>
      <rPr>
        <sz val="10"/>
        <rFont val="Arial"/>
        <family val="0"/>
        <charset val="1"/>
      </rPr>
      <t xml:space="preserve">FY26 CapEx </t>
    </r>
    <r>
      <rPr>
        <sz val="10"/>
        <rFont val="Noto Sans CJK SC"/>
        <family val="2"/>
      </rPr>
      <t xml:space="preserve">下限（已承諾）</t>
    </r>
  </si>
  <si>
    <r>
      <rPr>
        <sz val="9"/>
        <color rgb="FF595959"/>
        <rFont val="Noto Sans CJK SC"/>
        <family val="2"/>
      </rPr>
      <t xml:space="preserve">全年指引下緣：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年支出多已下單 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</si>
  <si>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經濟壽命（年）</t>
    </r>
  </si>
  <si>
    <t xml:space="preserve">年</t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</si>
  <si>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Tokenomics IF_DeprLifeIT </t>
    </r>
    <r>
      <rPr>
        <sz val="9"/>
        <color rgb="FF595959"/>
        <rFont val="Noto Sans CJK SC"/>
        <family val="2"/>
      </rPr>
      <t xml:space="preserve">依期初在役世代加權、取整數；決定汰換時點與車隊折舊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</si>
  <si>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Arial"/>
        <family val="0"/>
        <charset val="1"/>
      </rPr>
      <t xml:space="preserve">2023 </t>
    </r>
    <r>
      <rPr>
        <sz val="10"/>
        <rFont val="Noto Sans CJK SC"/>
        <family val="2"/>
      </rPr>
      <t xml:space="preserve">年底主動電力</t>
    </r>
  </si>
  <si>
    <r>
      <rPr>
        <sz val="9"/>
        <color rgb="FF595959"/>
        <rFont val="Noto Sans CJK SC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2023 CapEx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3.1bn ÷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$30m/MW </t>
    </r>
    <r>
      <rPr>
        <sz val="9"/>
        <color rgb="FF595959"/>
        <rFont val="Noto Sans CJK SC"/>
        <family val="2"/>
      </rPr>
      <t xml:space="preserve">推估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</si>
  <si>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Arial"/>
        <family val="0"/>
        <charset val="1"/>
      </rPr>
      <t xml:space="preserve">2024 </t>
    </r>
    <r>
      <rPr>
        <sz val="10"/>
        <rFont val="Noto Sans CJK SC"/>
        <family val="2"/>
      </rPr>
      <t xml:space="preserve">年底主動電力</t>
    </r>
  </si>
  <si>
    <r>
      <rPr>
        <sz val="9"/>
        <color rgb="FF595959"/>
        <rFont val="Arial"/>
        <family val="0"/>
        <charset val="1"/>
      </rPr>
      <t xml:space="preserve">S-1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2024 </t>
    </r>
    <r>
      <rPr>
        <sz val="9"/>
        <color rgb="FF595959"/>
        <rFont val="Noto Sans CJK SC"/>
        <family val="2"/>
      </rPr>
      <t xml:space="preserve">年底 </t>
    </r>
    <r>
      <rPr>
        <sz val="9"/>
        <color rgb="FF595959"/>
        <rFont val="Arial"/>
        <family val="0"/>
        <charset val="1"/>
      </rPr>
      <t xml:space="preserve">&gt;360 MW [Verified]</t>
    </r>
  </si>
  <si>
    <r>
      <rPr>
        <sz val="10"/>
        <rFont val="Arial"/>
        <family val="0"/>
        <charset val="1"/>
      </rPr>
      <t xml:space="preserve">6/30 </t>
    </r>
    <r>
      <rPr>
        <sz val="10"/>
        <rFont val="Noto Sans CJK SC"/>
        <family val="2"/>
      </rPr>
      <t xml:space="preserve">毛 </t>
    </r>
    <r>
      <rPr>
        <sz val="10"/>
        <rFont val="Arial"/>
        <family val="0"/>
        <charset val="1"/>
      </rPr>
      <t xml:space="preserve">PP&amp;E</t>
    </r>
  </si>
  <si>
    <r>
      <rPr>
        <sz val="9"/>
        <color rgb="FF595959"/>
        <rFont val="Arial"/>
        <family val="0"/>
        <charset val="1"/>
      </rPr>
      <t xml:space="preserve">10-Q</t>
    </r>
    <r>
      <rPr>
        <sz val="9"/>
        <color rgb="FF595959"/>
        <rFont val="Noto Sans CJK SC"/>
        <family val="2"/>
      </rPr>
      <t xml:space="preserve">（含 </t>
    </r>
    <r>
      <rPr>
        <sz val="9"/>
        <color rgb="FF595959"/>
        <rFont val="Arial"/>
        <family val="0"/>
        <charset val="1"/>
      </rPr>
      <t xml:space="preserve">CIP 11.9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</si>
  <si>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建置成本倍數（整體）</t>
    </r>
  </si>
  <si>
    <r>
      <rPr>
        <sz val="9"/>
        <color rgb="FF595959"/>
        <rFont val="Noto Sans CJK SC"/>
        <family val="2"/>
      </rPr>
      <t xml:space="preserve">同時影響 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Noto Sans CJK SC"/>
        <family val="2"/>
      </rPr>
      <t xml:space="preserve">、汰換與車隊折舊；反向 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用；預設 </t>
    </r>
    <r>
      <rPr>
        <sz val="9"/>
        <color rgb="FF595959"/>
        <rFont val="Arial"/>
        <family val="0"/>
        <charset val="1"/>
      </rPr>
      <t xml:space="preserve">100%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</si>
  <si>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建置成本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</si>
  <si>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新增世代占比（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Noto Sans CJK SC"/>
        <family val="2"/>
      </rPr>
      <t xml:space="preserve">區後『世代組合』）</t>
    </r>
    <r>
      <rPr>
        <sz val="9"/>
        <color rgb="FF595959"/>
        <rFont val="Arial"/>
        <family val="0"/>
        <charset val="1"/>
      </rPr>
      <t xml:space="preserve">× Tokenomics IF_CapexIT</t>
    </r>
    <r>
      <rPr>
        <sz val="9"/>
        <color rgb="FF595959"/>
        <rFont val="Noto Sans CJK SC"/>
        <family val="2"/>
      </rPr>
      <t xml:space="preserve">（基準；</t>
    </r>
    <r>
      <rPr>
        <sz val="9"/>
        <color rgb="FF595959"/>
        <rFont val="Arial"/>
        <family val="0"/>
        <charset val="1"/>
      </rPr>
      <t xml:space="preserve">GPU</t>
    </r>
    <r>
      <rPr>
        <sz val="9"/>
        <color rgb="FF595959"/>
        <rFont val="Noto Sans CJK SC"/>
        <family val="2"/>
      </rPr>
      <t xml:space="preserve">＋網路＋機房內裝，不含廠房——</t>
    </r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Noto Sans CJK SC"/>
        <family val="2"/>
      </rPr>
      <t xml:space="preserve">機房以租約取得，廠房成本在租金）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</si>
  <si>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建置成本（</t>
    </r>
    <r>
      <rPr>
        <sz val="10"/>
        <rFont val="Arial"/>
        <family val="0"/>
        <charset val="1"/>
      </rPr>
      <t xml:space="preserve">v4.5 </t>
    </r>
    <r>
      <rPr>
        <sz val="10"/>
        <rFont val="Noto Sans CJK SC"/>
        <family val="2"/>
      </rPr>
      <t xml:space="preserve">舊值，對照）</t>
    </r>
  </si>
  <si>
    <r>
      <rPr>
        <sz val="9"/>
        <color rgb="FF595959"/>
        <rFont val="Noto Sans CJK SC"/>
        <family val="2"/>
      </rPr>
      <t xml:space="preserve">舊方法：以 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校準重現全年指引 </t>
    </r>
    <r>
      <rPr>
        <sz val="9"/>
        <color rgb="FF595959"/>
        <rFont val="Arial"/>
        <family val="0"/>
        <charset val="1"/>
      </rPr>
      <t xml:space="preserve">35–39</t>
    </r>
    <r>
      <rPr>
        <sz val="9"/>
        <color rgb="FF595959"/>
        <rFont val="Noto Sans CJK SC"/>
        <family val="2"/>
      </rPr>
      <t xml:space="preserve">（以公司 </t>
    </r>
    <r>
      <rPr>
        <sz val="9"/>
        <color rgb="FF595959"/>
        <rFont val="Arial"/>
        <family val="0"/>
        <charset val="1"/>
      </rPr>
      <t xml:space="preserve">CapEx </t>
    </r>
    <r>
      <rPr>
        <sz val="9"/>
        <color rgb="FF595959"/>
        <rFont val="Noto Sans CJK SC"/>
        <family val="2"/>
      </rPr>
      <t xml:space="preserve">指引回推；</t>
    </r>
    <r>
      <rPr>
        <sz val="9"/>
        <color rgb="FF595959"/>
        <rFont val="Arial"/>
        <family val="0"/>
        <charset val="1"/>
      </rPr>
      <t xml:space="preserve">W2 </t>
    </r>
    <r>
      <rPr>
        <sz val="9"/>
        <color rgb="FF595959"/>
        <rFont val="Noto Sans CJK SC"/>
        <family val="2"/>
      </rPr>
      <t xml:space="preserve">起只作對照，不入模型）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</si>
  <si>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客戶預付占毛 </t>
    </r>
    <r>
      <rPr>
        <sz val="10"/>
        <rFont val="Arial"/>
        <family val="0"/>
        <charset val="1"/>
      </rPr>
      <t xml:space="preserve">CapEx</t>
    </r>
  </si>
  <si>
    <r>
      <rPr>
        <sz val="9"/>
        <color rgb="FF595959"/>
        <rFont val="Arial"/>
        <family val="0"/>
        <charset val="1"/>
      </rPr>
      <t xml:space="preserve">H1 </t>
    </r>
    <r>
      <rPr>
        <sz val="9"/>
        <color rgb="FF595959"/>
        <rFont val="Noto Sans CJK SC"/>
        <family val="2"/>
      </rPr>
      <t xml:space="preserve">遞延收入淨流入 </t>
    </r>
    <r>
      <rPr>
        <sz val="9"/>
        <color rgb="FF595959"/>
        <rFont val="Arial"/>
        <family val="0"/>
        <charset val="1"/>
      </rPr>
      <t xml:space="preserve">1.365÷CapEx 16.139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8.5% [Derived]</t>
    </r>
  </si>
  <si>
    <r>
      <rPr>
        <sz val="10"/>
        <rFont val="Noto Sans CJK SC"/>
        <family val="2"/>
      </rPr>
      <t xml:space="preserve">在帳現金租金（</t>
    </r>
    <r>
      <rPr>
        <sz val="10"/>
        <rFont val="Arial"/>
        <family val="0"/>
        <charset val="1"/>
      </rPr>
      <t xml:space="preserve">10-Q </t>
    </r>
    <r>
      <rPr>
        <sz val="10"/>
        <rFont val="Noto Sans CJK SC"/>
        <family val="2"/>
      </rPr>
      <t xml:space="preserve">到期表）</t>
    </r>
  </si>
  <si>
    <r>
      <rPr>
        <sz val="9"/>
        <color rgb="FF595959"/>
        <rFont val="Noto Sans CJK SC"/>
        <family val="2"/>
      </rPr>
      <t xml:space="preserve">營業＋融資租賃未折現付款；</t>
    </r>
    <r>
      <rPr>
        <sz val="9"/>
        <color rgb="FF595959"/>
        <rFont val="Arial"/>
        <family val="0"/>
        <charset val="1"/>
      </rPr>
      <t xml:space="preserve">2030 </t>
    </r>
    <r>
      <rPr>
        <sz val="9"/>
        <color rgb="FF595959"/>
        <rFont val="Noto Sans CJK SC"/>
        <family val="2"/>
      </rPr>
      <t xml:space="preserve">後尚有 </t>
    </r>
    <r>
      <rPr>
        <sz val="9"/>
        <color rgb="FF595959"/>
        <rFont val="Arial"/>
        <family val="0"/>
        <charset val="1"/>
      </rPr>
      <t xml:space="preserve">19.023 [Verified]</t>
    </r>
  </si>
  <si>
    <t xml:space="preserve">表外現金租金（未起租）</t>
  </si>
  <si>
    <r>
      <rPr>
        <sz val="9"/>
        <color rgb="FF595959"/>
        <rFont val="Noto Sans CJK SC"/>
        <family val="2"/>
      </rPr>
      <t xml:space="preserve">＝積極路徑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新增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比例（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區）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</si>
  <si>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Arial"/>
        <family val="0"/>
        <charset val="1"/>
      </rPr>
      <t xml:space="preserve">JV </t>
    </r>
    <r>
      <rPr>
        <sz val="10"/>
        <rFont val="Noto Sans CJK SC"/>
        <family val="2"/>
      </rPr>
      <t xml:space="preserve">已承諾餘額出資</t>
    </r>
  </si>
  <si>
    <r>
      <rPr>
        <sz val="9"/>
        <color rgb="FF595959"/>
        <rFont val="Arial"/>
        <family val="0"/>
        <charset val="1"/>
      </rPr>
      <t xml:space="preserve">10-Q</t>
    </r>
    <r>
      <rPr>
        <sz val="9"/>
        <color rgb="FF595959"/>
        <rFont val="Noto Sans CJK SC"/>
        <family val="2"/>
      </rPr>
      <t xml:space="preserve">：兩個 </t>
    </r>
    <r>
      <rPr>
        <sz val="9"/>
        <color rgb="FF595959"/>
        <rFont val="Arial"/>
        <family val="0"/>
        <charset val="1"/>
      </rPr>
      <t xml:space="preserve">JV </t>
    </r>
    <r>
      <rPr>
        <sz val="9"/>
        <color rgb="FF595959"/>
        <rFont val="Noto Sans CJK SC"/>
        <family val="2"/>
      </rPr>
      <t xml:space="preserve">承諾最高 </t>
    </r>
    <r>
      <rPr>
        <sz val="9"/>
        <color rgb="FF595959"/>
        <rFont val="Arial"/>
        <family val="0"/>
        <charset val="1"/>
      </rPr>
      <t xml:space="preserve">1.7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年內履行；</t>
    </r>
    <r>
      <rPr>
        <sz val="9"/>
        <color rgb="FF595959"/>
        <rFont val="Arial"/>
        <family val="0"/>
        <charset val="1"/>
      </rPr>
      <t xml:space="preserve">H1 </t>
    </r>
    <r>
      <rPr>
        <sz val="9"/>
        <color rgb="FF595959"/>
        <rFont val="Noto Sans CJK SC"/>
        <family val="2"/>
      </rPr>
      <t xml:space="preserve">已付 </t>
    </r>
    <r>
      <rPr>
        <sz val="9"/>
        <color rgb="FF595959"/>
        <rFont val="Arial"/>
        <family val="0"/>
        <charset val="1"/>
      </rPr>
      <t xml:space="preserve">0.55 [Verified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Derived]</t>
    </r>
  </si>
  <si>
    <r>
      <rPr>
        <sz val="10"/>
        <rFont val="Arial"/>
        <family val="0"/>
        <charset val="1"/>
      </rPr>
      <t xml:space="preserve">JV </t>
    </r>
    <r>
      <rPr>
        <sz val="10"/>
        <rFont val="Noto Sans CJK SC"/>
        <family val="2"/>
      </rPr>
      <t xml:space="preserve">後續增資＋策略投資</t>
    </r>
  </si>
  <si>
    <r>
      <rPr>
        <sz val="9"/>
        <color rgb="FF595959"/>
        <rFont val="Noto Sans CJK SC"/>
        <family val="2"/>
      </rPr>
      <t xml:space="preserve">入夥後須追加出資，金額未揭露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</si>
  <si>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Arial"/>
        <family val="0"/>
        <charset val="1"/>
      </rPr>
      <t xml:space="preserve">JV</t>
    </r>
    <r>
      <rPr>
        <sz val="10"/>
        <rFont val="Noto Sans CJK SC"/>
        <family val="2"/>
      </rPr>
      <t xml:space="preserve">／策略投資出資</t>
    </r>
  </si>
  <si>
    <t xml:space="preserve">＝已承諾餘額＋後續增資</t>
  </si>
  <si>
    <r>
      <rPr>
        <b val="true"/>
        <sz val="10"/>
        <color rgb="FF1F3864"/>
        <rFont val="Arial"/>
        <family val="0"/>
        <charset val="1"/>
      </rPr>
      <t xml:space="preserve">▸ CapEx </t>
    </r>
    <r>
      <rPr>
        <b val="true"/>
        <sz val="10"/>
        <color rgb="FF1F3864"/>
        <rFont val="Noto Sans CJK SC"/>
        <family val="2"/>
      </rPr>
      <t xml:space="preserve">推導明細（由 </t>
    </r>
    <r>
      <rPr>
        <b val="true"/>
        <sz val="10"/>
        <color rgb="FF1F3864"/>
        <rFont val="Arial"/>
        <family val="0"/>
        <charset val="1"/>
      </rPr>
      <t xml:space="preserve">Accepted MW </t>
    </r>
    <r>
      <rPr>
        <b val="true"/>
        <sz val="10"/>
        <color rgb="FF1F3864"/>
        <rFont val="Noto Sans CJK SC"/>
        <family val="2"/>
      </rPr>
      <t xml:space="preserve">連動）</t>
    </r>
  </si>
  <si>
    <t xml:space="preserve">期初主動電力</t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</si>
  <si>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期初＝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年底 </t>
    </r>
    <r>
      <rPr>
        <sz val="9"/>
        <color rgb="FF595959"/>
        <rFont val="Arial"/>
        <family val="0"/>
        <charset val="1"/>
      </rPr>
      <t xml:space="preserve">850 MW</t>
    </r>
  </si>
  <si>
    <r>
      <rPr>
        <sz val="10"/>
        <rFont val="Noto Sans CJK SC"/>
        <family val="2"/>
      </rPr>
      <t xml:space="preserve">本期新增 </t>
    </r>
    <r>
      <rPr>
        <sz val="10"/>
        <rFont val="Arial"/>
        <family val="0"/>
        <charset val="1"/>
      </rPr>
      <t xml:space="preserve">MW</t>
    </r>
  </si>
  <si>
    <r>
      <rPr>
        <sz val="10"/>
        <rFont val="Noto Sans CJK SC"/>
        <family val="2"/>
      </rPr>
      <t xml:space="preserve">次期新增 </t>
    </r>
    <r>
      <rPr>
        <sz val="10"/>
        <rFont val="Arial"/>
        <family val="0"/>
        <charset val="1"/>
      </rPr>
      <t xml:space="preserve">MW</t>
    </r>
  </si>
  <si>
    <r>
      <rPr>
        <sz val="10"/>
        <rFont val="Noto Sans CJK SC"/>
        <family val="2"/>
      </rPr>
      <t xml:space="preserve">全年毛 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（公式）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</si>
  <si>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本期新增</t>
    </r>
    <r>
      <rPr>
        <sz val="9"/>
        <color rgb="FF595959"/>
        <rFont val="Arial"/>
        <family val="0"/>
        <charset val="1"/>
      </rPr>
      <t xml:space="preserve">×(1−λ)</t>
    </r>
    <r>
      <rPr>
        <sz val="9"/>
        <color rgb="FF595959"/>
        <rFont val="Noto Sans CJK SC"/>
        <family val="2"/>
      </rPr>
      <t xml:space="preserve">＋次期新增</t>
    </r>
    <r>
      <rPr>
        <sz val="9"/>
        <color rgb="FF595959"/>
        <rFont val="Arial"/>
        <family val="0"/>
        <charset val="1"/>
      </rPr>
      <t xml:space="preserve">×λ)×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成本</t>
    </r>
  </si>
  <si>
    <r>
      <rPr>
        <sz val="10"/>
        <rFont val="Noto Sans CJK SC"/>
        <family val="2"/>
      </rPr>
      <t xml:space="preserve">成長型 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（模型期）</t>
    </r>
  </si>
  <si>
    <r>
      <rPr>
        <sz val="9"/>
        <color rgb="FF595959"/>
        <rFont val="Arial"/>
        <family val="0"/>
        <charset val="1"/>
      </rPr>
      <t xml:space="preserve">FY26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MAX(</t>
    </r>
    <r>
      <rPr>
        <sz val="9"/>
        <color rgb="FF595959"/>
        <rFont val="Noto Sans CJK SC"/>
        <family val="2"/>
      </rPr>
      <t xml:space="preserve">全年公式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Noto Sans CJK SC"/>
        <family val="2"/>
      </rPr>
      <t xml:space="preserve">下限</t>
    </r>
    <r>
      <rPr>
        <sz val="9"/>
        <color rgb="FF595959"/>
        <rFont val="Arial"/>
        <family val="0"/>
        <charset val="1"/>
      </rPr>
      <t xml:space="preserve">) − 1H </t>
    </r>
    <r>
      <rPr>
        <sz val="9"/>
        <color rgb="FF595959"/>
        <rFont val="Noto Sans CJK SC"/>
        <family val="2"/>
      </rPr>
      <t xml:space="preserve">已認列 </t>
    </r>
    <r>
      <rPr>
        <sz val="9"/>
        <color rgb="FF595959"/>
        <rFont val="Arial"/>
        <family val="0"/>
        <charset val="1"/>
      </rPr>
      <t xml:space="preserve">16.139</t>
    </r>
  </si>
  <si>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汰換 </t>
    </r>
    <r>
      <rPr>
        <sz val="10"/>
        <rFont val="Arial"/>
        <family val="0"/>
        <charset val="1"/>
      </rPr>
      <t xml:space="preserve">CapEx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</si>
  <si>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本年 − 壽命</t>
    </r>
    <r>
      <rPr>
        <sz val="9"/>
        <color rgb="FF595959"/>
        <rFont val="Arial"/>
        <family val="0"/>
        <charset val="1"/>
      </rPr>
      <t xml:space="preserve">) </t>
    </r>
    <r>
      <rPr>
        <sz val="9"/>
        <color rgb="FF595959"/>
        <rFont val="Noto Sans CJK SC"/>
        <family val="2"/>
      </rPr>
      <t xml:space="preserve">那年新增的 </t>
    </r>
    <r>
      <rPr>
        <sz val="9"/>
        <color rgb="FF595959"/>
        <rFont val="Arial"/>
        <family val="0"/>
        <charset val="1"/>
      </rPr>
      <t xml:space="preserve">MW ×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成本；取代已折舊完的設備</t>
    </r>
  </si>
  <si>
    <r>
      <rPr>
        <sz val="10"/>
        <rFont val="Noto Sans CJK SC"/>
        <family val="2"/>
      </rPr>
      <t xml:space="preserve">期初毛 </t>
    </r>
    <r>
      <rPr>
        <sz val="10"/>
        <rFont val="Arial"/>
        <family val="0"/>
        <charset val="1"/>
      </rPr>
      <t xml:space="preserve">PP&amp;E</t>
    </r>
  </si>
  <si>
    <r>
      <rPr>
        <sz val="9"/>
        <color rgb="FF595959"/>
        <rFont val="Noto Sans CJK SC"/>
        <family val="2"/>
      </rPr>
      <t xml:space="preserve">之後＝前期期初＋前期成長型 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Noto Sans CJK SC"/>
        <family val="2"/>
      </rPr>
      <t xml:space="preserve">（汰換不增加基礎）</t>
    </r>
  </si>
  <si>
    <r>
      <rPr>
        <b val="true"/>
        <sz val="10"/>
        <color rgb="FF1F3864"/>
        <rFont val="Arial"/>
        <family val="0"/>
        <charset val="1"/>
      </rPr>
      <t xml:space="preserve">▸ CapEx </t>
    </r>
    <r>
      <rPr>
        <b val="true"/>
        <sz val="10"/>
        <color rgb="FF1F3864"/>
        <rFont val="Noto Sans CJK SC"/>
        <family val="2"/>
      </rPr>
      <t xml:space="preserve">與折舊（結果；下游引用）</t>
    </r>
  </si>
  <si>
    <r>
      <rPr>
        <sz val="10"/>
        <rFont val="Noto Sans CJK SC"/>
        <family val="2"/>
      </rPr>
      <t xml:space="preserve">毛 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（模型期，下游引用此列）</t>
    </r>
  </si>
  <si>
    <t xml:space="preserve">＝成長型＋汰換</t>
  </si>
  <si>
    <r>
      <rPr>
        <sz val="10"/>
        <rFont val="Arial"/>
        <family val="0"/>
        <charset val="1"/>
      </rPr>
      <t xml:space="preserve">D&amp;A</t>
    </r>
    <r>
      <rPr>
        <sz val="10"/>
        <rFont val="Noto Sans CJK SC"/>
        <family val="2"/>
      </rPr>
      <t xml:space="preserve">（車隊折舊）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</si>
  <si>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期初毛 </t>
    </r>
    <r>
      <rPr>
        <sz val="9"/>
        <color rgb="FF595959"/>
        <rFont val="Arial"/>
        <family val="0"/>
        <charset val="1"/>
      </rPr>
      <t xml:space="preserve">PP&amp;E</t>
    </r>
    <r>
      <rPr>
        <sz val="9"/>
        <color rgb="FF595959"/>
        <rFont val="Noto Sans CJK SC"/>
        <family val="2"/>
      </rPr>
      <t xml:space="preserve">＋本期成長型</t>
    </r>
    <r>
      <rPr>
        <sz val="9"/>
        <color rgb="FF595959"/>
        <rFont val="Arial"/>
        <family val="0"/>
        <charset val="1"/>
      </rPr>
      <t xml:space="preserve">×½)÷</t>
    </r>
    <r>
      <rPr>
        <sz val="9"/>
        <color rgb="FF595959"/>
        <rFont val="Noto Sans CJK SC"/>
        <family val="2"/>
      </rPr>
      <t xml:space="preserve">壽命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期間長度</t>
    </r>
  </si>
  <si>
    <r>
      <rPr>
        <b val="true"/>
        <sz val="10"/>
        <rFont val="Arial"/>
        <family val="0"/>
        <charset val="1"/>
      </rPr>
      <t xml:space="preserve">E</t>
    </r>
    <r>
      <rPr>
        <b val="true"/>
        <sz val="10"/>
        <rFont val="Noto Sans CJK SC"/>
        <family val="2"/>
      </rPr>
      <t xml:space="preserve">｜融資（期初現金、既有債務、瀑布參數）</t>
    </r>
  </si>
  <si>
    <r>
      <rPr>
        <sz val="10"/>
        <rFont val="Noto Sans CJK SC"/>
        <family val="2"/>
      </rPr>
      <t xml:space="preserve">期初現金（</t>
    </r>
    <r>
      <rPr>
        <sz val="10"/>
        <rFont val="Arial"/>
        <family val="0"/>
        <charset val="1"/>
      </rPr>
      <t xml:space="preserve">2026-06-30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</si>
  <si>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10-Q</t>
    </r>
    <r>
      <rPr>
        <sz val="9"/>
        <color rgb="FF595959"/>
        <rFont val="Noto Sans CJK SC"/>
        <family val="2"/>
      </rPr>
      <t xml:space="preserve">：現金 </t>
    </r>
    <r>
      <rPr>
        <sz val="9"/>
        <color rgb="FF595959"/>
        <rFont val="Arial"/>
        <family val="0"/>
        <charset val="1"/>
      </rPr>
      <t xml:space="preserve">5.524</t>
    </r>
    <r>
      <rPr>
        <sz val="9"/>
        <color rgb="FF595959"/>
        <rFont val="Noto Sans CJK SC"/>
        <family val="2"/>
      </rPr>
      <t xml:space="preserve">＋有價證券 </t>
    </r>
    <r>
      <rPr>
        <sz val="9"/>
        <color rgb="FF595959"/>
        <rFont val="Arial"/>
        <family val="0"/>
        <charset val="1"/>
      </rPr>
      <t xml:space="preserve">0.015</t>
    </r>
    <r>
      <rPr>
        <sz val="9"/>
        <color rgb="FF595959"/>
        <rFont val="Noto Sans CJK SC"/>
        <family val="2"/>
      </rPr>
      <t xml:space="preserve">；受限現金 </t>
    </r>
    <r>
      <rPr>
        <sz val="9"/>
        <color rgb="FF595959"/>
        <rFont val="Arial"/>
        <family val="0"/>
        <charset val="1"/>
      </rPr>
      <t xml:space="preserve">1.38 </t>
    </r>
    <r>
      <rPr>
        <sz val="9"/>
        <color rgb="FF595959"/>
        <rFont val="Noto Sans CJK SC"/>
        <family val="2"/>
      </rPr>
      <t xml:space="preserve">不計 </t>
    </r>
    <r>
      <rPr>
        <sz val="9"/>
        <color rgb="FF595959"/>
        <rFont val="Arial"/>
        <family val="0"/>
        <charset val="1"/>
      </rPr>
      <t xml:space="preserve">[Verified]</t>
    </r>
  </si>
  <si>
    <t xml:space="preserve">股權／可轉債金額</t>
  </si>
  <si>
    <r>
      <rPr>
        <sz val="9"/>
        <color rgb="FF595959"/>
        <rFont val="Arial"/>
        <family val="0"/>
        <charset val="1"/>
      </rPr>
      <t xml:space="preserve">9/17 </t>
    </r>
    <r>
      <rPr>
        <sz val="9"/>
        <color rgb="FF595959"/>
        <rFont val="Noto Sans CJK SC"/>
        <family val="2"/>
      </rPr>
      <t xml:space="preserve">可轉債淨現金約 </t>
    </r>
    <r>
      <rPr>
        <sz val="9"/>
        <color rgb="FF595959"/>
        <rFont val="Arial"/>
        <family val="0"/>
        <charset val="1"/>
      </rPr>
      <t xml:space="preserve">3.2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ATM </t>
    </r>
    <r>
      <rPr>
        <sz val="9"/>
        <color rgb="FF595959"/>
        <rFont val="Noto Sans CJK SC"/>
        <family val="2"/>
      </rPr>
      <t xml:space="preserve">上限 </t>
    </r>
    <r>
      <rPr>
        <sz val="9"/>
        <color rgb="FF595959"/>
        <rFont val="Arial"/>
        <family val="0"/>
        <charset val="1"/>
      </rPr>
      <t xml:space="preserve">35m </t>
    </r>
    <r>
      <rPr>
        <sz val="9"/>
        <color rgb="FF595959"/>
        <rFont val="Noto Sans CJK SC"/>
        <family val="2"/>
      </rPr>
      <t xml:space="preserve">股 </t>
    </r>
    <r>
      <rPr>
        <sz val="9"/>
        <color rgb="FF595959"/>
        <rFont val="Arial"/>
        <family val="0"/>
        <charset val="1"/>
      </rPr>
      <t xml:space="preserve">× $85.43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9/21 </t>
    </r>
    <r>
      <rPr>
        <sz val="9"/>
        <color rgb="FF595959"/>
        <rFont val="Noto Sans CJK SC"/>
        <family val="2"/>
      </rPr>
      <t xml:space="preserve">收盤；</t>
    </r>
    <r>
      <rPr>
        <sz val="9"/>
        <color rgb="FF595959"/>
        <rFont val="Arial"/>
        <family val="0"/>
        <charset val="1"/>
      </rPr>
      <t xml:space="preserve">v4.3 </t>
    </r>
    <r>
      <rPr>
        <sz val="9"/>
        <color rgb="FF595959"/>
        <rFont val="Noto Sans CJK SC"/>
        <family val="2"/>
      </rPr>
      <t xml:space="preserve">現價更新後維持）≈ </t>
    </r>
    <r>
      <rPr>
        <sz val="9"/>
        <color rgb="FF595959"/>
        <rFont val="Arial"/>
        <family val="0"/>
        <charset val="1"/>
      </rPr>
      <t xml:space="preserve">3.0 [Verified]</t>
    </r>
  </si>
  <si>
    <r>
      <rPr>
        <sz val="10"/>
        <rFont val="Noto Sans CJK SC"/>
        <family val="2"/>
      </rPr>
      <t xml:space="preserve">計入股權／可轉債（</t>
    </r>
    <r>
      <rPr>
        <sz val="10"/>
        <rFont val="Arial"/>
        <family val="0"/>
        <charset val="1"/>
      </rPr>
      <t xml:space="preserve">1=</t>
    </r>
    <r>
      <rPr>
        <sz val="10"/>
        <rFont val="Noto Sans CJK SC"/>
        <family val="2"/>
      </rPr>
      <t xml:space="preserve">是）</t>
    </r>
  </si>
  <si>
    <r>
      <rPr>
        <sz val="9"/>
        <color rgb="FF595959"/>
        <rFont val="Noto Sans CJK SC"/>
        <family val="2"/>
      </rPr>
      <t xml:space="preserve">關閉則 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少 </t>
    </r>
    <r>
      <rPr>
        <sz val="9"/>
        <color rgb="FF595959"/>
        <rFont val="Arial"/>
        <family val="0"/>
        <charset val="1"/>
      </rPr>
      <t xml:space="preserve">6.2bn </t>
    </r>
    <r>
      <rPr>
        <sz val="9"/>
        <color rgb="FF595959"/>
        <rFont val="Noto Sans CJK SC"/>
        <family val="2"/>
      </rPr>
      <t xml:space="preserve">來源</t>
    </r>
  </si>
  <si>
    <t xml:space="preserve">未動用信用額度</t>
  </si>
  <si>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可用額度 </t>
    </r>
    <r>
      <rPr>
        <sz val="9"/>
        <color rgb="FF595959"/>
        <rFont val="Arial"/>
        <family val="0"/>
        <charset val="1"/>
      </rPr>
      <t xml:space="preserve">10.014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RCF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DDTL </t>
    </r>
    <r>
      <rPr>
        <sz val="9"/>
        <color rgb="FF595959"/>
        <rFont val="Noto Sans CJK SC"/>
        <family val="2"/>
      </rPr>
      <t xml:space="preserve">未動用）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</si>
  <si>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Noto Sans CJK SC"/>
        <family val="2"/>
      </rPr>
      <t xml:space="preserve">瀑布可動用未動用額度（</t>
    </r>
    <r>
      <rPr>
        <sz val="10"/>
        <rFont val="Arial"/>
        <family val="0"/>
        <charset val="1"/>
      </rPr>
      <t xml:space="preserve">1=</t>
    </r>
    <r>
      <rPr>
        <sz val="10"/>
        <rFont val="Noto Sans CJK SC"/>
        <family val="2"/>
      </rPr>
      <t xml:space="preserve">是）</t>
    </r>
  </si>
  <si>
    <r>
      <rPr>
        <sz val="9"/>
        <color rgb="FF595959"/>
        <rFont val="Noto Sans CJK SC"/>
        <family val="2"/>
      </rPr>
      <t xml:space="preserve">瀑布第一順位；已承諾額度，不受 債務／</t>
    </r>
    <r>
      <rPr>
        <sz val="9"/>
        <color rgb="FF595959"/>
        <rFont val="Arial"/>
        <family val="0"/>
        <charset val="1"/>
      </rPr>
      <t xml:space="preserve">backlog </t>
    </r>
    <r>
      <rPr>
        <sz val="9"/>
        <color rgb="FF595959"/>
        <rFont val="Noto Sans CJK SC"/>
        <family val="2"/>
      </rPr>
      <t xml:space="preserve">上限限制</t>
    </r>
  </si>
  <si>
    <r>
      <rPr>
        <sz val="10"/>
        <rFont val="Noto Sans CJK SC"/>
        <family val="2"/>
      </rPr>
      <t xml:space="preserve">債務排程攤還（</t>
    </r>
    <r>
      <rPr>
        <sz val="10"/>
        <rFont val="Arial"/>
        <family val="0"/>
        <charset val="1"/>
      </rPr>
      <t xml:space="preserve">1=</t>
    </r>
    <r>
      <rPr>
        <sz val="10"/>
        <rFont val="Noto Sans CJK SC"/>
        <family val="2"/>
      </rPr>
      <t xml:space="preserve">開）</t>
    </r>
  </si>
  <si>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本金到期表；關閉＝假設全額再融資</t>
    </r>
  </si>
  <si>
    <r>
      <rPr>
        <sz val="10"/>
        <rFont val="Noto Sans CJK SC"/>
        <family val="2"/>
      </rPr>
      <t xml:space="preserve">債務／</t>
    </r>
    <r>
      <rPr>
        <sz val="10"/>
        <rFont val="Arial"/>
        <family val="0"/>
        <charset val="1"/>
      </rPr>
      <t xml:space="preserve">backlog </t>
    </r>
    <r>
      <rPr>
        <sz val="10"/>
        <rFont val="Noto Sans CJK SC"/>
        <family val="2"/>
      </rPr>
      <t xml:space="preserve">上限</t>
    </r>
  </si>
  <si>
    <r>
      <rPr>
        <sz val="9"/>
        <color rgb="FF595959"/>
        <rFont val="Noto Sans CJK SC"/>
        <family val="2"/>
      </rPr>
      <t xml:space="preserve">預設 </t>
    </r>
    <r>
      <rPr>
        <sz val="9"/>
        <color rgb="FF595959"/>
        <rFont val="Arial"/>
        <family val="0"/>
        <charset val="1"/>
      </rPr>
      <t xml:space="preserve">1.0x</t>
    </r>
    <r>
      <rPr>
        <sz val="9"/>
        <color rgb="FF595959"/>
        <rFont val="Noto Sans CJK SC"/>
        <family val="2"/>
      </rPr>
      <t xml:space="preserve">：依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年實際融資組合（債務約 </t>
    </r>
    <r>
      <rPr>
        <sz val="9"/>
        <color rgb="FF595959"/>
        <rFont val="Arial"/>
        <family val="0"/>
        <charset val="1"/>
      </rPr>
      <t xml:space="preserve">77%</t>
    </r>
    <r>
      <rPr>
        <sz val="9"/>
        <color rgb="FF595959"/>
        <rFont val="Noto Sans CJK SC"/>
        <family val="2"/>
      </rPr>
      <t xml:space="preserve">、股權約 </t>
    </r>
    <r>
      <rPr>
        <sz val="9"/>
        <color rgb="FF595959"/>
        <rFont val="Arial"/>
        <family val="0"/>
        <charset val="1"/>
      </rPr>
      <t xml:space="preserve">23%</t>
    </r>
    <r>
      <rPr>
        <sz val="9"/>
        <color rgb="FF595959"/>
        <rFont val="Noto Sans CJK SC"/>
        <family val="2"/>
      </rPr>
      <t xml:space="preserve">）校準；公司簡報當前約 </t>
    </r>
    <r>
      <rPr>
        <sz val="9"/>
        <color rgb="FF595959"/>
        <rFont val="Arial"/>
        <family val="0"/>
        <charset val="1"/>
      </rPr>
      <t xml:space="preserve">0.4x</t>
    </r>
    <r>
      <rPr>
        <sz val="9"/>
        <color rgb="FF595959"/>
        <rFont val="Noto Sans CJK SC"/>
        <family val="2"/>
      </rPr>
      <t xml:space="preserve">（敏感度）</t>
    </r>
    <r>
      <rPr>
        <sz val="9"/>
        <color rgb="FF595959"/>
        <rFont val="Arial"/>
        <family val="0"/>
        <charset val="1"/>
      </rPr>
      <t xml:space="preserve">[Derived]</t>
    </r>
  </si>
  <si>
    <t xml:space="preserve">新簽合約年期</t>
  </si>
  <si>
    <r>
      <rPr>
        <sz val="9"/>
        <color rgb="FF595959"/>
        <rFont val="Arial"/>
        <family val="0"/>
        <charset val="1"/>
      </rPr>
      <t xml:space="preserve">Q4 </t>
    </r>
    <r>
      <rPr>
        <sz val="9"/>
        <color rgb="FF595959"/>
        <rFont val="Noto Sans CJK SC"/>
        <family val="2"/>
      </rPr>
      <t xml:space="preserve">法說：加權平均合約約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年；決定 </t>
    </r>
    <r>
      <rPr>
        <sz val="9"/>
        <color rgb="FF595959"/>
        <rFont val="Arial"/>
        <family val="0"/>
        <charset val="1"/>
      </rPr>
      <t xml:space="preserve">backlog </t>
    </r>
    <r>
      <rPr>
        <sz val="9"/>
        <color rgb="FF595959"/>
        <rFont val="Noto Sans CJK SC"/>
        <family val="2"/>
      </rPr>
      <t xml:space="preserve">補入量 </t>
    </r>
    <r>
      <rPr>
        <sz val="9"/>
        <color rgb="FF595959"/>
        <rFont val="Arial"/>
        <family val="0"/>
        <charset val="1"/>
      </rPr>
      <t xml:space="preserve">[Interested-party]</t>
    </r>
  </si>
  <si>
    <t xml:space="preserve">最低現金</t>
  </si>
  <si>
    <r>
      <rPr>
        <sz val="9"/>
        <color rgb="FF595959"/>
        <rFont val="Noto Sans CJK SC"/>
        <family val="2"/>
      </rPr>
      <t xml:space="preserve">期前融資的現金底線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</si>
  <si>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股權發行價</t>
  </si>
  <si>
    <r>
      <rPr>
        <sz val="9"/>
        <color rgb="FF595959"/>
        <rFont val="Noto Sans CJK SC"/>
        <family val="2"/>
      </rPr>
      <t xml:space="preserve">預設＝現價（</t>
    </r>
    <r>
      <rPr>
        <sz val="9"/>
        <color rgb="FF595959"/>
        <rFont val="Arial"/>
        <family val="0"/>
        <charset val="1"/>
      </rPr>
      <t xml:space="preserve">2026-09-24 </t>
    </r>
    <r>
      <rPr>
        <sz val="9"/>
        <color rgb="FF595959"/>
        <rFont val="Noto Sans CJK SC"/>
        <family val="2"/>
      </rPr>
      <t xml:space="preserve">收盤）</t>
    </r>
    <r>
      <rPr>
        <sz val="9"/>
        <color rgb="FF595959"/>
        <rFont val="Arial"/>
        <family val="0"/>
        <charset val="1"/>
      </rPr>
      <t xml:space="preserve">[Verified]</t>
    </r>
  </si>
  <si>
    <t xml:space="preserve">股權發行折價</t>
  </si>
  <si>
    <r>
      <rPr>
        <sz val="9"/>
        <color rgb="FF595959"/>
        <rFont val="Noto Sans CJK SC"/>
        <family val="2"/>
      </rPr>
      <t xml:space="preserve">大額增資的折讓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</si>
  <si>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每年股權吸收上限（占現市值）</t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</si>
  <si>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年實際約 </t>
    </r>
    <r>
      <rPr>
        <sz val="9"/>
        <color rgb="FF595959"/>
        <rFont val="Arial"/>
        <family val="0"/>
        <charset val="1"/>
      </rPr>
      <t xml:space="preserve">13%</t>
    </r>
    <r>
      <rPr>
        <sz val="9"/>
        <color rgb="FF595959"/>
        <rFont val="Noto Sans CJK SC"/>
        <family val="2"/>
      </rPr>
      <t xml:space="preserve">；輸入 ≥</t>
    </r>
    <r>
      <rPr>
        <sz val="9"/>
        <color rgb="FF595959"/>
        <rFont val="Arial"/>
        <family val="0"/>
        <charset val="1"/>
      </rPr>
      <t xml:space="preserve">900% </t>
    </r>
    <r>
      <rPr>
        <sz val="9"/>
        <color rgb="FF595959"/>
        <rFont val="Noto Sans CJK SC"/>
        <family val="2"/>
      </rPr>
      <t xml:space="preserve">視為無上限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</si>
  <si>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股權上限的股數基礎</t>
  </si>
  <si>
    <t xml:space="preserve">bn</t>
  </si>
  <si>
    <r>
      <rPr>
        <sz val="9"/>
        <color rgb="FF595959"/>
        <rFont val="Noto Sans CJK SC"/>
        <family val="2"/>
      </rPr>
      <t xml:space="preserve">現市值＝發行參考價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此股數（</t>
    </r>
    <r>
      <rPr>
        <sz val="9"/>
        <color rgb="FF595959"/>
        <rFont val="Arial"/>
        <family val="0"/>
        <charset val="1"/>
      </rPr>
      <t xml:space="preserve">company.json → defaults.eqCapShares</t>
    </r>
    <r>
      <rPr>
        <sz val="9"/>
        <color rgb="FF595959"/>
        <rFont val="Noto Sans CJK SC"/>
        <family val="2"/>
      </rPr>
      <t xml:space="preserve">）</t>
    </r>
  </si>
  <si>
    <t xml:space="preserve">高息債利率（股權上限溢出）</t>
  </si>
  <si>
    <r>
      <rPr>
        <sz val="9"/>
        <color rgb="FF595959"/>
        <rFont val="Noto Sans CJK SC"/>
        <family val="2"/>
      </rPr>
      <t xml:space="preserve">高於 </t>
    </r>
    <r>
      <rPr>
        <sz val="9"/>
        <color rgb="FF595959"/>
        <rFont val="Arial"/>
        <family val="0"/>
        <charset val="1"/>
      </rPr>
      <t xml:space="preserve">2031 </t>
    </r>
    <r>
      <rPr>
        <sz val="9"/>
        <color rgb="FF595959"/>
        <rFont val="Noto Sans CJK SC"/>
        <family val="2"/>
      </rPr>
      <t xml:space="preserve">票據 </t>
    </r>
    <r>
      <rPr>
        <sz val="9"/>
        <color rgb="FF595959"/>
        <rFont val="Arial"/>
        <family val="0"/>
        <charset val="1"/>
      </rPr>
      <t xml:space="preserve">9.75%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CDS </t>
    </r>
    <r>
      <rPr>
        <sz val="9"/>
        <color rgb="FF595959"/>
        <rFont val="Noto Sans CJK SC"/>
        <family val="2"/>
      </rPr>
      <t xml:space="preserve">中價 </t>
    </r>
    <r>
      <rPr>
        <sz val="9"/>
        <color rgb="FF595959"/>
        <rFont val="Arial"/>
        <family val="0"/>
        <charset val="1"/>
      </rPr>
      <t xml:space="preserve">720bps [Assumed]</t>
    </r>
  </si>
  <si>
    <r>
      <rPr>
        <sz val="10"/>
        <rFont val="Arial"/>
        <family val="0"/>
        <charset val="1"/>
      </rPr>
      <t xml:space="preserve">CDS </t>
    </r>
    <r>
      <rPr>
        <sz val="10"/>
        <rFont val="Noto Sans CJK SC"/>
        <family val="2"/>
      </rPr>
      <t xml:space="preserve">中價</t>
    </r>
  </si>
  <si>
    <t xml:space="preserve">bps</t>
  </si>
  <si>
    <r>
      <rPr>
        <sz val="9"/>
        <color rgb="FF595959"/>
        <rFont val="Arial"/>
        <family val="0"/>
        <charset val="1"/>
      </rPr>
      <t xml:space="preserve">2026-09 </t>
    </r>
    <r>
      <rPr>
        <sz val="9"/>
        <color rgb="FF595959"/>
        <rFont val="Noto Sans CJK SC"/>
        <family val="2"/>
      </rPr>
      <t xml:space="preserve">中價 </t>
    </r>
    <r>
      <rPr>
        <sz val="9"/>
        <color rgb="FF595959"/>
        <rFont val="Arial"/>
        <family val="0"/>
        <charset val="1"/>
      </rPr>
      <t xml:space="preserve">720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Bid/Ask 690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750</t>
    </r>
    <r>
      <rPr>
        <sz val="9"/>
        <color rgb="FF595959"/>
        <rFont val="Noto Sans CJK SC"/>
        <family val="2"/>
      </rPr>
      <t xml:space="preserve">、區間 </t>
    </r>
    <r>
      <rPr>
        <sz val="9"/>
        <color rgb="FF595959"/>
        <rFont val="Arial"/>
        <family val="0"/>
        <charset val="1"/>
      </rPr>
      <t xml:space="preserve">680–855 [User-provided]</t>
    </r>
  </si>
  <si>
    <r>
      <rPr>
        <sz val="10"/>
        <rFont val="Arial"/>
        <family val="0"/>
        <charset val="1"/>
      </rPr>
      <t xml:space="preserve">CDS </t>
    </r>
    <r>
      <rPr>
        <sz val="10"/>
        <rFont val="Noto Sans CJK SC"/>
        <family val="2"/>
      </rPr>
      <t xml:space="preserve">傳入新債利率（</t>
    </r>
    <r>
      <rPr>
        <sz val="10"/>
        <rFont val="Arial"/>
        <family val="0"/>
        <charset val="1"/>
      </rPr>
      <t xml:space="preserve">1=</t>
    </r>
    <r>
      <rPr>
        <sz val="10"/>
        <rFont val="Noto Sans CJK SC"/>
        <family val="2"/>
      </rPr>
      <t xml:space="preserve">開）</t>
    </r>
  </si>
  <si>
    <r>
      <rPr>
        <sz val="9"/>
        <color rgb="FF595959"/>
        <rFont val="Noto Sans CJK SC"/>
        <family val="2"/>
      </rPr>
      <t xml:space="preserve">開啟：新債利率＋</t>
    </r>
    <r>
      <rPr>
        <sz val="9"/>
        <color rgb="FF595959"/>
        <rFont val="Arial"/>
        <family val="0"/>
        <charset val="1"/>
      </rPr>
      <t xml:space="preserve">MAX(0,CDS−450)×0.4/100</t>
    </r>
    <r>
      <rPr>
        <sz val="9"/>
        <color rgb="FF595959"/>
        <rFont val="Noto Sans CJK SC"/>
        <family val="2"/>
      </rPr>
      <t xml:space="preserve">。預設關以免與 </t>
    </r>
    <r>
      <rPr>
        <sz val="9"/>
        <color rgb="FF595959"/>
        <rFont val="Arial"/>
        <family val="0"/>
        <charset val="1"/>
      </rPr>
      <t xml:space="preserve">9% </t>
    </r>
    <r>
      <rPr>
        <sz val="9"/>
        <color rgb="FF595959"/>
        <rFont val="Noto Sans CJK SC"/>
        <family val="2"/>
      </rPr>
      <t xml:space="preserve">重複</t>
    </r>
  </si>
  <si>
    <r>
      <rPr>
        <sz val="10"/>
        <rFont val="Arial"/>
        <family val="0"/>
        <charset val="1"/>
      </rPr>
      <t xml:space="preserve">CDS </t>
    </r>
    <r>
      <rPr>
        <sz val="10"/>
        <rFont val="Noto Sans CJK SC"/>
        <family val="2"/>
      </rPr>
      <t xml:space="preserve">傳入門檻</t>
    </r>
  </si>
  <si>
    <r>
      <rPr>
        <sz val="9"/>
        <color rgb="FF595959"/>
        <rFont val="Arial"/>
        <family val="0"/>
        <charset val="1"/>
      </rPr>
      <t xml:space="preserve">CDS </t>
    </r>
    <r>
      <rPr>
        <sz val="9"/>
        <color rgb="FF595959"/>
        <rFont val="Noto Sans CJK SC"/>
        <family val="2"/>
      </rPr>
      <t xml:space="preserve">超過此值的部分才傳入新債利率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</si>
  <si>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Arial"/>
        <family val="0"/>
        <charset val="1"/>
      </rPr>
      <t xml:space="preserve">CDS </t>
    </r>
    <r>
      <rPr>
        <sz val="10"/>
        <rFont val="Noto Sans CJK SC"/>
        <family val="2"/>
      </rPr>
      <t xml:space="preserve">傳入比例</t>
    </r>
  </si>
  <si>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1bp CDS </t>
    </r>
    <r>
      <rPr>
        <sz val="9"/>
        <color rgb="FF595959"/>
        <rFont val="Noto Sans CJK SC"/>
        <family val="2"/>
      </rPr>
      <t xml:space="preserve">超額傳入新債利率的比例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</si>
  <si>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Noto Sans CJK SC"/>
        <family val="2"/>
      </rPr>
      <t xml:space="preserve">排程還本（</t>
    </r>
    <r>
      <rPr>
        <sz val="10"/>
        <rFont val="Arial"/>
        <family val="0"/>
        <charset val="1"/>
      </rPr>
      <t xml:space="preserve">10-Q </t>
    </r>
    <r>
      <rPr>
        <sz val="10"/>
        <rFont val="Noto Sans CJK SC"/>
        <family val="2"/>
      </rPr>
      <t xml:space="preserve">本金表）</t>
    </r>
  </si>
  <si>
    <r>
      <rPr>
        <sz val="9"/>
        <color rgb="FF595959"/>
        <rFont val="Noto Sans CJK SC"/>
        <family val="2"/>
      </rPr>
      <t xml:space="preserve">本金合計 </t>
    </r>
    <r>
      <rPr>
        <sz val="9"/>
        <color rgb="FF595959"/>
        <rFont val="Arial"/>
        <family val="0"/>
        <charset val="1"/>
      </rPr>
      <t xml:space="preserve">35.551</t>
    </r>
    <r>
      <rPr>
        <sz val="9"/>
        <color rgb="FF595959"/>
        <rFont val="Noto Sans CJK SC"/>
        <family val="2"/>
      </rPr>
      <t xml:space="preserve">；其後 </t>
    </r>
    <r>
      <rPr>
        <sz val="9"/>
        <color rgb="FF595959"/>
        <rFont val="Arial"/>
        <family val="0"/>
        <charset val="1"/>
      </rPr>
      <t xml:space="preserve">14.896 [Verified]</t>
    </r>
  </si>
  <si>
    <t xml:space="preserve">新債利率</t>
  </si>
  <si>
    <r>
      <rPr>
        <sz val="9"/>
        <color rgb="FF595959"/>
        <rFont val="Noto Sans CJK SC"/>
        <family val="2"/>
      </rPr>
      <t xml:space="preserve">瀑布新債成本：</t>
    </r>
    <r>
      <rPr>
        <sz val="9"/>
        <color rgb="FF595959"/>
        <rFont val="Arial"/>
        <family val="0"/>
        <charset val="1"/>
      </rPr>
      <t xml:space="preserve">2031 </t>
    </r>
    <r>
      <rPr>
        <sz val="9"/>
        <color rgb="FF595959"/>
        <rFont val="Noto Sans CJK SC"/>
        <family val="2"/>
      </rPr>
      <t xml:space="preserve">票據 </t>
    </r>
    <r>
      <rPr>
        <sz val="9"/>
        <color rgb="FF595959"/>
        <rFont val="Arial"/>
        <family val="0"/>
        <charset val="1"/>
      </rPr>
      <t xml:space="preserve">9.75%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2032 9.625%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DDTL5.0 SOFR+450 [Derived]</t>
    </r>
  </si>
  <si>
    <t xml:space="preserve">存量債務利息（下游引用此列）</t>
  </si>
  <si>
    <r>
      <rPr>
        <sz val="9"/>
        <color rgb="FF595959"/>
        <rFont val="Noto Sans CJK SC"/>
        <family val="2"/>
      </rPr>
      <t xml:space="preserve">＝債務明細頁：平均本金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加權有效利率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期間長度＋可轉債利息＋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校準</t>
    </r>
  </si>
  <si>
    <r>
      <rPr>
        <b val="true"/>
        <sz val="10"/>
        <rFont val="Arial"/>
        <family val="0"/>
        <charset val="1"/>
      </rPr>
      <t xml:space="preserve">F</t>
    </r>
    <r>
      <rPr>
        <b val="true"/>
        <sz val="10"/>
        <rFont val="Noto Sans CJK SC"/>
        <family val="2"/>
      </rPr>
      <t xml:space="preserve">｜評價（價格、股數、折現、倍數、權重）</t>
    </r>
  </si>
  <si>
    <r>
      <rPr>
        <sz val="10"/>
        <rFont val="Noto Sans CJK SC"/>
        <family val="2"/>
      </rPr>
      <t xml:space="preserve">現價（</t>
    </r>
    <r>
      <rPr>
        <sz val="10"/>
        <rFont val="Arial"/>
        <family val="0"/>
        <charset val="1"/>
      </rPr>
      <t xml:space="preserve">2026-09-24 </t>
    </r>
    <r>
      <rPr>
        <sz val="10"/>
        <rFont val="Noto Sans CJK SC"/>
        <family val="2"/>
      </rPr>
      <t xml:space="preserve">收盤）</t>
    </r>
  </si>
  <si>
    <r>
      <rPr>
        <sz val="9"/>
        <color rgb="FF595959"/>
        <rFont val="Arial"/>
        <family val="0"/>
        <charset val="1"/>
      </rPr>
      <t xml:space="preserve">StockAnalysis.com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https://stockanalysis.com/stocks/crwv/forecast/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9/17 </t>
    </r>
    <r>
      <rPr>
        <sz val="9"/>
        <color rgb="FF595959"/>
        <rFont val="Noto Sans CJK SC"/>
        <family val="2"/>
      </rPr>
      <t xml:space="preserve">收盤 </t>
    </r>
    <r>
      <rPr>
        <sz val="9"/>
        <color rgb="FF595959"/>
        <rFont val="Arial"/>
        <family val="0"/>
        <charset val="1"/>
      </rPr>
      <t xml:space="preserve">79.88 [Verified]</t>
    </r>
  </si>
  <si>
    <r>
      <rPr>
        <sz val="10"/>
        <rFont val="Noto Sans CJK SC"/>
        <family val="2"/>
      </rPr>
      <t xml:space="preserve">股數（含 </t>
    </r>
    <r>
      <rPr>
        <sz val="10"/>
        <rFont val="Arial"/>
        <family val="0"/>
        <charset val="1"/>
      </rPr>
      <t xml:space="preserve">ATM </t>
    </r>
    <r>
      <rPr>
        <sz val="10"/>
        <rFont val="Noto Sans CJK SC"/>
        <family val="2"/>
      </rPr>
      <t xml:space="preserve">上限）</t>
    </r>
  </si>
  <si>
    <r>
      <rPr>
        <sz val="9"/>
        <color rgb="FF595959"/>
        <rFont val="Arial"/>
        <family val="0"/>
        <charset val="1"/>
      </rPr>
      <t xml:space="preserve">7/31 </t>
    </r>
    <r>
      <rPr>
        <sz val="9"/>
        <color rgb="FF595959"/>
        <rFont val="Noto Sans CJK SC"/>
        <family val="2"/>
      </rPr>
      <t xml:space="preserve">流通 </t>
    </r>
    <r>
      <rPr>
        <sz val="9"/>
        <color rgb="FF595959"/>
        <rFont val="Arial"/>
        <family val="0"/>
        <charset val="1"/>
      </rPr>
      <t xml:space="preserve">0.5515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ATM 35m [Verified]</t>
    </r>
  </si>
  <si>
    <r>
      <rPr>
        <sz val="10"/>
        <rFont val="Noto Sans CJK SC"/>
        <family val="2"/>
      </rPr>
      <t xml:space="preserve">淨負債（</t>
    </r>
    <r>
      <rPr>
        <sz val="10"/>
        <rFont val="Arial"/>
        <family val="0"/>
        <charset val="1"/>
      </rPr>
      <t xml:space="preserve">6/30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</si>
  <si>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本金 </t>
    </r>
    <r>
      <rPr>
        <sz val="9"/>
        <color rgb="FF595959"/>
        <rFont val="Arial"/>
        <family val="0"/>
        <charset val="1"/>
      </rPr>
      <t xml:space="preserve">35.551 − </t>
    </r>
    <r>
      <rPr>
        <sz val="9"/>
        <color rgb="FF595959"/>
        <rFont val="Noto Sans CJK SC"/>
        <family val="2"/>
      </rPr>
      <t xml:space="preserve">現金 </t>
    </r>
    <r>
      <rPr>
        <sz val="9"/>
        <color rgb="FF595959"/>
        <rFont val="Arial"/>
        <family val="0"/>
        <charset val="1"/>
      </rPr>
      <t xml:space="preserve">5.524 [Verified]</t>
    </r>
  </si>
  <si>
    <t xml:space="preserve">WACC</t>
  </si>
  <si>
    <r>
      <rPr>
        <sz val="10"/>
        <rFont val="Noto Sans CJK SC"/>
        <family val="2"/>
      </rPr>
      <t xml:space="preserve">永續成長 </t>
    </r>
    <r>
      <rPr>
        <sz val="10"/>
        <rFont val="Arial"/>
        <family val="0"/>
        <charset val="1"/>
      </rPr>
      <t xml:space="preserve">g</t>
    </r>
  </si>
  <si>
    <r>
      <rPr>
        <sz val="10"/>
        <rFont val="Noto Sans CJK SC"/>
        <family val="2"/>
      </rPr>
      <t xml:space="preserve">終值維持性 </t>
    </r>
    <r>
      <rPr>
        <sz val="10"/>
        <rFont val="Arial"/>
        <family val="0"/>
        <charset val="1"/>
      </rPr>
      <t xml:space="preserve">CapEx </t>
    </r>
    <r>
      <rPr>
        <sz val="10"/>
        <rFont val="Noto Sans CJK SC"/>
        <family val="2"/>
      </rPr>
      <t xml:space="preserve">占 </t>
    </r>
    <r>
      <rPr>
        <sz val="10"/>
        <rFont val="Arial"/>
        <family val="0"/>
        <charset val="1"/>
      </rPr>
      <t xml:space="preserve">D&amp;A</t>
    </r>
  </si>
  <si>
    <r>
      <rPr>
        <sz val="9"/>
        <color rgb="FF595959"/>
        <rFont val="Noto Sans CJK SC"/>
        <family val="2"/>
      </rPr>
      <t xml:space="preserve">終值不讓成長性 </t>
    </r>
    <r>
      <rPr>
        <sz val="9"/>
        <color rgb="FF595959"/>
        <rFont val="Arial"/>
        <family val="0"/>
        <charset val="1"/>
      </rPr>
      <t xml:space="preserve">CapEx </t>
    </r>
    <r>
      <rPr>
        <sz val="9"/>
        <color rgb="FF595959"/>
        <rFont val="Noto Sans CJK SC"/>
        <family val="2"/>
      </rPr>
      <t xml:space="preserve">偽裝成永續 </t>
    </r>
    <r>
      <rPr>
        <sz val="9"/>
        <color rgb="FF595959"/>
        <rFont val="Arial"/>
        <family val="0"/>
        <charset val="1"/>
      </rPr>
      <t xml:space="preserve">FCF [Assumed]</t>
    </r>
  </si>
  <si>
    <t xml:space="preserve">稅率</t>
  </si>
  <si>
    <r>
      <rPr>
        <sz val="9"/>
        <color rgb="FF595959"/>
        <rFont val="Noto Sans CJK SC"/>
        <family val="2"/>
      </rPr>
      <t xml:space="preserve">美國聯邦名目稅率 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</si>
  <si>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Noto Sans CJK SC"/>
        <family val="2"/>
      </rPr>
      <t xml:space="preserve">期初 </t>
    </r>
    <r>
      <rPr>
        <sz val="10"/>
        <rFont val="Arial"/>
        <family val="0"/>
        <charset val="1"/>
      </rPr>
      <t xml:space="preserve">NOL</t>
    </r>
    <r>
      <rPr>
        <sz val="10"/>
        <rFont val="Noto Sans CJK SC"/>
        <family val="2"/>
      </rPr>
      <t xml:space="preserve">（虧損扣抵）</t>
    </r>
  </si>
  <si>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Noto Sans CJK SC"/>
        <family val="2"/>
      </rPr>
      <t xml:space="preserve">累積虧損約 </t>
    </r>
    <r>
      <rPr>
        <sz val="9"/>
        <color rgb="FF595959"/>
        <rFont val="Arial"/>
        <family val="0"/>
        <charset val="1"/>
      </rPr>
      <t xml:space="preserve">4.0</t>
    </r>
    <r>
      <rPr>
        <sz val="9"/>
        <color rgb="FF595959"/>
        <rFont val="Noto Sans CJK SC"/>
        <family val="2"/>
      </rPr>
      <t xml:space="preserve">；抵扣上限為應稅所得 </t>
    </r>
    <r>
      <rPr>
        <sz val="9"/>
        <color rgb="FF595959"/>
        <rFont val="Arial"/>
        <family val="0"/>
        <charset val="1"/>
      </rPr>
      <t xml:space="preserve">80% [Derived]</t>
    </r>
  </si>
  <si>
    <r>
      <rPr>
        <sz val="10"/>
        <rFont val="Arial"/>
        <family val="0"/>
        <charset val="1"/>
      </rPr>
      <t xml:space="preserve">NOL </t>
    </r>
    <r>
      <rPr>
        <sz val="10"/>
        <rFont val="Noto Sans CJK SC"/>
        <family val="2"/>
      </rPr>
      <t xml:space="preserve">每年可抵用比例</t>
    </r>
  </si>
  <si>
    <r>
      <rPr>
        <sz val="9"/>
        <color rgb="FF595959"/>
        <rFont val="Noto Sans CJK SC"/>
        <family val="2"/>
      </rPr>
      <t xml:space="preserve">抵扣上限占應稅所得的比例（美國規定 </t>
    </r>
    <r>
      <rPr>
        <sz val="9"/>
        <color rgb="FF595959"/>
        <rFont val="Arial"/>
        <family val="0"/>
        <charset val="1"/>
      </rPr>
      <t xml:space="preserve">80%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</si>
  <si>
    <t xml:space="preserve">營運資金占營收增量</t>
  </si>
  <si>
    <r>
      <rPr>
        <sz val="9"/>
        <color rgb="FF595959"/>
        <rFont val="Noto Sans CJK SC"/>
        <family val="2"/>
      </rPr>
      <t xml:space="preserve">營運資金變動＝營收增量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此比例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</si>
  <si>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倍數</t>
    </r>
  </si>
  <si>
    <r>
      <rPr>
        <sz val="9"/>
        <color rgb="FF595959"/>
        <rFont val="Noto Sans CJK SC"/>
        <family val="2"/>
      </rPr>
      <t xml:space="preserve">穩態合理倍數約 </t>
    </r>
    <r>
      <rPr>
        <sz val="9"/>
        <color rgb="FF595959"/>
        <rFont val="Arial"/>
        <family val="0"/>
        <charset val="1"/>
      </rPr>
      <t xml:space="preserve">3.4–6.0x</t>
    </r>
    <r>
      <rPr>
        <sz val="9"/>
        <color rgb="FF595959"/>
        <rFont val="Noto Sans CJK SC"/>
        <family val="2"/>
      </rPr>
      <t xml:space="preserve">（轉換率 </t>
    </r>
    <r>
      <rPr>
        <sz val="9"/>
        <color rgb="FF595959"/>
        <rFont val="Arial"/>
        <family val="0"/>
        <charset val="1"/>
      </rPr>
      <t xml:space="preserve">÷ (WACC − g)</t>
    </r>
    <r>
      <rPr>
        <sz val="9"/>
        <color rgb="FF595959"/>
        <rFont val="Noto Sans CJK SC"/>
        <family val="2"/>
      </rPr>
      <t xml:space="preserve">），</t>
    </r>
    <r>
      <rPr>
        <sz val="9"/>
        <color rgb="FF595959"/>
        <rFont val="Arial"/>
        <family val="0"/>
        <charset val="1"/>
      </rPr>
      <t xml:space="preserve">6x </t>
    </r>
    <r>
      <rPr>
        <sz val="9"/>
        <color rgb="FF595959"/>
        <rFont val="Noto Sans CJK SC"/>
        <family val="2"/>
      </rPr>
      <t xml:space="preserve">為上緣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</si>
  <si>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錨定年度（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FY27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FY28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FY29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FY30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</si>
  <si>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WACC </t>
    </r>
    <r>
      <rPr>
        <sz val="9"/>
        <color rgb="FF595959"/>
        <rFont val="Noto Sans CJK SC"/>
        <family val="2"/>
      </rPr>
      <t xml:space="preserve">折回 </t>
    </r>
    <r>
      <rPr>
        <sz val="9"/>
        <color rgb="FF595959"/>
        <rFont val="Arial"/>
        <family val="0"/>
        <charset val="1"/>
      </rPr>
      <t xml:space="preserve">2027-06-30</t>
    </r>
    <r>
      <rPr>
        <sz val="9"/>
        <color rgb="FF595959"/>
        <rFont val="Noto Sans CJK SC"/>
        <family val="2"/>
      </rPr>
      <t xml:space="preserve">（目標價時點）；</t>
    </r>
    <r>
      <rPr>
        <sz val="9"/>
        <color rgb="FF595959"/>
        <rFont val="Arial"/>
        <family val="0"/>
        <charset val="1"/>
      </rPr>
      <t xml:space="preserve">v3.6 </t>
    </r>
    <r>
      <rPr>
        <sz val="9"/>
        <color rgb="FF595959"/>
        <rFont val="Noto Sans CJK SC"/>
        <family val="2"/>
      </rPr>
      <t xml:space="preserve">起預設 </t>
    </r>
    <r>
      <rPr>
        <sz val="9"/>
        <color rgb="FF595959"/>
        <rFont val="Arial"/>
        <family val="0"/>
        <charset val="1"/>
      </rPr>
      <t xml:space="preserve">FY29</t>
    </r>
    <r>
      <rPr>
        <sz val="9"/>
        <color rgb="FF595959"/>
        <rFont val="Noto Sans CJK SC"/>
        <family val="2"/>
      </rPr>
      <t xml:space="preserve">：接近穩態利潤率，與 </t>
    </r>
    <r>
      <rPr>
        <sz val="9"/>
        <color rgb="FF595959"/>
        <rFont val="Arial"/>
        <family val="0"/>
        <charset val="1"/>
      </rPr>
      <t xml:space="preserve">6x </t>
    </r>
    <r>
      <rPr>
        <sz val="9"/>
        <color rgb="FF595959"/>
        <rFont val="Noto Sans CJK SC"/>
        <family val="2"/>
      </rPr>
      <t xml:space="preserve">穩態倍數一致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</si>
  <si>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Noto Sans CJK SC"/>
        <family val="2"/>
      </rPr>
      <t xml:space="preserve">權重：</t>
    </r>
    <r>
      <rPr>
        <sz val="10"/>
        <rFont val="Arial"/>
        <family val="0"/>
        <charset val="1"/>
      </rPr>
      <t xml:space="preserve">DCF</t>
    </r>
  </si>
  <si>
    <r>
      <rPr>
        <sz val="10"/>
        <rFont val="Noto Sans CJK SC"/>
        <family val="2"/>
      </rPr>
      <t xml:space="preserve">權重：</t>
    </r>
    <r>
      <rPr>
        <sz val="10"/>
        <rFont val="Arial"/>
        <family val="0"/>
        <charset val="1"/>
      </rPr>
      <t xml:space="preserve">EV/EBITDA</t>
    </r>
  </si>
  <si>
    <t xml:space="preserve">方法區間倍數：下端</t>
  </si>
  <si>
    <r>
      <rPr>
        <sz val="9"/>
        <color rgb="FF595959"/>
        <rFont val="Arial"/>
        <family val="0"/>
        <charset val="1"/>
      </rPr>
      <t xml:space="preserve">v4.1 </t>
    </r>
    <r>
      <rPr>
        <sz val="9"/>
        <color rgb="FF595959"/>
        <rFont val="Noto Sans CJK SC"/>
        <family val="2"/>
      </rPr>
      <t xml:space="preserve">方法區間：目前輸入、</t>
    </r>
    <r>
      <rPr>
        <sz val="9"/>
        <color rgb="FF595959"/>
        <rFont val="Arial"/>
        <family val="0"/>
        <charset val="1"/>
      </rPr>
      <t xml:space="preserve">EV/EBITDA </t>
    </r>
    <r>
      <rPr>
        <sz val="9"/>
        <color rgb="FF595959"/>
        <rFont val="Noto Sans CJK SC"/>
        <family val="2"/>
      </rPr>
      <t xml:space="preserve">倍數換成兩端；</t>
    </r>
    <r>
      <rPr>
        <sz val="9"/>
        <color rgb="FF595959"/>
        <rFont val="Arial"/>
        <family val="0"/>
        <charset val="1"/>
      </rPr>
      <t xml:space="preserve">6x </t>
    </r>
    <r>
      <rPr>
        <sz val="9"/>
        <color rgb="FF595959"/>
        <rFont val="Noto Sans CJK SC"/>
        <family val="2"/>
      </rPr>
      <t xml:space="preserve">為穩態倍數上緣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</si>
  <si>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方法區間倍數：上端</t>
  </si>
  <si>
    <r>
      <rPr>
        <sz val="10"/>
        <rFont val="Noto Sans CJK SC"/>
        <family val="2"/>
      </rPr>
      <t xml:space="preserve">股數年增（</t>
    </r>
    <r>
      <rPr>
        <sz val="10"/>
        <rFont val="Arial"/>
        <family val="0"/>
        <charset val="1"/>
      </rPr>
      <t xml:space="preserve">SBC </t>
    </r>
    <r>
      <rPr>
        <sz val="10"/>
        <rFont val="Noto Sans CJK SC"/>
        <family val="2"/>
      </rPr>
      <t xml:space="preserve">稀釋）</t>
    </r>
  </si>
  <si>
    <r>
      <rPr>
        <sz val="9"/>
        <color rgb="FF595959"/>
        <rFont val="Arial"/>
        <family val="0"/>
        <charset val="1"/>
      </rPr>
      <t xml:space="preserve">SBC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0.66bn</t>
    </r>
    <r>
      <rPr>
        <sz val="9"/>
        <color rgb="FF595959"/>
        <rFont val="Noto Sans CJK SC"/>
        <family val="2"/>
      </rPr>
      <t xml:space="preserve">／年 </t>
    </r>
    <r>
      <rPr>
        <sz val="9"/>
        <color rgb="FF595959"/>
        <rFont val="Arial"/>
        <family val="0"/>
        <charset val="1"/>
      </rPr>
      <t xml:space="preserve">÷ $80 ≈ 1.4%</t>
    </r>
    <r>
      <rPr>
        <sz val="9"/>
        <color rgb="FF595959"/>
        <rFont val="Noto Sans CJK SC"/>
        <family val="2"/>
      </rPr>
      <t xml:space="preserve">／年，取 </t>
    </r>
    <r>
      <rPr>
        <sz val="9"/>
        <color rgb="FF595959"/>
        <rFont val="Arial"/>
        <family val="0"/>
        <charset val="1"/>
      </rPr>
      <t xml:space="preserve">1% [Derived]</t>
    </r>
  </si>
  <si>
    <r>
      <rPr>
        <sz val="10"/>
        <rFont val="Noto Sans CJK SC"/>
        <family val="2"/>
      </rPr>
      <t xml:space="preserve">年度 </t>
    </r>
    <r>
      <rPr>
        <sz val="10"/>
        <rFont val="Arial"/>
        <family val="0"/>
        <charset val="1"/>
      </rPr>
      <t xml:space="preserve">SBC</t>
    </r>
  </si>
  <si>
    <r>
      <rPr>
        <sz val="9"/>
        <color rgb="FF595959"/>
        <rFont val="Arial"/>
        <family val="0"/>
        <charset val="1"/>
      </rPr>
      <t xml:space="preserve">Q2 0.165</t>
    </r>
    <r>
      <rPr>
        <sz val="9"/>
        <color rgb="FF595959"/>
        <rFont val="Noto Sans CJK SC"/>
        <family val="2"/>
      </rPr>
      <t xml:space="preserve">／季年化約 </t>
    </r>
    <r>
      <rPr>
        <sz val="9"/>
        <color rgb="FF595959"/>
        <rFont val="Arial"/>
        <family val="0"/>
        <charset val="1"/>
      </rPr>
      <t xml:space="preserve">0.66</t>
    </r>
    <r>
      <rPr>
        <sz val="9"/>
        <color rgb="FF595959"/>
        <rFont val="Noto Sans CJK SC"/>
        <family val="2"/>
      </rPr>
      <t xml:space="preserve">，取 </t>
    </r>
    <r>
      <rPr>
        <sz val="9"/>
        <color rgb="FF595959"/>
        <rFont val="Arial"/>
        <family val="0"/>
        <charset val="1"/>
      </rPr>
      <t xml:space="preserve">0.7 [Derived]</t>
    </r>
  </si>
  <si>
    <r>
      <rPr>
        <b val="true"/>
        <sz val="10"/>
        <color rgb="FF1F3864"/>
        <rFont val="Arial"/>
        <family val="0"/>
        <charset val="1"/>
      </rPr>
      <t xml:space="preserve">▸ DCF </t>
    </r>
    <r>
      <rPr>
        <b val="true"/>
        <sz val="10"/>
        <color rgb="FF1F3864"/>
        <rFont val="Noto Sans CJK SC"/>
        <family val="2"/>
      </rPr>
      <t xml:space="preserve">股權為負時的處理（</t>
    </r>
    <r>
      <rPr>
        <b val="true"/>
        <sz val="10"/>
        <color rgb="FF1F3864"/>
        <rFont val="Arial"/>
        <family val="0"/>
        <charset val="1"/>
      </rPr>
      <t xml:space="preserve">0 </t>
    </r>
    <r>
      <rPr>
        <b val="true"/>
        <sz val="10"/>
        <color rgb="FF1F3864"/>
        <rFont val="Noto Sans CJK SC"/>
        <family val="2"/>
      </rPr>
      <t xml:space="preserve">截斷／選擇權）</t>
    </r>
  </si>
  <si>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下限方式（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0 </t>
    </r>
    <r>
      <rPr>
        <sz val="10"/>
        <rFont val="Noto Sans CJK SC"/>
        <family val="2"/>
      </rPr>
      <t xml:space="preserve">截斷、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＝選擇權）</t>
    </r>
  </si>
  <si>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截斷：</t>
    </r>
    <r>
      <rPr>
        <sz val="9"/>
        <color rgb="FF595959"/>
        <rFont val="Arial"/>
        <family val="0"/>
        <charset val="1"/>
      </rPr>
      <t xml:space="preserve">MAX(0, </t>
    </r>
    <r>
      <rPr>
        <sz val="9"/>
        <color rgb="FF595959"/>
        <rFont val="Noto Sans CJK SC"/>
        <family val="2"/>
      </rPr>
      <t xml:space="preserve">股權價值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；選擇權：</t>
    </r>
    <r>
      <rPr>
        <sz val="9"/>
        <color rgb="FF595959"/>
        <rFont val="Arial"/>
        <family val="0"/>
        <charset val="1"/>
      </rPr>
      <t xml:space="preserve">Merton</t>
    </r>
    <r>
      <rPr>
        <sz val="9"/>
        <color rgb="FF595959"/>
        <rFont val="Noto Sans CJK SC"/>
        <family val="2"/>
      </rPr>
      <t xml:space="preserve">，股權＝以企業價值為標的、淨負債為履約價的買權</t>
    </r>
  </si>
  <si>
    <r>
      <rPr>
        <sz val="10"/>
        <rFont val="Noto Sans CJK SC"/>
        <family val="2"/>
      </rPr>
      <t xml:space="preserve">企業價值波動率 </t>
    </r>
    <r>
      <rPr>
        <sz val="10"/>
        <rFont val="Arial"/>
        <family val="0"/>
        <charset val="1"/>
      </rPr>
      <t xml:space="preserve">σ</t>
    </r>
  </si>
  <si>
    <r>
      <rPr>
        <sz val="9"/>
        <color rgb="FF595959"/>
        <rFont val="Noto Sans CJK SC"/>
        <family val="2"/>
      </rPr>
      <t xml:space="preserve">選擇權法用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</si>
  <si>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無風險利率</t>
  </si>
  <si>
    <t xml:space="preserve">選擇權期間（年）</t>
  </si>
  <si>
    <r>
      <rPr>
        <sz val="9"/>
        <color rgb="FF595959"/>
        <rFont val="Noto Sans CJK SC"/>
        <family val="2"/>
      </rPr>
      <t xml:space="preserve">至 </t>
    </r>
    <r>
      <rPr>
        <sz val="9"/>
        <color rgb="FF595959"/>
        <rFont val="Arial"/>
        <family val="0"/>
        <charset val="1"/>
      </rPr>
      <t xml:space="preserve">FY30 </t>
    </r>
    <r>
      <rPr>
        <sz val="9"/>
        <color rgb="FF595959"/>
        <rFont val="Noto Sans CJK SC"/>
        <family val="2"/>
      </rPr>
      <t xml:space="preserve">末</t>
    </r>
  </si>
  <si>
    <r>
      <rPr>
        <b val="true"/>
        <sz val="10"/>
        <color rgb="FF1F3864"/>
        <rFont val="Noto Sans CJK SC"/>
        <family val="2"/>
      </rPr>
      <t xml:space="preserve">▸ 期間與日期（</t>
    </r>
    <r>
      <rPr>
        <b val="true"/>
        <sz val="10"/>
        <color rgb="FF1F3864"/>
        <rFont val="Arial"/>
        <family val="0"/>
        <charset val="1"/>
      </rPr>
      <t xml:space="preserve">company.json → calendar </t>
    </r>
    <r>
      <rPr>
        <b val="true"/>
        <sz val="10"/>
        <color rgb="FF1F3864"/>
        <rFont val="Noto Sans CJK SC"/>
        <family val="2"/>
      </rPr>
      <t xml:space="preserve">推算；勿手改）</t>
    </r>
  </si>
  <si>
    <t xml:space="preserve">財年結束月份</t>
  </si>
  <si>
    <t xml:space="preserve">月</t>
  </si>
  <si>
    <t xml:space="preserve">calendar.fiscalYearEndMonth</t>
  </si>
  <si>
    <t xml:space="preserve">最新已申報季度（年度首期依此滾動）</t>
  </si>
  <si>
    <t xml:space="preserve">FY26Q2</t>
  </si>
  <si>
    <r>
      <rPr>
        <sz val="9"/>
        <color rgb="FF595959"/>
        <rFont val="Arial"/>
        <family val="0"/>
        <charset val="1"/>
      </rPr>
      <t xml:space="preserve">calendar.latestQuarterFiled</t>
    </r>
    <r>
      <rPr>
        <sz val="9"/>
        <color rgb="FF595959"/>
        <rFont val="Noto Sans CJK SC"/>
        <family val="2"/>
      </rPr>
      <t xml:space="preserve">；財報新聞稿只更新季度層，</t>
    </r>
    <r>
      <rPr>
        <sz val="9"/>
        <color rgb="FF595959"/>
        <rFont val="Arial"/>
        <family val="0"/>
        <charset val="1"/>
      </rPr>
      <t xml:space="preserve">10-Q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10-K </t>
    </r>
    <r>
      <rPr>
        <sz val="9"/>
        <color rgb="FF595959"/>
        <rFont val="Noto Sans CJK SC"/>
        <family val="2"/>
      </rPr>
      <t xml:space="preserve">申報後年度首期才滾動</t>
    </r>
  </si>
  <si>
    <t xml:space="preserve">評價日（已申報季度的季末）</t>
  </si>
  <si>
    <t xml:space="preserve">2026-06-30</t>
  </si>
  <si>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折現、淨負債與股數的基準日</t>
    </r>
  </si>
  <si>
    <t xml:space="preserve">目標價時點</t>
  </si>
  <si>
    <t xml:space="preserve">2027-06-30</t>
  </si>
  <si>
    <r>
      <rPr>
        <sz val="9"/>
        <color rgb="FF595959"/>
        <rFont val="Noto Sans CJK SC"/>
        <family val="2"/>
      </rPr>
      <t xml:space="preserve">評價日＋</t>
    </r>
    <r>
      <rPr>
        <sz val="9"/>
        <color rgb="FF595959"/>
        <rFont val="Arial"/>
        <family val="0"/>
        <charset val="1"/>
      </rPr>
      <t xml:space="preserve">12 </t>
    </r>
    <r>
      <rPr>
        <sz val="9"/>
        <color rgb="FF595959"/>
        <rFont val="Noto Sans CJK SC"/>
        <family val="2"/>
      </rPr>
      <t xml:space="preserve">個月</t>
    </r>
  </si>
  <si>
    <t xml:space="preserve">目標價時點距評價日</t>
  </si>
  <si>
    <t xml:space="preserve">模型期間</t>
  </si>
  <si>
    <t xml:space="preserve">FY26–FY30</t>
  </si>
  <si>
    <r>
      <rPr>
        <sz val="9"/>
        <color rgb="FF595959"/>
        <rFont val="Noto Sans CJK SC"/>
        <family val="2"/>
      </rPr>
      <t xml:space="preserve">首期＋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個完整財年（</t>
    </r>
    <r>
      <rPr>
        <sz val="9"/>
        <color rgb="FF595959"/>
        <rFont val="Arial"/>
        <family val="0"/>
        <charset val="1"/>
      </rPr>
      <t xml:space="preserve">calendar.modelYears</t>
    </r>
    <r>
      <rPr>
        <sz val="9"/>
        <color rgb="FF595959"/>
        <rFont val="Noto Sans CJK SC"/>
        <family val="2"/>
      </rPr>
      <t xml:space="preserve">）</t>
    </r>
  </si>
  <si>
    <t xml:space="preserve">資料更新日</t>
  </si>
  <si>
    <t xml:space="preserve">2026-09-25</t>
  </si>
  <si>
    <t xml:space="preserve">company.json → meta.updateDate</t>
  </si>
  <si>
    <t xml:space="preserve">現價日（收盤）</t>
  </si>
  <si>
    <t xml:space="preserve">2026-09-24</t>
  </si>
  <si>
    <t xml:space="preserve">company.json → meta.priceDate</t>
  </si>
  <si>
    <t xml:space="preserve">錨定期折回年數調整（目標價時點 − 首期長度）</t>
  </si>
  <si>
    <r>
      <rPr>
        <sz val="9"/>
        <color rgb="FF595959"/>
        <rFont val="Arial"/>
        <family val="0"/>
        <charset val="1"/>
      </rPr>
      <t xml:space="preserve">EV/EBITDA </t>
    </r>
    <r>
      <rPr>
        <sz val="9"/>
        <color rgb="FF595959"/>
        <rFont val="Noto Sans CJK SC"/>
        <family val="2"/>
      </rPr>
      <t xml:space="preserve">腿：錨定期 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的期末折回目標價時點的年數＝</t>
    </r>
    <r>
      <rPr>
        <sz val="9"/>
        <color rgb="FF595959"/>
        <rFont val="Arial"/>
        <family val="0"/>
        <charset val="1"/>
      </rPr>
      <t xml:space="preserve">k − </t>
    </r>
    <r>
      <rPr>
        <sz val="9"/>
        <color rgb="FF595959"/>
        <rFont val="Noto Sans CJK SC"/>
        <family val="2"/>
      </rPr>
      <t xml:space="preserve">此值</t>
    </r>
  </si>
  <si>
    <t xml:space="preserve">期間與日期</t>
  </si>
  <si>
    <t xml:space="preserve">期末日</t>
  </si>
  <si>
    <t xml:space="preserve">2026-12-31</t>
  </si>
  <si>
    <t xml:space="preserve">2027-12-31</t>
  </si>
  <si>
    <t xml:space="preserve">2028-12-31</t>
  </si>
  <si>
    <t xml:space="preserve">2029-12-31</t>
  </si>
  <si>
    <t xml:space="preserve">2030-12-31</t>
  </si>
  <si>
    <r>
      <rPr>
        <sz val="9"/>
        <color rgb="FF595959"/>
        <rFont val="Noto Sans CJK SC"/>
        <family val="2"/>
      </rPr>
      <t xml:space="preserve">月數 </t>
    </r>
    <r>
      <rPr>
        <sz val="9"/>
        <color rgb="FF595959"/>
        <rFont val="Arial"/>
        <family val="0"/>
        <charset val="1"/>
      </rPr>
      <t xml:space="preserve">÷ 12</t>
    </r>
  </si>
  <si>
    <t xml:space="preserve">折現年數：評價日 → 期末</t>
  </si>
  <si>
    <t xml:space="preserve">折現年數：評價日 → 期初</t>
  </si>
  <si>
    <r>
      <rPr>
        <b val="true"/>
        <sz val="10"/>
        <color rgb="FF1F3864"/>
        <rFont val="Noto Sans CJK SC"/>
        <family val="2"/>
      </rPr>
      <t xml:space="preserve">▸ 評等門檻（空間＝加權目標價 </t>
    </r>
    <r>
      <rPr>
        <b val="true"/>
        <sz val="10"/>
        <color rgb="FF1F3864"/>
        <rFont val="Arial"/>
        <family val="0"/>
        <charset val="1"/>
      </rPr>
      <t xml:space="preserve">÷ </t>
    </r>
    <r>
      <rPr>
        <b val="true"/>
        <sz val="10"/>
        <color rgb="FF1F3864"/>
        <rFont val="Noto Sans CJK SC"/>
        <family val="2"/>
      </rPr>
      <t xml:space="preserve">現價 − </t>
    </r>
    <r>
      <rPr>
        <b val="true"/>
        <sz val="10"/>
        <color rgb="FF1F3864"/>
        <rFont val="Arial"/>
        <family val="0"/>
        <charset val="1"/>
      </rPr>
      <t xml:space="preserve">1</t>
    </r>
    <r>
      <rPr>
        <b val="true"/>
        <sz val="10"/>
        <color rgb="FF1F3864"/>
        <rFont val="Noto Sans CJK SC"/>
        <family val="2"/>
      </rPr>
      <t xml:space="preserve">）</t>
    </r>
  </si>
  <si>
    <t xml:space="preserve">買進：空間下限</t>
  </si>
  <si>
    <r>
      <rPr>
        <sz val="9"/>
        <color rgb="FF595959"/>
        <rFont val="Noto Sans CJK SC"/>
        <family val="2"/>
      </rPr>
      <t xml:space="preserve">空間 ≥ 此值、終值占比 </t>
    </r>
    <r>
      <rPr>
        <sz val="9"/>
        <color rgb="FF595959"/>
        <rFont val="Arial"/>
        <family val="0"/>
        <charset val="1"/>
      </rPr>
      <t xml:space="preserve">&lt; </t>
    </r>
    <r>
      <rPr>
        <sz val="9"/>
        <color rgb="FF595959"/>
        <rFont val="Noto Sans CJK SC"/>
        <family val="2"/>
      </rPr>
      <t xml:space="preserve">上限，且股權募資未超標 → 買進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</si>
  <si>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Noto Sans CJK SC"/>
        <family val="2"/>
      </rPr>
      <t xml:space="preserve">買進：終值占 </t>
    </r>
    <r>
      <rPr>
        <sz val="10"/>
        <rFont val="Arial"/>
        <family val="0"/>
        <charset val="1"/>
      </rPr>
      <t xml:space="preserve">EV </t>
    </r>
    <r>
      <rPr>
        <sz val="10"/>
        <rFont val="Noto Sans CJK SC"/>
        <family val="2"/>
      </rPr>
      <t xml:space="preserve">上限</t>
    </r>
  </si>
  <si>
    <r>
      <rPr>
        <sz val="9"/>
        <color rgb="FF595959"/>
        <rFont val="Noto Sans CJK SC"/>
        <family val="2"/>
      </rPr>
      <t xml:space="preserve">終值占比達此值以上不給買進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</si>
  <si>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賣出：空間上限</t>
  </si>
  <si>
    <r>
      <rPr>
        <sz val="9"/>
        <color rgb="FF595959"/>
        <rFont val="Noto Sans CJK SC"/>
        <family val="2"/>
      </rPr>
      <t xml:space="preserve">空間 ≤ 此值 → 賣出；賣出門檻價＝現價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＋ 此值）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</si>
  <si>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Noto Sans CJK SC"/>
        <family val="2"/>
      </rPr>
      <t xml:space="preserve">股權募資上限（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現市值）</t>
    </r>
  </si>
  <si>
    <r>
      <rPr>
        <sz val="9"/>
        <color rgb="FF595959"/>
        <rFont val="Noto Sans CJK SC"/>
        <family val="2"/>
      </rPr>
      <t xml:space="preserve">五期股權募資超過現市值的此倍數：市場吸收能力存疑，禁止買進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</si>
  <si>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股權募資超標時的賣出：空間上限</t>
  </si>
  <si>
    <r>
      <rPr>
        <sz val="9"/>
        <color rgb="FF595959"/>
        <rFont val="Noto Sans CJK SC"/>
        <family val="2"/>
      </rPr>
      <t xml:space="preserve">股權募資超標且空間 ≤ 此值 → 賣出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</si>
  <si>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判斷句：距賣出門檻揭露（占現價）</t>
  </si>
  <si>
    <r>
      <rPr>
        <sz val="9"/>
        <color rgb="FF595959"/>
        <rFont val="Noto Sans CJK SC"/>
        <family val="2"/>
      </rPr>
      <t xml:space="preserve">任一情境與賣出門檻的距離小於現價的此比例時，判斷句揭露該距離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</si>
  <si>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Noto Sans CJK SC"/>
        <family val="2"/>
      </rPr>
      <t xml:space="preserve">終值占 </t>
    </r>
    <r>
      <rPr>
        <sz val="10"/>
        <rFont val="Arial"/>
        <family val="0"/>
        <charset val="1"/>
      </rPr>
      <t xml:space="preserve">EV </t>
    </r>
    <r>
      <rPr>
        <sz val="10"/>
        <rFont val="Noto Sans CJK SC"/>
        <family val="2"/>
      </rPr>
      <t xml:space="preserve">警示</t>
    </r>
  </si>
  <si>
    <r>
      <rPr>
        <sz val="9"/>
        <color rgb="FF595959"/>
        <rFont val="Noto Sans CJK SC"/>
        <family val="2"/>
      </rPr>
      <t xml:space="preserve">超過此值表示結論由終值假設決定（「檢查」頁與 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說明）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</si>
  <si>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b val="true"/>
        <sz val="10"/>
        <rFont val="Arial"/>
        <family val="0"/>
        <charset val="1"/>
      </rPr>
      <t xml:space="preserve">G</t>
    </r>
    <r>
      <rPr>
        <b val="true"/>
        <sz val="10"/>
        <rFont val="Noto Sans CJK SC"/>
        <family val="2"/>
      </rPr>
      <t xml:space="preserve">｜參考：</t>
    </r>
    <r>
      <rPr>
        <b val="true"/>
        <sz val="10"/>
        <rFont val="Arial"/>
        <family val="0"/>
        <charset val="1"/>
      </rPr>
      <t xml:space="preserve">1H26 </t>
    </r>
    <r>
      <rPr>
        <b val="true"/>
        <sz val="10"/>
        <rFont val="Noto Sans CJK SC"/>
        <family val="2"/>
      </rPr>
      <t xml:space="preserve">實際（</t>
    </r>
    <r>
      <rPr>
        <b val="true"/>
        <sz val="10"/>
        <rFont val="Arial"/>
        <family val="0"/>
        <charset val="1"/>
      </rPr>
      <t xml:space="preserve">10-Q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2026-01-01 </t>
    </r>
    <r>
      <rPr>
        <b val="true"/>
        <sz val="10"/>
        <rFont val="Noto Sans CJK SC"/>
        <family val="2"/>
      </rPr>
      <t xml:space="preserve">至 </t>
    </r>
    <r>
      <rPr>
        <b val="true"/>
        <sz val="10"/>
        <rFont val="Arial"/>
        <family val="0"/>
        <charset val="1"/>
      </rPr>
      <t xml:space="preserve">06-30</t>
    </r>
    <r>
      <rPr>
        <b val="true"/>
        <sz val="10"/>
        <rFont val="Noto Sans CJK SC"/>
        <family val="2"/>
      </rPr>
      <t xml:space="preserve">；硬編碼，勿改）</t>
    </r>
  </si>
  <si>
    <r>
      <rPr>
        <sz val="10"/>
        <rFont val="Arial"/>
        <family val="0"/>
        <charset val="1"/>
      </rPr>
      <t xml:space="preserve">2025-12-31 </t>
    </r>
    <r>
      <rPr>
        <sz val="10"/>
        <rFont val="Noto Sans CJK SC"/>
        <family val="2"/>
      </rPr>
      <t xml:space="preserve">現金</t>
    </r>
  </si>
  <si>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比較期資產負債表 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</si>
  <si>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Noto Sans CJK SC"/>
        <family val="2"/>
      </rPr>
      <t xml:space="preserve">營運現金流 </t>
    </r>
    <r>
      <rPr>
        <sz val="10"/>
        <rFont val="Arial"/>
        <family val="0"/>
        <charset val="1"/>
      </rPr>
      <t xml:space="preserve">CFO</t>
    </r>
  </si>
  <si>
    <r>
      <rPr>
        <sz val="9"/>
        <color rgb="FF595959"/>
        <rFont val="Noto Sans CJK SC"/>
        <family val="2"/>
      </rPr>
      <t xml:space="preserve">已含已付利息 </t>
    </r>
    <r>
      <rPr>
        <sz val="9"/>
        <color rgb="FF595959"/>
        <rFont val="Arial"/>
        <family val="0"/>
        <charset val="1"/>
      </rPr>
      <t xml:space="preserve">0.806 </t>
    </r>
    <r>
      <rPr>
        <sz val="9"/>
        <color rgb="FF595959"/>
        <rFont val="Noto Sans CJK SC"/>
        <family val="2"/>
      </rPr>
      <t xml:space="preserve">與租賃付款 </t>
    </r>
    <r>
      <rPr>
        <sz val="9"/>
        <color rgb="FF595959"/>
        <rFont val="Arial"/>
        <family val="0"/>
        <charset val="1"/>
      </rPr>
      <t xml:space="preserve">0.748 [Verified]</t>
    </r>
  </si>
  <si>
    <r>
      <rPr>
        <sz val="10"/>
        <rFont val="Noto Sans CJK SC"/>
        <family val="2"/>
      </rPr>
      <t xml:space="preserve">現金購置 </t>
    </r>
    <r>
      <rPr>
        <sz val="10"/>
        <rFont val="Arial"/>
        <family val="0"/>
        <charset val="1"/>
      </rPr>
      <t xml:space="preserve">PP&amp;E</t>
    </r>
  </si>
  <si>
    <r>
      <rPr>
        <sz val="9"/>
        <color rgb="FF595959"/>
        <rFont val="Noto Sans CJK SC"/>
        <family val="2"/>
      </rPr>
      <t xml:space="preserve">現金流量表投資活動 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</si>
  <si>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Arial"/>
        <family val="0"/>
        <charset val="1"/>
      </rPr>
      <t xml:space="preserve">CapEx </t>
    </r>
    <r>
      <rPr>
        <sz val="10"/>
        <rFont val="Noto Sans CJK SC"/>
        <family val="2"/>
      </rPr>
      <t xml:space="preserve">認列（含 </t>
    </r>
    <r>
      <rPr>
        <sz val="10"/>
        <rFont val="Arial"/>
        <family val="0"/>
        <charset val="1"/>
      </rPr>
      <t xml:space="preserve">OEM </t>
    </r>
    <r>
      <rPr>
        <sz val="10"/>
        <rFont val="Noto Sans CJK SC"/>
        <family val="2"/>
      </rPr>
      <t xml:space="preserve">融資）</t>
    </r>
  </si>
  <si>
    <r>
      <rPr>
        <sz val="9"/>
        <color rgb="FF595959"/>
        <rFont val="Arial"/>
        <family val="0"/>
        <charset val="1"/>
      </rPr>
      <t xml:space="preserve">PP&amp;E </t>
    </r>
    <r>
      <rPr>
        <sz val="9"/>
        <color rgb="FF595959"/>
        <rFont val="Noto Sans CJK SC"/>
        <family val="2"/>
      </rPr>
      <t xml:space="preserve">增加＋融資租賃−</t>
    </r>
    <r>
      <rPr>
        <sz val="9"/>
        <color rgb="FF595959"/>
        <rFont val="Arial"/>
        <family val="0"/>
        <charset val="1"/>
      </rPr>
      <t xml:space="preserve">CIP </t>
    </r>
    <r>
      <rPr>
        <sz val="9"/>
        <color rgb="FF595959"/>
        <rFont val="Noto Sans CJK SC"/>
        <family val="2"/>
      </rPr>
      <t xml:space="preserve">變動；與全年指引同口徑 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</si>
  <si>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Arial"/>
        <family val="0"/>
        <charset val="1"/>
      </rPr>
      <t xml:space="preserve">JV</t>
    </r>
    <r>
      <rPr>
        <sz val="10"/>
        <rFont val="Noto Sans CJK SC"/>
        <family val="2"/>
      </rPr>
      <t xml:space="preserve">＋策略投資出資</t>
    </r>
  </si>
  <si>
    <r>
      <rPr>
        <sz val="9"/>
        <color rgb="FF595959"/>
        <rFont val="Arial"/>
        <family val="0"/>
        <charset val="1"/>
      </rPr>
      <t xml:space="preserve">JV 0.550</t>
    </r>
    <r>
      <rPr>
        <sz val="9"/>
        <color rgb="FF595959"/>
        <rFont val="Noto Sans CJK SC"/>
        <family val="2"/>
      </rPr>
      <t xml:space="preserve">＋策略投資 </t>
    </r>
    <r>
      <rPr>
        <sz val="9"/>
        <color rgb="FF595959"/>
        <rFont val="Arial"/>
        <family val="0"/>
        <charset val="1"/>
      </rPr>
      <t xml:space="preserve">0.138 [Verified]</t>
    </r>
  </si>
  <si>
    <t xml:space="preserve">借款</t>
  </si>
  <si>
    <r>
      <rPr>
        <sz val="9"/>
        <color rgb="FF595959"/>
        <rFont val="Noto Sans CJK SC"/>
        <family val="2"/>
      </rPr>
      <t xml:space="preserve">融資活動流入 </t>
    </r>
    <r>
      <rPr>
        <sz val="9"/>
        <color rgb="FF595959"/>
        <rFont val="Arial"/>
        <family val="0"/>
        <charset val="1"/>
      </rPr>
      <t xml:space="preserve">[Verified]</t>
    </r>
  </si>
  <si>
    <t xml:space="preserve">還款</t>
  </si>
  <si>
    <r>
      <rPr>
        <sz val="9"/>
        <color rgb="FF595959"/>
        <rFont val="Noto Sans CJK SC"/>
        <family val="2"/>
      </rPr>
      <t xml:space="preserve">融資活動流出 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</si>
  <si>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Arial"/>
        <family val="0"/>
        <charset val="1"/>
      </rPr>
      <t xml:space="preserve">capped call </t>
    </r>
    <r>
      <rPr>
        <sz val="10"/>
        <rFont val="Noto Sans CJK SC"/>
        <family val="2"/>
      </rPr>
      <t xml:space="preserve">支出</t>
    </r>
  </si>
  <si>
    <r>
      <rPr>
        <sz val="9"/>
        <color rgb="FF595959"/>
        <rFont val="Arial"/>
        <family val="0"/>
        <charset val="1"/>
      </rPr>
      <t xml:space="preserve">Q2 4.0bn </t>
    </r>
    <r>
      <rPr>
        <sz val="9"/>
        <color rgb="FF595959"/>
        <rFont val="Noto Sans CJK SC"/>
        <family val="2"/>
      </rPr>
      <t xml:space="preserve">可轉債的 </t>
    </r>
    <r>
      <rPr>
        <sz val="9"/>
        <color rgb="FF595959"/>
        <rFont val="Arial"/>
        <family val="0"/>
        <charset val="1"/>
      </rPr>
      <t xml:space="preserve">capped call [Verified]</t>
    </r>
  </si>
  <si>
    <t xml:space="preserve">私募股權</t>
  </si>
  <si>
    <r>
      <rPr>
        <sz val="9"/>
        <color rgb="FF595959"/>
        <rFont val="Arial"/>
        <family val="0"/>
        <charset val="1"/>
      </rPr>
      <t xml:space="preserve">NVIDIA 2.0 @$87.20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月 </t>
    </r>
    <r>
      <rPr>
        <sz val="9"/>
        <color rgb="FF595959"/>
        <rFont val="Arial"/>
        <family val="0"/>
        <charset val="1"/>
      </rPr>
      <t xml:space="preserve">1.0 @$109 [Verified]</t>
    </r>
  </si>
  <si>
    <t xml:space="preserve">利息費用</t>
  </si>
  <si>
    <r>
      <rPr>
        <sz val="9"/>
        <color rgb="FF595959"/>
        <rFont val="Noto Sans CJK SC"/>
        <family val="2"/>
      </rPr>
      <t xml:space="preserve">損益表；現金 </t>
    </r>
    <r>
      <rPr>
        <sz val="9"/>
        <color rgb="FF595959"/>
        <rFont val="Arial"/>
        <family val="0"/>
        <charset val="1"/>
      </rPr>
      <t xml:space="preserve">0.806</t>
    </r>
    <r>
      <rPr>
        <sz val="9"/>
        <color rgb="FF595959"/>
        <rFont val="Noto Sans CJK SC"/>
        <family val="2"/>
      </rPr>
      <t xml:space="preserve">、資本化 </t>
    </r>
    <r>
      <rPr>
        <sz val="9"/>
        <color rgb="FF595959"/>
        <rFont val="Arial"/>
        <family val="0"/>
        <charset val="1"/>
      </rPr>
      <t xml:space="preserve">0.176 [Verified]</t>
    </r>
  </si>
  <si>
    <t xml:space="preserve">租賃現金支付</t>
  </si>
  <si>
    <r>
      <rPr>
        <sz val="9"/>
        <color rgb="FF595959"/>
        <rFont val="Noto Sans CJK SC"/>
        <family val="2"/>
      </rPr>
      <t xml:space="preserve">已含在 </t>
    </r>
    <r>
      <rPr>
        <sz val="9"/>
        <color rgb="FF595959"/>
        <rFont val="Arial"/>
        <family val="0"/>
        <charset val="1"/>
      </rPr>
      <t xml:space="preserve">CFO </t>
    </r>
    <r>
      <rPr>
        <sz val="9"/>
        <color rgb="FF595959"/>
        <rFont val="Noto Sans CJK SC"/>
        <family val="2"/>
      </rPr>
      <t xml:space="preserve">內，僅供對照 </t>
    </r>
    <r>
      <rPr>
        <sz val="9"/>
        <color rgb="FF595959"/>
        <rFont val="Arial"/>
        <family val="0"/>
        <charset val="1"/>
      </rPr>
      <t xml:space="preserve">[Verified]</t>
    </r>
  </si>
  <si>
    <t xml:space="preserve">營收</t>
  </si>
  <si>
    <r>
      <rPr>
        <sz val="9"/>
        <color rgb="FF595959"/>
        <rFont val="Arial"/>
        <family val="0"/>
        <charset val="1"/>
      </rPr>
      <t xml:space="preserve">Q1 2.078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Q2 2.575 [Verified]</t>
    </r>
  </si>
  <si>
    <r>
      <rPr>
        <sz val="10"/>
        <rFont val="Arial"/>
        <family val="0"/>
        <charset val="1"/>
      </rPr>
      <t xml:space="preserve">GAAP </t>
    </r>
    <r>
      <rPr>
        <sz val="10"/>
        <rFont val="Noto Sans CJK SC"/>
        <family val="2"/>
      </rPr>
      <t xml:space="preserve">營業損益</t>
    </r>
  </si>
  <si>
    <t xml:space="preserve">[Verified]</t>
  </si>
  <si>
    <t xml:space="preserve">淨損</t>
  </si>
  <si>
    <t xml:space="preserve">遞延收入淨流入</t>
  </si>
  <si>
    <t xml:space="preserve">D&amp;A</t>
  </si>
  <si>
    <r>
      <rPr>
        <sz val="9"/>
        <color rgb="FF595959"/>
        <rFont val="Noto Sans CJK SC"/>
        <family val="2"/>
      </rPr>
      <t xml:space="preserve">現金流量表 </t>
    </r>
    <r>
      <rPr>
        <sz val="9"/>
        <color rgb="FF595959"/>
        <rFont val="Arial"/>
        <family val="0"/>
        <charset val="1"/>
      </rPr>
      <t xml:space="preserve">[Verified]</t>
    </r>
  </si>
  <si>
    <t xml:space="preserve">SBC</t>
  </si>
  <si>
    <t xml:space="preserve">GAAP EPS</t>
  </si>
  <si>
    <r>
      <rPr>
        <sz val="9"/>
        <color rgb="FF595959"/>
        <rFont val="Noto Sans CJK SC"/>
        <family val="2"/>
      </rPr>
      <t xml:space="preserve">淨損 −</t>
    </r>
    <r>
      <rPr>
        <sz val="9"/>
        <color rgb="FF595959"/>
        <rFont val="Arial"/>
        <family val="0"/>
        <charset val="1"/>
      </rPr>
      <t xml:space="preserve">1.366 ÷ </t>
    </r>
    <r>
      <rPr>
        <sz val="9"/>
        <color rgb="FF595959"/>
        <rFont val="Noto Sans CJK SC"/>
        <family val="2"/>
      </rPr>
      <t xml:space="preserve">加權股數約 </t>
    </r>
    <r>
      <rPr>
        <sz val="9"/>
        <color rgb="FF595959"/>
        <rFont val="Arial"/>
        <family val="0"/>
        <charset val="1"/>
      </rPr>
      <t xml:space="preserve">0.539 [Verified]</t>
    </r>
  </si>
  <si>
    <r>
      <rPr>
        <sz val="10"/>
        <rFont val="Arial"/>
        <family val="0"/>
        <charset val="1"/>
      </rPr>
      <t xml:space="preserve">EPS</t>
    </r>
    <r>
      <rPr>
        <sz val="10"/>
        <rFont val="Noto Sans CJK SC"/>
        <family val="2"/>
      </rPr>
      <t xml:space="preserve">（加回 </t>
    </r>
    <r>
      <rPr>
        <sz val="10"/>
        <rFont val="Arial"/>
        <family val="0"/>
        <charset val="1"/>
      </rPr>
      <t xml:space="preserve">SBC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</si>
  <si>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(−1.366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0.318)÷0.539 [Derived]</t>
    </r>
  </si>
  <si>
    <r>
      <rPr>
        <sz val="10"/>
        <rFont val="Noto Sans CJK SC"/>
        <family val="2"/>
      </rPr>
      <t xml:space="preserve">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Q1</t>
    </r>
    <r>
      <rPr>
        <sz val="10"/>
        <rFont val="Noto Sans CJK SC"/>
        <family val="2"/>
      </rPr>
      <t xml:space="preserve">＋</t>
    </r>
    <r>
      <rPr>
        <sz val="10"/>
        <rFont val="Arial"/>
        <family val="0"/>
        <charset val="1"/>
      </rPr>
      <t xml:space="preserve">Q2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</si>
  <si>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Q1 1.157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Q2 1.510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Q1 Futurum Q1 FY2026 </t>
    </r>
    <r>
      <rPr>
        <sz val="9"/>
        <color rgb="FF595959"/>
        <rFont val="Noto Sans CJK SC"/>
        <family val="2"/>
      </rPr>
      <t xml:space="preserve">財報摘要；</t>
    </r>
    <r>
      <rPr>
        <sz val="9"/>
        <color rgb="FF595959"/>
        <rFont val="Arial"/>
        <family val="0"/>
        <charset val="1"/>
      </rPr>
      <t xml:space="preserve">Q2 Investing.com Q2 2026 </t>
    </r>
    <r>
      <rPr>
        <sz val="9"/>
        <color rgb="FF595959"/>
        <rFont val="Noto Sans CJK SC"/>
        <family val="2"/>
      </rPr>
      <t xml:space="preserve">財報報導；</t>
    </r>
    <r>
      <rPr>
        <sz val="9"/>
        <color rgb="FF595959"/>
        <rFont val="Arial"/>
        <family val="0"/>
        <charset val="1"/>
      </rPr>
      <t xml:space="preserve">MarketScreener </t>
    </r>
    <r>
      <rPr>
        <sz val="9"/>
        <color rgb="FF595959"/>
        <rFont val="Noto Sans CJK SC"/>
        <family val="2"/>
      </rPr>
      <t xml:space="preserve">季度表同列 </t>
    </r>
    <r>
      <rPr>
        <sz val="9"/>
        <color rgb="FF595959"/>
        <rFont val="Arial"/>
        <family val="0"/>
        <charset val="1"/>
      </rPr>
      <t xml:space="preserve">1,157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1,510</t>
    </r>
    <r>
      <rPr>
        <sz val="9"/>
        <color rgb="FF595959"/>
        <rFont val="Noto Sans CJK SC"/>
        <family val="2"/>
      </rPr>
      <t xml:space="preserve">，一致。公司公布之實際數，引用自財報報導轉述，非公司新聞稿原文 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</si>
  <si>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b val="true"/>
        <sz val="10"/>
        <rFont val="Arial"/>
        <family val="0"/>
        <charset val="1"/>
      </rPr>
      <t xml:space="preserve">H</t>
    </r>
    <r>
      <rPr>
        <b val="true"/>
        <sz val="10"/>
        <rFont val="Noto Sans CJK SC"/>
        <family val="2"/>
      </rPr>
      <t xml:space="preserve">｜情境區間運算表（模擬運算表；由 </t>
    </r>
    <r>
      <rPr>
        <b val="true"/>
        <sz val="10"/>
        <rFont val="Arial"/>
        <family val="0"/>
        <charset val="1"/>
      </rPr>
      <t xml:space="preserve">Excel </t>
    </r>
    <r>
      <rPr>
        <b val="true"/>
        <sz val="10"/>
        <rFont val="Noto Sans CJK SC"/>
        <family val="2"/>
      </rPr>
      <t xml:space="preserve">自動計算，勿手動輸入）</t>
    </r>
  </si>
  <si>
    <r>
      <rPr>
        <sz val="9"/>
        <color rgb="FF595959"/>
        <rFont val="Noto Sans CJK SC"/>
        <family val="2"/>
      </rPr>
      <t xml:space="preserve">保守與積極情境的加權目標價（情境區間）；其餘手動輸入保留。資料表公式：</t>
    </r>
    <r>
      <rPr>
        <sz val="9"/>
        <color rgb="FF595959"/>
        <rFont val="Arial"/>
        <family val="0"/>
        <charset val="1"/>
      </rPr>
      <t xml:space="preserve">{=TABLE(,</t>
    </r>
    <r>
      <rPr>
        <sz val="9"/>
        <color rgb="FF595959"/>
        <rFont val="Noto Sans CJK SC"/>
        <family val="2"/>
      </rPr>
      <t xml:space="preserve">情境選擇</t>
    </r>
    <r>
      <rPr>
        <sz val="9"/>
        <color rgb="FF595959"/>
        <rFont val="Arial"/>
        <family val="0"/>
        <charset val="1"/>
      </rPr>
      <t xml:space="preserve">)}</t>
    </r>
  </si>
  <si>
    <t xml:space="preserve">情境區間運算表｜公式列（加權目標價／評等代碼）</t>
  </si>
  <si>
    <r>
      <rPr>
        <sz val="10"/>
        <rFont val="Noto Sans CJK SC"/>
        <family val="2"/>
      </rPr>
      <t xml:space="preserve">情境區間運算表｜保守 </t>
    </r>
    <r>
      <rPr>
        <sz val="10"/>
        <rFont val="Arial"/>
        <family val="0"/>
        <charset val="1"/>
      </rPr>
      <t xml:space="preserve">4.2 GW</t>
    </r>
  </si>
  <si>
    <r>
      <rPr>
        <sz val="10"/>
        <rFont val="Noto Sans CJK SC"/>
        <family val="2"/>
      </rPr>
      <t xml:space="preserve">情境區間運算表｜基準 </t>
    </r>
    <r>
      <rPr>
        <sz val="10"/>
        <rFont val="Arial"/>
        <family val="0"/>
        <charset val="1"/>
      </rPr>
      <t xml:space="preserve">5.6 GW</t>
    </r>
  </si>
  <si>
    <r>
      <rPr>
        <sz val="10"/>
        <rFont val="Noto Sans CJK SC"/>
        <family val="2"/>
      </rPr>
      <t xml:space="preserve">情境區間運算表｜積極 </t>
    </r>
    <r>
      <rPr>
        <sz val="10"/>
        <rFont val="Arial"/>
        <family val="0"/>
        <charset val="1"/>
      </rPr>
      <t xml:space="preserve">8 GW</t>
    </r>
  </si>
  <si>
    <r>
      <rPr>
        <b val="true"/>
        <sz val="10"/>
        <rFont val="Arial"/>
        <family val="0"/>
        <charset val="1"/>
      </rPr>
      <t xml:space="preserve">I</t>
    </r>
    <r>
      <rPr>
        <b val="true"/>
        <sz val="10"/>
        <rFont val="Noto Sans CJK SC"/>
        <family val="2"/>
      </rPr>
      <t xml:space="preserve">｜市場共識（</t>
    </r>
    <r>
      <rPr>
        <b val="true"/>
        <sz val="10"/>
        <rFont val="Arial"/>
        <family val="0"/>
        <charset val="1"/>
      </rPr>
      <t xml:space="preserve">data/consensus_crwv_20260925.json</t>
    </r>
    <r>
      <rPr>
        <b val="true"/>
        <sz val="10"/>
        <rFont val="Noto Sans CJK SC"/>
        <family val="2"/>
      </rPr>
      <t xml:space="preserve">；只讀，不增補數字；下游只引用本區）</t>
    </r>
  </si>
  <si>
    <r>
      <rPr>
        <sz val="9"/>
        <color rgb="FF595959"/>
        <rFont val="Noto Sans CJK SC"/>
        <family val="2"/>
      </rPr>
      <t xml:space="preserve">標記：</t>
    </r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＝可公開查證的事實（例如公司實際公布數字、收盤價）；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＝賣方分析師預估：有利益關係（投行業務、承銷、偏多傾向），數字本身是意見而非事實；『共識是多少』可查證，但共識內容屬利害關係人觀點</t>
    </r>
  </si>
  <si>
    <t xml:space="preserve">價格與目標價</t>
  </si>
  <si>
    <t xml:space="preserve">數值</t>
  </si>
  <si>
    <t xml:space="preserve">擷取日期</t>
  </si>
  <si>
    <t xml:space="preserve">標記</t>
  </si>
  <si>
    <t xml:space="preserve">來源</t>
  </si>
  <si>
    <t xml:space="preserve">備註</t>
  </si>
  <si>
    <t xml:space="preserve">共識｜現價參考（收盤）</t>
  </si>
  <si>
    <t xml:space="preserve">Verified</t>
  </si>
  <si>
    <r>
      <rPr>
        <sz val="9"/>
        <color rgb="FF595959"/>
        <rFont val="Arial"/>
        <family val="0"/>
        <charset val="1"/>
      </rPr>
      <t xml:space="preserve">StockAnalysis.com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https://stockanalysis.com/stocks/crwv/forecast/</t>
    </r>
  </si>
  <si>
    <r>
      <rPr>
        <sz val="9"/>
        <color rgb="FF595959"/>
        <rFont val="Noto Sans CJK SC"/>
        <family val="2"/>
      </rPr>
      <t xml:space="preserve">收盤日 </t>
    </r>
    <r>
      <rPr>
        <sz val="9"/>
        <color rgb="FF595959"/>
        <rFont val="Arial"/>
        <family val="0"/>
        <charset val="1"/>
      </rPr>
      <t xml:space="preserve">2026-09-24</t>
    </r>
  </si>
  <si>
    <t xml:space="preserve">共識｜目標價｜平均</t>
  </si>
  <si>
    <t xml:space="preserve">Interested-party</t>
  </si>
  <si>
    <r>
      <rPr>
        <sz val="9"/>
        <color rgb="FF595959"/>
        <rFont val="Arial"/>
        <family val="0"/>
        <charset val="1"/>
      </rPr>
      <t xml:space="preserve">S&amp;P Global Market Intelligence</t>
    </r>
    <r>
      <rPr>
        <sz val="9"/>
        <color rgb="FF595959"/>
        <rFont val="Noto Sans CJK SC"/>
        <family val="2"/>
      </rPr>
      <t xml:space="preserve">（經 </t>
    </r>
    <r>
      <rPr>
        <sz val="9"/>
        <color rgb="FF595959"/>
        <rFont val="Arial"/>
        <family val="0"/>
        <charset val="1"/>
      </rPr>
      <t xml:space="preserve">StockAnalysis.com</t>
    </r>
    <r>
      <rPr>
        <sz val="9"/>
        <color rgb="FF595959"/>
        <rFont val="Noto Sans CJK SC"/>
        <family val="2"/>
      </rPr>
      <t xml:space="preserve">）｜</t>
    </r>
    <r>
      <rPr>
        <sz val="9"/>
        <color rgb="FF595959"/>
        <rFont val="Arial"/>
        <family val="0"/>
        <charset val="1"/>
      </rPr>
      <t xml:space="preserve">https://stockanalysis.com/stocks/crwv/forecast/</t>
    </r>
  </si>
  <si>
    <t xml:space="preserve">共識｜目標價｜中位數</t>
  </si>
  <si>
    <t xml:space="preserve">共識｜目標價｜最低</t>
  </si>
  <si>
    <t xml:space="preserve">共識｜目標價｜最高</t>
  </si>
  <si>
    <t xml:space="preserve">共識｜目標價｜分析師家數</t>
  </si>
  <si>
    <t xml:space="preserve">共識｜目標價｜共識評等</t>
  </si>
  <si>
    <t xml:space="preserve">Buy</t>
  </si>
  <si>
    <r>
      <rPr>
        <sz val="10"/>
        <rFont val="Noto Sans CJK SC"/>
        <family val="2"/>
      </rPr>
      <t xml:space="preserve">共識｜目標價｜</t>
    </r>
    <r>
      <rPr>
        <sz val="10"/>
        <rFont val="Arial"/>
        <family val="0"/>
        <charset val="1"/>
      </rPr>
      <t xml:space="preserve">MarketScreener </t>
    </r>
    <r>
      <rPr>
        <sz val="10"/>
        <rFont val="Noto Sans CJK SC"/>
        <family val="2"/>
      </rPr>
      <t xml:space="preserve">對照平均</t>
    </r>
  </si>
  <si>
    <r>
      <rPr>
        <sz val="9"/>
        <color rgb="FF595959"/>
        <rFont val="Arial"/>
        <family val="0"/>
        <charset val="1"/>
      </rPr>
      <t xml:space="preserve">MarketScreener</t>
    </r>
    <r>
      <rPr>
        <sz val="9"/>
        <color rgb="FF595959"/>
        <rFont val="Noto Sans CJK SC"/>
        <family val="2"/>
      </rPr>
      <t xml:space="preserve">（同為 </t>
    </r>
    <r>
      <rPr>
        <sz val="9"/>
        <color rgb="FF595959"/>
        <rFont val="Arial"/>
        <family val="0"/>
        <charset val="1"/>
      </rPr>
      <t xml:space="preserve">S&amp;P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FactSet </t>
    </r>
    <r>
      <rPr>
        <sz val="9"/>
        <color rgb="FF595959"/>
        <rFont val="Noto Sans CJK SC"/>
        <family val="2"/>
      </rPr>
      <t xml:space="preserve">資料，非獨立）｜</t>
    </r>
    <r>
      <rPr>
        <sz val="9"/>
        <color rgb="FF595959"/>
        <rFont val="Arial"/>
        <family val="0"/>
        <charset val="1"/>
      </rPr>
      <t xml:space="preserve">https://www.marketscreener.com/quote/stock/COREWEAVE-INC-188480815/finances/</t>
    </r>
  </si>
  <si>
    <r>
      <rPr>
        <sz val="10"/>
        <rFont val="Noto Sans CJK SC"/>
        <family val="2"/>
      </rPr>
      <t xml:space="preserve">共識｜目標價｜</t>
    </r>
    <r>
      <rPr>
        <sz val="10"/>
        <rFont val="Arial"/>
        <family val="0"/>
        <charset val="1"/>
      </rPr>
      <t xml:space="preserve">MarketScreener </t>
    </r>
    <r>
      <rPr>
        <sz val="10"/>
        <rFont val="Noto Sans CJK SC"/>
        <family val="2"/>
      </rPr>
      <t xml:space="preserve">對照家數</t>
    </r>
  </si>
  <si>
    <r>
      <rPr>
        <sz val="10"/>
        <rFont val="Noto Sans CJK SC"/>
        <family val="2"/>
      </rPr>
      <t xml:space="preserve">共識｜目標價｜</t>
    </r>
    <r>
      <rPr>
        <sz val="10"/>
        <rFont val="Arial"/>
        <family val="0"/>
        <charset val="1"/>
      </rPr>
      <t xml:space="preserve">MarketScreener </t>
    </r>
    <r>
      <rPr>
        <sz val="10"/>
        <rFont val="Noto Sans CJK SC"/>
        <family val="2"/>
      </rPr>
      <t xml:space="preserve">對照評等</t>
    </r>
  </si>
  <si>
    <t xml:space="preserve">Outperform</t>
  </si>
  <si>
    <r>
      <rPr>
        <b val="true"/>
        <sz val="11"/>
        <color rgb="FFFFFFFF"/>
        <rFont val="Noto Sans CJK SC"/>
        <family val="2"/>
      </rPr>
      <t xml:space="preserve">評等分布（</t>
    </r>
    <r>
      <rPr>
        <b val="true"/>
        <sz val="11"/>
        <color rgb="FFFFFFFF"/>
        <rFont val="Arial"/>
        <family val="0"/>
        <charset val="1"/>
      </rPr>
      <t xml:space="preserve">2026-09</t>
    </r>
    <r>
      <rPr>
        <b val="true"/>
        <sz val="11"/>
        <color rgb="FFFFFFFF"/>
        <rFont val="Noto Sans CJK SC"/>
        <family val="2"/>
      </rPr>
      <t xml:space="preserve">）</t>
    </r>
  </si>
  <si>
    <t xml:space="preserve">共識｜評等分布｜強力買進</t>
  </si>
  <si>
    <t xml:space="preserve">共識｜評等分布｜買進</t>
  </si>
  <si>
    <t xml:space="preserve">共識｜評等分布｜持有</t>
  </si>
  <si>
    <t xml:space="preserve">共識｜評等分布｜賣出</t>
  </si>
  <si>
    <t xml:space="preserve">共識｜評等分布｜強力賣出</t>
  </si>
  <si>
    <t xml:space="preserve">共識｜評等分布｜合計</t>
  </si>
  <si>
    <r>
      <rPr>
        <b val="true"/>
        <sz val="11"/>
        <color rgb="FFFFFFFF"/>
        <rFont val="Noto Sans CJK SC"/>
        <family val="2"/>
      </rPr>
      <t xml:space="preserve">年度共識（</t>
    </r>
    <r>
      <rPr>
        <b val="true"/>
        <sz val="11"/>
        <color rgb="FFFFFFFF"/>
        <rFont val="Arial"/>
        <family val="0"/>
        <charset val="1"/>
      </rPr>
      <t xml:space="preserve">FY26</t>
    </r>
    <r>
      <rPr>
        <b val="true"/>
        <sz val="11"/>
        <color rgb="FFFFFFFF"/>
        <rFont val="Noto Sans CJK SC"/>
        <family val="2"/>
      </rPr>
      <t xml:space="preserve">／</t>
    </r>
    <r>
      <rPr>
        <b val="true"/>
        <sz val="11"/>
        <color rgb="FFFFFFFF"/>
        <rFont val="Arial"/>
        <family val="0"/>
        <charset val="1"/>
      </rPr>
      <t xml:space="preserve">FY27</t>
    </r>
    <r>
      <rPr>
        <b val="true"/>
        <sz val="11"/>
        <color rgb="FFFFFFFF"/>
        <rFont val="Noto Sans CJK SC"/>
        <family val="2"/>
      </rPr>
      <t xml:space="preserve">／</t>
    </r>
    <r>
      <rPr>
        <b val="true"/>
        <sz val="11"/>
        <color rgb="FFFFFFFF"/>
        <rFont val="Arial"/>
        <family val="0"/>
        <charset val="1"/>
      </rPr>
      <t xml:space="preserve">FY28</t>
    </r>
    <r>
      <rPr>
        <b val="true"/>
        <sz val="11"/>
        <color rgb="FFFFFFFF"/>
        <rFont val="Noto Sans CJK SC"/>
        <family val="2"/>
      </rPr>
      <t xml:space="preserve">）</t>
    </r>
  </si>
  <si>
    <t xml:space="preserve">共識｜年度｜營收</t>
  </si>
  <si>
    <r>
      <rPr>
        <sz val="9"/>
        <color rgb="FF595959"/>
        <rFont val="Arial"/>
        <family val="0"/>
        <charset val="1"/>
      </rPr>
      <t xml:space="preserve">MarketScreener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S&amp;P Capital IQ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FactSet </t>
    </r>
    <r>
      <rPr>
        <sz val="9"/>
        <color rgb="FF595959"/>
        <rFont val="Noto Sans CJK SC"/>
        <family val="2"/>
      </rPr>
      <t xml:space="preserve">共識）｜</t>
    </r>
    <r>
      <rPr>
        <sz val="9"/>
        <color rgb="FF595959"/>
        <rFont val="Arial"/>
        <family val="0"/>
        <charset val="1"/>
      </rPr>
      <t xml:space="preserve">https://www.marketscreener.com/quote/stock/COREWEAVE-INC-188480815/finances/</t>
    </r>
  </si>
  <si>
    <r>
      <rPr>
        <sz val="10"/>
        <rFont val="Noto Sans CJK SC"/>
        <family val="2"/>
      </rPr>
      <t xml:space="preserve">共識｜年度｜調整後 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</si>
  <si>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共識｜年度｜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</si>
  <si>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r>
      <rPr>
        <sz val="10"/>
        <rFont val="Noto Sans CJK SC"/>
        <family val="2"/>
      </rPr>
      <t xml:space="preserve">共識｜年度｜</t>
    </r>
    <r>
      <rPr>
        <sz val="10"/>
        <rFont val="Arial"/>
        <family val="0"/>
        <charset val="1"/>
      </rPr>
      <t xml:space="preserve">EBIT</t>
    </r>
  </si>
  <si>
    <t xml:space="preserve">共識｜年度｜利息費用</t>
  </si>
  <si>
    <t xml:space="preserve">共識｜年度｜淨利</t>
  </si>
  <si>
    <r>
      <rPr>
        <sz val="10"/>
        <rFont val="Noto Sans CJK SC"/>
        <family val="2"/>
      </rPr>
      <t xml:space="preserve">共識｜年度｜</t>
    </r>
    <r>
      <rPr>
        <sz val="10"/>
        <rFont val="Arial"/>
        <family val="0"/>
        <charset val="1"/>
      </rPr>
      <t xml:space="preserve">GAAP EPS</t>
    </r>
  </si>
  <si>
    <r>
      <rPr>
        <sz val="10"/>
        <rFont val="Noto Sans CJK SC"/>
        <family val="2"/>
      </rPr>
      <t xml:space="preserve">共識｜年度｜</t>
    </r>
    <r>
      <rPr>
        <sz val="10"/>
        <rFont val="Arial"/>
        <family val="0"/>
        <charset val="1"/>
      </rPr>
      <t xml:space="preserve">CapEx</t>
    </r>
  </si>
  <si>
    <t xml:space="preserve">共識｜年度｜自由現金流</t>
  </si>
  <si>
    <t xml:space="preserve">共識｜年度｜淨負債</t>
  </si>
  <si>
    <t xml:space="preserve">共識｜年度｜口徑說明</t>
  </si>
  <si>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為公司調整後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口徑（</t>
    </r>
    <r>
      <rPr>
        <sz val="10"/>
        <rFont val="Arial"/>
        <family val="0"/>
        <charset val="1"/>
      </rPr>
      <t xml:space="preserve">MarketScreener </t>
    </r>
    <r>
      <rPr>
        <sz val="10"/>
        <rFont val="Noto Sans CJK SC"/>
        <family val="2"/>
      </rPr>
      <t xml:space="preserve">的 </t>
    </r>
    <r>
      <rPr>
        <sz val="10"/>
        <rFont val="Arial"/>
        <family val="0"/>
        <charset val="1"/>
      </rPr>
      <t xml:space="preserve">2026 Q2 EBITDA 1.510 </t>
    </r>
    <r>
      <rPr>
        <sz val="10"/>
        <rFont val="Noto Sans CJK SC"/>
        <family val="2"/>
      </rPr>
      <t xml:space="preserve">與公司公布的調整後 </t>
    </r>
    <r>
      <rPr>
        <sz val="10"/>
        <rFont val="Arial"/>
        <family val="0"/>
        <charset val="1"/>
      </rPr>
      <t xml:space="preserve">EBITDA $1.51bn </t>
    </r>
    <r>
      <rPr>
        <sz val="10"/>
        <rFont val="Noto Sans CJK SC"/>
        <family val="2"/>
      </rPr>
      <t xml:space="preserve">相同）；</t>
    </r>
    <r>
      <rPr>
        <sz val="10"/>
        <rFont val="Arial"/>
        <family val="0"/>
        <charset val="1"/>
      </rPr>
      <t xml:space="preserve">EPS </t>
    </r>
    <r>
      <rPr>
        <sz val="10"/>
        <rFont val="Noto Sans CJK SC"/>
        <family val="2"/>
      </rPr>
      <t xml:space="preserve">為 </t>
    </r>
    <r>
      <rPr>
        <sz val="10"/>
        <rFont val="Arial"/>
        <family val="0"/>
        <charset val="1"/>
      </rPr>
      <t xml:space="preserve">GAAP </t>
    </r>
    <r>
      <rPr>
        <sz val="10"/>
        <rFont val="Noto Sans CJK SC"/>
        <family val="2"/>
      </rPr>
      <t xml:space="preserve">口徑；淨負債不含租賃負債（口徑未揭露，比較時留意）</t>
    </r>
  </si>
  <si>
    <r>
      <rPr>
        <b val="true"/>
        <sz val="11"/>
        <color rgb="FFFFFFFF"/>
        <rFont val="Arial"/>
        <family val="0"/>
        <charset val="1"/>
      </rPr>
      <t xml:space="preserve">S&amp;P </t>
    </r>
    <r>
      <rPr>
        <b val="true"/>
        <sz val="11"/>
        <color rgb="FFFFFFFF"/>
        <rFont val="Noto Sans CJK SC"/>
        <family val="2"/>
      </rPr>
      <t xml:space="preserve">對照（經 </t>
    </r>
    <r>
      <rPr>
        <b val="true"/>
        <sz val="11"/>
        <color rgb="FFFFFFFF"/>
        <rFont val="Arial"/>
        <family val="0"/>
        <charset val="1"/>
      </rPr>
      <t xml:space="preserve">StockAnalysis.com</t>
    </r>
    <r>
      <rPr>
        <b val="true"/>
        <sz val="11"/>
        <color rgb="FFFFFFFF"/>
        <rFont val="Noto Sans CJK SC"/>
        <family val="2"/>
      </rPr>
      <t xml:space="preserve">；</t>
    </r>
    <r>
      <rPr>
        <b val="true"/>
        <sz val="11"/>
        <color rgb="FFFFFFFF"/>
        <rFont val="Arial"/>
        <family val="0"/>
        <charset val="1"/>
      </rPr>
      <t xml:space="preserve">FY26</t>
    </r>
    <r>
      <rPr>
        <b val="true"/>
        <sz val="11"/>
        <color rgb="FFFFFFFF"/>
        <rFont val="Noto Sans CJK SC"/>
        <family val="2"/>
      </rPr>
      <t xml:space="preserve">／</t>
    </r>
    <r>
      <rPr>
        <b val="true"/>
        <sz val="11"/>
        <color rgb="FFFFFFFF"/>
        <rFont val="Arial"/>
        <family val="0"/>
        <charset val="1"/>
      </rPr>
      <t xml:space="preserve">FY27</t>
    </r>
    <r>
      <rPr>
        <b val="true"/>
        <sz val="11"/>
        <color rgb="FFFFFFFF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</si>
  <si>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共識｜</t>
    </r>
    <r>
      <rPr>
        <sz val="10"/>
        <rFont val="Arial"/>
        <family val="0"/>
        <charset val="1"/>
      </rPr>
      <t xml:space="preserve">S&amp;P </t>
    </r>
    <r>
      <rPr>
        <sz val="10"/>
        <rFont val="Noto Sans CJK SC"/>
        <family val="2"/>
      </rPr>
      <t xml:space="preserve">對照｜營收</t>
    </r>
  </si>
  <si>
    <r>
      <rPr>
        <sz val="10"/>
        <rFont val="Noto Sans CJK SC"/>
        <family val="2"/>
      </rPr>
      <t xml:space="preserve">共識｜</t>
    </r>
    <r>
      <rPr>
        <sz val="10"/>
        <rFont val="Arial"/>
        <family val="0"/>
        <charset val="1"/>
      </rPr>
      <t xml:space="preserve">S&amp;P </t>
    </r>
    <r>
      <rPr>
        <sz val="10"/>
        <rFont val="Noto Sans CJK SC"/>
        <family val="2"/>
      </rPr>
      <t xml:space="preserve">對照｜</t>
    </r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營收區間（低／高）</t>
    </r>
  </si>
  <si>
    <r>
      <rPr>
        <sz val="10"/>
        <rFont val="Noto Sans CJK SC"/>
        <family val="2"/>
      </rPr>
      <t xml:space="preserve">共識｜</t>
    </r>
    <r>
      <rPr>
        <sz val="10"/>
        <rFont val="Arial"/>
        <family val="0"/>
        <charset val="1"/>
      </rPr>
      <t xml:space="preserve">S&amp;P </t>
    </r>
    <r>
      <rPr>
        <sz val="10"/>
        <rFont val="Noto Sans CJK SC"/>
        <family val="2"/>
      </rPr>
      <t xml:space="preserve">對照｜調整後 </t>
    </r>
    <r>
      <rPr>
        <sz val="10"/>
        <rFont val="Arial"/>
        <family val="0"/>
        <charset val="1"/>
      </rPr>
      <t xml:space="preserve">EPS</t>
    </r>
  </si>
  <si>
    <r>
      <rPr>
        <sz val="10"/>
        <rFont val="Noto Sans CJK SC"/>
        <family val="2"/>
      </rPr>
      <t xml:space="preserve">共識｜</t>
    </r>
    <r>
      <rPr>
        <sz val="10"/>
        <rFont val="Arial"/>
        <family val="0"/>
        <charset val="1"/>
      </rPr>
      <t xml:space="preserve">S&amp;P </t>
    </r>
    <r>
      <rPr>
        <sz val="10"/>
        <rFont val="Noto Sans CJK SC"/>
        <family val="2"/>
      </rPr>
      <t xml:space="preserve">對照｜</t>
    </r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調整後 </t>
    </r>
    <r>
      <rPr>
        <sz val="10"/>
        <rFont val="Arial"/>
        <family val="0"/>
        <charset val="1"/>
      </rPr>
      <t xml:space="preserve">EPS </t>
    </r>
    <r>
      <rPr>
        <sz val="10"/>
        <rFont val="Noto Sans CJK SC"/>
        <family val="2"/>
      </rPr>
      <t xml:space="preserve">區間（低／高）</t>
    </r>
  </si>
  <si>
    <r>
      <rPr>
        <sz val="10"/>
        <rFont val="Noto Sans CJK SC"/>
        <family val="2"/>
      </rPr>
      <t xml:space="preserve">共識｜</t>
    </r>
    <r>
      <rPr>
        <sz val="10"/>
        <rFont val="Arial"/>
        <family val="0"/>
        <charset val="1"/>
      </rPr>
      <t xml:space="preserve">S&amp;P </t>
    </r>
    <r>
      <rPr>
        <sz val="10"/>
        <rFont val="Noto Sans CJK SC"/>
        <family val="2"/>
      </rPr>
      <t xml:space="preserve">對照｜</t>
    </r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分析師家數</t>
    </r>
  </si>
  <si>
    <r>
      <rPr>
        <sz val="9"/>
        <color rgb="FF595959"/>
        <rFont val="Arial"/>
        <family val="0"/>
        <charset val="1"/>
      </rPr>
      <t xml:space="preserve">S&amp;P </t>
    </r>
    <r>
      <rPr>
        <sz val="9"/>
        <color rgb="FF595959"/>
        <rFont val="Noto Sans CJK SC"/>
        <family val="2"/>
      </rPr>
      <t xml:space="preserve">經 </t>
    </r>
    <r>
      <rPr>
        <sz val="9"/>
        <color rgb="FF595959"/>
        <rFont val="Arial"/>
        <family val="0"/>
        <charset val="1"/>
      </rPr>
      <t xml:space="preserve">StockAnalysis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EPS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non-GAAP </t>
    </r>
    <r>
      <rPr>
        <sz val="9"/>
        <color rgb="FF595959"/>
        <rFont val="Noto Sans CJK SC"/>
        <family val="2"/>
      </rPr>
      <t xml:space="preserve">調整後口徑，與上表 </t>
    </r>
    <r>
      <rPr>
        <sz val="9"/>
        <color rgb="FF595959"/>
        <rFont val="Arial"/>
        <family val="0"/>
        <charset val="1"/>
      </rPr>
      <t xml:space="preserve">GAAP EPS </t>
    </r>
    <r>
      <rPr>
        <sz val="9"/>
        <color rgb="FF595959"/>
        <rFont val="Noto Sans CJK SC"/>
        <family val="2"/>
      </rPr>
      <t xml:space="preserve">不同，不可混用</t>
    </r>
  </si>
  <si>
    <r>
      <rPr>
        <b val="true"/>
        <sz val="11"/>
        <color rgb="FFFFFFFF"/>
        <rFont val="Noto Sans CJK SC"/>
        <family val="2"/>
      </rPr>
      <t xml:space="preserve">季度共識（</t>
    </r>
    <r>
      <rPr>
        <b val="true"/>
        <sz val="11"/>
        <color rgb="FFFFFFFF"/>
        <rFont val="Arial"/>
        <family val="0"/>
        <charset val="1"/>
      </rPr>
      <t xml:space="preserve">2026Q3</t>
    </r>
    <r>
      <rPr>
        <b val="true"/>
        <sz val="11"/>
        <color rgb="FFFFFFFF"/>
        <rFont val="Noto Sans CJK SC"/>
        <family val="2"/>
      </rPr>
      <t xml:space="preserve">／</t>
    </r>
    <r>
      <rPr>
        <b val="true"/>
        <sz val="11"/>
        <color rgb="FFFFFFFF"/>
        <rFont val="Arial"/>
        <family val="0"/>
        <charset val="1"/>
      </rPr>
      <t xml:space="preserve">2026Q4</t>
    </r>
    <r>
      <rPr>
        <b val="true"/>
        <sz val="11"/>
        <color rgb="FFFFFFFF"/>
        <rFont val="Noto Sans CJK SC"/>
        <family val="2"/>
      </rPr>
      <t xml:space="preserve">）</t>
    </r>
  </si>
  <si>
    <t xml:space="preserve">共識｜季度｜營收</t>
  </si>
  <si>
    <r>
      <rPr>
        <sz val="10"/>
        <rFont val="Noto Sans CJK SC"/>
        <family val="2"/>
      </rPr>
      <t xml:space="preserve">共識｜季度｜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</si>
  <si>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共識｜季度｜</t>
    </r>
    <r>
      <rPr>
        <sz val="10"/>
        <rFont val="Arial"/>
        <family val="0"/>
        <charset val="1"/>
      </rPr>
      <t xml:space="preserve">EBIT</t>
    </r>
  </si>
  <si>
    <t xml:space="preserve">共識｜季度｜淨利</t>
  </si>
  <si>
    <t xml:space="preserve">共識｜季度｜說明</t>
  </si>
  <si>
    <r>
      <rPr>
        <sz val="10"/>
        <rFont val="Arial"/>
        <family val="0"/>
        <charset val="1"/>
      </rPr>
      <t xml:space="preserve">Q3 </t>
    </r>
    <r>
      <rPr>
        <sz val="10"/>
        <rFont val="Noto Sans CJK SC"/>
        <family val="2"/>
      </rPr>
      <t xml:space="preserve">財報預計 </t>
    </r>
    <r>
      <rPr>
        <sz val="10"/>
        <rFont val="Arial"/>
        <family val="0"/>
        <charset val="1"/>
      </rPr>
      <t xml:space="preserve">11/9</t>
    </r>
    <r>
      <rPr>
        <sz val="10"/>
        <rFont val="Noto Sans CJK SC"/>
        <family val="2"/>
      </rPr>
      <t xml:space="preserve">：公司 </t>
    </r>
    <r>
      <rPr>
        <sz val="10"/>
        <rFont val="Arial"/>
        <family val="0"/>
        <charset val="1"/>
      </rPr>
      <t xml:space="preserve">Q3 </t>
    </r>
    <r>
      <rPr>
        <sz val="10"/>
        <rFont val="Noto Sans CJK SC"/>
        <family val="2"/>
      </rPr>
      <t xml:space="preserve">營收指引 </t>
    </r>
    <r>
      <rPr>
        <sz val="10"/>
        <rFont val="Arial"/>
        <family val="0"/>
        <charset val="1"/>
      </rPr>
      <t xml:space="preserve">3.45–3.6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Verified</t>
    </r>
    <r>
      <rPr>
        <sz val="10"/>
        <rFont val="Noto Sans CJK SC"/>
        <family val="2"/>
      </rPr>
      <t xml:space="preserve">，</t>
    </r>
    <r>
      <rPr>
        <sz val="10"/>
        <rFont val="Arial"/>
        <family val="0"/>
        <charset val="1"/>
      </rPr>
      <t xml:space="preserve">8/11 </t>
    </r>
    <r>
      <rPr>
        <sz val="10"/>
        <rFont val="Noto Sans CJK SC"/>
        <family val="2"/>
      </rPr>
      <t xml:space="preserve">財報）；共識 </t>
    </r>
    <r>
      <rPr>
        <sz val="10"/>
        <rFont val="Arial"/>
        <family val="0"/>
        <charset val="1"/>
      </rPr>
      <t xml:space="preserve">3.541 </t>
    </r>
    <r>
      <rPr>
        <sz val="10"/>
        <rFont val="Noto Sans CJK SC"/>
        <family val="2"/>
      </rPr>
      <t xml:space="preserve">位於指引區間上半部</t>
    </r>
  </si>
  <si>
    <t xml:space="preserve">公司指引（管理層預估）</t>
  </si>
  <si>
    <r>
      <rPr>
        <sz val="10"/>
        <rFont val="Noto Sans CJK SC"/>
        <family val="2"/>
      </rPr>
      <t xml:space="preserve">共識｜公司指引｜</t>
    </r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營收（低／高）</t>
    </r>
  </si>
  <si>
    <t xml:space="preserve">未列</t>
  </si>
  <si>
    <r>
      <rPr>
        <sz val="9"/>
        <color rgb="FF595959"/>
        <rFont val="Arial"/>
        <family val="0"/>
        <charset val="1"/>
      </rPr>
      <t xml:space="preserve">CNBC </t>
    </r>
    <r>
      <rPr>
        <sz val="9"/>
        <color rgb="FF595959"/>
        <rFont val="Noto Sans CJK SC"/>
        <family val="2"/>
      </rPr>
      <t xml:space="preserve">報導 </t>
    </r>
    <r>
      <rPr>
        <sz val="9"/>
        <color rgb="FF595959"/>
        <rFont val="Arial"/>
        <family val="0"/>
        <charset val="1"/>
      </rPr>
      <t xml:space="preserve">2026-08-11 Q2 </t>
    </r>
    <r>
      <rPr>
        <sz val="9"/>
        <color rgb="FF595959"/>
        <rFont val="Noto Sans CJK SC"/>
        <family val="2"/>
      </rPr>
      <t xml:space="preserve">財報｜</t>
    </r>
    <r>
      <rPr>
        <sz val="9"/>
        <color rgb="FF595959"/>
        <rFont val="Arial"/>
        <family val="0"/>
        <charset val="1"/>
      </rPr>
      <t xml:space="preserve">https://www.cnbc.com/2026/08/11/coreweave-crwv-q2-earnings-report-2026.html</t>
    </r>
  </si>
  <si>
    <r>
      <rPr>
        <sz val="10"/>
        <rFont val="Noto Sans CJK SC"/>
        <family val="2"/>
      </rPr>
      <t xml:space="preserve">共識｜公司指引｜</t>
    </r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調整後營業利益（低／高）</t>
    </r>
  </si>
  <si>
    <r>
      <rPr>
        <sz val="10"/>
        <rFont val="Noto Sans CJK SC"/>
        <family val="2"/>
      </rPr>
      <t xml:space="preserve">共識｜公司指引｜</t>
    </r>
    <r>
      <rPr>
        <sz val="10"/>
        <rFont val="Arial"/>
        <family val="0"/>
        <charset val="1"/>
      </rPr>
      <t xml:space="preserve">FY26 CapEx</t>
    </r>
    <r>
      <rPr>
        <sz val="10"/>
        <rFont val="Noto Sans CJK SC"/>
        <family val="2"/>
      </rPr>
      <t xml:space="preserve">（低／高）</t>
    </r>
  </si>
  <si>
    <r>
      <rPr>
        <sz val="10"/>
        <rFont val="Noto Sans CJK SC"/>
        <family val="2"/>
      </rPr>
      <t xml:space="preserve">共識｜公司指引｜</t>
    </r>
    <r>
      <rPr>
        <sz val="10"/>
        <rFont val="Arial"/>
        <family val="0"/>
        <charset val="1"/>
      </rPr>
      <t xml:space="preserve">Q3 </t>
    </r>
    <r>
      <rPr>
        <sz val="10"/>
        <rFont val="Noto Sans CJK SC"/>
        <family val="2"/>
      </rPr>
      <t xml:space="preserve">營收（低／高）</t>
    </r>
  </si>
  <si>
    <t xml:space="preserve">公司指引屬利害關係人（管理層）預估；數字本身為公司正式公布，可查證</t>
  </si>
  <si>
    <r>
      <rPr>
        <b val="true"/>
        <sz val="11"/>
        <color rgb="FFFFFFFF"/>
        <rFont val="Noto Sans CJK SC"/>
        <family val="2"/>
      </rPr>
      <t xml:space="preserve">獨立對照（</t>
    </r>
    <r>
      <rPr>
        <b val="true"/>
        <sz val="11"/>
        <color rgb="FFFFFFFF"/>
        <rFont val="Arial"/>
        <family val="0"/>
        <charset val="1"/>
      </rPr>
      <t xml:space="preserve">LSEG</t>
    </r>
    <r>
      <rPr>
        <b val="true"/>
        <sz val="11"/>
        <color rgb="FFFFFFFF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</si>
  <si>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共識｜</t>
    </r>
    <r>
      <rPr>
        <sz val="10"/>
        <rFont val="Arial"/>
        <family val="0"/>
        <charset val="1"/>
      </rPr>
      <t xml:space="preserve">LSEG </t>
    </r>
    <r>
      <rPr>
        <sz val="10"/>
        <rFont val="Noto Sans CJK SC"/>
        <family val="2"/>
      </rPr>
      <t xml:space="preserve">對照｜</t>
    </r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營收（</t>
    </r>
    <r>
      <rPr>
        <sz val="10"/>
        <rFont val="Arial"/>
        <family val="0"/>
        <charset val="1"/>
      </rPr>
      <t xml:space="preserve">Q2 </t>
    </r>
    <r>
      <rPr>
        <sz val="10"/>
        <rFont val="Noto Sans CJK SC"/>
        <family val="2"/>
      </rPr>
      <t xml:space="preserve">前）</t>
    </r>
  </si>
  <si>
    <t xml:space="preserve">2026-08-11</t>
  </si>
  <si>
    <r>
      <rPr>
        <sz val="9"/>
        <color rgb="FF595959"/>
        <rFont val="Arial"/>
        <family val="0"/>
        <charset val="1"/>
      </rPr>
      <t xml:space="preserve">LSEG</t>
    </r>
    <r>
      <rPr>
        <sz val="9"/>
        <color rgb="FF595959"/>
        <rFont val="Noto Sans CJK SC"/>
        <family val="2"/>
      </rPr>
      <t xml:space="preserve">（經 </t>
    </r>
    <r>
      <rPr>
        <sz val="9"/>
        <color rgb="FF595959"/>
        <rFont val="Arial"/>
        <family val="0"/>
        <charset val="1"/>
      </rPr>
      <t xml:space="preserve">CNBC</t>
    </r>
    <r>
      <rPr>
        <sz val="9"/>
        <color rgb="FF595959"/>
        <rFont val="Noto Sans CJK SC"/>
        <family val="2"/>
      </rPr>
      <t xml:space="preserve">）｜</t>
    </r>
    <r>
      <rPr>
        <sz val="9"/>
        <color rgb="FF595959"/>
        <rFont val="Arial"/>
        <family val="0"/>
        <charset val="1"/>
      </rPr>
      <t xml:space="preserve">https://www.cnbc.com/2026/08/11/coreweave-crwv-q2-earnings-report-2026.html</t>
    </r>
  </si>
  <si>
    <r>
      <rPr>
        <sz val="10"/>
        <rFont val="Noto Sans CJK SC"/>
        <family val="2"/>
      </rPr>
      <t xml:space="preserve">共識｜</t>
    </r>
    <r>
      <rPr>
        <sz val="10"/>
        <rFont val="Arial"/>
        <family val="0"/>
        <charset val="1"/>
      </rPr>
      <t xml:space="preserve">LSEG </t>
    </r>
    <r>
      <rPr>
        <sz val="10"/>
        <rFont val="Noto Sans CJK SC"/>
        <family val="2"/>
      </rPr>
      <t xml:space="preserve">對照｜</t>
    </r>
    <r>
      <rPr>
        <sz val="10"/>
        <rFont val="Arial"/>
        <family val="0"/>
        <charset val="1"/>
      </rPr>
      <t xml:space="preserve">Q3 </t>
    </r>
    <r>
      <rPr>
        <sz val="10"/>
        <rFont val="Noto Sans CJK SC"/>
        <family val="2"/>
      </rPr>
      <t xml:space="preserve">營收（</t>
    </r>
    <r>
      <rPr>
        <sz val="10"/>
        <rFont val="Arial"/>
        <family val="0"/>
        <charset val="1"/>
      </rPr>
      <t xml:space="preserve">Q2 </t>
    </r>
    <r>
      <rPr>
        <sz val="10"/>
        <rFont val="Noto Sans CJK SC"/>
        <family val="2"/>
      </rPr>
      <t xml:space="preserve">前）</t>
    </r>
  </si>
  <si>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財報前的 </t>
    </r>
    <r>
      <rPr>
        <sz val="9"/>
        <color rgb="FF595959"/>
        <rFont val="Arial"/>
        <family val="0"/>
        <charset val="1"/>
      </rPr>
      <t xml:space="preserve">LSEG </t>
    </r>
    <r>
      <rPr>
        <sz val="9"/>
        <color rgb="FF595959"/>
        <rFont val="Noto Sans CJK SC"/>
        <family val="2"/>
      </rPr>
      <t xml:space="preserve">共識，日期較舊，僅供確認 </t>
    </r>
    <r>
      <rPr>
        <sz val="9"/>
        <color rgb="FF595959"/>
        <rFont val="Arial"/>
        <family val="0"/>
        <charset val="1"/>
      </rPr>
      <t xml:space="preserve">S&amp;P </t>
    </r>
    <r>
      <rPr>
        <sz val="9"/>
        <color rgb="FF595959"/>
        <rFont val="Noto Sans CJK SC"/>
        <family val="2"/>
      </rPr>
      <t xml:space="preserve">數字量級合理</t>
    </r>
  </si>
  <si>
    <t xml:space="preserve">最新分析師動作</t>
  </si>
  <si>
    <r>
      <rPr>
        <sz val="10"/>
        <rFont val="Noto Sans CJK SC"/>
        <family val="2"/>
      </rPr>
      <t xml:space="preserve">共識｜分析師動作｜</t>
    </r>
    <r>
      <rPr>
        <sz val="10"/>
        <rFont val="Arial"/>
        <family val="0"/>
        <charset val="1"/>
      </rPr>
      <t xml:space="preserve">2026-09-25 Rothschild &amp; Co Redburn</t>
    </r>
  </si>
  <si>
    <t xml:space="preserve">目標價未列</t>
  </si>
  <si>
    <r>
      <rPr>
        <sz val="9"/>
        <color rgb="FF595959"/>
        <rFont val="Arial"/>
        <family val="0"/>
        <charset val="1"/>
      </rPr>
      <t xml:space="preserve">TipRanks</t>
    </r>
    <r>
      <rPr>
        <sz val="9"/>
        <color rgb="FF595959"/>
        <rFont val="Noto Sans CJK SC"/>
        <family val="2"/>
      </rPr>
      <t xml:space="preserve">（經 </t>
    </r>
    <r>
      <rPr>
        <sz val="9"/>
        <color rgb="FF595959"/>
        <rFont val="Arial"/>
        <family val="0"/>
        <charset val="1"/>
      </rPr>
      <t xml:space="preserve">StockAnalysis.com</t>
    </r>
    <r>
      <rPr>
        <sz val="9"/>
        <color rgb="FF595959"/>
        <rFont val="Noto Sans CJK SC"/>
        <family val="2"/>
      </rPr>
      <t xml:space="preserve">）｜</t>
    </r>
    <r>
      <rPr>
        <sz val="9"/>
        <color rgb="FF595959"/>
        <rFont val="Arial"/>
        <family val="0"/>
        <charset val="1"/>
      </rPr>
      <t xml:space="preserve">https://stockanalysis.com/stocks/crwv/forecast/</t>
    </r>
  </si>
  <si>
    <r>
      <rPr>
        <sz val="9"/>
        <color rgb="FF595959"/>
        <rFont val="Arial"/>
        <family val="0"/>
        <charset val="1"/>
      </rPr>
      <t xml:space="preserve">Sell</t>
    </r>
    <r>
      <rPr>
        <sz val="9"/>
        <color rgb="FF595959"/>
        <rFont val="Noto Sans CJK SC"/>
        <family val="2"/>
      </rPr>
      <t xml:space="preserve">（首次評等）；</t>
    </r>
    <r>
      <rPr>
        <sz val="9"/>
        <color rgb="FF595959"/>
        <rFont val="Arial"/>
        <family val="0"/>
        <charset val="1"/>
      </rPr>
      <t xml:space="preserve">S&amp;P </t>
    </r>
    <r>
      <rPr>
        <sz val="9"/>
        <color rgb="FF595959"/>
        <rFont val="Noto Sans CJK SC"/>
        <family val="2"/>
      </rPr>
      <t xml:space="preserve">資料未列目標價；二手報導稱 </t>
    </r>
    <r>
      <rPr>
        <sz val="9"/>
        <color rgb="FF595959"/>
        <rFont val="Arial"/>
        <family val="0"/>
        <charset val="1"/>
      </rPr>
      <t xml:space="preserve">$54</t>
    </r>
    <r>
      <rPr>
        <sz val="9"/>
        <color rgb="FF595959"/>
        <rFont val="Noto Sans CJK SC"/>
        <family val="2"/>
      </rPr>
      <t xml:space="preserve">，未經一手確認，不採用</t>
    </r>
  </si>
  <si>
    <r>
      <rPr>
        <sz val="10"/>
        <rFont val="Noto Sans CJK SC"/>
        <family val="2"/>
      </rPr>
      <t xml:space="preserve">共識｜分析師動作｜</t>
    </r>
    <r>
      <rPr>
        <sz val="10"/>
        <rFont val="Arial"/>
        <family val="0"/>
        <charset val="1"/>
      </rPr>
      <t xml:space="preserve">2026-09-24 J.P. Morgan</t>
    </r>
  </si>
  <si>
    <r>
      <rPr>
        <sz val="9"/>
        <color rgb="FF595959"/>
        <rFont val="Arial"/>
        <family val="0"/>
        <charset val="1"/>
      </rPr>
      <t xml:space="preserve">Buy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$120 → $125</t>
    </r>
  </si>
  <si>
    <r>
      <rPr>
        <sz val="10"/>
        <rFont val="Noto Sans CJK SC"/>
        <family val="2"/>
      </rPr>
      <t xml:space="preserve">共識｜分析師動作｜</t>
    </r>
    <r>
      <rPr>
        <sz val="10"/>
        <rFont val="Arial"/>
        <family val="0"/>
        <charset val="1"/>
      </rPr>
      <t xml:space="preserve">2026-09-22 UBS</t>
    </r>
  </si>
  <si>
    <r>
      <rPr>
        <sz val="9"/>
        <color rgb="FF595959"/>
        <rFont val="Arial"/>
        <family val="0"/>
        <charset val="1"/>
      </rPr>
      <t xml:space="preserve">Buy</t>
    </r>
    <r>
      <rPr>
        <sz val="9"/>
        <color rgb="FF595959"/>
        <rFont val="Noto Sans CJK SC"/>
        <family val="2"/>
      </rPr>
      <t xml:space="preserve">（首次評等）</t>
    </r>
  </si>
  <si>
    <r>
      <rPr>
        <sz val="10"/>
        <rFont val="Noto Sans CJK SC"/>
        <family val="2"/>
      </rPr>
      <t xml:space="preserve">共識｜分析師動作｜</t>
    </r>
    <r>
      <rPr>
        <sz val="10"/>
        <rFont val="Arial"/>
        <family val="0"/>
        <charset val="1"/>
      </rPr>
      <t xml:space="preserve">2026-09-22 Evercore ISI</t>
    </r>
  </si>
  <si>
    <r>
      <rPr>
        <sz val="9"/>
        <color rgb="FF595959"/>
        <rFont val="Arial"/>
        <family val="0"/>
        <charset val="1"/>
      </rPr>
      <t xml:space="preserve">Buy</t>
    </r>
    <r>
      <rPr>
        <sz val="9"/>
        <color rgb="FF595959"/>
        <rFont val="Noto Sans CJK SC"/>
        <family val="2"/>
      </rPr>
      <t xml:space="preserve">（維持）；</t>
    </r>
    <r>
      <rPr>
        <sz val="9"/>
        <color rgb="FF595959"/>
        <rFont val="Arial"/>
        <family val="0"/>
        <charset val="1"/>
      </rPr>
      <t xml:space="preserve">S&amp;P </t>
    </r>
    <r>
      <rPr>
        <sz val="9"/>
        <color rgb="FF595959"/>
        <rFont val="Noto Sans CJK SC"/>
        <family val="2"/>
      </rPr>
      <t xml:space="preserve">資料未列；二手報導稱 </t>
    </r>
    <r>
      <rPr>
        <sz val="9"/>
        <color rgb="FF595959"/>
        <rFont val="Arial"/>
        <family val="0"/>
        <charset val="1"/>
      </rPr>
      <t xml:space="preserve">$150</t>
    </r>
    <r>
      <rPr>
        <sz val="9"/>
        <color rgb="FF595959"/>
        <rFont val="Noto Sans CJK SC"/>
        <family val="2"/>
      </rPr>
      <t xml:space="preserve">，未經一手確認，不採用</t>
    </r>
  </si>
  <si>
    <r>
      <rPr>
        <sz val="10"/>
        <rFont val="Noto Sans CJK SC"/>
        <family val="2"/>
      </rPr>
      <t xml:space="preserve">共識｜分析師動作｜</t>
    </r>
    <r>
      <rPr>
        <sz val="10"/>
        <rFont val="Arial"/>
        <family val="0"/>
        <charset val="1"/>
      </rPr>
      <t xml:space="preserve">2026-09-20 Freedom Capital Markets</t>
    </r>
  </si>
  <si>
    <r>
      <rPr>
        <sz val="9"/>
        <color rgb="FF595959"/>
        <rFont val="Arial"/>
        <family val="0"/>
        <charset val="1"/>
      </rPr>
      <t xml:space="preserve">Buy</t>
    </r>
    <r>
      <rPr>
        <sz val="9"/>
        <color rgb="FF595959"/>
        <rFont val="Noto Sans CJK SC"/>
        <family val="2"/>
      </rPr>
      <t xml:space="preserve">（維持）</t>
    </r>
  </si>
  <si>
    <t xml:space="preserve">來源與限制</t>
  </si>
  <si>
    <t xml:space="preserve">共識｜來源獨立性</t>
  </si>
  <si>
    <r>
      <rPr>
        <sz val="10"/>
        <rFont val="Arial"/>
        <family val="0"/>
        <charset val="1"/>
      </rPr>
      <t xml:space="preserve">StockAnalysis.com </t>
    </r>
    <r>
      <rPr>
        <sz val="10"/>
        <rFont val="Noto Sans CJK SC"/>
        <family val="2"/>
      </rPr>
      <t xml:space="preserve">與 </t>
    </r>
    <r>
      <rPr>
        <sz val="10"/>
        <rFont val="Arial"/>
        <family val="0"/>
        <charset val="1"/>
      </rPr>
      <t xml:space="preserve">MarketScreener </t>
    </r>
    <r>
      <rPr>
        <sz val="10"/>
        <rFont val="Noto Sans CJK SC"/>
        <family val="2"/>
      </rPr>
      <t xml:space="preserve">的營收預估完全相同（</t>
    </r>
    <r>
      <rPr>
        <sz val="10"/>
        <rFont val="Arial"/>
        <family val="0"/>
        <charset val="1"/>
      </rPr>
      <t xml:space="preserve">12.882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26.376</t>
    </r>
    <r>
      <rPr>
        <sz val="10"/>
        <rFont val="Noto Sans CJK SC"/>
        <family val="2"/>
      </rPr>
      <t xml:space="preserve">），兩者皆引用 </t>
    </r>
    <r>
      <rPr>
        <sz val="10"/>
        <rFont val="Arial"/>
        <family val="0"/>
        <charset val="1"/>
      </rPr>
      <t xml:space="preserve">S&amp;P Global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Capital IQ</t>
    </r>
    <r>
      <rPr>
        <sz val="10"/>
        <rFont val="Noto Sans CJK SC"/>
        <family val="2"/>
      </rPr>
      <t xml:space="preserve">，屬同一來源的兩個呈現，不是獨立交叉驗證。獨立來源僅有 </t>
    </r>
    <r>
      <rPr>
        <sz val="10"/>
        <rFont val="Arial"/>
        <family val="0"/>
        <charset val="1"/>
      </rPr>
      <t xml:space="preserve">LSEG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CNBC </t>
    </r>
    <r>
      <rPr>
        <sz val="10"/>
        <rFont val="Noto Sans CJK SC"/>
        <family val="2"/>
      </rPr>
      <t xml:space="preserve">引用，日期較舊）。</t>
    </r>
  </si>
  <si>
    <t xml:space="preserve">資料檔說明</t>
  </si>
  <si>
    <r>
      <rPr>
        <sz val="10"/>
        <rFont val="Noto Sans CJK SC"/>
        <family val="2"/>
      </rPr>
      <t xml:space="preserve">共識｜未取得｜</t>
    </r>
    <r>
      <rPr>
        <sz val="10"/>
        <rFont val="Arial"/>
        <family val="0"/>
        <charset val="1"/>
      </rPr>
      <t xml:space="preserve">1</t>
    </r>
  </si>
  <si>
    <r>
      <rPr>
        <sz val="10"/>
        <rFont val="Arial"/>
        <family val="0"/>
        <charset val="1"/>
      </rPr>
      <t xml:space="preserve">FY29–FY30 </t>
    </r>
    <r>
      <rPr>
        <sz val="10"/>
        <rFont val="Noto Sans CJK SC"/>
        <family val="2"/>
      </rPr>
      <t xml:space="preserve">共識：公開來源只到 </t>
    </r>
    <r>
      <rPr>
        <sz val="10"/>
        <rFont val="Arial"/>
        <family val="0"/>
        <charset val="1"/>
      </rPr>
      <t xml:space="preserve">FY28</t>
    </r>
    <r>
      <rPr>
        <sz val="10"/>
        <rFont val="Noto Sans CJK SC"/>
        <family val="2"/>
      </rPr>
      <t xml:space="preserve">，無法取得（不是不存在，而是免費來源未提供）</t>
    </r>
  </si>
  <si>
    <r>
      <rPr>
        <sz val="10"/>
        <rFont val="Noto Sans CJK SC"/>
        <family val="2"/>
      </rPr>
      <t xml:space="preserve">共識｜未取得｜</t>
    </r>
    <r>
      <rPr>
        <sz val="10"/>
        <rFont val="Arial"/>
        <family val="0"/>
        <charset val="1"/>
      </rPr>
      <t xml:space="preserve">2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</si>
  <si>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共識的高低區間：未公開</t>
    </r>
  </si>
  <si>
    <r>
      <rPr>
        <sz val="10"/>
        <rFont val="Noto Sans CJK SC"/>
        <family val="2"/>
      </rPr>
      <t xml:space="preserve">共識｜未取得｜</t>
    </r>
    <r>
      <rPr>
        <sz val="10"/>
        <rFont val="Arial"/>
        <family val="0"/>
        <charset val="1"/>
      </rPr>
      <t xml:space="preserve">3</t>
    </r>
  </si>
  <si>
    <r>
      <rPr>
        <sz val="10"/>
        <rFont val="Noto Sans CJK SC"/>
        <family val="2"/>
      </rPr>
      <t xml:space="preserve">目標價的時間分布（多少目標價是 </t>
    </r>
    <r>
      <rPr>
        <sz val="10"/>
        <rFont val="Arial"/>
        <family val="0"/>
        <charset val="1"/>
      </rPr>
      <t xml:space="preserve">Q2 </t>
    </r>
    <r>
      <rPr>
        <sz val="10"/>
        <rFont val="Noto Sans CJK SC"/>
        <family val="2"/>
      </rPr>
      <t xml:space="preserve">財報後更新）：未公開</t>
    </r>
  </si>
  <si>
    <r>
      <rPr>
        <sz val="10"/>
        <rFont val="Noto Sans CJK SC"/>
        <family val="2"/>
      </rPr>
      <t xml:space="preserve">判斷句門檻：與共識差距（營收、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</si>
  <si>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任一項差距絕對值超過此比例即視為分歧（</t>
    </r>
    <r>
      <rPr>
        <sz val="9"/>
        <color rgb="FF595959"/>
        <rFont val="Arial"/>
        <family val="0"/>
        <charset val="1"/>
      </rPr>
      <t xml:space="preserve">company.json → methodology.consensusGapTol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[Assumed]</t>
    </r>
  </si>
  <si>
    <t xml:space="preserve">差異原因門檻：利潤類利潤率差（百分點）</t>
  </si>
  <si>
    <r>
      <rPr>
        <sz val="9"/>
        <color rgb="FF595959"/>
        <rFont val="Noto Sans CJK SC"/>
        <family val="2"/>
      </rPr>
      <t xml:space="preserve">利潤類（調整後 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、調整後營業利益）利潤率差超過此值須附差異原因；營收、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Noto Sans CJK SC"/>
        <family val="2"/>
      </rPr>
      <t xml:space="preserve">、淨負債、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用上一格（</t>
    </r>
    <r>
      <rPr>
        <sz val="9"/>
        <color rgb="FF595959"/>
        <rFont val="Arial"/>
        <family val="0"/>
        <charset val="1"/>
      </rPr>
      <t xml:space="preserve">company.json → methodology.profitMarginTolPt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</si>
  <si>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b val="true"/>
        <sz val="10"/>
        <rFont val="Arial"/>
        <family val="0"/>
        <charset val="1"/>
      </rPr>
      <t xml:space="preserve">J</t>
    </r>
    <r>
      <rPr>
        <b val="true"/>
        <sz val="10"/>
        <rFont val="Noto Sans CJK SC"/>
        <family val="2"/>
      </rPr>
      <t xml:space="preserve">｜季度追蹤：實際數、指引與拆分設定（</t>
    </r>
    <r>
      <rPr>
        <b val="true"/>
        <sz val="10"/>
        <rFont val="Arial"/>
        <family val="0"/>
        <charset val="1"/>
      </rPr>
      <t xml:space="preserve">company.json → quarterly</t>
    </r>
    <r>
      <rPr>
        <b val="true"/>
        <sz val="10"/>
        <rFont val="Noto Sans CJK SC"/>
        <family val="2"/>
      </rPr>
      <t xml:space="preserve">；實際數預設空白，財報公布後填入藍字格）</t>
    </r>
  </si>
  <si>
    <t xml:space="preserve">季度</t>
  </si>
  <si>
    <t xml:space="preserve">Q3'26</t>
  </si>
  <si>
    <t xml:space="preserve">Q4'26</t>
  </si>
  <si>
    <t xml:space="preserve">Q1'27</t>
  </si>
  <si>
    <t xml:space="preserve">Q2'27</t>
  </si>
  <si>
    <t xml:space="preserve">Q3'27</t>
  </si>
  <si>
    <t xml:space="preserve">Q4'27</t>
  </si>
  <si>
    <t xml:space="preserve">說明</t>
  </si>
  <si>
    <r>
      <rPr>
        <sz val="10"/>
        <rFont val="Noto Sans CJK SC"/>
        <family val="2"/>
      </rPr>
      <t xml:space="preserve">季度｜所屬期間（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2H26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FY27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</si>
  <si>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company.json </t>
    </r>
    <r>
      <rPr>
        <sz val="9"/>
        <color rgb="FF595959"/>
        <rFont val="Noto Sans CJK SC"/>
        <family val="2"/>
      </rPr>
      <t xml:space="preserve">設定；拆分公式依此建置（改動需重建）</t>
    </r>
  </si>
  <si>
    <r>
      <rPr>
        <sz val="10"/>
        <rFont val="Noto Sans CJK SC"/>
        <family val="2"/>
      </rPr>
      <t xml:space="preserve">季度｜焦點季（</t>
    </r>
    <r>
      <rPr>
        <sz val="10"/>
        <rFont val="Arial"/>
        <family val="0"/>
        <charset val="1"/>
      </rPr>
      <t xml:space="preserve">1–6</t>
    </r>
    <r>
      <rPr>
        <sz val="10"/>
        <rFont val="Noto Sans CJK SC"/>
        <family val="2"/>
      </rPr>
      <t xml:space="preserve">）</t>
    </r>
  </si>
  <si>
    <t xml:space="preserve">「季度追蹤」分頁第一屏與「摘要」驗證點顯示的季度；財報公布後改為下一季</t>
  </si>
  <si>
    <r>
      <rPr>
        <sz val="10"/>
        <rFont val="Noto Sans CJK SC"/>
        <family val="2"/>
      </rPr>
      <t xml:space="preserve">季度｜營收起點（</t>
    </r>
    <r>
      <rPr>
        <sz val="10"/>
        <rFont val="Arial"/>
        <family val="0"/>
        <charset val="1"/>
      </rPr>
      <t xml:space="preserve">Q2'26 </t>
    </r>
    <r>
      <rPr>
        <sz val="10"/>
        <rFont val="Noto Sans CJK SC"/>
        <family val="2"/>
      </rPr>
      <t xml:space="preserve">實際營收）</t>
    </r>
  </si>
  <si>
    <r>
      <rPr>
        <sz val="9"/>
        <color rgb="FF595959"/>
        <rFont val="Noto Sans CJK SC"/>
        <family val="2"/>
      </rPr>
      <t xml:space="preserve">營收拆分 </t>
    </r>
    <r>
      <rPr>
        <sz val="9"/>
        <color rgb="FF595959"/>
        <rFont val="Arial"/>
        <family val="0"/>
        <charset val="1"/>
      </rPr>
      <t xml:space="preserve">anchor </t>
    </r>
    <r>
      <rPr>
        <sz val="9"/>
        <color rgb="FF595959"/>
        <rFont val="Noto Sans CJK SC"/>
        <family val="2"/>
      </rPr>
      <t xml:space="preserve">用：從此值逐季線性爬升 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</si>
  <si>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Noto Sans CJK SC"/>
        <family val="2"/>
      </rPr>
      <t xml:space="preserve">季度｜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起點（第 </t>
    </r>
    <r>
      <rPr>
        <sz val="10"/>
        <rFont val="Arial"/>
        <family val="0"/>
        <charset val="1"/>
      </rPr>
      <t xml:space="preserve">1 </t>
    </r>
    <r>
      <rPr>
        <sz val="10"/>
        <rFont val="Noto Sans CJK SC"/>
        <family val="2"/>
      </rPr>
      <t xml:space="preserve">期期初 </t>
    </r>
    <r>
      <rPr>
        <sz val="10"/>
        <rFont val="Arial"/>
        <family val="0"/>
        <charset val="1"/>
      </rPr>
      <t xml:space="preserve">Accepted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</si>
  <si>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Noto Sans CJK SC"/>
        <family val="2"/>
      </rPr>
      <t xml:space="preserve">公司公布 </t>
    </r>
    <r>
      <rPr>
        <sz val="9"/>
        <color rgb="FF595959"/>
        <rFont val="Arial"/>
        <family val="0"/>
        <charset val="1"/>
      </rPr>
      <t xml:space="preserve">active power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1.5 GW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callFacts.activeGw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</si>
  <si>
    <t xml:space="preserve">季度實際｜營收</t>
  </si>
  <si>
    <t xml:space="preserve">實際數（公司公布）；空白＝待公布</t>
  </si>
  <si>
    <r>
      <rPr>
        <sz val="10"/>
        <rFont val="Noto Sans CJK SC"/>
        <family val="2"/>
      </rPr>
      <t xml:space="preserve">季度實際｜調整後 </t>
    </r>
    <r>
      <rPr>
        <sz val="10"/>
        <rFont val="Arial"/>
        <family val="0"/>
        <charset val="1"/>
      </rPr>
      <t xml:space="preserve">EBITDA</t>
    </r>
  </si>
  <si>
    <t xml:space="preserve">季度實際｜調整後營業利益</t>
  </si>
  <si>
    <r>
      <rPr>
        <sz val="10"/>
        <rFont val="Noto Sans CJK SC"/>
        <family val="2"/>
      </rPr>
      <t xml:space="preserve">季度實際｜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</t>
    </r>
  </si>
  <si>
    <r>
      <rPr>
        <sz val="10"/>
        <rFont val="Noto Sans CJK SC"/>
        <family val="2"/>
      </rPr>
      <t xml:space="preserve">季度實際｜季末 </t>
    </r>
    <r>
      <rPr>
        <sz val="10"/>
        <rFont val="Arial"/>
        <family val="0"/>
        <charset val="1"/>
      </rPr>
      <t xml:space="preserve">active power</t>
    </r>
  </si>
  <si>
    <t xml:space="preserve">季度實際｜來源</t>
  </si>
  <si>
    <t xml:space="preserve">季度實際｜日期</t>
  </si>
  <si>
    <t xml:space="preserve">季度實際｜標記</t>
  </si>
  <si>
    <t xml:space="preserve">季度指引｜營收（低）</t>
  </si>
  <si>
    <r>
      <rPr>
        <sz val="9"/>
        <color rgb="FF595959"/>
        <rFont val="Arial"/>
        <family val="0"/>
        <charset val="1"/>
      </rPr>
      <t xml:space="preserve">CNBC </t>
    </r>
    <r>
      <rPr>
        <sz val="9"/>
        <color rgb="FF595959"/>
        <rFont val="Noto Sans CJK SC"/>
        <family val="2"/>
      </rPr>
      <t xml:space="preserve">報導 </t>
    </r>
    <r>
      <rPr>
        <sz val="9"/>
        <color rgb="FF595959"/>
        <rFont val="Arial"/>
        <family val="0"/>
        <charset val="1"/>
      </rPr>
      <t xml:space="preserve">2026-08-11 Q2 </t>
    </r>
    <r>
      <rPr>
        <sz val="9"/>
        <color rgb="FF595959"/>
        <rFont val="Noto Sans CJK SC"/>
        <family val="2"/>
      </rPr>
      <t xml:space="preserve">財報 </t>
    </r>
    <r>
      <rPr>
        <sz val="9"/>
        <color rgb="FF595959"/>
        <rFont val="Arial"/>
        <family val="0"/>
        <charset val="1"/>
      </rPr>
      <t xml:space="preserve">[Interested-party]</t>
    </r>
  </si>
  <si>
    <t xml:space="preserve">季度指引｜營收（高）</t>
  </si>
  <si>
    <t xml:space="preserve">季度指引｜調整後營業利益（低）</t>
  </si>
  <si>
    <t xml:space="preserve">季度指引｜調整後營業利益（高）</t>
  </si>
  <si>
    <r>
      <rPr>
        <sz val="10"/>
        <rFont val="Noto Sans CJK SC"/>
        <family val="2"/>
      </rPr>
      <t xml:space="preserve">季度指引｜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（毛額）（低）</t>
    </r>
  </si>
  <si>
    <r>
      <rPr>
        <sz val="10"/>
        <rFont val="Noto Sans CJK SC"/>
        <family val="2"/>
      </rPr>
      <t xml:space="preserve">季度指引｜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（毛額）（高）</t>
    </r>
  </si>
  <si>
    <t xml:space="preserve">季度文字指引｜調整後營業利益</t>
  </si>
  <si>
    <r>
      <rPr>
        <sz val="10"/>
        <color rgb="FF0000FF"/>
        <rFont val="Noto Sans CJK SC"/>
        <family val="2"/>
      </rPr>
      <t xml:space="preserve">調整後營業利益率 </t>
    </r>
    <r>
      <rPr>
        <sz val="10"/>
        <color rgb="FF0000FF"/>
        <rFont val="Arial"/>
        <family val="0"/>
        <charset val="1"/>
      </rPr>
      <t xml:space="preserve">low teens</t>
    </r>
  </si>
  <si>
    <r>
      <rPr>
        <sz val="9"/>
        <color rgb="FF595959"/>
        <rFont val="Arial"/>
        <family val="0"/>
        <charset val="1"/>
      </rPr>
      <t xml:space="preserve">Q4'26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法說 </t>
    </r>
    <r>
      <rPr>
        <sz val="9"/>
        <color rgb="FF595959"/>
        <rFont val="Arial"/>
        <family val="0"/>
        <charset val="1"/>
      </rPr>
      <t xml:space="preserve">2026-08-11 [Interested-party]</t>
    </r>
  </si>
  <si>
    <r>
      <rPr>
        <sz val="10"/>
        <rFont val="Noto Sans CJK SC"/>
        <family val="2"/>
      </rPr>
      <t xml:space="preserve">期間指引｜</t>
    </r>
    <r>
      <rPr>
        <sz val="10"/>
        <rFont val="Arial"/>
        <family val="0"/>
        <charset val="1"/>
      </rPr>
      <t xml:space="preserve">2H26 </t>
    </r>
    <r>
      <rPr>
        <sz val="10"/>
        <rFont val="Noto Sans CJK SC"/>
        <family val="2"/>
      </rPr>
      <t xml:space="preserve">營收（全年低／全年高／扣除 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實際）</t>
    </r>
  </si>
  <si>
    <r>
      <rPr>
        <sz val="9"/>
        <color rgb="FF595959"/>
        <rFont val="Noto Sans CJK SC"/>
        <family val="2"/>
      </rPr>
      <t xml:space="preserve">全年指引 − 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實際＝下半年隱含指引 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Noto Sans CJK SC"/>
        <family val="2"/>
      </rPr>
      <t xml:space="preserve">；只用於判斷季度差距是否為「拆法」</t>
    </r>
  </si>
  <si>
    <r>
      <rPr>
        <sz val="10"/>
        <rFont val="Noto Sans CJK SC"/>
        <family val="2"/>
      </rPr>
      <t xml:space="preserve">期間指引｜</t>
    </r>
    <r>
      <rPr>
        <sz val="10"/>
        <rFont val="Arial"/>
        <family val="0"/>
        <charset val="1"/>
      </rPr>
      <t xml:space="preserve">2H26 CapEx</t>
    </r>
    <r>
      <rPr>
        <sz val="10"/>
        <rFont val="Noto Sans CJK SC"/>
        <family val="2"/>
      </rPr>
      <t xml:space="preserve">（毛額）（全年低／全年高／扣除 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實際）</t>
    </r>
  </si>
  <si>
    <t xml:space="preserve">支出與資金 — 五層支出、四層來源、現金橋</t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</si>
  <si>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實際（</t>
    </r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現金流量表口徑）＋下半年模型；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以後為純模型。瀑布以「融資前現金」決定需求並直接由各支出列加總，因此沒有循環參照</t>
    </r>
  </si>
  <si>
    <t xml:space="preserve">公式／來源說明</t>
  </si>
  <si>
    <t xml:space="preserve">支出（五層）</t>
  </si>
  <si>
    <r>
      <rPr>
        <sz val="10"/>
        <rFont val="Noto Sans CJK SC"/>
        <family val="2"/>
      </rPr>
      <t xml:space="preserve">① 毛 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（認列，備忘）</t>
    </r>
  </si>
  <si>
    <r>
      <rPr>
        <sz val="9"/>
        <color rgb="FF595959"/>
        <rFont val="Arial"/>
        <family val="0"/>
        <charset val="1"/>
      </rPr>
      <t xml:space="preserve">FY26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實際認列 </t>
    </r>
    <r>
      <rPr>
        <sz val="9"/>
        <color rgb="FF595959"/>
        <rFont val="Arial"/>
        <family val="0"/>
        <charset val="1"/>
      </rPr>
      <t xml:space="preserve">16.139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Noto Sans CJK SC"/>
        <family val="2"/>
      </rPr>
      <t xml:space="preserve">模型；對照公司全年指引 </t>
    </r>
    <r>
      <rPr>
        <sz val="9"/>
        <color rgb="FF595959"/>
        <rFont val="Arial"/>
        <family val="0"/>
        <charset val="1"/>
      </rPr>
      <t xml:space="preserve">35–39</t>
    </r>
    <r>
      <rPr>
        <sz val="9"/>
        <color rgb="FF595959"/>
        <rFont val="Noto Sans CJK SC"/>
        <family val="2"/>
      </rPr>
      <t xml:space="preserve">。備忘列：用途合計採現金口徑，不用這一列</t>
    </r>
  </si>
  <si>
    <t xml:space="preserve">　客戶預付率</t>
  </si>
  <si>
    <r>
      <rPr>
        <sz val="10"/>
        <rFont val="Noto Sans CJK SC"/>
        <family val="2"/>
      </rPr>
      <t xml:space="preserve">　客戶預付金額（抵減，</t>
    </r>
    <r>
      <rPr>
        <sz val="10"/>
        <rFont val="Arial"/>
        <family val="0"/>
        <charset val="1"/>
      </rPr>
      <t xml:space="preserve">2H </t>
    </r>
    <r>
      <rPr>
        <sz val="10"/>
        <rFont val="Noto Sans CJK SC"/>
        <family val="2"/>
      </rPr>
      <t xml:space="preserve">起）</t>
    </r>
  </si>
  <si>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的預付已含在實際 </t>
    </r>
    <r>
      <rPr>
        <sz val="9"/>
        <color rgb="FF595959"/>
        <rFont val="Arial"/>
        <family val="0"/>
        <charset val="1"/>
      </rPr>
      <t xml:space="preserve">CFO </t>
    </r>
    <r>
      <rPr>
        <sz val="9"/>
        <color rgb="FF595959"/>
        <rFont val="Noto Sans CJK SC"/>
        <family val="2"/>
      </rPr>
      <t xml:space="preserve">內，不重複計入</t>
    </r>
  </si>
  <si>
    <r>
      <rPr>
        <sz val="10"/>
        <rFont val="Arial"/>
        <family val="0"/>
        <charset val="1"/>
      </rPr>
      <t xml:space="preserve">① CapEx</t>
    </r>
    <r>
      <rPr>
        <sz val="10"/>
        <rFont val="Noto Sans CJK SC"/>
        <family val="2"/>
      </rPr>
      <t xml:space="preserve">（用途用：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現金／</t>
    </r>
    <r>
      <rPr>
        <sz val="10"/>
        <rFont val="Arial"/>
        <family val="0"/>
        <charset val="1"/>
      </rPr>
      <t xml:space="preserve">2H </t>
    </r>
    <r>
      <rPr>
        <sz val="10"/>
        <rFont val="Noto Sans CJK SC"/>
        <family val="2"/>
      </rPr>
      <t xml:space="preserve">毛額）</t>
    </r>
  </si>
  <si>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採現金流量表的現金購置 </t>
    </r>
    <r>
      <rPr>
        <sz val="9"/>
        <color rgb="FF595959"/>
        <rFont val="Arial"/>
        <family val="0"/>
        <charset val="1"/>
      </rPr>
      <t xml:space="preserve">14.117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Noto Sans CJK SC"/>
        <family val="2"/>
      </rPr>
      <t xml:space="preserve">起採毛額，客戶預付在來源端抵回（避免重複計入）</t>
    </r>
  </si>
  <si>
    <r>
      <rPr>
        <sz val="10"/>
        <rFont val="Noto Sans CJK SC"/>
        <family val="2"/>
      </rPr>
      <t xml:space="preserve">② 在帳現金租金（備忘，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已含在 </t>
    </r>
    <r>
      <rPr>
        <sz val="10"/>
        <rFont val="Arial"/>
        <family val="0"/>
        <charset val="1"/>
      </rPr>
      <t xml:space="preserve">CFO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</si>
  <si>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見『租賃與承諾』頁；</t>
    </r>
    <r>
      <rPr>
        <sz val="9"/>
        <color rgb="FF595959"/>
        <rFont val="Arial"/>
        <family val="0"/>
        <charset val="1"/>
      </rPr>
      <t xml:space="preserve">2030 </t>
    </r>
    <r>
      <rPr>
        <sz val="9"/>
        <color rgb="FF595959"/>
        <rFont val="Noto Sans CJK SC"/>
        <family val="2"/>
      </rPr>
      <t xml:space="preserve">後尚有 </t>
    </r>
    <r>
      <rPr>
        <sz val="9"/>
        <color rgb="FF595959"/>
        <rFont val="Arial"/>
        <family val="0"/>
        <charset val="1"/>
      </rPr>
      <t xml:space="preserve">19.023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欄僅 </t>
    </r>
    <r>
      <rPr>
        <sz val="9"/>
        <color rgb="FF595959"/>
        <rFont val="Arial"/>
        <family val="0"/>
        <charset val="1"/>
      </rPr>
      <t xml:space="preserve">2H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租金 </t>
    </r>
    <r>
      <rPr>
        <sz val="9"/>
        <color rgb="FF595959"/>
        <rFont val="Arial"/>
        <family val="0"/>
        <charset val="1"/>
      </rPr>
      <t xml:space="preserve">0.748 </t>
    </r>
    <r>
      <rPr>
        <sz val="9"/>
        <color rgb="FF595959"/>
        <rFont val="Noto Sans CJK SC"/>
        <family val="2"/>
      </rPr>
      <t xml:space="preserve">已含在實際 </t>
    </r>
    <r>
      <rPr>
        <sz val="9"/>
        <color rgb="FF595959"/>
        <rFont val="Arial"/>
        <family val="0"/>
        <charset val="1"/>
      </rPr>
      <t xml:space="preserve">CFO </t>
    </r>
    <r>
      <rPr>
        <sz val="9"/>
        <color rgb="FF595959"/>
        <rFont val="Noto Sans CJK SC"/>
        <family val="2"/>
      </rPr>
      <t xml:space="preserve">內</t>
    </r>
  </si>
  <si>
    <t xml:space="preserve">② 表外現金租金（未起租）</t>
  </si>
  <si>
    <r>
      <rPr>
        <sz val="9"/>
        <color rgb="FF595959"/>
        <rFont val="Noto Sans CJK SC"/>
        <family val="2"/>
      </rPr>
      <t xml:space="preserve">未起租 </t>
    </r>
    <r>
      <rPr>
        <sz val="9"/>
        <color rgb="FF595959"/>
        <rFont val="Arial"/>
        <family val="0"/>
        <charset val="1"/>
      </rPr>
      <t xml:space="preserve">35.5</t>
    </r>
    <r>
      <rPr>
        <sz val="9"/>
        <color rgb="FF595959"/>
        <rFont val="Noto Sans CJK SC"/>
        <family val="2"/>
      </rPr>
      <t xml:space="preserve">＋單站上限 </t>
    </r>
    <r>
      <rPr>
        <sz val="9"/>
        <color rgb="FF595959"/>
        <rFont val="Arial"/>
        <family val="0"/>
        <charset val="1"/>
      </rPr>
      <t xml:space="preserve">14.7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355MW </t>
    </r>
    <r>
      <rPr>
        <sz val="9"/>
        <color rgb="FF595959"/>
        <rFont val="Noto Sans CJK SC"/>
        <family val="2"/>
      </rPr>
      <t xml:space="preserve">造價計租的現金路徑</t>
    </r>
  </si>
  <si>
    <t xml:space="preserve">　租金合計</t>
  </si>
  <si>
    <r>
      <rPr>
        <sz val="10"/>
        <rFont val="Noto Sans CJK SC"/>
        <family val="2"/>
      </rPr>
      <t xml:space="preserve">③ 存量債務利息（備忘，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已含在 </t>
    </r>
    <r>
      <rPr>
        <sz val="10"/>
        <rFont val="Arial"/>
        <family val="0"/>
        <charset val="1"/>
      </rPr>
      <t xml:space="preserve">CFO</t>
    </r>
    <r>
      <rPr>
        <sz val="10"/>
        <rFont val="Noto Sans CJK SC"/>
        <family val="2"/>
      </rPr>
      <t xml:space="preserve">）</t>
    </r>
  </si>
  <si>
    <t xml:space="preserve">　期初累積現金</t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</si>
  <si>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自 </t>
    </r>
    <r>
      <rPr>
        <sz val="9"/>
        <color rgb="FF595959"/>
        <rFont val="Arial"/>
        <family val="0"/>
        <charset val="1"/>
      </rPr>
      <t xml:space="preserve">2025-12-31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3.127 </t>
    </r>
    <r>
      <rPr>
        <sz val="9"/>
        <color rgb="FF595959"/>
        <rFont val="Noto Sans CJK SC"/>
        <family val="2"/>
      </rPr>
      <t xml:space="preserve">起算；之後＝前期期末累積現金</t>
    </r>
  </si>
  <si>
    <t xml:space="preserve">　新債利率</t>
  </si>
  <si>
    <r>
      <rPr>
        <sz val="9"/>
        <color rgb="FF595959"/>
        <rFont val="Arial"/>
        <family val="0"/>
        <charset val="1"/>
      </rPr>
      <t xml:space="preserve">CDS </t>
    </r>
    <r>
      <rPr>
        <sz val="9"/>
        <color rgb="FF595959"/>
        <rFont val="Noto Sans CJK SC"/>
        <family val="2"/>
      </rPr>
      <t xml:space="preserve">開關：＋</t>
    </r>
    <r>
      <rPr>
        <sz val="9"/>
        <color rgb="FF595959"/>
        <rFont val="Arial"/>
        <family val="0"/>
        <charset val="1"/>
      </rPr>
      <t xml:space="preserve">MAX(0,CDS−450)×0.4bp/bp</t>
    </r>
  </si>
  <si>
    <t xml:space="preserve">③ 新債利息（瀑布）</t>
  </si>
  <si>
    <r>
      <rPr>
        <sz val="9"/>
        <color rgb="FF595959"/>
        <rFont val="Noto Sans CJK SC"/>
        <family val="2"/>
      </rPr>
      <t xml:space="preserve">＝新債利率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期間長度</t>
    </r>
    <r>
      <rPr>
        <sz val="9"/>
        <color rgb="FF595959"/>
        <rFont val="Arial"/>
        <family val="0"/>
        <charset val="1"/>
      </rPr>
      <t xml:space="preserve">×(</t>
    </r>
    <r>
      <rPr>
        <sz val="9"/>
        <color rgb="FF595959"/>
        <rFont val="Noto Sans CJK SC"/>
        <family val="2"/>
      </rPr>
      <t xml:space="preserve">期初新債＋本期舉借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；見下方「期前融資瀑布」</t>
    </r>
  </si>
  <si>
    <t xml:space="preserve">　利息合計</t>
  </si>
  <si>
    <r>
      <rPr>
        <sz val="10"/>
        <rFont val="Arial"/>
        <family val="0"/>
        <charset val="1"/>
      </rPr>
      <t xml:space="preserve">④ JV</t>
    </r>
    <r>
      <rPr>
        <sz val="10"/>
        <rFont val="Noto Sans CJK SC"/>
        <family val="2"/>
      </rPr>
      <t xml:space="preserve">／策略投資出資</t>
    </r>
  </si>
  <si>
    <r>
      <rPr>
        <sz val="9"/>
        <color rgb="FF595959"/>
        <rFont val="Arial"/>
        <family val="0"/>
        <charset val="1"/>
      </rPr>
      <t xml:space="preserve">FY26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0.688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JV 0.550</t>
    </r>
    <r>
      <rPr>
        <sz val="9"/>
        <color rgb="FF595959"/>
        <rFont val="Noto Sans CJK SC"/>
        <family val="2"/>
      </rPr>
      <t xml:space="preserve">＋策略投資 </t>
    </r>
    <r>
      <rPr>
        <sz val="9"/>
        <color rgb="FF595959"/>
        <rFont val="Arial"/>
        <family val="0"/>
        <charset val="1"/>
      </rPr>
      <t xml:space="preserve">0.138</t>
    </r>
    <r>
      <rPr>
        <sz val="9"/>
        <color rgb="FF595959"/>
        <rFont val="Noto Sans CJK SC"/>
        <family val="2"/>
      </rPr>
      <t xml:space="preserve">）＋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Noto Sans CJK SC"/>
        <family val="2"/>
      </rPr>
      <t xml:space="preserve">模型。</t>
    </r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已承諾 </t>
    </r>
    <r>
      <rPr>
        <sz val="9"/>
        <color rgb="FF595959"/>
        <rFont val="Arial"/>
        <family val="0"/>
        <charset val="1"/>
      </rPr>
      <t xml:space="preserve">1.7bn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Noto Sans CJK SC"/>
        <family val="2"/>
      </rPr>
      <t xml:space="preserve">不發股息</t>
    </r>
  </si>
  <si>
    <r>
      <rPr>
        <sz val="10"/>
        <rFont val="Noto Sans CJK SC"/>
        <family val="2"/>
      </rPr>
      <t xml:space="preserve">　電力（</t>
    </r>
    <r>
      <rPr>
        <sz val="10"/>
        <rFont val="Arial"/>
        <family val="0"/>
        <charset val="1"/>
      </rPr>
      <t xml:space="preserve">overlay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</si>
  <si>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W2 </t>
    </r>
    <r>
      <rPr>
        <sz val="9"/>
        <color rgb="FF595959"/>
        <rFont val="Noto Sans CJK SC"/>
        <family val="2"/>
      </rPr>
      <t xml:space="preserve">由下而上：電費與維護已含在營運成本，</t>
    </r>
    <r>
      <rPr>
        <sz val="9"/>
        <color rgb="FF595959"/>
        <rFont val="Arial"/>
        <family val="0"/>
        <charset val="1"/>
      </rPr>
      <t xml:space="preserve">overlay </t>
    </r>
    <r>
      <rPr>
        <sz val="9"/>
        <color rgb="FF595959"/>
        <rFont val="Noto Sans CJK SC"/>
        <family val="2"/>
      </rPr>
      <t xml:space="preserve">自動停用（避免重複扣）</t>
    </r>
  </si>
  <si>
    <r>
      <rPr>
        <sz val="10"/>
        <rFont val="Noto Sans CJK SC"/>
        <family val="2"/>
      </rPr>
      <t xml:space="preserve">　維護（</t>
    </r>
    <r>
      <rPr>
        <sz val="10"/>
        <rFont val="Arial"/>
        <family val="0"/>
        <charset val="1"/>
      </rPr>
      <t xml:space="preserve">overlay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</si>
  <si>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⑤ 排程還本（</t>
    </r>
    <r>
      <rPr>
        <sz val="10"/>
        <rFont val="Arial"/>
        <family val="0"/>
        <charset val="1"/>
      </rPr>
      <t xml:space="preserve">10-Q </t>
    </r>
    <r>
      <rPr>
        <sz val="10"/>
        <rFont val="Noto Sans CJK SC"/>
        <family val="2"/>
      </rPr>
      <t xml:space="preserve">本金表）</t>
    </r>
  </si>
  <si>
    <r>
      <rPr>
        <sz val="9"/>
        <color rgb="FF595959"/>
        <rFont val="Arial"/>
        <family val="0"/>
        <charset val="1"/>
      </rPr>
      <t xml:space="preserve">FY26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實際還款 </t>
    </r>
    <r>
      <rPr>
        <sz val="9"/>
        <color rgb="FF595959"/>
        <rFont val="Arial"/>
        <family val="0"/>
        <charset val="1"/>
      </rPr>
      <t xml:space="preserve">5.219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Noto Sans CJK SC"/>
        <family val="2"/>
      </rPr>
      <t xml:space="preserve">到期表 </t>
    </r>
    <r>
      <rPr>
        <sz val="9"/>
        <color rgb="FF595959"/>
        <rFont val="Arial"/>
        <family val="0"/>
        <charset val="1"/>
      </rPr>
      <t xml:space="preserve">4.413</t>
    </r>
  </si>
  <si>
    <r>
      <rPr>
        <sz val="10"/>
        <rFont val="Arial"/>
        <family val="0"/>
        <charset val="1"/>
      </rPr>
      <t xml:space="preserve">⑥ capped call </t>
    </r>
    <r>
      <rPr>
        <sz val="10"/>
        <rFont val="Noto Sans CJK SC"/>
        <family val="2"/>
      </rPr>
      <t xml:space="preserve">支出（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實際）</t>
    </r>
  </si>
  <si>
    <r>
      <rPr>
        <sz val="9"/>
        <color rgb="FF595959"/>
        <rFont val="Arial"/>
        <family val="0"/>
        <charset val="1"/>
      </rPr>
      <t xml:space="preserve">Q2 4.0bn </t>
    </r>
    <r>
      <rPr>
        <sz val="9"/>
        <color rgb="FF595959"/>
        <rFont val="Noto Sans CJK SC"/>
        <family val="2"/>
      </rPr>
      <t xml:space="preserve">可轉債的 </t>
    </r>
    <r>
      <rPr>
        <sz val="9"/>
        <color rgb="FF595959"/>
        <rFont val="Arial"/>
        <family val="0"/>
        <charset val="1"/>
      </rPr>
      <t xml:space="preserve">capped call </t>
    </r>
    <r>
      <rPr>
        <sz val="9"/>
        <color rgb="FF595959"/>
        <rFont val="Noto Sans CJK SC"/>
        <family val="2"/>
      </rPr>
      <t xml:space="preserve">現金支出</t>
    </r>
  </si>
  <si>
    <t xml:space="preserve">用途合計（現金口徑）</t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</si>
  <si>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部分採 </t>
    </r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現金流量表口徑（現金購置、還款、</t>
    </r>
    <r>
      <rPr>
        <sz val="9"/>
        <color rgb="FF595959"/>
        <rFont val="Arial"/>
        <family val="0"/>
        <charset val="1"/>
      </rPr>
      <t xml:space="preserve">JV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capped call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的利息與租金已含在 </t>
    </r>
    <r>
      <rPr>
        <sz val="9"/>
        <color rgb="FF595959"/>
        <rFont val="Arial"/>
        <family val="0"/>
        <charset val="1"/>
      </rPr>
      <t xml:space="preserve">CFO </t>
    </r>
    <r>
      <rPr>
        <sz val="9"/>
        <color rgb="FF595959"/>
        <rFont val="Noto Sans CJK SC"/>
        <family val="2"/>
      </rPr>
      <t xml:space="preserve">內，不重複列</t>
    </r>
  </si>
  <si>
    <t xml:space="preserve">來源（四層）</t>
  </si>
  <si>
    <r>
      <rPr>
        <sz val="10"/>
        <rFont val="Arial"/>
        <family val="0"/>
        <charset val="1"/>
      </rPr>
      <t xml:space="preserve">Ⓐ0 1H26 </t>
    </r>
    <r>
      <rPr>
        <sz val="10"/>
        <rFont val="Noto Sans CJK SC"/>
        <family val="2"/>
      </rPr>
      <t xml:space="preserve">實際營運現金流（</t>
    </r>
    <r>
      <rPr>
        <sz val="10"/>
        <rFont val="Arial"/>
        <family val="0"/>
        <charset val="1"/>
      </rPr>
      <t xml:space="preserve">CFO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</si>
  <si>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實際值，取代模型推算；已含 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的利息、租金與客戶預付</t>
    </r>
  </si>
  <si>
    <r>
      <rPr>
        <sz val="10"/>
        <rFont val="Arial"/>
        <family val="0"/>
        <charset val="1"/>
      </rPr>
      <t xml:space="preserve">Ⓐ RPO </t>
    </r>
    <r>
      <rPr>
        <sz val="10"/>
        <rFont val="Noto Sans CJK SC"/>
        <family val="2"/>
      </rPr>
      <t xml:space="preserve">現金（</t>
    </r>
    <r>
      <rPr>
        <sz val="10"/>
        <rFont val="Arial"/>
        <family val="0"/>
        <charset val="1"/>
      </rPr>
      <t xml:space="preserve">2H </t>
    </r>
    <r>
      <rPr>
        <sz val="10"/>
        <rFont val="Noto Sans CJK SC"/>
        <family val="2"/>
      </rPr>
      <t xml:space="preserve">起）</t>
    </r>
  </si>
  <si>
    <t xml:space="preserve">Ⓑ 新簽約現金</t>
  </si>
  <si>
    <t xml:space="preserve">Ⓒ 非算力服務現金</t>
  </si>
  <si>
    <r>
      <rPr>
        <sz val="10"/>
        <rFont val="Noto Sans CJK SC"/>
        <family val="2"/>
      </rPr>
      <t xml:space="preserve">Ⓓ 客戶預付（</t>
    </r>
    <r>
      <rPr>
        <sz val="10"/>
        <rFont val="Arial"/>
        <family val="0"/>
        <charset val="1"/>
      </rPr>
      <t xml:space="preserve">2H </t>
    </r>
    <r>
      <rPr>
        <sz val="10"/>
        <rFont val="Noto Sans CJK SC"/>
        <family val="2"/>
      </rPr>
      <t xml:space="preserve">起）</t>
    </r>
  </si>
  <si>
    <t xml:space="preserve">營運來源合計</t>
  </si>
  <si>
    <t xml:space="preserve">Ⓔ 股權／可轉債（融資）</t>
  </si>
  <si>
    <r>
      <rPr>
        <sz val="9"/>
        <color rgb="FF595959"/>
        <rFont val="Arial"/>
        <family val="0"/>
        <charset val="1"/>
      </rPr>
      <t xml:space="preserve">FY26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私募股權 </t>
    </r>
    <r>
      <rPr>
        <sz val="9"/>
        <color rgb="FF595959"/>
        <rFont val="Arial"/>
        <family val="0"/>
        <charset val="1"/>
      </rPr>
      <t xml:space="preserve">2.982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Noto Sans CJK SC"/>
        <family val="2"/>
      </rPr>
      <t xml:space="preserve">可轉債淨現金 </t>
    </r>
    <r>
      <rPr>
        <sz val="9"/>
        <color rgb="FF595959"/>
        <rFont val="Arial"/>
        <family val="0"/>
        <charset val="1"/>
      </rPr>
      <t xml:space="preserve">3.2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ATM </t>
    </r>
    <r>
      <rPr>
        <sz val="9"/>
        <color rgb="FF595959"/>
        <rFont val="Noto Sans CJK SC"/>
        <family val="2"/>
      </rPr>
      <t xml:space="preserve">上限 </t>
    </r>
    <r>
      <rPr>
        <sz val="9"/>
        <color rgb="FF595959"/>
        <rFont val="Arial"/>
        <family val="0"/>
        <charset val="1"/>
      </rPr>
      <t xml:space="preserve">3.0</t>
    </r>
  </si>
  <si>
    <r>
      <rPr>
        <sz val="10"/>
        <rFont val="Arial"/>
        <family val="0"/>
        <charset val="1"/>
      </rPr>
      <t xml:space="preserve">Ⓕ 1H26 </t>
    </r>
    <r>
      <rPr>
        <sz val="10"/>
        <rFont val="Noto Sans CJK SC"/>
        <family val="2"/>
      </rPr>
      <t xml:space="preserve">實際借款（融資）</t>
    </r>
  </si>
  <si>
    <r>
      <rPr>
        <sz val="9"/>
        <color rgb="FF595959"/>
        <rFont val="Arial"/>
        <family val="0"/>
        <charset val="1"/>
      </rPr>
      <t xml:space="preserve">10-Q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H1 </t>
    </r>
    <r>
      <rPr>
        <sz val="9"/>
        <color rgb="FF595959"/>
        <rFont val="Noto Sans CJK SC"/>
        <family val="2"/>
      </rPr>
      <t xml:space="preserve">借款 </t>
    </r>
    <r>
      <rPr>
        <sz val="9"/>
        <color rgb="FF595959"/>
        <rFont val="Arial"/>
        <family val="0"/>
        <charset val="1"/>
      </rPr>
      <t xml:space="preserve">16.747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的缺口實際上就是靠舉債填補的</t>
    </r>
  </si>
  <si>
    <t xml:space="preserve">Ⓖ 瀑布：新債（額度＋資產層）</t>
  </si>
  <si>
    <t xml:space="preserve">見下方「期前融資瀑布」</t>
  </si>
  <si>
    <t xml:space="preserve">Ⓗ 瀑布：股權募資</t>
  </si>
  <si>
    <t xml:space="preserve">債務用罄後的殘差；每年不超過股權吸收上限</t>
  </si>
  <si>
    <t xml:space="preserve">Ⓘ 瀑布：高息債（股權上限溢出）</t>
  </si>
  <si>
    <r>
      <rPr>
        <sz val="9"/>
        <color rgb="FF595959"/>
        <rFont val="Noto Sans CJK SC"/>
        <family val="2"/>
      </rPr>
      <t xml:space="preserve">股權超過每年上限的部分；不受 </t>
    </r>
    <r>
      <rPr>
        <sz val="9"/>
        <color rgb="FF595959"/>
        <rFont val="Arial"/>
        <family val="0"/>
        <charset val="1"/>
      </rPr>
      <t xml:space="preserve">backlog </t>
    </r>
    <r>
      <rPr>
        <sz val="9"/>
        <color rgb="FF595959"/>
        <rFont val="Noto Sans CJK SC"/>
        <family val="2"/>
      </rPr>
      <t xml:space="preserve">上限約束</t>
    </r>
  </si>
  <si>
    <t xml:space="preserve">總來源（含融資）</t>
  </si>
  <si>
    <t xml:space="preserve">缺口與現金橋</t>
  </si>
  <si>
    <r>
      <rPr>
        <sz val="10"/>
        <rFont val="Noto Sans CJK SC"/>
        <family val="2"/>
      </rPr>
      <t xml:space="preserve">　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其他／受限現金調節</t>
    </r>
  </si>
  <si>
    <r>
      <rPr>
        <sz val="9"/>
        <color rgb="FF595959"/>
        <rFont val="Noto Sans CJK SC"/>
        <family val="2"/>
      </rPr>
      <t xml:space="preserve">使 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實際流量接回 </t>
    </r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Noto Sans CJK SC"/>
        <family val="2"/>
      </rPr>
      <t xml:space="preserve">現金餘額；差額來自受限現金重分類與未逐項列出的項目</t>
    </r>
  </si>
  <si>
    <t xml:space="preserve">營運缺口（不含融資、不含還本）</t>
  </si>
  <si>
    <r>
      <rPr>
        <sz val="9"/>
        <color rgb="FF595959"/>
        <rFont val="Noto Sans CJK SC"/>
        <family val="2"/>
      </rPr>
      <t xml:space="preserve">本業能不能自給：營運來源 −（用途 − 排程還本 − </t>
    </r>
    <r>
      <rPr>
        <sz val="9"/>
        <color rgb="FF595959"/>
        <rFont val="Arial"/>
        <family val="0"/>
        <charset val="1"/>
      </rPr>
      <t xml:space="preserve">capped call</t>
    </r>
    <r>
      <rPr>
        <sz val="9"/>
        <color rgb="FF595959"/>
        <rFont val="Noto Sans CJK SC"/>
        <family val="2"/>
      </rPr>
      <t xml:space="preserve">）</t>
    </r>
  </si>
  <si>
    <t xml:space="preserve">期間缺口（含融資）</t>
  </si>
  <si>
    <t xml:space="preserve">期末累積現金</t>
  </si>
  <si>
    <t xml:space="preserve">期前融資：每期末不低於最低現金</t>
  </si>
  <si>
    <t xml:space="preserve">期前融資瀑布（缺口在需要前一期先融好：額度 → 資產層新債 → 股權）</t>
  </si>
  <si>
    <t xml:space="preserve">用途（不含新債利息）</t>
  </si>
  <si>
    <t xml:space="preserve">避免循環參照：直接由各支出列加總</t>
  </si>
  <si>
    <t xml:space="preserve">新債期初餘額</t>
  </si>
  <si>
    <r>
      <rPr>
        <sz val="10"/>
        <rFont val="Noto Sans CJK SC"/>
        <family val="2"/>
      </rPr>
      <t xml:space="preserve">新債利率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期間長度</t>
    </r>
  </si>
  <si>
    <t xml:space="preserve">高息債期初餘額</t>
  </si>
  <si>
    <r>
      <rPr>
        <sz val="10"/>
        <rFont val="Noto Sans CJK SC"/>
        <family val="2"/>
      </rPr>
      <t xml:space="preserve">高息債利率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期間長度</t>
    </r>
  </si>
  <si>
    <t xml:space="preserve">融資前現金（扣既有新債利息）</t>
  </si>
  <si>
    <t xml:space="preserve">融資需求（補足至最低現金）</t>
  </si>
  <si>
    <r>
      <rPr>
        <sz val="10"/>
        <rFont val="Noto Sans CJK SC"/>
        <family val="2"/>
      </rPr>
      <t xml:space="preserve">期初 </t>
    </r>
    <r>
      <rPr>
        <sz val="10"/>
        <rFont val="Arial"/>
        <family val="0"/>
        <charset val="1"/>
      </rPr>
      <t xml:space="preserve">backlog</t>
    </r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</si>
  <si>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期初＝</t>
    </r>
    <r>
      <rPr>
        <sz val="9"/>
        <color rgb="FF595959"/>
        <rFont val="Arial"/>
        <family val="0"/>
        <charset val="1"/>
      </rPr>
      <t xml:space="preserve">6/30 RPO 103.7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Q3 </t>
    </r>
    <r>
      <rPr>
        <sz val="9"/>
        <color rgb="FF595959"/>
        <rFont val="Noto Sans CJK SC"/>
        <family val="2"/>
      </rPr>
      <t xml:space="preserve">新增 </t>
    </r>
    <r>
      <rPr>
        <sz val="9"/>
        <color rgb="FF595959"/>
        <rFont val="Arial"/>
        <family val="0"/>
        <charset val="1"/>
      </rPr>
      <t xml:space="preserve">25</t>
    </r>
  </si>
  <si>
    <r>
      <rPr>
        <sz val="10"/>
        <rFont val="Noto Sans CJK SC"/>
        <family val="2"/>
      </rPr>
      <t xml:space="preserve">　新簽合約增量（年化增量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年期）</t>
    </r>
  </si>
  <si>
    <r>
      <rPr>
        <sz val="10"/>
        <rFont val="Noto Sans CJK SC"/>
        <family val="2"/>
      </rPr>
      <t xml:space="preserve">期末 </t>
    </r>
    <r>
      <rPr>
        <sz val="10"/>
        <rFont val="Arial"/>
        <family val="0"/>
        <charset val="1"/>
      </rPr>
      <t xml:space="preserve">backlog</t>
    </r>
  </si>
  <si>
    <t xml:space="preserve">＝期初 − 排程認列 − 新簽約認列 ＋ 新簽合約增量</t>
  </si>
  <si>
    <r>
      <rPr>
        <sz val="10"/>
        <rFont val="Noto Sans CJK SC"/>
        <family val="2"/>
      </rPr>
      <t xml:space="preserve">既有債務＋</t>
    </r>
    <r>
      <rPr>
        <sz val="10"/>
        <rFont val="Arial"/>
        <family val="0"/>
        <charset val="1"/>
      </rPr>
      <t xml:space="preserve">9/17 </t>
    </r>
    <r>
      <rPr>
        <sz val="10"/>
        <rFont val="Noto Sans CJK SC"/>
        <family val="2"/>
      </rPr>
      <t xml:space="preserve">可轉債（期末）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</si>
  <si>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依到期表遞減的既有本金，若關閉攤還則維持 </t>
    </r>
    <r>
      <rPr>
        <sz val="9"/>
        <color rgb="FF595959"/>
        <rFont val="Arial"/>
        <family val="0"/>
        <charset val="1"/>
      </rPr>
      <t xml:space="preserve">35.551)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9/17 </t>
    </r>
    <r>
      <rPr>
        <sz val="9"/>
        <color rgb="FF595959"/>
        <rFont val="Noto Sans CJK SC"/>
        <family val="2"/>
      </rPr>
      <t xml:space="preserve">可轉債 </t>
    </r>
    <r>
      <rPr>
        <sz val="9"/>
        <color rgb="FF595959"/>
        <rFont val="Arial"/>
        <family val="0"/>
        <charset val="1"/>
      </rPr>
      <t xml:space="preserve">3.7</t>
    </r>
  </si>
  <si>
    <r>
      <rPr>
        <sz val="10"/>
        <rFont val="Noto Sans CJK SC"/>
        <family val="2"/>
      </rPr>
      <t xml:space="preserve">債務上限（債務／</t>
    </r>
    <r>
      <rPr>
        <sz val="10"/>
        <rFont val="Arial"/>
        <family val="0"/>
        <charset val="1"/>
      </rPr>
      <t xml:space="preserve">backlog × </t>
    </r>
    <r>
      <rPr>
        <sz val="10"/>
        <rFont val="Noto Sans CJK SC"/>
        <family val="2"/>
      </rPr>
      <t xml:space="preserve">期末 </t>
    </r>
    <r>
      <rPr>
        <sz val="10"/>
        <rFont val="Arial"/>
        <family val="0"/>
        <charset val="1"/>
      </rPr>
      <t xml:space="preserve">backlog</t>
    </r>
    <r>
      <rPr>
        <sz val="10"/>
        <rFont val="Noto Sans CJK SC"/>
        <family val="2"/>
      </rPr>
      <t xml:space="preserve">）</t>
    </r>
  </si>
  <si>
    <t xml:space="preserve">未動用額度（期初）</t>
  </si>
  <si>
    <t xml:space="preserve">新債可借上限</t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</si>
  <si>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MAX(</t>
    </r>
    <r>
      <rPr>
        <sz val="9"/>
        <color rgb="FF595959"/>
        <rFont val="Noto Sans CJK SC"/>
        <family val="2"/>
      </rPr>
      <t xml:space="preserve">上限 − 既有債務 − 期初新債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Noto Sans CJK SC"/>
        <family val="2"/>
      </rPr>
      <t xml:space="preserve">未動用額度</t>
    </r>
    <r>
      <rPr>
        <sz val="9"/>
        <color rgb="FF595959"/>
        <rFont val="Arial"/>
        <family val="0"/>
        <charset val="1"/>
      </rPr>
      <t xml:space="preserve">)</t>
    </r>
  </si>
  <si>
    <t xml:space="preserve">新債舉借</t>
  </si>
  <si>
    <r>
      <rPr>
        <sz val="9"/>
        <color rgb="FF595959"/>
        <rFont val="Noto Sans CJK SC"/>
        <family val="2"/>
      </rPr>
      <t xml:space="preserve">期前融資：期初到位，當期全額計息，所以需求要除以 </t>
    </r>
    <r>
      <rPr>
        <sz val="9"/>
        <color rgb="FF595959"/>
        <rFont val="Arial"/>
        <family val="0"/>
        <charset val="1"/>
      </rPr>
      <t xml:space="preserve">(1−</t>
    </r>
    <r>
      <rPr>
        <sz val="9"/>
        <color rgb="FF595959"/>
        <rFont val="Noto Sans CJK SC"/>
        <family val="2"/>
      </rPr>
      <t xml:space="preserve">利率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期間</t>
    </r>
    <r>
      <rPr>
        <sz val="9"/>
        <color rgb="FF595959"/>
        <rFont val="Arial"/>
        <family val="0"/>
        <charset val="1"/>
      </rPr>
      <t xml:space="preserve">)</t>
    </r>
  </si>
  <si>
    <t xml:space="preserve">債務後剩餘需求</t>
  </si>
  <si>
    <t xml:space="preserve">每年股權吸收上限</t>
  </si>
  <si>
    <r>
      <rPr>
        <sz val="9"/>
        <color rgb="FF595959"/>
        <rFont val="Noto Sans CJK SC"/>
        <family val="2"/>
      </rPr>
      <t xml:space="preserve">＝現市值（發行參考價 </t>
    </r>
    <r>
      <rPr>
        <sz val="9"/>
        <color rgb="FF595959"/>
        <rFont val="Arial"/>
        <family val="0"/>
        <charset val="1"/>
      </rPr>
      <t xml:space="preserve">× 0.5865bn </t>
    </r>
    <r>
      <rPr>
        <sz val="9"/>
        <color rgb="FF595959"/>
        <rFont val="Noto Sans CJK SC"/>
        <family val="2"/>
      </rPr>
      <t xml:space="preserve">股）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上限 </t>
    </r>
    <r>
      <rPr>
        <sz val="9"/>
        <color rgb="FF595959"/>
        <rFont val="Arial"/>
        <family val="0"/>
        <charset val="1"/>
      </rPr>
      <t xml:space="preserve">% × </t>
    </r>
    <r>
      <rPr>
        <sz val="9"/>
        <color rgb="FF595959"/>
        <rFont val="Noto Sans CJK SC"/>
        <family val="2"/>
      </rPr>
      <t xml:space="preserve">期間長度</t>
    </r>
  </si>
  <si>
    <t xml:space="preserve">股權募資</t>
  </si>
  <si>
    <t xml:space="preserve">高息債舉借（溢出）</t>
  </si>
  <si>
    <t xml:space="preserve">新債＋高息債利息（期初餘額＋本期舉借）</t>
  </si>
  <si>
    <r>
      <rPr>
        <sz val="10"/>
        <rFont val="Noto Sans CJK SC"/>
        <family val="2"/>
      </rPr>
      <t xml:space="preserve">發行價（現價</t>
    </r>
    <r>
      <rPr>
        <sz val="10"/>
        <rFont val="Arial"/>
        <family val="0"/>
        <charset val="1"/>
      </rPr>
      <t xml:space="preserve">×(1−</t>
    </r>
    <r>
      <rPr>
        <sz val="10"/>
        <rFont val="Noto Sans CJK SC"/>
        <family val="2"/>
      </rPr>
      <t xml:space="preserve">折價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）</t>
    </r>
  </si>
  <si>
    <t xml:space="preserve">新發行股數</t>
  </si>
  <si>
    <t xml:space="preserve">累計新股</t>
  </si>
  <si>
    <t xml:space="preserve">新債期末餘額</t>
  </si>
  <si>
    <t xml:space="preserve">未動用額度（期末）</t>
  </si>
  <si>
    <t xml:space="preserve">高息債期末餘額</t>
  </si>
  <si>
    <t xml:space="preserve">期末總債務（既有＋可轉債＋新債＋高息債）</t>
  </si>
  <si>
    <t xml:space="preserve">融資前累積現金</t>
  </si>
  <si>
    <t xml:space="preserve">若不做任何新融資的累積現金；負值＝外部資金需求</t>
  </si>
  <si>
    <t xml:space="preserve">四層橋（驗算）</t>
  </si>
  <si>
    <r>
      <rPr>
        <sz val="10"/>
        <rFont val="Noto Sans CJK SC"/>
        <family val="2"/>
      </rPr>
      <t xml:space="preserve">期初現金（</t>
    </r>
    <r>
      <rPr>
        <sz val="10"/>
        <rFont val="Arial"/>
        <family val="0"/>
        <charset val="1"/>
      </rPr>
      <t xml:space="preserve">2025-12-31</t>
    </r>
    <r>
      <rPr>
        <sz val="10"/>
        <rFont val="Noto Sans CJK SC"/>
        <family val="2"/>
      </rPr>
      <t xml:space="preserve">）</t>
    </r>
  </si>
  <si>
    <t xml:space="preserve">＋ 營運缺口合計</t>
  </si>
  <si>
    <t xml:space="preserve">＋ 股權／可轉債合計</t>
  </si>
  <si>
    <r>
      <rPr>
        <sz val="10"/>
        <rFont val="Noto Sans CJK SC"/>
        <family val="2"/>
      </rPr>
      <t xml:space="preserve">＋ 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實際借款</t>
    </r>
  </si>
  <si>
    <r>
      <rPr>
        <sz val="10"/>
        <rFont val="Arial"/>
        <family val="0"/>
        <charset val="1"/>
      </rPr>
      <t xml:space="preserve">− capped call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1H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</si>
  <si>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＋ 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其他／受限現金調節</t>
    </r>
  </si>
  <si>
    <t xml:space="preserve">＋ 瀑布新債＋股權＋高息債合計</t>
  </si>
  <si>
    <t xml:space="preserve">− 排程還本合計</t>
  </si>
  <si>
    <t xml:space="preserve">＝ 期末現金（橋算）</t>
  </si>
  <si>
    <t xml:space="preserve">對照：期末累積現金（表算）</t>
  </si>
  <si>
    <r>
      <rPr>
        <b val="true"/>
        <sz val="10"/>
        <rFont val="Noto Sans CJK SC"/>
        <family val="2"/>
      </rPr>
      <t xml:space="preserve">差異（應為 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</si>
  <si>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若不為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，表示公式鏈被改壞</t>
    </r>
  </si>
  <si>
    <r>
      <rPr>
        <b val="true"/>
        <sz val="10"/>
        <rFont val="Arial"/>
        <family val="0"/>
        <charset val="1"/>
      </rPr>
      <t xml:space="preserve">FY26 </t>
    </r>
    <r>
      <rPr>
        <b val="true"/>
        <sz val="10"/>
        <rFont val="Noto Sans CJK SC"/>
        <family val="2"/>
      </rPr>
      <t xml:space="preserve">全年備忘（對照公司指引）</t>
    </r>
  </si>
  <si>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總營收（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實際＋</t>
    </r>
    <r>
      <rPr>
        <sz val="10"/>
        <rFont val="Arial"/>
        <family val="0"/>
        <charset val="1"/>
      </rPr>
      <t xml:space="preserve">2H </t>
    </r>
    <r>
      <rPr>
        <sz val="10"/>
        <rFont val="Noto Sans CJK SC"/>
        <family val="2"/>
      </rPr>
      <t xml:space="preserve">模型）</t>
    </r>
  </si>
  <si>
    <r>
      <rPr>
        <sz val="9"/>
        <color rgb="FF595959"/>
        <rFont val="Noto Sans CJK SC"/>
        <family val="2"/>
      </rPr>
      <t xml:space="preserve">公司指引 </t>
    </r>
    <r>
      <rPr>
        <sz val="9"/>
        <color rgb="FF595959"/>
        <rFont val="Arial"/>
        <family val="0"/>
        <charset val="1"/>
      </rPr>
      <t xml:space="preserve">12.4–13.2</t>
    </r>
  </si>
  <si>
    <r>
      <rPr>
        <sz val="10"/>
        <rFont val="Arial"/>
        <family val="0"/>
        <charset val="1"/>
      </rPr>
      <t xml:space="preserve">FY26 CapEx </t>
    </r>
    <r>
      <rPr>
        <sz val="10"/>
        <rFont val="Noto Sans CJK SC"/>
        <family val="2"/>
      </rPr>
      <t xml:space="preserve">認列（</t>
    </r>
    <r>
      <rPr>
        <sz val="10"/>
        <rFont val="Arial"/>
        <family val="0"/>
        <charset val="1"/>
      </rPr>
      <t xml:space="preserve">1H</t>
    </r>
    <r>
      <rPr>
        <sz val="10"/>
        <rFont val="Noto Sans CJK SC"/>
        <family val="2"/>
      </rPr>
      <t xml:space="preserve">＋</t>
    </r>
    <r>
      <rPr>
        <sz val="10"/>
        <rFont val="Arial"/>
        <family val="0"/>
        <charset val="1"/>
      </rPr>
      <t xml:space="preserve">2H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</si>
  <si>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公司指引 </t>
    </r>
    <r>
      <rPr>
        <sz val="9"/>
        <color rgb="FF595959"/>
        <rFont val="Arial"/>
        <family val="0"/>
        <charset val="1"/>
      </rPr>
      <t xml:space="preserve">35–39</t>
    </r>
  </si>
  <si>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利息（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實際＋</t>
    </r>
    <r>
      <rPr>
        <sz val="10"/>
        <rFont val="Arial"/>
        <family val="0"/>
        <charset val="1"/>
      </rPr>
      <t xml:space="preserve">2H </t>
    </r>
    <r>
      <rPr>
        <sz val="10"/>
        <rFont val="Noto Sans CJK SC"/>
        <family val="2"/>
      </rPr>
      <t xml:space="preserve">模型）</t>
    </r>
  </si>
  <si>
    <r>
      <rPr>
        <sz val="9"/>
        <color rgb="FF595959"/>
        <rFont val="Arial"/>
        <family val="0"/>
        <charset val="1"/>
      </rPr>
      <t xml:space="preserve">Q3 </t>
    </r>
    <r>
      <rPr>
        <sz val="9"/>
        <color rgb="FF595959"/>
        <rFont val="Noto Sans CJK SC"/>
        <family val="2"/>
      </rPr>
      <t xml:space="preserve">指引 </t>
    </r>
    <r>
      <rPr>
        <sz val="9"/>
        <color rgb="FF595959"/>
        <rFont val="Arial"/>
        <family val="0"/>
        <charset val="1"/>
      </rPr>
      <t xml:space="preserve">0.86–0.94</t>
    </r>
    <r>
      <rPr>
        <sz val="9"/>
        <color rgb="FF595959"/>
        <rFont val="Noto Sans CJK SC"/>
        <family val="2"/>
      </rPr>
      <t xml:space="preserve">／季</t>
    </r>
  </si>
  <si>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租賃現金（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實際＋</t>
    </r>
    <r>
      <rPr>
        <sz val="10"/>
        <rFont val="Arial"/>
        <family val="0"/>
        <charset val="1"/>
      </rPr>
      <t xml:space="preserve">2H </t>
    </r>
    <r>
      <rPr>
        <sz val="10"/>
        <rFont val="Noto Sans CJK SC"/>
        <family val="2"/>
      </rPr>
      <t xml:space="preserve">模型）</t>
    </r>
  </si>
  <si>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實際支付 </t>
    </r>
    <r>
      <rPr>
        <sz val="9"/>
        <color rgb="FF595959"/>
        <rFont val="Arial"/>
        <family val="0"/>
        <charset val="1"/>
      </rPr>
      <t xml:space="preserve">0.748</t>
    </r>
  </si>
  <si>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排程還本（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實際＋</t>
    </r>
    <r>
      <rPr>
        <sz val="10"/>
        <rFont val="Arial"/>
        <family val="0"/>
        <charset val="1"/>
      </rPr>
      <t xml:space="preserve">2H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</si>
  <si>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實際還款 </t>
    </r>
    <r>
      <rPr>
        <sz val="9"/>
        <color rgb="FF595959"/>
        <rFont val="Arial"/>
        <family val="0"/>
        <charset val="1"/>
      </rPr>
      <t xml:space="preserve">5.219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Noto Sans CJK SC"/>
        <family val="2"/>
      </rPr>
      <t xml:space="preserve">到期表 </t>
    </r>
    <r>
      <rPr>
        <sz val="9"/>
        <color rgb="FF595959"/>
        <rFont val="Arial"/>
        <family val="0"/>
        <charset val="1"/>
      </rPr>
      <t xml:space="preserve">4.413</t>
    </r>
  </si>
  <si>
    <t xml:space="preserve">季度追蹤 — 焦點季的模型／共識／指引／實際與差距（由年度模型拆分；只用於追蹤，不影響年度數字與目標價）</t>
  </si>
  <si>
    <r>
      <rPr>
        <sz val="9"/>
        <color rgb="FF595959"/>
        <rFont val="Noto Sans CJK SC"/>
        <family val="2"/>
      </rPr>
      <t xml:space="preserve">設定與實際數在『輸入與假設』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Noto Sans CJK SC"/>
        <family val="2"/>
      </rPr>
      <t xml:space="preserve">區，共識在 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Noto Sans CJK SC"/>
        <family val="2"/>
      </rPr>
      <t xml:space="preserve">區；缺資料顯示「不適用」，實際數空白＝待公布。差距超過門檻的項目附差異原因（拆法＝所屬期間合計差距在門檻內）。第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區為 </t>
    </r>
    <r>
      <rPr>
        <sz val="9"/>
        <color rgb="FF595959"/>
        <rFont val="Arial"/>
        <family val="0"/>
        <charset val="1"/>
      </rPr>
      <t xml:space="preserve">6 </t>
    </r>
    <r>
      <rPr>
        <sz val="9"/>
        <color rgb="FF595959"/>
        <rFont val="Noto Sans CJK SC"/>
        <family val="2"/>
      </rPr>
      <t xml:space="preserve">季路徑與拆分明細（預設收合）。</t>
    </r>
  </si>
  <si>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｜焦點季（『輸入與假設』</t>
    </r>
    <r>
      <rPr>
        <b val="true"/>
        <sz val="10"/>
        <rFont val="Arial"/>
        <family val="0"/>
        <charset val="1"/>
      </rPr>
      <t xml:space="preserve">J </t>
    </r>
    <r>
      <rPr>
        <b val="true"/>
        <sz val="10"/>
        <rFont val="Noto Sans CJK SC"/>
        <family val="2"/>
      </rPr>
      <t xml:space="preserve">區選擇）：模型／共識／指引／實際與差距</t>
    </r>
  </si>
  <si>
    <t xml:space="preserve">指標</t>
  </si>
  <si>
    <t xml:space="preserve">模型</t>
  </si>
  <si>
    <t xml:space="preserve">共識</t>
  </si>
  <si>
    <r>
      <rPr>
        <b val="true"/>
        <sz val="11"/>
        <color rgb="FFFFFFFF"/>
        <rFont val="Noto Sans CJK SC"/>
        <family val="2"/>
      </rPr>
      <t xml:space="preserve">模型 </t>
    </r>
    <r>
      <rPr>
        <b val="true"/>
        <sz val="11"/>
        <color rgb="FFFFFFFF"/>
        <rFont val="Arial"/>
        <family val="0"/>
        <charset val="1"/>
      </rPr>
      <t xml:space="preserve">vs </t>
    </r>
    <r>
      <rPr>
        <b val="true"/>
        <sz val="11"/>
        <color rgb="FFFFFFFF"/>
        <rFont val="Noto Sans CJK SC"/>
        <family val="2"/>
      </rPr>
      <t xml:space="preserve">共識</t>
    </r>
  </si>
  <si>
    <t xml:space="preserve">指引（低）</t>
  </si>
  <si>
    <t xml:space="preserve">指引（高）</t>
  </si>
  <si>
    <r>
      <rPr>
        <b val="true"/>
        <sz val="11"/>
        <color rgb="FFFFFFFF"/>
        <rFont val="Noto Sans CJK SC"/>
        <family val="2"/>
      </rPr>
      <t xml:space="preserve">模型 </t>
    </r>
    <r>
      <rPr>
        <b val="true"/>
        <sz val="11"/>
        <color rgb="FFFFFFFF"/>
        <rFont val="Arial"/>
        <family val="0"/>
        <charset val="1"/>
      </rPr>
      <t xml:space="preserve">vs </t>
    </r>
    <r>
      <rPr>
        <b val="true"/>
        <sz val="11"/>
        <color rgb="FFFFFFFF"/>
        <rFont val="Noto Sans CJK SC"/>
        <family val="2"/>
      </rPr>
      <t xml:space="preserve">指引中點</t>
    </r>
  </si>
  <si>
    <t xml:space="preserve">實際</t>
  </si>
  <si>
    <r>
      <rPr>
        <b val="true"/>
        <sz val="11"/>
        <color rgb="FFFFFFFF"/>
        <rFont val="Noto Sans CJK SC"/>
        <family val="2"/>
      </rPr>
      <t xml:space="preserve">實際 </t>
    </r>
    <r>
      <rPr>
        <b val="true"/>
        <sz val="11"/>
        <color rgb="FFFFFFFF"/>
        <rFont val="Arial"/>
        <family val="0"/>
        <charset val="1"/>
      </rPr>
      <t xml:space="preserve">vs </t>
    </r>
    <r>
      <rPr>
        <b val="true"/>
        <sz val="11"/>
        <color rgb="FFFFFFFF"/>
        <rFont val="Noto Sans CJK SC"/>
        <family val="2"/>
      </rPr>
      <t xml:space="preserve">模型</t>
    </r>
  </si>
  <si>
    <r>
      <rPr>
        <b val="true"/>
        <sz val="11"/>
        <color rgb="FFFFFFFF"/>
        <rFont val="Noto Sans CJK SC"/>
        <family val="2"/>
      </rPr>
      <t xml:space="preserve">實際 </t>
    </r>
    <r>
      <rPr>
        <b val="true"/>
        <sz val="11"/>
        <color rgb="FFFFFFFF"/>
        <rFont val="Arial"/>
        <family val="0"/>
        <charset val="1"/>
      </rPr>
      <t xml:space="preserve">vs </t>
    </r>
    <r>
      <rPr>
        <b val="true"/>
        <sz val="11"/>
        <color rgb="FFFFFFFF"/>
        <rFont val="Noto Sans CJK SC"/>
        <family val="2"/>
      </rPr>
      <t xml:space="preserve">共識</t>
    </r>
  </si>
  <si>
    <r>
      <rPr>
        <b val="true"/>
        <sz val="11"/>
        <color rgb="FFFFFFFF"/>
        <rFont val="Noto Sans CJK SC"/>
        <family val="2"/>
      </rPr>
      <t xml:space="preserve">實際 </t>
    </r>
    <r>
      <rPr>
        <b val="true"/>
        <sz val="11"/>
        <color rgb="FFFFFFFF"/>
        <rFont val="Arial"/>
        <family val="0"/>
        <charset val="1"/>
      </rPr>
      <t xml:space="preserve">vs </t>
    </r>
    <r>
      <rPr>
        <b val="true"/>
        <sz val="11"/>
        <color rgb="FFFFFFFF"/>
        <rFont val="Noto Sans CJK SC"/>
        <family val="2"/>
      </rPr>
      <t xml:space="preserve">指引中點</t>
    </r>
  </si>
  <si>
    <r>
      <rPr>
        <b val="true"/>
        <sz val="11"/>
        <color rgb="FFFFFFFF"/>
        <rFont val="Noto Sans CJK SC"/>
        <family val="2"/>
      </rPr>
      <t xml:space="preserve">利潤率 </t>
    </r>
    <r>
      <rPr>
        <b val="true"/>
        <sz val="11"/>
        <color rgb="FFFFFFFF"/>
        <rFont val="Arial"/>
        <family val="0"/>
        <charset val="1"/>
      </rPr>
      <t xml:space="preserve">pt</t>
    </r>
    <r>
      <rPr>
        <b val="true"/>
        <sz val="11"/>
        <color rgb="FFFFFFFF"/>
        <rFont val="Noto Sans CJK SC"/>
        <family val="2"/>
      </rPr>
      <t xml:space="preserve">：模型 </t>
    </r>
    <r>
      <rPr>
        <b val="true"/>
        <sz val="11"/>
        <color rgb="FFFFFFFF"/>
        <rFont val="Arial"/>
        <family val="0"/>
        <charset val="1"/>
      </rPr>
      <t xml:space="preserve">vs </t>
    </r>
    <r>
      <rPr>
        <b val="true"/>
        <sz val="11"/>
        <color rgb="FFFFFFFF"/>
        <rFont val="Noto Sans CJK SC"/>
        <family val="2"/>
      </rPr>
      <t xml:space="preserve">共識</t>
    </r>
  </si>
  <si>
    <r>
      <rPr>
        <b val="true"/>
        <sz val="11"/>
        <color rgb="FFFFFFFF"/>
        <rFont val="Noto Sans CJK SC"/>
        <family val="2"/>
      </rPr>
      <t xml:space="preserve">模型 </t>
    </r>
    <r>
      <rPr>
        <b val="true"/>
        <sz val="11"/>
        <color rgb="FFFFFFFF"/>
        <rFont val="Arial"/>
        <family val="0"/>
        <charset val="1"/>
      </rPr>
      <t xml:space="preserve">vs </t>
    </r>
    <r>
      <rPr>
        <b val="true"/>
        <sz val="11"/>
        <color rgb="FFFFFFFF"/>
        <rFont val="Noto Sans CJK SC"/>
        <family val="2"/>
      </rPr>
      <t xml:space="preserve">指引</t>
    </r>
  </si>
  <si>
    <r>
      <rPr>
        <b val="true"/>
        <sz val="11"/>
        <color rgb="FFFFFFFF"/>
        <rFont val="Noto Sans CJK SC"/>
        <family val="2"/>
      </rPr>
      <t xml:space="preserve">實際 </t>
    </r>
    <r>
      <rPr>
        <b val="true"/>
        <sz val="11"/>
        <color rgb="FFFFFFFF"/>
        <rFont val="Arial"/>
        <family val="0"/>
        <charset val="1"/>
      </rPr>
      <t xml:space="preserve">vs </t>
    </r>
    <r>
      <rPr>
        <b val="true"/>
        <sz val="11"/>
        <color rgb="FFFFFFFF"/>
        <rFont val="Noto Sans CJK SC"/>
        <family val="2"/>
      </rPr>
      <t xml:space="preserve">指引</t>
    </r>
  </si>
  <si>
    <t xml:space="preserve">焦點｜營收</t>
  </si>
  <si>
    <r>
      <rPr>
        <sz val="10"/>
        <rFont val="Noto Sans CJK SC"/>
        <family val="2"/>
      </rPr>
      <t xml:space="preserve">焦點｜調整後 </t>
    </r>
    <r>
      <rPr>
        <sz val="10"/>
        <rFont val="Arial"/>
        <family val="0"/>
        <charset val="1"/>
      </rPr>
      <t xml:space="preserve">EBITDA</t>
    </r>
  </si>
  <si>
    <t xml:space="preserve">不適用</t>
  </si>
  <si>
    <r>
      <rPr>
        <sz val="10"/>
        <rFont val="Noto Sans CJK SC"/>
        <family val="2"/>
      </rPr>
      <t xml:space="preserve">焦點｜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</si>
  <si>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t xml:space="preserve">焦點｜調整後營業利益</t>
  </si>
  <si>
    <r>
      <rPr>
        <sz val="10"/>
        <rFont val="Noto Sans CJK SC"/>
        <family val="2"/>
      </rPr>
      <t xml:space="preserve">焦點｜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</t>
    </r>
  </si>
  <si>
    <r>
      <rPr>
        <sz val="10"/>
        <rFont val="Noto Sans CJK SC"/>
        <family val="2"/>
      </rPr>
      <t xml:space="preserve">焦點｜季末 </t>
    </r>
    <r>
      <rPr>
        <sz val="10"/>
        <rFont val="Arial"/>
        <family val="0"/>
        <charset val="1"/>
      </rPr>
      <t xml:space="preserve">Accepted MW</t>
    </r>
  </si>
  <si>
    <t xml:space="preserve">焦點｜季度</t>
  </si>
  <si>
    <t xml:space="preserve">焦點｜差異原因</t>
  </si>
  <si>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｜</t>
    </r>
    <r>
      <rPr>
        <b val="true"/>
        <sz val="10"/>
        <rFont val="Arial"/>
        <family val="0"/>
        <charset val="1"/>
      </rPr>
      <t xml:space="preserve">6 </t>
    </r>
    <r>
      <rPr>
        <b val="true"/>
        <sz val="10"/>
        <rFont val="Noto Sans CJK SC"/>
        <family val="2"/>
      </rPr>
      <t xml:space="preserve">季路徑、共識、指引、實際與差距（明細；第 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Noto Sans CJK SC"/>
        <family val="2"/>
      </rPr>
      <t xml:space="preserve">區以焦點季引用本區）</t>
    </r>
  </si>
  <si>
    <t xml:space="preserve">所屬期間</t>
  </si>
  <si>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2H26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FY27</t>
    </r>
  </si>
  <si>
    <t xml:space="preserve">季序</t>
  </si>
  <si>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率直線的 </t>
    </r>
    <r>
      <rPr>
        <sz val="9"/>
        <color rgb="FF595959"/>
        <rFont val="Arial"/>
        <family val="0"/>
        <charset val="1"/>
      </rPr>
      <t xml:space="preserve">x </t>
    </r>
    <r>
      <rPr>
        <sz val="9"/>
        <color rgb="FF595959"/>
        <rFont val="Noto Sans CJK SC"/>
        <family val="2"/>
      </rPr>
      <t xml:space="preserve">軸</t>
    </r>
  </si>
  <si>
    <r>
      <rPr>
        <sz val="10"/>
        <rFont val="Noto Sans CJK SC"/>
        <family val="2"/>
      </rPr>
      <t xml:space="preserve">季末 </t>
    </r>
    <r>
      <rPr>
        <sz val="10"/>
        <rFont val="Arial"/>
        <family val="0"/>
        <charset val="1"/>
      </rPr>
      <t xml:space="preserve">Accepted MW</t>
    </r>
    <r>
      <rPr>
        <sz val="10"/>
        <rFont val="Noto Sans CJK SC"/>
        <family val="2"/>
      </rPr>
      <t xml:space="preserve">（模型）</t>
    </r>
  </si>
  <si>
    <r>
      <rPr>
        <sz val="9"/>
        <color rgb="FF595959"/>
        <rFont val="Noto Sans CJK SC"/>
        <family val="2"/>
      </rPr>
      <t xml:space="preserve">期初與期末 </t>
    </r>
    <r>
      <rPr>
        <sz val="9"/>
        <color rgb="FF595959"/>
        <rFont val="Arial"/>
        <family val="0"/>
        <charset val="1"/>
      </rPr>
      <t xml:space="preserve">Accepted </t>
    </r>
    <r>
      <rPr>
        <sz val="9"/>
        <color rgb="FF595959"/>
        <rFont val="Noto Sans CJK SC"/>
        <family val="2"/>
      </rPr>
      <t xml:space="preserve">之間線性內插；第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期起點見 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Noto Sans CJK SC"/>
        <family val="2"/>
      </rPr>
      <t xml:space="preserve">區</t>
    </r>
  </si>
  <si>
    <r>
      <rPr>
        <sz val="10"/>
        <rFont val="Noto Sans CJK SC"/>
        <family val="2"/>
      </rPr>
      <t xml:space="preserve">平均在役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Billable</t>
    </r>
    <r>
      <rPr>
        <sz val="10"/>
        <rFont val="Noto Sans CJK SC"/>
        <family val="2"/>
      </rPr>
      <t xml:space="preserve">，拆分依據）</t>
    </r>
  </si>
  <si>
    <r>
      <rPr>
        <sz val="9"/>
        <color rgb="FF595959"/>
        <rFont val="Noto Sans CJK SC"/>
        <family val="2"/>
      </rPr>
      <t xml:space="preserve">期初與期末 </t>
    </r>
    <r>
      <rPr>
        <sz val="9"/>
        <color rgb="FF595959"/>
        <rFont val="Arial"/>
        <family val="0"/>
        <charset val="1"/>
      </rPr>
      <t xml:space="preserve">Billable </t>
    </r>
    <r>
      <rPr>
        <sz val="9"/>
        <color rgb="FF595959"/>
        <rFont val="Noto Sans CJK SC"/>
        <family val="2"/>
      </rPr>
      <t xml:space="preserve">之間線性內插的季平均</t>
    </r>
  </si>
  <si>
    <r>
      <rPr>
        <sz val="10"/>
        <rFont val="Noto Sans CJK SC"/>
        <family val="2"/>
      </rPr>
      <t xml:space="preserve">季內新增 </t>
    </r>
    <r>
      <rPr>
        <sz val="10"/>
        <rFont val="Arial"/>
        <family val="0"/>
        <charset val="1"/>
      </rPr>
      <t xml:space="preserve">Accepted MW</t>
    </r>
  </si>
  <si>
    <r>
      <rPr>
        <sz val="9"/>
        <color rgb="FF595959"/>
        <rFont val="Arial"/>
        <family val="0"/>
        <charset val="1"/>
      </rPr>
      <t xml:space="preserve">CapEx </t>
    </r>
    <r>
      <rPr>
        <sz val="9"/>
        <color rgb="FF595959"/>
        <rFont val="Noto Sans CJK SC"/>
        <family val="2"/>
      </rPr>
      <t xml:space="preserve">拆分依據</t>
    </r>
  </si>
  <si>
    <t xml:space="preserve">營收（模型）</t>
  </si>
  <si>
    <r>
      <rPr>
        <sz val="9"/>
        <color rgb="FF595959"/>
        <rFont val="Noto Sans CJK SC"/>
        <family val="2"/>
      </rPr>
      <t xml:space="preserve">拆分方法見『輸入與假設』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Noto Sans CJK SC"/>
        <family val="2"/>
      </rPr>
      <t xml:space="preserve">區與 </t>
    </r>
    <r>
      <rPr>
        <sz val="9"/>
        <color rgb="FF595959"/>
        <rFont val="Arial"/>
        <family val="0"/>
        <charset val="1"/>
      </rPr>
      <t xml:space="preserve">HTML</t>
    </r>
    <r>
      <rPr>
        <sz val="9"/>
        <color rgb="FF595959"/>
        <rFont val="Noto Sans CJK SC"/>
        <family val="2"/>
      </rPr>
      <t xml:space="preserve">「拆分方法」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</si>
  <si>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率直線｜各期營收合計 </t>
    </r>
    <r>
      <rPr>
        <sz val="10"/>
        <rFont val="Arial"/>
        <family val="0"/>
        <charset val="1"/>
      </rPr>
      <t xml:space="preserve">S</t>
    </r>
  </si>
  <si>
    <r>
      <rPr>
        <sz val="9"/>
        <color rgb="FF595959"/>
        <rFont val="Noto Sans CJK SC"/>
        <family val="2"/>
      </rPr>
      <t xml:space="preserve">欄＝期間（</t>
    </r>
    <r>
      <rPr>
        <sz val="9"/>
        <color rgb="FF595959"/>
        <rFont val="Arial"/>
        <family val="0"/>
        <charset val="1"/>
      </rPr>
      <t xml:space="preserve">2H26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FY27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</si>
  <si>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率直線｜營收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季序合計 </t>
    </r>
    <r>
      <rPr>
        <sz val="10"/>
        <rFont val="Arial"/>
        <family val="0"/>
        <charset val="1"/>
      </rPr>
      <t xml:space="preserve">T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</si>
  <si>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率直線｜年度 </t>
    </r>
    <r>
      <rPr>
        <sz val="10"/>
        <rFont val="Arial"/>
        <family val="0"/>
        <charset val="1"/>
      </rPr>
      <t xml:space="preserve">EBITDA E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</si>
  <si>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率直線｜截距 </t>
    </r>
    <r>
      <rPr>
        <sz val="10"/>
        <rFont val="Arial"/>
        <family val="0"/>
        <charset val="1"/>
      </rPr>
      <t xml:space="preserve">a</t>
    </r>
    <r>
      <rPr>
        <sz val="10"/>
        <rFont val="Noto Sans CJK SC"/>
        <family val="2"/>
      </rPr>
      <t xml:space="preserve">／斜率 </t>
    </r>
    <r>
      <rPr>
        <sz val="10"/>
        <rFont val="Arial"/>
        <family val="0"/>
        <charset val="1"/>
      </rPr>
      <t xml:space="preserve">b</t>
    </r>
  </si>
  <si>
    <r>
      <rPr>
        <sz val="9"/>
        <color rgb="FF595959"/>
        <rFont val="Noto Sans CJK SC"/>
        <family val="2"/>
      </rPr>
      <t xml:space="preserve">解兩式：</t>
    </r>
    <r>
      <rPr>
        <sz val="9"/>
        <color rgb="FF595959"/>
        <rFont val="Arial"/>
        <family val="0"/>
        <charset val="1"/>
      </rPr>
      <t xml:space="preserve">Σ</t>
    </r>
    <r>
      <rPr>
        <sz val="9"/>
        <color rgb="FF595959"/>
        <rFont val="Noto Sans CJK SC"/>
        <family val="2"/>
      </rPr>
      <t xml:space="preserve">營收</t>
    </r>
    <r>
      <rPr>
        <sz val="9"/>
        <color rgb="FF595959"/>
        <rFont val="Arial"/>
        <family val="0"/>
        <charset val="1"/>
      </rPr>
      <t xml:space="preserve">×(a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b×</t>
    </r>
    <r>
      <rPr>
        <sz val="9"/>
        <color rgb="FF595959"/>
        <rFont val="Noto Sans CJK SC"/>
        <family val="2"/>
      </rPr>
      <t xml:space="preserve">季序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＝各期年度 </t>
    </r>
    <r>
      <rPr>
        <sz val="9"/>
        <color rgb="FF595959"/>
        <rFont val="Arial"/>
        <family val="0"/>
        <charset val="1"/>
      </rPr>
      <t xml:space="preserve">EBITDA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</si>
  <si>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率（模型）</t>
    </r>
  </si>
  <si>
    <r>
      <rPr>
        <sz val="9"/>
        <color rgb="FF595959"/>
        <rFont val="Noto Sans CJK SC"/>
        <family val="2"/>
      </rPr>
      <t xml:space="preserve">跨季一條直線，季度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加總＝年度</t>
    </r>
  </si>
  <si>
    <r>
      <rPr>
        <sz val="10"/>
        <rFont val="Noto Sans CJK SC"/>
        <family val="2"/>
      </rPr>
      <t xml:space="preserve">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（模型）</t>
    </r>
  </si>
  <si>
    <t xml:space="preserve">車隊折舊（模型）</t>
  </si>
  <si>
    <r>
      <rPr>
        <sz val="9"/>
        <color rgb="FF595959"/>
        <rFont val="Noto Sans CJK SC"/>
        <family val="2"/>
      </rPr>
      <t xml:space="preserve">依期內平均 </t>
    </r>
    <r>
      <rPr>
        <sz val="9"/>
        <color rgb="FF595959"/>
        <rFont val="Arial"/>
        <family val="0"/>
        <charset val="1"/>
      </rPr>
      <t xml:space="preserve">PP&amp;E</t>
    </r>
    <r>
      <rPr>
        <sz val="9"/>
        <color rgb="FF595959"/>
        <rFont val="Noto Sans CJK SC"/>
        <family val="2"/>
      </rPr>
      <t xml:space="preserve">（與年度車隊折舊公式相同）</t>
    </r>
  </si>
  <si>
    <t xml:space="preserve">調整後營業利益（模型）</t>
  </si>
  <si>
    <r>
      <rPr>
        <sz val="9"/>
        <color rgb="FF595959"/>
        <rFont val="Noto Sans CJK SC"/>
        <family val="2"/>
      </rPr>
      <t xml:space="preserve">＝調整後 </t>
    </r>
    <r>
      <rPr>
        <sz val="9"/>
        <color rgb="FF595959"/>
        <rFont val="Arial"/>
        <family val="0"/>
        <charset val="1"/>
      </rPr>
      <t xml:space="preserve">EBITDA − </t>
    </r>
    <r>
      <rPr>
        <sz val="9"/>
        <color rgb="FF595959"/>
        <rFont val="Noto Sans CJK SC"/>
        <family val="2"/>
      </rPr>
      <t xml:space="preserve">車隊折舊（未扣 </t>
    </r>
    <r>
      <rPr>
        <sz val="9"/>
        <color rgb="FF595959"/>
        <rFont val="Arial"/>
        <family val="0"/>
        <charset val="1"/>
      </rPr>
      <t xml:space="preserve">SBC</t>
    </r>
    <r>
      <rPr>
        <sz val="9"/>
        <color rgb="FF595959"/>
        <rFont val="Noto Sans CJK SC"/>
        <family val="2"/>
      </rPr>
      <t xml:space="preserve">）</t>
    </r>
  </si>
  <si>
    <t xml:space="preserve">指引｜營收（低）</t>
  </si>
  <si>
    <t xml:space="preserve">指引｜營收（高）</t>
  </si>
  <si>
    <t xml:space="preserve">指引｜調整後營業利益（低）</t>
  </si>
  <si>
    <t xml:space="preserve">指引｜調整後營業利益（高）</t>
  </si>
  <si>
    <t xml:space="preserve">指引（文字）｜調整後營業利益</t>
  </si>
  <si>
    <t xml:space="preserve">文字指引：只列不計差距</t>
  </si>
  <si>
    <r>
      <rPr>
        <sz val="10"/>
        <rFont val="Noto Sans CJK SC"/>
        <family val="2"/>
      </rPr>
      <t xml:space="preserve">指引｜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（毛額）（低）</t>
    </r>
  </si>
  <si>
    <r>
      <rPr>
        <sz val="10"/>
        <rFont val="Noto Sans CJK SC"/>
        <family val="2"/>
      </rPr>
      <t xml:space="preserve">指引｜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（毛額）（高）</t>
    </r>
  </si>
  <si>
    <r>
      <rPr>
        <sz val="10"/>
        <rFont val="Arial"/>
        <family val="0"/>
        <charset val="1"/>
      </rPr>
      <t xml:space="preserve">CapEx </t>
    </r>
    <r>
      <rPr>
        <sz val="10"/>
        <rFont val="Noto Sans CJK SC"/>
        <family val="2"/>
      </rPr>
      <t xml:space="preserve">指引錨定值</t>
    </r>
  </si>
  <si>
    <r>
      <rPr>
        <sz val="9"/>
        <color rgb="FF595959"/>
        <rFont val="Noto Sans CJK SC"/>
        <family val="2"/>
      </rPr>
      <t xml:space="preserve">有季度指引的季取指引中點（</t>
    </r>
    <r>
      <rPr>
        <sz val="9"/>
        <color rgb="FF595959"/>
        <rFont val="Arial"/>
        <family val="0"/>
        <charset val="1"/>
      </rPr>
      <t xml:space="preserve">capexSplit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guidanceAnchor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</si>
  <si>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CapEx </t>
    </r>
    <r>
      <rPr>
        <sz val="10"/>
        <rFont val="Noto Sans CJK SC"/>
        <family val="2"/>
      </rPr>
      <t xml:space="preserve">未錨定季的新增 </t>
    </r>
    <r>
      <rPr>
        <sz val="10"/>
        <rFont val="Arial"/>
        <family val="0"/>
        <charset val="1"/>
      </rPr>
      <t xml:space="preserve">MW</t>
    </r>
  </si>
  <si>
    <t xml:space="preserve">期間餘數依此分配</t>
  </si>
  <si>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（毛額）（模型）</t>
    </r>
  </si>
  <si>
    <r>
      <rPr>
        <sz val="9"/>
        <color rgb="FF595959"/>
        <rFont val="Noto Sans CJK SC"/>
        <family val="2"/>
      </rPr>
      <t xml:space="preserve">有季度指引的季＝指引中點；其餘季＝期間餘數依新增 </t>
    </r>
    <r>
      <rPr>
        <sz val="9"/>
        <color rgb="FF595959"/>
        <rFont val="Arial"/>
        <family val="0"/>
        <charset val="1"/>
      </rPr>
      <t xml:space="preserve">Accepted MW </t>
    </r>
    <r>
      <rPr>
        <sz val="9"/>
        <color rgb="FF595959"/>
        <rFont val="Noto Sans CJK SC"/>
        <family val="2"/>
      </rPr>
      <t xml:space="preserve">分配</t>
    </r>
  </si>
  <si>
    <t xml:space="preserve">共識｜營收</t>
  </si>
  <si>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Noto Sans CJK SC"/>
        <family val="2"/>
      </rPr>
      <t xml:space="preserve">區季度共識 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</si>
  <si>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Noto Sans CJK SC"/>
        <family val="2"/>
      </rPr>
      <t xml:space="preserve">共識｜調整後 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</si>
  <si>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共識｜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 </t>
    </r>
    <r>
      <rPr>
        <sz val="10"/>
        <rFont val="Arial"/>
        <family val="0"/>
        <charset val="1"/>
      </rPr>
      <t xml:space="preserve">[Derived]</t>
    </r>
  </si>
  <si>
    <r>
      <rPr>
        <sz val="9"/>
        <color rgb="FF595959"/>
        <rFont val="Noto Sans CJK SC"/>
        <family val="2"/>
      </rPr>
      <t xml:space="preserve">＝共識 </t>
    </r>
    <r>
      <rPr>
        <sz val="9"/>
        <color rgb="FF595959"/>
        <rFont val="Arial"/>
        <family val="0"/>
        <charset val="1"/>
      </rPr>
      <t xml:space="preserve">EBITDA ÷ </t>
    </r>
    <r>
      <rPr>
        <sz val="9"/>
        <color rgb="FF595959"/>
        <rFont val="Noto Sans CJK SC"/>
        <family val="2"/>
      </rPr>
      <t xml:space="preserve">共識營收</t>
    </r>
  </si>
  <si>
    <r>
      <rPr>
        <sz val="10"/>
        <rFont val="Noto Sans CJK SC"/>
        <family val="2"/>
      </rPr>
      <t xml:space="preserve">共識 </t>
    </r>
    <r>
      <rPr>
        <sz val="10"/>
        <rFont val="Arial"/>
        <family val="0"/>
        <charset val="1"/>
      </rPr>
      <t xml:space="preserve">EBIT</t>
    </r>
    <r>
      <rPr>
        <sz val="10"/>
        <rFont val="Noto Sans CJK SC"/>
        <family val="2"/>
      </rPr>
      <t xml:space="preserve">（口徑未揭露）</t>
    </r>
  </si>
  <si>
    <t xml:space="preserve">口徑未揭露：只列不比較</t>
  </si>
  <si>
    <t xml:space="preserve">實際｜營收</t>
  </si>
  <si>
    <r>
      <rPr>
        <sz val="10"/>
        <rFont val="Noto Sans CJK SC"/>
        <family val="2"/>
      </rPr>
      <t xml:space="preserve">實際｜調整後 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</si>
  <si>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實際｜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</si>
  <si>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r>
      <rPr>
        <sz val="9"/>
        <color rgb="FF595959"/>
        <rFont val="Noto Sans CJK SC"/>
        <family val="2"/>
      </rPr>
      <t xml:space="preserve">＝實際 </t>
    </r>
    <r>
      <rPr>
        <sz val="9"/>
        <color rgb="FF595959"/>
        <rFont val="Arial"/>
        <family val="0"/>
        <charset val="1"/>
      </rPr>
      <t xml:space="preserve">EBITDA ÷ </t>
    </r>
    <r>
      <rPr>
        <sz val="9"/>
        <color rgb="FF595959"/>
        <rFont val="Noto Sans CJK SC"/>
        <family val="2"/>
      </rPr>
      <t xml:space="preserve">實際營收</t>
    </r>
  </si>
  <si>
    <t xml:space="preserve">實際｜調整後營業利益</t>
  </si>
  <si>
    <r>
      <rPr>
        <sz val="10"/>
        <rFont val="Noto Sans CJK SC"/>
        <family val="2"/>
      </rPr>
      <t xml:space="preserve">實際｜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</t>
    </r>
  </si>
  <si>
    <r>
      <rPr>
        <sz val="10"/>
        <rFont val="Noto Sans CJK SC"/>
        <family val="2"/>
      </rPr>
      <t xml:space="preserve">實際｜季末 </t>
    </r>
    <r>
      <rPr>
        <sz val="10"/>
        <rFont val="Arial"/>
        <family val="0"/>
        <charset val="1"/>
      </rPr>
      <t xml:space="preserve">active power</t>
    </r>
  </si>
  <si>
    <r>
      <rPr>
        <sz val="10"/>
        <rFont val="Noto Sans CJK SC"/>
        <family val="2"/>
      </rPr>
      <t xml:space="preserve">差距｜營收｜模型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</si>
  <si>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差距｜營收｜模型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</si>
  <si>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差距｜營收｜實際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</si>
  <si>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差距｜營收｜實際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</si>
  <si>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差距｜營收｜實際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</si>
  <si>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</si>
  <si>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</si>
  <si>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</si>
  <si>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</si>
  <si>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</si>
  <si>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共識（利潤率 </t>
    </r>
    <r>
      <rPr>
        <sz val="10"/>
        <rFont val="Arial"/>
        <family val="0"/>
        <charset val="1"/>
      </rPr>
      <t xml:space="preserve">pt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</si>
  <si>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指引中點（利潤率 </t>
    </r>
    <r>
      <rPr>
        <sz val="10"/>
        <rFont val="Arial"/>
        <family val="0"/>
        <charset val="1"/>
      </rPr>
      <t xml:space="preserve">pt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</si>
  <si>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模型（利潤率 </t>
    </r>
    <r>
      <rPr>
        <sz val="10"/>
        <rFont val="Arial"/>
        <family val="0"/>
        <charset val="1"/>
      </rPr>
      <t xml:space="preserve">pt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</si>
  <si>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共識（利潤率 </t>
    </r>
    <r>
      <rPr>
        <sz val="10"/>
        <rFont val="Arial"/>
        <family val="0"/>
        <charset val="1"/>
      </rPr>
      <t xml:space="preserve">pt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</si>
  <si>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指引中點（利潤率 </t>
    </r>
    <r>
      <rPr>
        <sz val="10"/>
        <rFont val="Arial"/>
        <family val="0"/>
        <charset val="1"/>
      </rPr>
      <t xml:space="preserve">pt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</si>
  <si>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差距｜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</si>
  <si>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</si>
  <si>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差距｜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</si>
  <si>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差距｜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</si>
  <si>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</si>
  <si>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差距｜調整後營業利益｜模型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</si>
  <si>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差距｜調整後營業利益｜模型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</si>
  <si>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差距｜調整後營業利益｜實際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</si>
  <si>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差距｜調整後營業利益｜實際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</si>
  <si>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</si>
  <si>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差距｜調整後營業利益｜模型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共識（利潤率 </t>
    </r>
    <r>
      <rPr>
        <sz val="10"/>
        <rFont val="Arial"/>
        <family val="0"/>
        <charset val="1"/>
      </rPr>
      <t xml:space="preserve">pt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</si>
  <si>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差距｜調整後營業利益｜模型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指引中點（利潤率 </t>
    </r>
    <r>
      <rPr>
        <sz val="10"/>
        <rFont val="Arial"/>
        <family val="0"/>
        <charset val="1"/>
      </rPr>
      <t xml:space="preserve">pt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</si>
  <si>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差距｜調整後營業利益｜實際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模型（利潤率 </t>
    </r>
    <r>
      <rPr>
        <sz val="10"/>
        <rFont val="Arial"/>
        <family val="0"/>
        <charset val="1"/>
      </rPr>
      <t xml:space="preserve">pt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</si>
  <si>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差距｜調整後營業利益｜實際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共識（利潤率 </t>
    </r>
    <r>
      <rPr>
        <sz val="10"/>
        <rFont val="Arial"/>
        <family val="0"/>
        <charset val="1"/>
      </rPr>
      <t xml:space="preserve">pt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</si>
  <si>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差距｜調整後營業利益｜實際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指引中點（利潤率 </t>
    </r>
    <r>
      <rPr>
        <sz val="10"/>
        <rFont val="Arial"/>
        <family val="0"/>
        <charset val="1"/>
      </rPr>
      <t xml:space="preserve">pt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</si>
  <si>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差距｜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</si>
  <si>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</si>
  <si>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差距｜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</si>
  <si>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差距｜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</si>
  <si>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</si>
  <si>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差距｜季末 </t>
    </r>
    <r>
      <rPr>
        <sz val="10"/>
        <rFont val="Arial"/>
        <family val="0"/>
        <charset val="1"/>
      </rPr>
      <t xml:space="preserve">Accepted MW</t>
    </r>
    <r>
      <rPr>
        <sz val="10"/>
        <rFont val="Noto Sans CJK SC"/>
        <family val="2"/>
      </rPr>
      <t xml:space="preserve">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</si>
  <si>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差距｜季末 </t>
    </r>
    <r>
      <rPr>
        <sz val="10"/>
        <rFont val="Arial"/>
        <family val="0"/>
        <charset val="1"/>
      </rPr>
      <t xml:space="preserve">Accepted MW</t>
    </r>
    <r>
      <rPr>
        <sz val="10"/>
        <rFont val="Noto Sans CJK SC"/>
        <family val="2"/>
      </rPr>
      <t xml:space="preserve">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</si>
  <si>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差距｜季末 </t>
    </r>
    <r>
      <rPr>
        <sz val="10"/>
        <rFont val="Arial"/>
        <family val="0"/>
        <charset val="1"/>
      </rPr>
      <t xml:space="preserve">Accepted MW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</si>
  <si>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差距｜季末 </t>
    </r>
    <r>
      <rPr>
        <sz val="10"/>
        <rFont val="Arial"/>
        <family val="0"/>
        <charset val="1"/>
      </rPr>
      <t xml:space="preserve">Accepted MW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</si>
  <si>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差距｜季末 </t>
    </r>
    <r>
      <rPr>
        <sz val="10"/>
        <rFont val="Arial"/>
        <family val="0"/>
        <charset val="1"/>
      </rPr>
      <t xml:space="preserve">Accepted MW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</si>
  <si>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合計基準｜營收｜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</si>
  <si>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t xml:space="preserve">所屬期間的季度共識合計</t>
  </si>
  <si>
    <r>
      <rPr>
        <sz val="10"/>
        <rFont val="Noto Sans CJK SC"/>
        <family val="2"/>
      </rPr>
      <t xml:space="preserve">拆解｜營收｜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共識｜水準</t>
    </r>
  </si>
  <si>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模型期間 − 比較期間</t>
    </r>
    <r>
      <rPr>
        <sz val="9"/>
        <color rgb="FF595959"/>
        <rFont val="Arial"/>
        <family val="0"/>
        <charset val="1"/>
      </rPr>
      <t xml:space="preserve">) × </t>
    </r>
    <r>
      <rPr>
        <sz val="9"/>
        <color rgb="FF595959"/>
        <rFont val="Noto Sans CJK SC"/>
        <family val="2"/>
      </rPr>
      <t xml:space="preserve">比較的季占比</t>
    </r>
  </si>
  <si>
    <r>
      <rPr>
        <sz val="10"/>
        <rFont val="Noto Sans CJK SC"/>
        <family val="2"/>
      </rPr>
      <t xml:space="preserve">拆解｜營收｜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共識｜分配</t>
    </r>
  </si>
  <si>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模型季占比 − 比較季占比</t>
    </r>
    <r>
      <rPr>
        <sz val="9"/>
        <color rgb="FF595959"/>
        <rFont val="Arial"/>
        <family val="0"/>
        <charset val="1"/>
      </rPr>
      <t xml:space="preserve">) × </t>
    </r>
    <r>
      <rPr>
        <sz val="9"/>
        <color rgb="FF595959"/>
        <rFont val="Noto Sans CJK SC"/>
        <family val="2"/>
      </rPr>
      <t xml:space="preserve">模型期間；水準＋分配＝季度差距</t>
    </r>
  </si>
  <si>
    <r>
      <rPr>
        <sz val="10"/>
        <rFont val="Noto Sans CJK SC"/>
        <family val="2"/>
      </rPr>
      <t xml:space="preserve">合計基準｜營收｜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</t>
    </r>
  </si>
  <si>
    <r>
      <rPr>
        <sz val="9"/>
        <color rgb="FF595959"/>
        <rFont val="Noto Sans CJK SC"/>
        <family val="2"/>
      </rPr>
      <t xml:space="preserve">所屬期間的隱含指引中點（全年指引中點 − 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實際）</t>
    </r>
  </si>
  <si>
    <r>
      <rPr>
        <sz val="10"/>
        <rFont val="Noto Sans CJK SC"/>
        <family val="2"/>
      </rPr>
      <t xml:space="preserve">拆解｜營收｜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指引｜水準</t>
    </r>
  </si>
  <si>
    <r>
      <rPr>
        <sz val="10"/>
        <rFont val="Noto Sans CJK SC"/>
        <family val="2"/>
      </rPr>
      <t xml:space="preserve">拆解｜營收｜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指引｜分配</t>
    </r>
  </si>
  <si>
    <r>
      <rPr>
        <sz val="10"/>
        <rFont val="Noto Sans CJK SC"/>
        <family val="2"/>
      </rPr>
      <t xml:space="preserve">原因｜營收｜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</si>
  <si>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原因類型｜營收｜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</si>
  <si>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原因｜營收｜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</si>
  <si>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原因類型｜營收｜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</si>
  <si>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原因｜營收｜實際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</si>
  <si>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原因類型｜營收｜實際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</si>
  <si>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合計基準｜調整後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</si>
  <si>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拆解｜調整後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共識｜水準</t>
    </r>
  </si>
  <si>
    <r>
      <rPr>
        <sz val="10"/>
        <rFont val="Noto Sans CJK SC"/>
        <family val="2"/>
      </rPr>
      <t xml:space="preserve">拆解｜調整後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共識｜分配</t>
    </r>
  </si>
  <si>
    <r>
      <rPr>
        <sz val="10"/>
        <rFont val="Noto Sans CJK SC"/>
        <family val="2"/>
      </rPr>
      <t xml:space="preserve">原因｜調整後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</si>
  <si>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原因類型｜調整後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</si>
  <si>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原因｜調整後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</si>
  <si>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原因類型｜調整後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</si>
  <si>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原因｜調整後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</si>
  <si>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原因類型｜調整後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</si>
  <si>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原因｜調整後營業利益｜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</si>
  <si>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原因類型｜調整後營業利益｜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</si>
  <si>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原因｜調整後營業利益｜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</si>
  <si>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原因類型｜調整後營業利益｜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</si>
  <si>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原因｜調整後營業利益｜實際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</si>
  <si>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原因類型｜調整後營業利益｜實際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</si>
  <si>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合計基準｜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</t>
    </r>
  </si>
  <si>
    <r>
      <rPr>
        <sz val="10"/>
        <rFont val="Noto Sans CJK SC"/>
        <family val="2"/>
      </rPr>
      <t xml:space="preserve">拆解｜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指引｜水準</t>
    </r>
  </si>
  <si>
    <r>
      <rPr>
        <sz val="10"/>
        <rFont val="Noto Sans CJK SC"/>
        <family val="2"/>
      </rPr>
      <t xml:space="preserve">拆解｜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指引｜分配</t>
    </r>
  </si>
  <si>
    <r>
      <rPr>
        <sz val="10"/>
        <rFont val="Noto Sans CJK SC"/>
        <family val="2"/>
      </rPr>
      <t xml:space="preserve">原因｜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</si>
  <si>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原因類型｜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</si>
  <si>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原因｜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</si>
  <si>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原因類型｜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</si>
  <si>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原因｜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</si>
  <si>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原因類型｜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</si>
  <si>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原因｜季末 </t>
    </r>
    <r>
      <rPr>
        <sz val="10"/>
        <rFont val="Arial"/>
        <family val="0"/>
        <charset val="1"/>
      </rPr>
      <t xml:space="preserve">Accepted MW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</si>
  <si>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原因類型｜季末 </t>
    </r>
    <r>
      <rPr>
        <sz val="10"/>
        <rFont val="Arial"/>
        <family val="0"/>
        <charset val="1"/>
      </rPr>
      <t xml:space="preserve">Accepted MW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</si>
  <si>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原因｜季末 </t>
    </r>
    <r>
      <rPr>
        <sz val="10"/>
        <rFont val="Arial"/>
        <family val="0"/>
        <charset val="1"/>
      </rPr>
      <t xml:space="preserve">Accepted MW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</si>
  <si>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原因類型｜季末 </t>
    </r>
    <r>
      <rPr>
        <sz val="10"/>
        <rFont val="Arial"/>
        <family val="0"/>
        <charset val="1"/>
      </rPr>
      <t xml:space="preserve">Accepted MW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</si>
  <si>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原因｜季末 </t>
    </r>
    <r>
      <rPr>
        <sz val="10"/>
        <rFont val="Arial"/>
        <family val="0"/>
        <charset val="1"/>
      </rPr>
      <t xml:space="preserve">Accepted MW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</si>
  <si>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原因類型｜季末 </t>
    </r>
    <r>
      <rPr>
        <sz val="10"/>
        <rFont val="Arial"/>
        <family val="0"/>
        <charset val="1"/>
      </rPr>
      <t xml:space="preserve">Accepted MW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</si>
  <si>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t xml:space="preserve">差異原因（一行）</t>
  </si>
  <si>
    <t xml:space="preserve">原因標籤｜營收</t>
  </si>
  <si>
    <r>
      <rPr>
        <sz val="10"/>
        <rFont val="Noto Sans CJK SC"/>
        <family val="2"/>
      </rPr>
      <t xml:space="preserve">原因標籤｜調整後 </t>
    </r>
    <r>
      <rPr>
        <sz val="10"/>
        <rFont val="Arial"/>
        <family val="0"/>
        <charset val="1"/>
      </rPr>
      <t xml:space="preserve">EBITDA</t>
    </r>
  </si>
  <si>
    <t xml:space="preserve">原因標籤｜調整後營業利益</t>
  </si>
  <si>
    <r>
      <rPr>
        <sz val="10"/>
        <rFont val="Noto Sans CJK SC"/>
        <family val="2"/>
      </rPr>
      <t xml:space="preserve">原因標籤｜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</t>
    </r>
  </si>
  <si>
    <r>
      <rPr>
        <sz val="10"/>
        <rFont val="Noto Sans CJK SC"/>
        <family val="2"/>
      </rPr>
      <t xml:space="preserve">原因標籤｜季末 </t>
    </r>
    <r>
      <rPr>
        <sz val="10"/>
        <rFont val="Arial"/>
        <family val="0"/>
        <charset val="1"/>
      </rPr>
      <t xml:space="preserve">Accepted MW</t>
    </r>
  </si>
  <si>
    <t xml:space="preserve">句｜營收</t>
  </si>
  <si>
    <r>
      <rPr>
        <sz val="10"/>
        <rFont val="Noto Sans CJK SC"/>
        <family val="2"/>
      </rPr>
      <t xml:space="preserve">句｜調整後 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</si>
  <si>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句｜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</si>
  <si>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t xml:space="preserve">句｜調整後營業利益</t>
  </si>
  <si>
    <r>
      <rPr>
        <sz val="10"/>
        <rFont val="Noto Sans CJK SC"/>
        <family val="2"/>
      </rPr>
      <t xml:space="preserve">句｜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</t>
    </r>
  </si>
  <si>
    <r>
      <rPr>
        <sz val="10"/>
        <rFont val="Noto Sans CJK SC"/>
        <family val="2"/>
      </rPr>
      <t xml:space="preserve">句｜季末 </t>
    </r>
    <r>
      <rPr>
        <sz val="10"/>
        <rFont val="Arial"/>
        <family val="0"/>
        <charset val="1"/>
      </rPr>
      <t xml:space="preserve">Accepted MW</t>
    </r>
  </si>
  <si>
    <r>
      <rPr>
        <b val="true"/>
        <sz val="10"/>
        <rFont val="Noto Sans CJK SC"/>
        <family val="2"/>
      </rPr>
      <t xml:space="preserve">核對｜季度加總 − 年度模型（應為 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；欄＝期間 </t>
    </r>
    <r>
      <rPr>
        <b val="true"/>
        <sz val="10"/>
        <rFont val="Arial"/>
        <family val="0"/>
        <charset val="1"/>
      </rPr>
      <t xml:space="preserve">2H26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FY27</t>
    </r>
    <r>
      <rPr>
        <b val="true"/>
        <sz val="10"/>
        <rFont val="Noto Sans CJK SC"/>
        <family val="2"/>
      </rPr>
      <t xml:space="preserve">）</t>
    </r>
  </si>
  <si>
    <t xml:space="preserve">核對｜營收</t>
  </si>
  <si>
    <r>
      <rPr>
        <sz val="10"/>
        <rFont val="Noto Sans CJK SC"/>
        <family val="2"/>
      </rPr>
      <t xml:space="preserve">核對｜調整後 </t>
    </r>
    <r>
      <rPr>
        <sz val="10"/>
        <rFont val="Arial"/>
        <family val="0"/>
        <charset val="1"/>
      </rPr>
      <t xml:space="preserve">EBITDA</t>
    </r>
  </si>
  <si>
    <t xml:space="preserve">核對｜調整後營業利益</t>
  </si>
  <si>
    <r>
      <rPr>
        <sz val="10"/>
        <rFont val="Noto Sans CJK SC"/>
        <family val="2"/>
      </rPr>
      <t xml:space="preserve">核對｜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</t>
    </r>
  </si>
  <si>
    <t xml:space="preserve">核對｜車隊折舊</t>
  </si>
  <si>
    <r>
      <rPr>
        <b val="true"/>
        <sz val="14"/>
        <rFont val="Noto Sans CJK SC"/>
        <family val="2"/>
      </rPr>
      <t xml:space="preserve">產能與收入 — 合約排程 </t>
    </r>
    <r>
      <rPr>
        <b val="true"/>
        <sz val="14"/>
        <rFont val="Arial"/>
        <family val="0"/>
        <charset val="1"/>
      </rPr>
      <t xml:space="preserve">vs </t>
    </r>
    <r>
      <rPr>
        <b val="true"/>
        <sz val="14"/>
        <rFont val="Noto Sans CJK SC"/>
        <family val="2"/>
      </rPr>
      <t xml:space="preserve">機房產能</t>
    </r>
  </si>
  <si>
    <r>
      <rPr>
        <sz val="9"/>
        <color rgb="FF595959"/>
        <rFont val="Noto Sans CJK SC"/>
        <family val="2"/>
      </rPr>
      <t xml:space="preserve">兩條線獨立產生後相減：排程</t>
    </r>
    <r>
      <rPr>
        <sz val="9"/>
        <color rgb="FF595959"/>
        <rFont val="Arial"/>
        <family val="0"/>
        <charset val="1"/>
      </rPr>
      <t xml:space="preserve">&gt;</t>
    </r>
    <r>
      <rPr>
        <sz val="9"/>
        <color rgb="FF595959"/>
        <rFont val="Noto Sans CJK SC"/>
        <family val="2"/>
      </rPr>
      <t xml:space="preserve">容量→瓶頸（收不到）；容量</t>
    </r>
    <r>
      <rPr>
        <sz val="9"/>
        <color rgb="FF595959"/>
        <rFont val="Arial"/>
        <family val="0"/>
        <charset val="1"/>
      </rPr>
      <t xml:space="preserve">&gt;</t>
    </r>
    <r>
      <rPr>
        <sz val="9"/>
        <color rgb="FF595959"/>
        <rFont val="Noto Sans CJK SC"/>
        <family val="2"/>
      </rPr>
      <t xml:space="preserve">排程→剩餘產能（要靠新簽約賣掉）</t>
    </r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</si>
  <si>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欄口徑：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為年底存量；標示「（模型期）」的收入列只含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下半年——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Noto Sans CJK SC"/>
        <family val="2"/>
      </rPr>
      <t xml:space="preserve">桶自 </t>
    </r>
    <r>
      <rPr>
        <sz val="9"/>
        <color rgb="FF595959"/>
        <rFont val="Arial"/>
        <family val="0"/>
        <charset val="1"/>
      </rPr>
      <t xml:space="preserve">2026-06-30 </t>
    </r>
    <r>
      <rPr>
        <sz val="9"/>
        <color rgb="FF595959"/>
        <rFont val="Noto Sans CJK SC"/>
        <family val="2"/>
      </rPr>
      <t xml:space="preserve">起算，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收入已實現、不再受產能約束。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實際單列，兩者相加即 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全年（見本頁「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全年」列）。</t>
    </r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</si>
  <si>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的模型期只有下半年；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已實現的營收單列於下方</t>
    </r>
  </si>
  <si>
    <t xml:space="preserve">只用於下方三處：容量上限、電力、維護——把年率換算成該期金額</t>
  </si>
  <si>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A</t>
    </r>
    <r>
      <rPr>
        <b val="true"/>
        <sz val="10"/>
        <rFont val="Noto Sans CJK SC"/>
        <family val="2"/>
      </rPr>
      <t xml:space="preserve">）機房：容量上限</t>
    </r>
  </si>
  <si>
    <r>
      <rPr>
        <sz val="10"/>
        <rFont val="Arial"/>
        <family val="0"/>
        <charset val="1"/>
      </rPr>
      <t xml:space="preserve">Accepted MW</t>
    </r>
    <r>
      <rPr>
        <sz val="10"/>
        <rFont val="Noto Sans CJK SC"/>
        <family val="2"/>
      </rPr>
      <t xml:space="preserve">（已驗收，單調不減）</t>
    </r>
  </si>
  <si>
    <t xml:space="preserve">引擎規則：不得低於前期（產能不會消失）</t>
  </si>
  <si>
    <r>
      <rPr>
        <sz val="10"/>
        <rFont val="Arial"/>
        <family val="0"/>
        <charset val="1"/>
      </rPr>
      <t xml:space="preserve">Billable MW</t>
    </r>
    <r>
      <rPr>
        <sz val="10"/>
        <rFont val="Noto Sans CJK SC"/>
        <family val="2"/>
      </rPr>
      <t xml:space="preserve">（上限為 </t>
    </r>
    <r>
      <rPr>
        <sz val="10"/>
        <rFont val="Arial"/>
        <family val="0"/>
        <charset val="1"/>
      </rPr>
      <t xml:space="preserve">Accepted</t>
    </r>
    <r>
      <rPr>
        <sz val="10"/>
        <rFont val="Noto Sans CJK SC"/>
        <family val="2"/>
      </rPr>
      <t xml:space="preserve">）</t>
    </r>
  </si>
  <si>
    <t xml:space="preserve">引擎規則：可計費不得超過已驗收</t>
  </si>
  <si>
    <r>
      <rPr>
        <sz val="10"/>
        <rFont val="Noto Sans CJK SC"/>
        <family val="2"/>
      </rPr>
      <t xml:space="preserve">期初在役 </t>
    </r>
    <r>
      <rPr>
        <sz val="10"/>
        <rFont val="Arial"/>
        <family val="0"/>
        <charset val="1"/>
      </rPr>
      <t xml:space="preserve">MW</t>
    </r>
  </si>
  <si>
    <t xml:space="preserve">前期期末＝本期期初</t>
  </si>
  <si>
    <r>
      <rPr>
        <sz val="10"/>
        <rFont val="Noto Sans CJK SC"/>
        <family val="2"/>
      </rPr>
      <t xml:space="preserve">平均在役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欄為下半年平均）</t>
    </r>
  </si>
  <si>
    <r>
      <rPr>
        <sz val="9"/>
        <color rgb="FF595959"/>
        <rFont val="Noto Sans CJK SC"/>
        <family val="2"/>
      </rPr>
      <t xml:space="preserve">開關在輸入頁：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期初</t>
    </r>
    <r>
      <rPr>
        <sz val="9"/>
        <color rgb="FF595959"/>
        <rFont val="Arial"/>
        <family val="0"/>
        <charset val="1"/>
      </rPr>
      <t xml:space="preserve">+</t>
    </r>
    <r>
      <rPr>
        <sz val="9"/>
        <color rgb="FF595959"/>
        <rFont val="Noto Sans CJK SC"/>
        <family val="2"/>
      </rPr>
      <t xml:space="preserve">期末</t>
    </r>
    <r>
      <rPr>
        <sz val="9"/>
        <color rgb="FF595959"/>
        <rFont val="Arial"/>
        <family val="0"/>
        <charset val="1"/>
      </rPr>
      <t xml:space="preserve">)/2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＝期末全期化</t>
    </r>
  </si>
  <si>
    <t xml:space="preserve">容量上限（模型期最多能交付的收入）</t>
  </si>
  <si>
    <r>
      <rPr>
        <sz val="9"/>
        <color rgb="FF595959"/>
        <rFont val="Noto Sans CJK SC"/>
        <family val="2"/>
      </rPr>
      <t xml:space="preserve">＝平均在役 </t>
    </r>
    <r>
      <rPr>
        <sz val="9"/>
        <color rgb="FF595959"/>
        <rFont val="Arial"/>
        <family val="0"/>
        <charset val="1"/>
      </rPr>
      <t xml:space="preserve">MW ×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利用率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期間係數。只看機房，不看合約</t>
    </r>
  </si>
  <si>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B</t>
    </r>
    <r>
      <rPr>
        <b val="true"/>
        <sz val="10"/>
        <rFont val="Noto Sans CJK SC"/>
        <family val="2"/>
      </rPr>
      <t xml:space="preserve">）合約：排程 </t>
    </r>
    <r>
      <rPr>
        <b val="true"/>
        <sz val="10"/>
        <rFont val="Arial"/>
        <family val="0"/>
        <charset val="1"/>
      </rPr>
      <t xml:space="preserve">RPO</t>
    </r>
  </si>
  <si>
    <r>
      <rPr>
        <sz val="10"/>
        <rFont val="Noto Sans CJK SC"/>
        <family val="2"/>
      </rPr>
      <t xml:space="preserve">排程 </t>
    </r>
    <r>
      <rPr>
        <sz val="10"/>
        <rFont val="Arial"/>
        <family val="0"/>
        <charset val="1"/>
      </rPr>
      <t xml:space="preserve">RPO</t>
    </r>
    <r>
      <rPr>
        <sz val="10"/>
        <rFont val="Noto Sans CJK SC"/>
        <family val="2"/>
      </rPr>
      <t xml:space="preserve">（模型期，依 </t>
    </r>
    <r>
      <rPr>
        <sz val="10"/>
        <rFont val="Arial"/>
        <family val="0"/>
        <charset val="1"/>
      </rPr>
      <t xml:space="preserve">10-Q </t>
    </r>
    <r>
      <rPr>
        <sz val="10"/>
        <rFont val="Noto Sans CJK SC"/>
        <family val="2"/>
      </rPr>
      <t xml:space="preserve">桶分攤）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</si>
  <si>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(6/30 RPO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Q3 </t>
    </r>
    <r>
      <rPr>
        <sz val="9"/>
        <color rgb="FF595959"/>
        <rFont val="Noto Sans CJK SC"/>
        <family val="2"/>
      </rPr>
      <t xml:space="preserve">新增</t>
    </r>
    <r>
      <rPr>
        <sz val="9"/>
        <color rgb="FF595959"/>
        <rFont val="Arial"/>
        <family val="0"/>
        <charset val="1"/>
      </rPr>
      <t xml:space="preserve">)×</t>
    </r>
    <r>
      <rPr>
        <sz val="9"/>
        <color rgb="FF595959"/>
        <rFont val="Noto Sans CJK SC"/>
        <family val="2"/>
      </rPr>
      <t xml:space="preserve">本期權重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權重合計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五期認列比例。只看合約，不看機房</t>
    </r>
  </si>
  <si>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）兩條線相減</t>
    </r>
  </si>
  <si>
    <t xml:space="preserve">產能瓶頸（模型期：排程 − 容量）</t>
  </si>
  <si>
    <t xml:space="preserve">合約有、機房沒有 → 本期收不到，且不遞延到下期（保守處理）</t>
  </si>
  <si>
    <r>
      <rPr>
        <sz val="10"/>
        <rFont val="Noto Sans CJK SC"/>
        <family val="2"/>
      </rPr>
      <t xml:space="preserve">期初 </t>
    </r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轉換收入（模型期）</t>
    </r>
  </si>
  <si>
    <r>
      <rPr>
        <sz val="9"/>
        <color rgb="FF595959"/>
        <rFont val="Noto Sans CJK SC"/>
        <family val="2"/>
      </rPr>
      <t xml:space="preserve">＝排程 − 瓶頸。當瓶頸</t>
    </r>
    <r>
      <rPr>
        <sz val="9"/>
        <color rgb="FF595959"/>
        <rFont val="Arial"/>
        <family val="0"/>
        <charset val="1"/>
      </rPr>
      <t xml:space="preserve">&gt;0 </t>
    </r>
    <r>
      <rPr>
        <sz val="9"/>
        <color rgb="FF595959"/>
        <rFont val="Noto Sans CJK SC"/>
        <family val="2"/>
      </rPr>
      <t xml:space="preserve">時，此值恆等於容量上限</t>
    </r>
  </si>
  <si>
    <r>
      <rPr>
        <sz val="10"/>
        <rFont val="Noto Sans CJK SC"/>
        <family val="2"/>
      </rPr>
      <t xml:space="preserve">未被期初 </t>
    </r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占用的產能</t>
    </r>
  </si>
  <si>
    <t xml:space="preserve">容量 − 排程。機房有、期初合約沒占滿 → 要靠新簽約</t>
  </si>
  <si>
    <t xml:space="preserve">新簽約收入</t>
  </si>
  <si>
    <r>
      <rPr>
        <sz val="9"/>
        <color rgb="FF595959"/>
        <rFont val="Noto Sans CJK SC"/>
        <family val="2"/>
      </rPr>
      <t xml:space="preserve">尚未簽署的合約。</t>
    </r>
    <r>
      <rPr>
        <sz val="9"/>
        <color rgb="FF595959"/>
        <rFont val="Arial"/>
        <family val="0"/>
        <charset val="1"/>
      </rPr>
      <t xml:space="preserve">FY28 </t>
    </r>
    <r>
      <rPr>
        <sz val="9"/>
        <color rgb="FF595959"/>
        <rFont val="Noto Sans CJK SC"/>
        <family val="2"/>
      </rPr>
      <t xml:space="preserve">起模型收入主要來自此列——</t>
    </r>
    <r>
      <rPr>
        <sz val="9"/>
        <color rgb="FF595959"/>
        <rFont val="Arial"/>
        <family val="0"/>
        <charset val="1"/>
      </rPr>
      <t xml:space="preserve">8 GW </t>
    </r>
    <r>
      <rPr>
        <sz val="9"/>
        <color rgb="FF595959"/>
        <rFont val="Noto Sans CJK SC"/>
        <family val="2"/>
      </rPr>
      <t xml:space="preserve">敘事的風險集中點</t>
    </r>
  </si>
  <si>
    <t xml:space="preserve">未售產能（浪費）</t>
  </si>
  <si>
    <r>
      <rPr>
        <sz val="9"/>
        <color rgb="FF595959"/>
        <rFont val="Noto Sans CJK SC"/>
        <family val="2"/>
      </rPr>
      <t xml:space="preserve">蓋好但賣不掉。</t>
    </r>
    <r>
      <rPr>
        <sz val="9"/>
        <color rgb="FF595959"/>
        <rFont val="Arial"/>
        <family val="0"/>
        <charset val="1"/>
      </rPr>
      <t xml:space="preserve">Bernstein</t>
    </r>
    <r>
      <rPr>
        <sz val="9"/>
        <color rgb="FF595959"/>
        <rFont val="Noto Sans CJK SC"/>
        <family val="2"/>
      </rPr>
      <t xml:space="preserve">：簽約電力 </t>
    </r>
    <r>
      <rPr>
        <sz val="9"/>
        <color rgb="FF595959"/>
        <rFont val="Arial"/>
        <family val="0"/>
        <charset val="1"/>
      </rPr>
      <t xml:space="preserve">74% </t>
    </r>
    <r>
      <rPr>
        <sz val="9"/>
        <color rgb="FF595959"/>
        <rFont val="Noto Sans CJK SC"/>
        <family val="2"/>
      </rPr>
      <t xml:space="preserve">位於 </t>
    </r>
    <r>
      <rPr>
        <sz val="9"/>
        <color rgb="FF595959"/>
        <rFont val="Arial"/>
        <family val="0"/>
        <charset val="1"/>
      </rPr>
      <t xml:space="preserve">Tier 3/4 </t>
    </r>
    <r>
      <rPr>
        <sz val="9"/>
        <color rgb="FF595959"/>
        <rFont val="Noto Sans CJK SC"/>
        <family val="2"/>
      </rPr>
      <t xml:space="preserve">市場</t>
    </r>
  </si>
  <si>
    <r>
      <rPr>
        <sz val="10"/>
        <rFont val="Noto Sans CJK SC"/>
        <family val="2"/>
      </rPr>
      <t xml:space="preserve">損益用算力收入（模型期＝</t>
    </r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轉換＋新簽約）</t>
    </r>
  </si>
  <si>
    <t xml:space="preserve">損益與評價頁的算力收入由此連結，確保現金與損益同一組數字</t>
  </si>
  <si>
    <r>
      <rPr>
        <sz val="10"/>
        <rFont val="Arial"/>
        <family val="0"/>
        <charset val="1"/>
      </rPr>
      <t xml:space="preserve">1H26 </t>
    </r>
    <r>
      <rPr>
        <sz val="10"/>
        <rFont val="Noto Sans CJK SC"/>
        <family val="2"/>
      </rPr>
      <t xml:space="preserve">實際營收（</t>
    </r>
    <r>
      <rPr>
        <sz val="10"/>
        <rFont val="Arial"/>
        <family val="0"/>
        <charset val="1"/>
      </rPr>
      <t xml:space="preserve">10-Q</t>
    </r>
    <r>
      <rPr>
        <sz val="10"/>
        <rFont val="Noto Sans CJK SC"/>
        <family val="2"/>
      </rPr>
      <t xml:space="preserve">，已實現）</t>
    </r>
  </si>
  <si>
    <r>
      <rPr>
        <sz val="9"/>
        <color rgb="FF595959"/>
        <rFont val="Arial"/>
        <family val="0"/>
        <charset val="1"/>
      </rPr>
      <t xml:space="preserve">2026-01-01 </t>
    </r>
    <r>
      <rPr>
        <sz val="9"/>
        <color rgb="FF595959"/>
        <rFont val="Noto Sans CJK SC"/>
        <family val="2"/>
      </rPr>
      <t xml:space="preserve">至 </t>
    </r>
    <r>
      <rPr>
        <sz val="9"/>
        <color rgb="FF595959"/>
        <rFont val="Arial"/>
        <family val="0"/>
        <charset val="1"/>
      </rPr>
      <t xml:space="preserve">06-30 </t>
    </r>
    <r>
      <rPr>
        <sz val="9"/>
        <color rgb="FF595959"/>
        <rFont val="Noto Sans CJK SC"/>
        <family val="2"/>
      </rPr>
      <t xml:space="preserve">已認列營收。已實現，不受下半年產能約束，故不進入上方的瓶頸計算</t>
    </r>
  </si>
  <si>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全年總營收（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實際＋模型期算力＋服務）</t>
    </r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</si>
  <si>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欄可直接對照公司全年指引 </t>
    </r>
    <r>
      <rPr>
        <sz val="9"/>
        <color rgb="FF595959"/>
        <rFont val="Arial"/>
        <family val="0"/>
        <charset val="1"/>
      </rPr>
      <t xml:space="preserve">12.4–13.2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以後即為該年度總營收</t>
    </r>
  </si>
  <si>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）收入 → 現金：三道折扣</t>
    </r>
  </si>
  <si>
    <r>
      <rPr>
        <sz val="10"/>
        <rFont val="Noto Sans CJK SC"/>
        <family val="2"/>
      </rPr>
      <t xml:space="preserve">信用損失（期初 </t>
    </r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部分）</t>
    </r>
  </si>
  <si>
    <r>
      <rPr>
        <sz val="9"/>
        <color rgb="FF595959"/>
        <rFont val="Noto Sans CJK SC"/>
        <family val="2"/>
      </rPr>
      <t xml:space="preserve">＝收入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違約率 </t>
    </r>
    <r>
      <rPr>
        <sz val="9"/>
        <color rgb="FF595959"/>
        <rFont val="Arial"/>
        <family val="0"/>
        <charset val="1"/>
      </rPr>
      <t xml:space="preserve">× (1−</t>
    </r>
    <r>
      <rPr>
        <sz val="9"/>
        <color rgb="FF595959"/>
        <rFont val="Noto Sans CJK SC"/>
        <family val="2"/>
      </rPr>
      <t xml:space="preserve">回收率</t>
    </r>
    <r>
      <rPr>
        <sz val="9"/>
        <color rgb="FF595959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</si>
  <si>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收現（期初 </t>
    </r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部分）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</si>
  <si>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率（損益與資金共用）</t>
    </r>
  </si>
  <si>
    <t xml:space="preserve">起始→穩態線性爬升</t>
  </si>
  <si>
    <t xml:space="preserve">模型期總營收（算力＋服務）</t>
  </si>
  <si>
    <r>
      <rPr>
        <sz val="10"/>
        <rFont val="Arial"/>
        <family val="0"/>
        <charset val="1"/>
      </rPr>
      <t xml:space="preserve">EBITDAR </t>
    </r>
    <r>
      <rPr>
        <sz val="10"/>
        <rFont val="Noto Sans CJK SC"/>
        <family val="2"/>
      </rPr>
      <t xml:space="preserve">率（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率＋租金</t>
    </r>
    <r>
      <rPr>
        <sz val="10"/>
        <rFont val="Arial"/>
        <family val="0"/>
        <charset val="1"/>
      </rPr>
      <t xml:space="preserve">÷</t>
    </r>
    <r>
      <rPr>
        <sz val="10"/>
        <rFont val="Noto Sans CJK SC"/>
        <family val="2"/>
      </rPr>
      <t xml:space="preserve">營收）</t>
    </r>
  </si>
  <si>
    <r>
      <rPr>
        <sz val="9"/>
        <color rgb="FF595959"/>
        <rFont val="Noto Sans CJK SC"/>
        <family val="2"/>
      </rPr>
      <t xml:space="preserve">租金前的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率。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已扣租金，而資金模型把租金列在支出端，所以要加回，避免重複扣除</t>
    </r>
  </si>
  <si>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現金（可支應資本用途）</t>
    </r>
  </si>
  <si>
    <r>
      <rPr>
        <sz val="9"/>
        <color rgb="FF595959"/>
        <rFont val="Arial"/>
        <family val="0"/>
        <charset val="1"/>
      </rPr>
      <t xml:space="preserve">×EBITDAR </t>
    </r>
    <r>
      <rPr>
        <sz val="9"/>
        <color rgb="FF595959"/>
        <rFont val="Noto Sans CJK SC"/>
        <family val="2"/>
      </rPr>
      <t xml:space="preserve">率。租金與利息在支出頁單獨列示</t>
    </r>
  </si>
  <si>
    <t xml:space="preserve">新簽約現金</t>
  </si>
  <si>
    <r>
      <rPr>
        <sz val="9"/>
        <color rgb="FF595959"/>
        <rFont val="Noto Sans CJK SC"/>
        <family val="2"/>
      </rPr>
      <t xml:space="preserve">同樣扣信用損失、乘 </t>
    </r>
    <r>
      <rPr>
        <sz val="9"/>
        <color rgb="FF595959"/>
        <rFont val="Arial"/>
        <family val="0"/>
        <charset val="1"/>
      </rPr>
      <t xml:space="preserve">EBITDAR </t>
    </r>
    <r>
      <rPr>
        <sz val="9"/>
        <color rgb="FF595959"/>
        <rFont val="Noto Sans CJK SC"/>
        <family val="2"/>
      </rPr>
      <t xml:space="preserve">率</t>
    </r>
  </si>
  <si>
    <r>
      <rPr>
        <b val="true"/>
        <sz val="10"/>
        <rFont val="Noto Sans CJK SC"/>
        <family val="2"/>
      </rPr>
      <t xml:space="preserve">讀法：</t>
    </r>
    <r>
      <rPr>
        <b val="true"/>
        <sz val="10"/>
        <rFont val="Arial"/>
        <family val="0"/>
        <charset val="1"/>
      </rPr>
      <t xml:space="preserve">FY26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2H</t>
    </r>
    <r>
      <rPr>
        <b val="true"/>
        <sz val="10"/>
        <rFont val="Noto Sans CJK SC"/>
        <family val="2"/>
      </rPr>
      <t xml:space="preserve">）與 </t>
    </r>
    <r>
      <rPr>
        <b val="true"/>
        <sz val="10"/>
        <rFont val="Arial"/>
        <family val="0"/>
        <charset val="1"/>
      </rPr>
      <t xml:space="preserve">FY27 </t>
    </r>
    <r>
      <rPr>
        <b val="true"/>
        <sz val="10"/>
        <rFont val="Noto Sans CJK SC"/>
        <family val="2"/>
      </rPr>
      <t xml:space="preserve">瓶頸</t>
    </r>
    <r>
      <rPr>
        <b val="true"/>
        <sz val="10"/>
        <rFont val="Arial"/>
        <family val="0"/>
        <charset val="1"/>
      </rPr>
      <t xml:space="preserve">&gt;0</t>
    </r>
    <r>
      <rPr>
        <b val="true"/>
        <sz val="10"/>
        <rFont val="Noto Sans CJK SC"/>
        <family val="2"/>
      </rPr>
      <t xml:space="preserve">，合約多於機房；</t>
    </r>
    <r>
      <rPr>
        <b val="true"/>
        <sz val="10"/>
        <rFont val="Arial"/>
        <family val="0"/>
        <charset val="1"/>
      </rPr>
      <t xml:space="preserve">FY28 </t>
    </r>
    <r>
      <rPr>
        <b val="true"/>
        <sz val="10"/>
        <rFont val="Noto Sans CJK SC"/>
        <family val="2"/>
      </rPr>
      <t xml:space="preserve">起反轉，收入愈來愈靠『新簽約收入』這一列。</t>
    </r>
  </si>
  <si>
    <r>
      <rPr>
        <sz val="9"/>
        <color rgb="FF595959"/>
        <rFont val="Noto Sans CJK SC"/>
        <family val="2"/>
      </rPr>
      <t xml:space="preserve">把『新產能簽約率』調到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，就能看到只靠期初 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Noto Sans CJK SC"/>
        <family val="2"/>
      </rPr>
      <t xml:space="preserve">的資金缺口有多大——這是最重要的一個壓力測試。</t>
    </r>
  </si>
  <si>
    <r>
      <rPr>
        <b val="true"/>
        <sz val="14"/>
        <rFont val="Noto Sans CJK SC"/>
        <family val="2"/>
      </rPr>
      <t xml:space="preserve">站點租賃 — 房東揭露 </t>
    </r>
    <r>
      <rPr>
        <b val="true"/>
        <sz val="14"/>
        <rFont val="Arial"/>
        <family val="0"/>
        <charset val="1"/>
      </rPr>
      <t xml:space="preserve">vs 10-Q </t>
    </r>
    <r>
      <rPr>
        <b val="true"/>
        <sz val="14"/>
        <rFont val="Noto Sans CJK SC"/>
        <family val="2"/>
      </rPr>
      <t xml:space="preserve">總額（檢驗租金路徑用）</t>
    </r>
  </si>
  <si>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不揭露逐站租金；下表為房東公告的合約值（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），用來檢驗『每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年租金』與模型租金路徑是否一致</t>
    </r>
  </si>
  <si>
    <t xml:space="preserve">站點</t>
  </si>
  <si>
    <t xml:space="preserve">房東</t>
  </si>
  <si>
    <r>
      <rPr>
        <b val="true"/>
        <sz val="11"/>
        <color rgb="FFFFFFFF"/>
        <rFont val="Noto Sans CJK SC"/>
        <family val="2"/>
      </rPr>
      <t xml:space="preserve">契約 </t>
    </r>
    <r>
      <rPr>
        <b val="true"/>
        <sz val="11"/>
        <color rgb="FFFFFFFF"/>
        <rFont val="Arial"/>
        <family val="0"/>
        <charset val="1"/>
      </rPr>
      <t xml:space="preserve">MW</t>
    </r>
  </si>
  <si>
    <r>
      <rPr>
        <b val="true"/>
        <sz val="11"/>
        <color rgb="FFFFFFFF"/>
        <rFont val="Noto Sans CJK SC"/>
        <family val="2"/>
      </rPr>
      <t xml:space="preserve">已起租 </t>
    </r>
    <r>
      <rPr>
        <b val="true"/>
        <sz val="11"/>
        <color rgb="FFFFFFFF"/>
        <rFont val="Arial"/>
        <family val="0"/>
        <charset val="1"/>
      </rPr>
      <t xml:space="preserve">MW</t>
    </r>
  </si>
  <si>
    <r>
      <rPr>
        <b val="true"/>
        <sz val="11"/>
        <color rgb="FFFFFFFF"/>
        <rFont val="Noto Sans CJK SC"/>
        <family val="2"/>
      </rPr>
      <t xml:space="preserve">合約總值 </t>
    </r>
    <r>
      <rPr>
        <b val="true"/>
        <sz val="11"/>
        <color rgb="FFFFFFFF"/>
        <rFont val="Arial"/>
        <family val="0"/>
        <charset val="1"/>
      </rPr>
      <t xml:space="preserve">$bn</t>
    </r>
  </si>
  <si>
    <t xml:space="preserve">年期</t>
  </si>
  <si>
    <r>
      <rPr>
        <b val="true"/>
        <sz val="11"/>
        <color rgb="FFFFFFFF"/>
        <rFont val="Noto Sans CJK SC"/>
        <family val="2"/>
      </rPr>
      <t xml:space="preserve">年租金 </t>
    </r>
    <r>
      <rPr>
        <b val="true"/>
        <sz val="11"/>
        <color rgb="FFFFFFFF"/>
        <rFont val="Arial"/>
        <family val="0"/>
        <charset val="1"/>
      </rPr>
      <t xml:space="preserve">$bn</t>
    </r>
  </si>
  <si>
    <r>
      <rPr>
        <b val="true"/>
        <sz val="11"/>
        <color rgb="FFFFFFFF"/>
        <rFont val="Noto Sans CJK SC"/>
        <family val="2"/>
      </rPr>
      <t xml:space="preserve">每 </t>
    </r>
    <r>
      <rPr>
        <b val="true"/>
        <sz val="11"/>
        <color rgb="FFFFFFFF"/>
        <rFont val="Arial"/>
        <family val="0"/>
        <charset val="1"/>
      </rPr>
      <t xml:space="preserve">MW </t>
    </r>
    <r>
      <rPr>
        <b val="true"/>
        <sz val="11"/>
        <color rgb="FFFFFFFF"/>
        <rFont val="Noto Sans CJK SC"/>
        <family val="2"/>
      </rPr>
      <t xml:space="preserve">年租金 </t>
    </r>
    <r>
      <rPr>
        <b val="true"/>
        <sz val="11"/>
        <color rgb="FFFFFFFF"/>
        <rFont val="Arial"/>
        <family val="0"/>
        <charset val="1"/>
      </rPr>
      <t xml:space="preserve">$m</t>
    </r>
  </si>
  <si>
    <t xml:space="preserve">起租時程</t>
  </si>
  <si>
    <r>
      <rPr>
        <b val="true"/>
        <sz val="11"/>
        <color rgb="FFFFFFFF"/>
        <rFont val="Arial"/>
        <family val="0"/>
        <charset val="1"/>
      </rPr>
      <t xml:space="preserve">10-Q </t>
    </r>
    <r>
      <rPr>
        <b val="true"/>
        <sz val="11"/>
        <color rgb="FFFFFFFF"/>
        <rFont val="Noto Sans CJK SC"/>
        <family val="2"/>
      </rPr>
      <t xml:space="preserve">對應</t>
    </r>
  </si>
  <si>
    <r>
      <rPr>
        <sz val="10"/>
        <rFont val="Arial"/>
        <family val="0"/>
        <charset val="1"/>
      </rPr>
      <t xml:space="preserve">Helios</t>
    </r>
    <r>
      <rPr>
        <sz val="10"/>
        <rFont val="Noto Sans CJK SC"/>
        <family val="2"/>
      </rPr>
      <t xml:space="preserve">（德州 </t>
    </r>
    <r>
      <rPr>
        <sz val="10"/>
        <rFont val="Arial"/>
        <family val="0"/>
        <charset val="1"/>
      </rPr>
      <t xml:space="preserve">Dickens</t>
    </r>
    <r>
      <rPr>
        <sz val="10"/>
        <rFont val="Noto Sans CJK SC"/>
        <family val="2"/>
      </rPr>
      <t xml:space="preserve">）</t>
    </r>
  </si>
  <si>
    <t xml:space="preserve">Galaxy (GLXY)</t>
  </si>
  <si>
    <r>
      <rPr>
        <sz val="9"/>
        <color rgb="FF595959"/>
        <rFont val="Arial"/>
        <family val="0"/>
        <charset val="1"/>
      </rPr>
      <t xml:space="preserve">Ph I 133 MW 2026Q2 </t>
    </r>
    <r>
      <rPr>
        <sz val="9"/>
        <color rgb="FF595959"/>
        <rFont val="Noto Sans CJK SC"/>
        <family val="2"/>
      </rPr>
      <t xml:space="preserve">起租；</t>
    </r>
    <r>
      <rPr>
        <sz val="9"/>
        <color rgb="FF595959"/>
        <rFont val="Arial"/>
        <family val="0"/>
        <charset val="1"/>
      </rPr>
      <t xml:space="preserve">Ph II 260 MW 2027H1 </t>
    </r>
    <r>
      <rPr>
        <sz val="9"/>
        <color rgb="FF595959"/>
        <rFont val="Noto Sans CJK SC"/>
        <family val="2"/>
      </rPr>
      <t xml:space="preserve">起；</t>
    </r>
    <r>
      <rPr>
        <sz val="9"/>
        <color rgb="FF595959"/>
        <rFont val="Arial"/>
        <family val="0"/>
        <charset val="1"/>
      </rPr>
      <t xml:space="preserve">Ph III 133 MW</t>
    </r>
  </si>
  <si>
    <r>
      <rPr>
        <sz val="9"/>
        <color rgb="FF595959"/>
        <rFont val="Noto Sans CJK SC"/>
        <family val="2"/>
      </rPr>
      <t xml:space="preserve">未交付 </t>
    </r>
    <r>
      <rPr>
        <sz val="9"/>
        <color rgb="FF595959"/>
        <rFont val="Arial"/>
        <family val="0"/>
        <charset val="1"/>
      </rPr>
      <t xml:space="preserve">393 MW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10-Q</t>
    </r>
    <r>
      <rPr>
        <sz val="9"/>
        <color rgb="FF595959"/>
        <rFont val="Noto Sans CJK SC"/>
        <family val="2"/>
      </rPr>
      <t xml:space="preserve">「單站上限 </t>
    </r>
    <r>
      <rPr>
        <sz val="9"/>
        <color rgb="FF595959"/>
        <rFont val="Arial"/>
        <family val="0"/>
        <charset val="1"/>
      </rPr>
      <t xml:space="preserve">14.7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16 </t>
    </r>
    <r>
      <rPr>
        <sz val="9"/>
        <color rgb="FF595959"/>
        <rFont val="Noto Sans CJK SC"/>
        <family val="2"/>
      </rPr>
      <t xml:space="preserve">年」</t>
    </r>
  </si>
  <si>
    <r>
      <rPr>
        <sz val="9"/>
        <color rgb="FF595959"/>
        <rFont val="Arial"/>
        <family val="0"/>
        <charset val="1"/>
      </rPr>
      <t xml:space="preserve">Galaxy 2026-07-06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526 MW</t>
    </r>
    <r>
      <rPr>
        <sz val="9"/>
        <color rgb="FF595959"/>
        <rFont val="Noto Sans CJK SC"/>
        <family val="2"/>
      </rPr>
      <t xml:space="preserve">、年均租金 </t>
    </r>
    <r>
      <rPr>
        <sz val="9"/>
        <color rgb="FF595959"/>
        <rFont val="Arial"/>
        <family val="0"/>
        <charset val="1"/>
      </rPr>
      <t xml:space="preserve">&gt;$1bn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15 </t>
    </r>
    <r>
      <rPr>
        <sz val="9"/>
        <color rgb="FF595959"/>
        <rFont val="Noto Sans CJK SC"/>
        <family val="2"/>
      </rPr>
      <t xml:space="preserve">年＋</t>
    </r>
    <r>
      <rPr>
        <sz val="9"/>
        <color rgb="FF595959"/>
        <rFont val="Arial"/>
        <family val="0"/>
        <charset val="1"/>
      </rPr>
      <t xml:space="preserve">2×5 </t>
    </r>
    <r>
      <rPr>
        <sz val="9"/>
        <color rgb="FF595959"/>
        <rFont val="Noto Sans CJK SC"/>
        <family val="2"/>
      </rPr>
      <t xml:space="preserve">年延長 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</si>
  <si>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Arial"/>
        <family val="0"/>
        <charset val="1"/>
      </rPr>
      <t xml:space="preserve">Polaris Forge 1</t>
    </r>
    <r>
      <rPr>
        <sz val="10"/>
        <rFont val="Noto Sans CJK SC"/>
        <family val="2"/>
      </rPr>
      <t xml:space="preserve">（北達科他 </t>
    </r>
    <r>
      <rPr>
        <sz val="10"/>
        <rFont val="Arial"/>
        <family val="0"/>
        <charset val="1"/>
      </rPr>
      <t xml:space="preserve">Ellendale</t>
    </r>
    <r>
      <rPr>
        <sz val="10"/>
        <rFont val="Noto Sans CJK SC"/>
        <family val="2"/>
      </rPr>
      <t xml:space="preserve">）</t>
    </r>
  </si>
  <si>
    <t xml:space="preserve">Applied Digital (APLD)</t>
  </si>
  <si>
    <r>
      <rPr>
        <sz val="9"/>
        <color rgb="FF595959"/>
        <rFont val="Arial"/>
        <family val="0"/>
        <charset val="1"/>
      </rPr>
      <t xml:space="preserve">100 MW 2025Q4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150 MW 2026 </t>
    </r>
    <r>
      <rPr>
        <sz val="9"/>
        <color rgb="FF595959"/>
        <rFont val="Noto Sans CJK SC"/>
        <family val="2"/>
      </rPr>
      <t xml:space="preserve">年中；</t>
    </r>
    <r>
      <rPr>
        <sz val="9"/>
        <color rgb="FF595959"/>
        <rFont val="Arial"/>
        <family val="0"/>
        <charset val="1"/>
      </rPr>
      <t xml:space="preserve">150 MW 2027</t>
    </r>
  </si>
  <si>
    <r>
      <rPr>
        <sz val="9"/>
        <color rgb="FF595959"/>
        <rFont val="Noto Sans CJK SC"/>
        <family val="2"/>
      </rPr>
      <t xml:space="preserve">大致落在未起租 </t>
    </r>
    <r>
      <rPr>
        <sz val="9"/>
        <color rgb="FF595959"/>
        <rFont val="Arial"/>
        <family val="0"/>
        <charset val="1"/>
      </rPr>
      <t xml:space="preserve">35.5 </t>
    </r>
    <r>
      <rPr>
        <sz val="9"/>
        <color rgb="FF595959"/>
        <rFont val="Noto Sans CJK SC"/>
        <family val="2"/>
      </rPr>
      <t xml:space="preserve">內</t>
    </r>
  </si>
  <si>
    <r>
      <rPr>
        <sz val="9"/>
        <color rgb="FF595959"/>
        <rFont val="Arial"/>
        <family val="0"/>
        <charset val="1"/>
      </rPr>
      <t xml:space="preserve">APLD 2025-08-29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FQ2 </t>
    </r>
    <r>
      <rPr>
        <sz val="9"/>
        <color rgb="FF595959"/>
        <rFont val="Noto Sans CJK SC"/>
        <family val="2"/>
      </rPr>
      <t xml:space="preserve">法說：</t>
    </r>
    <r>
      <rPr>
        <sz val="9"/>
        <color rgb="FF595959"/>
        <rFont val="Arial"/>
        <family val="0"/>
        <charset val="1"/>
      </rPr>
      <t xml:space="preserve">400 MW</t>
    </r>
    <r>
      <rPr>
        <sz val="9"/>
        <color rgb="FF595959"/>
        <rFont val="Noto Sans CJK SC"/>
        <family val="2"/>
      </rPr>
      <t xml:space="preserve">、約 </t>
    </r>
    <r>
      <rPr>
        <sz val="9"/>
        <color rgb="FF595959"/>
        <rFont val="Arial"/>
        <family val="0"/>
        <charset val="1"/>
      </rPr>
      <t xml:space="preserve">$11bn</t>
    </r>
    <r>
      <rPr>
        <sz val="9"/>
        <color rgb="FF595959"/>
        <rFont val="Noto Sans CJK SC"/>
        <family val="2"/>
      </rPr>
      <t xml:space="preserve">、約 </t>
    </r>
    <r>
      <rPr>
        <sz val="9"/>
        <color rgb="FF595959"/>
        <rFont val="Arial"/>
        <family val="0"/>
        <charset val="1"/>
      </rPr>
      <t xml:space="preserve">15 </t>
    </r>
    <r>
      <rPr>
        <sz val="9"/>
        <color rgb="FF595959"/>
        <rFont val="Noto Sans CJK SC"/>
        <family val="2"/>
      </rPr>
      <t xml:space="preserve">年 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</si>
  <si>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Arial"/>
        <family val="0"/>
        <charset val="1"/>
      </rPr>
      <t xml:space="preserve">Core Scientific </t>
    </r>
    <r>
      <rPr>
        <sz val="10"/>
        <rFont val="Noto Sans CJK SC"/>
        <family val="2"/>
      </rPr>
      <t xml:space="preserve">六站（</t>
    </r>
    <r>
      <rPr>
        <sz val="10"/>
        <rFont val="Arial"/>
        <family val="0"/>
        <charset val="1"/>
      </rPr>
      <t xml:space="preserve">Denton </t>
    </r>
    <r>
      <rPr>
        <sz val="10"/>
        <rFont val="Noto Sans CJK SC"/>
        <family val="2"/>
      </rPr>
      <t xml:space="preserve">等）</t>
    </r>
  </si>
  <si>
    <t xml:space="preserve">Core Scientific (CORZ)</t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</si>
  <si>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年約 </t>
    </r>
    <r>
      <rPr>
        <sz val="9"/>
        <color rgb="FF595959"/>
        <rFont val="Arial"/>
        <family val="0"/>
        <charset val="1"/>
      </rPr>
      <t xml:space="preserve">250 MW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年初全數 </t>
    </r>
    <r>
      <rPr>
        <sz val="9"/>
        <color rgb="FF595959"/>
        <rFont val="Arial"/>
        <family val="0"/>
        <charset val="1"/>
      </rPr>
      <t xml:space="preserve">590 MW</t>
    </r>
  </si>
  <si>
    <r>
      <rPr>
        <sz val="9"/>
        <color rgb="FF595959"/>
        <rFont val="Noto Sans CJK SC"/>
        <family val="2"/>
      </rPr>
      <t xml:space="preserve">部分在帳、部分未起租；「按造價計租」</t>
    </r>
    <r>
      <rPr>
        <sz val="9"/>
        <color rgb="FF595959"/>
        <rFont val="Arial"/>
        <family val="0"/>
        <charset val="1"/>
      </rPr>
      <t xml:space="preserve">355 MW </t>
    </r>
    <r>
      <rPr>
        <sz val="9"/>
        <color rgb="FF595959"/>
        <rFont val="Noto Sans CJK SC"/>
        <family val="2"/>
      </rPr>
      <t xml:space="preserve">可能含部分</t>
    </r>
  </si>
  <si>
    <r>
      <rPr>
        <sz val="9"/>
        <color rgb="FF595959"/>
        <rFont val="Arial"/>
        <family val="0"/>
        <charset val="1"/>
      </rPr>
      <t xml:space="preserve">CORZ 2025-02-26</t>
    </r>
    <r>
      <rPr>
        <sz val="9"/>
        <color rgb="FF595959"/>
        <rFont val="Noto Sans CJK SC"/>
        <family val="2"/>
      </rPr>
      <t xml:space="preserve">：約 </t>
    </r>
    <r>
      <rPr>
        <sz val="9"/>
        <color rgb="FF595959"/>
        <rFont val="Arial"/>
        <family val="0"/>
        <charset val="1"/>
      </rPr>
      <t xml:space="preserve">590 MW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$10.2bn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12 </t>
    </r>
    <r>
      <rPr>
        <sz val="9"/>
        <color rgb="FF595959"/>
        <rFont val="Noto Sans CJK SC"/>
        <family val="2"/>
      </rPr>
      <t xml:space="preserve">年；年均約 </t>
    </r>
    <r>
      <rPr>
        <sz val="9"/>
        <color rgb="FF595959"/>
        <rFont val="Arial"/>
        <family val="0"/>
        <charset val="1"/>
      </rPr>
      <t xml:space="preserve">$850m [Interested-party]</t>
    </r>
  </si>
  <si>
    <r>
      <rPr>
        <sz val="10"/>
        <rFont val="Arial"/>
        <family val="0"/>
        <charset val="1"/>
      </rPr>
      <t xml:space="preserve">Kenilworth</t>
    </r>
    <r>
      <rPr>
        <sz val="10"/>
        <rFont val="Noto Sans CJK SC"/>
        <family val="2"/>
      </rPr>
      <t xml:space="preserve">（新澤西 </t>
    </r>
    <r>
      <rPr>
        <sz val="10"/>
        <rFont val="Arial"/>
        <family val="0"/>
        <charset val="1"/>
      </rPr>
      <t xml:space="preserve">JV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</si>
  <si>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JV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Noto Sans CJK SC"/>
        <family val="2"/>
      </rPr>
      <t xml:space="preserve">持股 </t>
    </r>
    <r>
      <rPr>
        <sz val="9"/>
        <color rgb="FF595959"/>
        <rFont val="Arial"/>
        <family val="0"/>
        <charset val="1"/>
      </rPr>
      <t xml:space="preserve">35%</t>
    </r>
    <r>
      <rPr>
        <sz val="9"/>
        <color rgb="FF595959"/>
        <rFont val="Noto Sans CJK SC"/>
        <family val="2"/>
      </rPr>
      <t xml:space="preserve">）</t>
    </r>
  </si>
  <si>
    <t xml:space="preserve">未揭露</t>
  </si>
  <si>
    <t xml:space="preserve">施工中；完工後起租</t>
  </si>
  <si>
    <r>
      <rPr>
        <sz val="9"/>
        <color rgb="FF595959"/>
        <rFont val="Arial"/>
        <family val="0"/>
        <charset val="1"/>
      </rPr>
      <t xml:space="preserve">10-Q</t>
    </r>
    <r>
      <rPr>
        <sz val="9"/>
        <color rgb="FF595959"/>
        <rFont val="Noto Sans CJK SC"/>
        <family val="2"/>
      </rPr>
      <t xml:space="preserve">：租金＝建造成本的一定比例，推定屬「按造價計租」</t>
    </r>
    <r>
      <rPr>
        <sz val="9"/>
        <color rgb="FF595959"/>
        <rFont val="Arial"/>
        <family val="0"/>
        <charset val="1"/>
      </rPr>
      <t xml:space="preserve">355 MW</t>
    </r>
  </si>
  <si>
    <r>
      <rPr>
        <sz val="9"/>
        <color rgb="FF595959"/>
        <rFont val="Arial"/>
        <family val="0"/>
        <charset val="1"/>
      </rPr>
      <t xml:space="preserve">10-Q Note 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15 </t>
    </r>
    <r>
      <rPr>
        <sz val="9"/>
        <color rgb="FF595959"/>
        <rFont val="Noto Sans CJK SC"/>
        <family val="2"/>
      </rPr>
      <t xml:space="preserve">年租約、租金依建造成本計；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與金額未揭露 </t>
    </r>
    <r>
      <rPr>
        <sz val="9"/>
        <color rgb="FF595959"/>
        <rFont val="Arial"/>
        <family val="0"/>
        <charset val="1"/>
      </rPr>
      <t xml:space="preserve">[Verified]</t>
    </r>
  </si>
  <si>
    <t xml:space="preserve">具名站點合計</t>
  </si>
  <si>
    <r>
      <rPr>
        <sz val="9"/>
        <color rgb="FF595959"/>
        <rFont val="Noto Sans CJK SC"/>
        <family val="2"/>
      </rPr>
      <t xml:space="preserve">加權每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年租金＝具名站點的市場基準</t>
    </r>
  </si>
  <si>
    <r>
      <rPr>
        <b val="true"/>
        <sz val="10"/>
        <rFont val="Noto Sans CJK SC"/>
        <family val="2"/>
      </rPr>
      <t xml:space="preserve">對帳：具名站點 </t>
    </r>
    <r>
      <rPr>
        <b val="true"/>
        <sz val="10"/>
        <rFont val="Arial"/>
        <family val="0"/>
        <charset val="1"/>
      </rPr>
      <t xml:space="preserve">vs 10-Q </t>
    </r>
    <r>
      <rPr>
        <b val="true"/>
        <sz val="10"/>
        <rFont val="Noto Sans CJK SC"/>
        <family val="2"/>
      </rPr>
      <t xml:space="preserve">租賃承諾總額</t>
    </r>
  </si>
  <si>
    <r>
      <rPr>
        <sz val="10"/>
        <rFont val="Arial"/>
        <family val="0"/>
        <charset val="1"/>
      </rPr>
      <t xml:space="preserve">10-Q </t>
    </r>
    <r>
      <rPr>
        <sz val="10"/>
        <rFont val="Noto Sans CJK SC"/>
        <family val="2"/>
      </rPr>
      <t xml:space="preserve">在帳租賃（未折現，已起租）</t>
    </r>
  </si>
  <si>
    <r>
      <rPr>
        <sz val="9"/>
        <color rgb="FF595959"/>
        <rFont val="Noto Sans CJK SC"/>
        <family val="2"/>
      </rPr>
      <t xml:space="preserve">營業 </t>
    </r>
    <r>
      <rPr>
        <sz val="9"/>
        <color rgb="FF595959"/>
        <rFont val="Arial"/>
        <family val="0"/>
        <charset val="1"/>
      </rPr>
      <t xml:space="preserve">29.135</t>
    </r>
    <r>
      <rPr>
        <sz val="9"/>
        <color rgb="FF595959"/>
        <rFont val="Noto Sans CJK SC"/>
        <family val="2"/>
      </rPr>
      <t xml:space="preserve">＋融資 </t>
    </r>
    <r>
      <rPr>
        <sz val="9"/>
        <color rgb="FF595959"/>
        <rFont val="Arial"/>
        <family val="0"/>
        <charset val="1"/>
      </rPr>
      <t xml:space="preserve">0.235 [Verified]</t>
    </r>
  </si>
  <si>
    <r>
      <rPr>
        <sz val="10"/>
        <rFont val="Arial"/>
        <family val="0"/>
        <charset val="1"/>
      </rPr>
      <t xml:space="preserve">10-Q </t>
    </r>
    <r>
      <rPr>
        <sz val="10"/>
        <rFont val="Noto Sans CJK SC"/>
        <family val="2"/>
      </rPr>
      <t xml:space="preserve">未起租租賃（未折現）</t>
    </r>
  </si>
  <si>
    <r>
      <rPr>
        <sz val="9"/>
        <color rgb="FF595959"/>
        <rFont val="Arial"/>
        <family val="0"/>
        <charset val="1"/>
      </rPr>
      <t xml:space="preserve">2026–2029 </t>
    </r>
    <r>
      <rPr>
        <sz val="9"/>
        <color rgb="FF595959"/>
        <rFont val="Noto Sans CJK SC"/>
        <family val="2"/>
      </rPr>
      <t xml:space="preserve">起租、</t>
    </r>
    <r>
      <rPr>
        <sz val="9"/>
        <color rgb="FF595959"/>
        <rFont val="Arial"/>
        <family val="0"/>
        <charset val="1"/>
      </rPr>
      <t xml:space="preserve">7–16 </t>
    </r>
    <r>
      <rPr>
        <sz val="9"/>
        <color rgb="FF595959"/>
        <rFont val="Noto Sans CJK SC"/>
        <family val="2"/>
      </rPr>
      <t xml:space="preserve">年 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</si>
  <si>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Arial"/>
        <family val="0"/>
        <charset val="1"/>
      </rPr>
      <t xml:space="preserve">10-Q </t>
    </r>
    <r>
      <rPr>
        <sz val="10"/>
        <rFont val="Noto Sans CJK SC"/>
        <family val="2"/>
      </rPr>
      <t xml:space="preserve">單站按造價計租上限</t>
    </r>
  </si>
  <si>
    <r>
      <rPr>
        <sz val="9"/>
        <color rgb="FF595959"/>
        <rFont val="Noto Sans CJK SC"/>
        <family val="2"/>
      </rPr>
      <t xml:space="preserve">即 </t>
    </r>
    <r>
      <rPr>
        <sz val="9"/>
        <color rgb="FF595959"/>
        <rFont val="Arial"/>
        <family val="0"/>
        <charset val="1"/>
      </rPr>
      <t xml:space="preserve">Helios </t>
    </r>
    <r>
      <rPr>
        <sz val="9"/>
        <color rgb="FF595959"/>
        <rFont val="Noto Sans CJK SC"/>
        <family val="2"/>
      </rPr>
      <t xml:space="preserve">未交付 </t>
    </r>
    <r>
      <rPr>
        <sz val="9"/>
        <color rgb="FF595959"/>
        <rFont val="Arial"/>
        <family val="0"/>
        <charset val="1"/>
      </rPr>
      <t xml:space="preserve">393 MW [Verified]</t>
    </r>
  </si>
  <si>
    <r>
      <rPr>
        <b val="true"/>
        <sz val="10"/>
        <rFont val="Arial"/>
        <family val="0"/>
        <charset val="1"/>
      </rPr>
      <t xml:space="preserve">10-Q </t>
    </r>
    <r>
      <rPr>
        <b val="true"/>
        <sz val="10"/>
        <rFont val="Noto Sans CJK SC"/>
        <family val="2"/>
      </rPr>
      <t xml:space="preserve">已揭露租賃承諾合計</t>
    </r>
  </si>
  <si>
    <r>
      <rPr>
        <sz val="9"/>
        <color rgb="FF595959"/>
        <rFont val="Noto Sans CJK SC"/>
        <family val="2"/>
      </rPr>
      <t xml:space="preserve">另有 </t>
    </r>
    <r>
      <rPr>
        <sz val="9"/>
        <color rgb="FF595959"/>
        <rFont val="Arial"/>
        <family val="0"/>
        <charset val="1"/>
      </rPr>
      <t xml:space="preserve">355 MW </t>
    </r>
    <r>
      <rPr>
        <sz val="9"/>
        <color rgb="FF595959"/>
        <rFont val="Noto Sans CJK SC"/>
        <family val="2"/>
      </rPr>
      <t xml:space="preserve">按造價計租，金額未定，未含</t>
    </r>
  </si>
  <si>
    <t xml:space="preserve">減：具名站點合約總值</t>
  </si>
  <si>
    <t xml:space="preserve">＝ 未具名站點（殘差）</t>
  </si>
  <si>
    <r>
      <rPr>
        <sz val="9"/>
        <color rgb="FF595959"/>
        <rFont val="Arial"/>
        <family val="0"/>
        <charset val="1"/>
      </rPr>
      <t xml:space="preserve">43 </t>
    </r>
    <r>
      <rPr>
        <sz val="9"/>
        <color rgb="FF595959"/>
        <rFont val="Noto Sans CJK SC"/>
        <family val="2"/>
      </rPr>
      <t xml:space="preserve">座以上資料中心中未具名者（</t>
    </r>
    <r>
      <rPr>
        <sz val="9"/>
        <color rgb="FF595959"/>
        <rFont val="Arial"/>
        <family val="0"/>
        <charset val="1"/>
      </rPr>
      <t xml:space="preserve">Equinix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Switch </t>
    </r>
    <r>
      <rPr>
        <sz val="9"/>
        <color rgb="FF595959"/>
        <rFont val="Noto Sans CJK SC"/>
        <family val="2"/>
      </rPr>
      <t xml:space="preserve">等託管，以及其他房東）。殘差大是必然——公司不揭露逐站</t>
    </r>
  </si>
  <si>
    <r>
      <rPr>
        <sz val="10"/>
        <rFont val="Noto Sans CJK SC"/>
        <family val="2"/>
      </rPr>
      <t xml:space="preserve">殘差占 </t>
    </r>
    <r>
      <rPr>
        <sz val="10"/>
        <rFont val="Arial"/>
        <family val="0"/>
        <charset val="1"/>
      </rPr>
      <t xml:space="preserve">10-Q </t>
    </r>
    <r>
      <rPr>
        <sz val="10"/>
        <rFont val="Noto Sans CJK SC"/>
        <family val="2"/>
      </rPr>
      <t xml:space="preserve">總額</t>
    </r>
  </si>
  <si>
    <r>
      <rPr>
        <b val="true"/>
        <sz val="10"/>
        <rFont val="Noto Sans CJK SC"/>
        <family val="2"/>
      </rPr>
      <t xml:space="preserve">檢驗：模型租金路徑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在役 </t>
    </r>
    <r>
      <rPr>
        <b val="true"/>
        <sz val="10"/>
        <rFont val="Arial"/>
        <family val="0"/>
        <charset val="1"/>
      </rPr>
      <t xml:space="preserve">MW vs </t>
    </r>
    <r>
      <rPr>
        <b val="true"/>
        <sz val="10"/>
        <rFont val="Noto Sans CJK SC"/>
        <family val="2"/>
      </rPr>
      <t xml:space="preserve">市場基準</t>
    </r>
  </si>
  <si>
    <t xml:space="preserve">模型租金（在帳＋表外）</t>
  </si>
  <si>
    <r>
      <rPr>
        <sz val="10"/>
        <rFont val="Noto Sans CJK SC"/>
        <family val="2"/>
      </rPr>
      <t xml:space="preserve">平均在役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Accepted</t>
    </r>
    <r>
      <rPr>
        <sz val="1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</si>
  <si>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模型每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Noto Sans CJK SC"/>
        <family val="2"/>
      </rPr>
      <t xml:space="preserve">年租金</t>
    </r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</si>
  <si>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欄只含下半年租金、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取全年平均，略有低估</t>
    </r>
  </si>
  <si>
    <t xml:space="preserve">第三方租賃占比</t>
  </si>
  <si>
    <r>
      <rPr>
        <sz val="9"/>
        <color rgb="FF595959"/>
        <rFont val="Noto Sans CJK SC"/>
        <family val="2"/>
      </rPr>
      <t xml:space="preserve">其餘為自建／</t>
    </r>
    <r>
      <rPr>
        <sz val="9"/>
        <color rgb="FF595959"/>
        <rFont val="Arial"/>
        <family val="0"/>
        <charset val="1"/>
      </rPr>
      <t xml:space="preserve">JV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Kenilworth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Lancaster</t>
    </r>
    <r>
      <rPr>
        <sz val="9"/>
        <color rgb="FF595959"/>
        <rFont val="Noto Sans CJK SC"/>
        <family val="2"/>
      </rPr>
      <t xml:space="preserve">），成本走 </t>
    </r>
    <r>
      <rPr>
        <sz val="9"/>
        <color rgb="FF595959"/>
        <rFont val="Arial"/>
        <family val="0"/>
        <charset val="1"/>
      </rPr>
      <t xml:space="preserve">CapEx </t>
    </r>
    <r>
      <rPr>
        <sz val="9"/>
        <color rgb="FF595959"/>
        <rFont val="Noto Sans CJK SC"/>
        <family val="2"/>
      </rPr>
      <t xml:space="preserve">或 </t>
    </r>
    <r>
      <rPr>
        <sz val="9"/>
        <color rgb="FF595959"/>
        <rFont val="Arial"/>
        <family val="0"/>
        <charset val="1"/>
      </rPr>
      <t xml:space="preserve">JV </t>
    </r>
    <r>
      <rPr>
        <sz val="9"/>
        <color rgb="FF595959"/>
        <rFont val="Noto Sans CJK SC"/>
        <family val="2"/>
      </rPr>
      <t xml:space="preserve">出資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</si>
  <si>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Noto Sans CJK SC"/>
        <family val="2"/>
      </rPr>
      <t xml:space="preserve">基準租金（</t>
    </r>
    <r>
      <rPr>
        <sz val="10"/>
        <rFont val="Arial"/>
        <family val="0"/>
        <charset val="1"/>
      </rPr>
      <t xml:space="preserve">MW×</t>
    </r>
    <r>
      <rPr>
        <sz val="10"/>
        <rFont val="Noto Sans CJK SC"/>
        <family val="2"/>
      </rPr>
      <t xml:space="preserve">市場基準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占比）</t>
    </r>
  </si>
  <si>
    <r>
      <rPr>
        <sz val="9"/>
        <color rgb="FF595959"/>
        <rFont val="Noto Sans CJK SC"/>
        <family val="2"/>
      </rPr>
      <t xml:space="preserve">若 </t>
    </r>
    <r>
      <rPr>
        <sz val="9"/>
        <color rgb="FF595959"/>
        <rFont val="Arial"/>
        <family val="0"/>
        <charset val="1"/>
      </rPr>
      <t xml:space="preserve">8 GW </t>
    </r>
    <r>
      <rPr>
        <sz val="9"/>
        <color rgb="FF595959"/>
        <rFont val="Noto Sans CJK SC"/>
        <family val="2"/>
      </rPr>
      <t xml:space="preserve">多數比照 </t>
    </r>
    <r>
      <rPr>
        <sz val="9"/>
        <color rgb="FF595959"/>
        <rFont val="Arial"/>
        <family val="0"/>
        <charset val="1"/>
      </rPr>
      <t xml:space="preserve">Helios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APLD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CORZ </t>
    </r>
    <r>
      <rPr>
        <sz val="9"/>
        <color rgb="FF595959"/>
        <rFont val="Noto Sans CJK SC"/>
        <family val="2"/>
      </rPr>
      <t xml:space="preserve">的租金水準</t>
    </r>
  </si>
  <si>
    <t xml:space="preserve">差額（基準 − 模型）</t>
  </si>
  <si>
    <t xml:space="preserve">正值＝模型租金可能低估的金額</t>
  </si>
  <si>
    <t xml:space="preserve">五期差額合計</t>
  </si>
  <si>
    <r>
      <rPr>
        <b val="true"/>
        <sz val="14"/>
        <rFont val="Noto Sans CJK SC"/>
        <family val="2"/>
      </rPr>
      <t xml:space="preserve">每 </t>
    </r>
    <r>
      <rPr>
        <b val="true"/>
        <sz val="14"/>
        <rFont val="Arial"/>
        <family val="0"/>
        <charset val="1"/>
      </rPr>
      <t xml:space="preserve">MW </t>
    </r>
    <r>
      <rPr>
        <b val="true"/>
        <sz val="14"/>
        <rFont val="Noto Sans CJK SC"/>
        <family val="2"/>
      </rPr>
      <t xml:space="preserve">經濟性（</t>
    </r>
    <r>
      <rPr>
        <b val="true"/>
        <sz val="14"/>
        <rFont val="Arial"/>
        <family val="0"/>
        <charset val="1"/>
      </rPr>
      <t xml:space="preserve">W2</t>
    </r>
    <r>
      <rPr>
        <b val="true"/>
        <sz val="14"/>
        <rFont val="Noto Sans CJK SC"/>
        <family val="2"/>
      </rPr>
      <t xml:space="preserve">：</t>
    </r>
    <r>
      <rPr>
        <b val="true"/>
        <sz val="14"/>
        <rFont val="Arial"/>
        <family val="0"/>
        <charset val="1"/>
      </rPr>
      <t xml:space="preserve">Tokenomics </t>
    </r>
    <r>
      <rPr>
        <b val="true"/>
        <sz val="14"/>
        <rFont val="Noto Sans CJK SC"/>
        <family val="2"/>
      </rPr>
      <t xml:space="preserve">物理與產業數據 </t>
    </r>
    <r>
      <rPr>
        <b val="true"/>
        <sz val="14"/>
        <rFont val="Arial"/>
        <family val="0"/>
        <charset val="1"/>
      </rPr>
      <t xml:space="preserve">× </t>
    </r>
    <r>
      <rPr>
        <b val="true"/>
        <sz val="14"/>
        <rFont val="Noto Sans CJK SC"/>
        <family val="2"/>
      </rPr>
      <t xml:space="preserve">公司專屬輸入）</t>
    </r>
  </si>
  <si>
    <r>
      <rPr>
        <sz val="9"/>
        <color rgb="FF595959"/>
        <rFont val="Noto Sans CJK SC"/>
        <family val="2"/>
      </rPr>
      <t xml:space="preserve">方法：資本支出 </t>
    </r>
    <r>
      <rPr>
        <sz val="9"/>
        <color rgb="FF595959"/>
        <rFont val="Arial"/>
        <family val="0"/>
        <charset val="1"/>
      </rPr>
      <t xml:space="preserve">tokenomics</t>
    </r>
    <r>
      <rPr>
        <sz val="9"/>
        <color rgb="FF595959"/>
        <rFont val="Noto Sans CJK SC"/>
        <family val="2"/>
      </rPr>
      <t xml:space="preserve">／營運成本 </t>
    </r>
    <r>
      <rPr>
        <sz val="9"/>
        <color rgb="FF595959"/>
        <rFont val="Arial"/>
        <family val="0"/>
        <charset val="1"/>
      </rPr>
      <t xml:space="preserve">bottomUp</t>
    </r>
    <r>
      <rPr>
        <sz val="9"/>
        <color rgb="FF595959"/>
        <rFont val="Noto Sans CJK SC"/>
        <family val="2"/>
      </rPr>
      <t xml:space="preserve">／收入 </t>
    </r>
    <r>
      <rPr>
        <sz val="9"/>
        <color rgb="FF595959"/>
        <rFont val="Arial"/>
        <family val="0"/>
        <charset val="1"/>
      </rPr>
      <t xml:space="preserve">tkAnchor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company.json → methodology.perMw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口徑：</t>
    </r>
    <r>
      <rPr>
        <sz val="9"/>
        <color rgb="FF595959"/>
        <rFont val="Arial"/>
        <family val="0"/>
        <charset val="1"/>
      </rPr>
      <t xml:space="preserve">IT </t>
    </r>
    <r>
      <rPr>
        <sz val="9"/>
        <color rgb="FF595959"/>
        <rFont val="Noto Sans CJK SC"/>
        <family val="2"/>
      </rPr>
      <t xml:space="preserve">關鍵電力。每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值＝期間金額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平均在役 </t>
    </r>
    <r>
      <rPr>
        <sz val="9"/>
        <color rgb="FF595959"/>
        <rFont val="Arial"/>
        <family val="0"/>
        <charset val="1"/>
      </rPr>
      <t xml:space="preserve">MW ÷ </t>
    </r>
    <r>
      <rPr>
        <sz val="9"/>
        <color rgb="FF595959"/>
        <rFont val="Noto Sans CJK SC"/>
        <family val="2"/>
      </rPr>
      <t xml:space="preserve">期間長度（年化）。</t>
    </r>
  </si>
  <si>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Noto Sans CJK SC"/>
        <family val="2"/>
      </rPr>
      <t xml:space="preserve">經濟性彙總（每平均在役 </t>
    </r>
    <r>
      <rPr>
        <b val="true"/>
        <sz val="10"/>
        <rFont val="Arial"/>
        <family val="0"/>
        <charset val="1"/>
      </rPr>
      <t xml:space="preserve">MW</t>
    </r>
    <r>
      <rPr>
        <b val="true"/>
        <sz val="10"/>
        <rFont val="Noto Sans CJK SC"/>
        <family val="2"/>
      </rPr>
      <t xml:space="preserve">、年化；</t>
    </r>
    <r>
      <rPr>
        <b val="true"/>
        <sz val="10"/>
        <rFont val="Arial"/>
        <family val="0"/>
        <charset val="1"/>
      </rPr>
      <t xml:space="preserve">US$m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MW</t>
    </r>
    <r>
      <rPr>
        <b val="true"/>
        <sz val="10"/>
        <rFont val="Noto Sans CJK SC"/>
        <family val="2"/>
      </rPr>
      <t xml:space="preserve">／年；目前情境）</t>
    </r>
  </si>
  <si>
    <r>
      <rPr>
        <sz val="10"/>
        <rFont val="Noto Sans CJK SC"/>
        <family val="2"/>
      </rPr>
      <t xml:space="preserve">平均在役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IT </t>
    </r>
    <r>
      <rPr>
        <sz val="10"/>
        <rFont val="Noto Sans CJK SC"/>
        <family val="2"/>
      </rPr>
      <t xml:space="preserve">關鍵電力）</t>
    </r>
  </si>
  <si>
    <r>
      <rPr>
        <sz val="9"/>
        <color rgb="FF595959"/>
        <rFont val="Noto Sans CJK SC"/>
        <family val="2"/>
      </rPr>
      <t xml:space="preserve">公司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口徑＝</t>
    </r>
    <r>
      <rPr>
        <sz val="9"/>
        <color rgb="FF595959"/>
        <rFont val="Arial"/>
        <family val="0"/>
        <charset val="1"/>
      </rPr>
      <t xml:space="preserve">IT </t>
    </r>
    <r>
      <rPr>
        <sz val="9"/>
        <color rgb="FF595959"/>
        <rFont val="Noto Sans CJK SC"/>
        <family val="2"/>
      </rPr>
      <t xml:space="preserve">時同上；設施口徑時 </t>
    </r>
    <r>
      <rPr>
        <sz val="9"/>
        <color rgb="FF595959"/>
        <rFont val="Arial"/>
        <family val="0"/>
        <charset val="1"/>
      </rPr>
      <t xml:space="preserve">÷ IF_FacilityGW</t>
    </r>
  </si>
  <si>
    <r>
      <rPr>
        <sz val="10"/>
        <rFont val="Noto Sans CJK SC"/>
        <family val="2"/>
      </rPr>
      <t xml:space="preserve">平均在役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（設施＝</t>
    </r>
    <r>
      <rPr>
        <sz val="10"/>
        <rFont val="Arial"/>
        <family val="0"/>
        <charset val="1"/>
      </rPr>
      <t xml:space="preserve">IT × IF_FacilityGW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</si>
  <si>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IF_FacilityGW </t>
    </r>
    <r>
      <rPr>
        <sz val="9"/>
        <color rgb="FF595959"/>
        <rFont val="Noto Sans CJK SC"/>
        <family val="2"/>
      </rPr>
      <t xml:space="preserve">依在役世代加權（基準 </t>
    </r>
    <r>
      <rPr>
        <sz val="9"/>
        <color rgb="FF595959"/>
        <rFont val="Arial"/>
        <family val="0"/>
        <charset val="1"/>
      </rPr>
      <t xml:space="preserve">1.2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</si>
  <si>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Noto Sans CJK SC"/>
        <family val="2"/>
      </rPr>
      <t xml:space="preserve">年收入（算力＋服務）</t>
    </r>
  </si>
  <si>
    <r>
      <rPr>
        <sz val="9"/>
        <color rgb="FF595959"/>
        <rFont val="Noto Sans CJK SC"/>
        <family val="2"/>
      </rPr>
      <t xml:space="preserve">模型期總營收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平均在役 </t>
    </r>
    <r>
      <rPr>
        <sz val="9"/>
        <color rgb="FF595959"/>
        <rFont val="Arial"/>
        <family val="0"/>
        <charset val="1"/>
      </rPr>
      <t xml:space="preserve">MW ÷ </t>
    </r>
    <r>
      <rPr>
        <sz val="9"/>
        <color rgb="FF595959"/>
        <rFont val="Noto Sans CJK SC"/>
        <family val="2"/>
      </rPr>
      <t xml:space="preserve">期間長度</t>
    </r>
  </si>
  <si>
    <t xml:space="preserve">　其中：算力收入</t>
  </si>
  <si>
    <t xml:space="preserve">由下而上明細（下方）</t>
  </si>
  <si>
    <r>
      <rPr>
        <sz val="10"/>
        <rFont val="Arial"/>
        <family val="0"/>
        <charset val="1"/>
      </rPr>
      <t xml:space="preserve">IT </t>
    </r>
    <r>
      <rPr>
        <sz val="10"/>
        <rFont val="Noto Sans CJK SC"/>
        <family val="2"/>
      </rPr>
      <t xml:space="preserve">維護</t>
    </r>
  </si>
  <si>
    <t xml:space="preserve">人員、軟體、水與耗材</t>
  </si>
  <si>
    <t xml:space="preserve">財產稅與保險</t>
  </si>
  <si>
    <t xml:space="preserve">公司管銷與其他</t>
  </si>
  <si>
    <t xml:space="preserve">租金</t>
  </si>
  <si>
    <t xml:space="preserve">現金成本合計（含租金）</t>
  </si>
  <si>
    <r>
      <rPr>
        <sz val="9"/>
        <color rgb="FF595959"/>
        <rFont val="Noto Sans CJK SC"/>
        <family val="2"/>
      </rPr>
      <t xml:space="preserve">＝收入 − 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（模型採用的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率；由下而上時＝上列各項合計）</t>
    </r>
  </si>
  <si>
    <t xml:space="preserve">EBITDA</t>
  </si>
  <si>
    <r>
      <rPr>
        <sz val="9"/>
        <color rgb="FF595959"/>
        <rFont val="Noto Sans CJK SC"/>
        <family val="2"/>
      </rPr>
      <t xml:space="preserve">＝營收 </t>
    </r>
    <r>
      <rPr>
        <sz val="9"/>
        <color rgb="FF595959"/>
        <rFont val="Arial"/>
        <family val="0"/>
        <charset val="1"/>
      </rPr>
      <t xml:space="preserve">× EBITDA </t>
    </r>
    <r>
      <rPr>
        <sz val="9"/>
        <color rgb="FF595959"/>
        <rFont val="Noto Sans CJK SC"/>
        <family val="2"/>
      </rPr>
      <t xml:space="preserve">率（損益與資金共用）</t>
    </r>
  </si>
  <si>
    <r>
      <rPr>
        <sz val="10"/>
        <rFont val="Arial"/>
        <family val="0"/>
        <charset val="1"/>
      </rPr>
      <t xml:space="preserve">D&amp;A</t>
    </r>
    <r>
      <rPr>
        <sz val="10"/>
        <rFont val="Noto Sans CJK SC"/>
        <family val="2"/>
      </rPr>
      <t xml:space="preserve">（模型車隊折舊）</t>
    </r>
  </si>
  <si>
    <r>
      <rPr>
        <sz val="9"/>
        <color rgb="FF595959"/>
        <rFont val="Noto Sans CJK SC"/>
        <family val="2"/>
      </rPr>
      <t xml:space="preserve">模型車隊折舊（期初毛 </t>
    </r>
    <r>
      <rPr>
        <sz val="9"/>
        <color rgb="FF595959"/>
        <rFont val="Arial"/>
        <family val="0"/>
        <charset val="1"/>
      </rPr>
      <t xml:space="preserve">PP&amp;E</t>
    </r>
    <r>
      <rPr>
        <sz val="9"/>
        <color rgb="FF595959"/>
        <rFont val="Noto Sans CJK SC"/>
        <family val="2"/>
      </rPr>
      <t xml:space="preserve">＋本期成長型</t>
    </r>
    <r>
      <rPr>
        <sz val="9"/>
        <color rgb="FF595959"/>
        <rFont val="Arial"/>
        <family val="0"/>
        <charset val="1"/>
      </rPr>
      <t xml:space="preserve">×½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壽命；在役世代加權的建置成本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壽命見『資本支出對照』</t>
    </r>
  </si>
  <si>
    <t xml:space="preserve">利息</t>
  </si>
  <si>
    <t xml:space="preserve">存量債務＋瀑布新債利息</t>
  </si>
  <si>
    <t xml:space="preserve">稅前</t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</si>
  <si>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EBITDA − D&amp;A − </t>
    </r>
    <r>
      <rPr>
        <sz val="9"/>
        <color rgb="FF595959"/>
        <rFont val="Noto Sans CJK SC"/>
        <family val="2"/>
      </rPr>
      <t xml:space="preserve">利息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</si>
  <si>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資本支出（新增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的建置成本）</t>
    </r>
  </si>
  <si>
    <r>
      <rPr>
        <sz val="9"/>
        <color rgb="FF595959"/>
        <rFont val="Noto Sans CJK SC"/>
        <family val="2"/>
      </rPr>
      <t xml:space="preserve">存量概念（每新增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一次性），與上列年化數字不同</t>
    </r>
  </si>
  <si>
    <r>
      <rPr>
        <sz val="10"/>
        <rFont val="Noto Sans CJK SC"/>
        <family val="2"/>
      </rPr>
      <t xml:space="preserve">每設施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</t>
    </r>
  </si>
  <si>
    <r>
      <rPr>
        <sz val="10"/>
        <rFont val="Noto Sans CJK SC"/>
        <family val="2"/>
      </rPr>
      <t xml:space="preserve">每設施 </t>
    </r>
    <r>
      <rPr>
        <sz val="10"/>
        <rFont val="Arial"/>
        <family val="0"/>
        <charset val="1"/>
      </rPr>
      <t xml:space="preserve">MW EBITDA</t>
    </r>
  </si>
  <si>
    <r>
      <rPr>
        <sz val="9"/>
        <color rgb="FF595959"/>
        <rFont val="Noto Sans CJK SC"/>
        <family val="2"/>
      </rPr>
      <t xml:space="preserve">讀法：每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收入 − 現金成本（含租金）＝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；再扣 </t>
    </r>
    <r>
      <rPr>
        <sz val="9"/>
        <color rgb="FF595959"/>
        <rFont val="Arial"/>
        <family val="0"/>
        <charset val="1"/>
      </rPr>
      <t xml:space="preserve">D&amp;A </t>
    </r>
    <r>
      <rPr>
        <sz val="9"/>
        <color rgb="FF595959"/>
        <rFont val="Noto Sans CJK SC"/>
        <family val="2"/>
      </rPr>
      <t xml:space="preserve">與利息＝稅前。</t>
    </r>
    <r>
      <rPr>
        <sz val="9"/>
        <color rgb="FF595959"/>
        <rFont val="Arial"/>
        <family val="0"/>
        <charset val="1"/>
      </rPr>
      <t xml:space="preserve">W3 </t>
    </r>
    <r>
      <rPr>
        <sz val="9"/>
        <color rgb="FF595959"/>
        <rFont val="Noto Sans CJK SC"/>
        <family val="2"/>
      </rPr>
      <t xml:space="preserve">前後對照報告直接讀本表。</t>
    </r>
  </si>
  <si>
    <r>
      <rPr>
        <b val="true"/>
        <sz val="10"/>
        <color rgb="FF1F3864"/>
        <rFont val="Noto Sans CJK SC"/>
        <family val="2"/>
      </rPr>
      <t xml:space="preserve">▸ 世代結構推導（期初在役 → 汰換 → 新增 → 期末／平均在役；</t>
    </r>
    <r>
      <rPr>
        <b val="true"/>
        <sz val="10"/>
        <color rgb="FF1F3864"/>
        <rFont val="Arial"/>
        <family val="0"/>
        <charset val="1"/>
      </rPr>
      <t xml:space="preserve">MW</t>
    </r>
    <r>
      <rPr>
        <b val="true"/>
        <sz val="10"/>
        <color rgb="FF1F3864"/>
        <rFont val="Noto Sans CJK SC"/>
        <family val="2"/>
      </rPr>
      <t xml:space="preserve">，公司口徑）</t>
    </r>
  </si>
  <si>
    <r>
      <rPr>
        <sz val="10"/>
        <rFont val="Noto Sans CJK SC"/>
        <family val="2"/>
      </rPr>
      <t xml:space="preserve">期初在役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合計</t>
    </r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</si>
  <si>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期初＝</t>
    </r>
    <r>
      <rPr>
        <sz val="9"/>
        <color rgb="FF595959"/>
        <rFont val="Arial"/>
        <family val="0"/>
        <charset val="1"/>
      </rPr>
      <t xml:space="preserve">2026-06-30 </t>
    </r>
    <r>
      <rPr>
        <sz val="9"/>
        <color rgb="FF595959"/>
        <rFont val="Noto Sans CJK SC"/>
        <family val="2"/>
      </rPr>
      <t xml:space="preserve">在役（世代組合起點）；之後＝前期期末</t>
    </r>
  </si>
  <si>
    <r>
      <rPr>
        <sz val="10"/>
        <rFont val="Noto Sans CJK SC"/>
        <family val="2"/>
      </rPr>
      <t xml:space="preserve">期初在役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Hopper H100</t>
    </r>
  </si>
  <si>
    <r>
      <rPr>
        <sz val="10"/>
        <rFont val="Noto Sans CJK SC"/>
        <family val="2"/>
      </rPr>
      <t xml:space="preserve">期初在役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GB200 NVL72</t>
    </r>
  </si>
  <si>
    <r>
      <rPr>
        <sz val="10"/>
        <rFont val="Noto Sans CJK SC"/>
        <family val="2"/>
      </rPr>
      <t xml:space="preserve">期初在役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GB300 NVL72</t>
    </r>
  </si>
  <si>
    <r>
      <rPr>
        <sz val="10"/>
        <rFont val="Noto Sans CJK SC"/>
        <family val="2"/>
      </rPr>
      <t xml:space="preserve">期初在役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VR200 NVL72</t>
    </r>
  </si>
  <si>
    <r>
      <rPr>
        <sz val="10"/>
        <rFont val="Noto Sans CJK SC"/>
        <family val="2"/>
      </rPr>
      <t xml:space="preserve">期初在役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Rubin Ultra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MGX NVL </t>
    </r>
    <r>
      <rPr>
        <sz val="10"/>
        <rFont val="Noto Sans CJK SC"/>
        <family val="2"/>
      </rPr>
      <t xml:space="preserve">單架，</t>
    </r>
    <r>
      <rPr>
        <sz val="10"/>
        <rFont val="Arial"/>
        <family val="0"/>
        <charset val="1"/>
      </rPr>
      <t xml:space="preserve">72 GPU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</si>
  <si>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汰換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（壽命到期批次，最舊世代先出）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</si>
  <si>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本年 −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經濟壽命</t>
    </r>
    <r>
      <rPr>
        <sz val="9"/>
        <color rgb="FF595959"/>
        <rFont val="Arial"/>
        <family val="0"/>
        <charset val="1"/>
      </rPr>
      <t xml:space="preserve">) </t>
    </r>
    <r>
      <rPr>
        <sz val="9"/>
        <color rgb="FF595959"/>
        <rFont val="Noto Sans CJK SC"/>
        <family val="2"/>
      </rPr>
      <t xml:space="preserve">那年新增的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（與『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汰換 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Noto Sans CJK SC"/>
        <family val="2"/>
      </rPr>
      <t xml:space="preserve">』同一批次），由世代清單中最舊的世代先出，以當期新增世代補回</t>
    </r>
  </si>
  <si>
    <r>
      <rPr>
        <sz val="10"/>
        <rFont val="Noto Sans CJK SC"/>
        <family val="2"/>
      </rPr>
      <t xml:space="preserve">汰換出｜</t>
    </r>
    <r>
      <rPr>
        <sz val="10"/>
        <rFont val="Arial"/>
        <family val="0"/>
        <charset val="1"/>
      </rPr>
      <t xml:space="preserve">Hopper H100</t>
    </r>
  </si>
  <si>
    <r>
      <rPr>
        <sz val="10"/>
        <rFont val="Noto Sans CJK SC"/>
        <family val="2"/>
      </rPr>
      <t xml:space="preserve">汰換出｜</t>
    </r>
    <r>
      <rPr>
        <sz val="10"/>
        <rFont val="Arial"/>
        <family val="0"/>
        <charset val="1"/>
      </rPr>
      <t xml:space="preserve">GB200 NVL72</t>
    </r>
  </si>
  <si>
    <r>
      <rPr>
        <sz val="10"/>
        <rFont val="Noto Sans CJK SC"/>
        <family val="2"/>
      </rPr>
      <t xml:space="preserve">汰換出｜</t>
    </r>
    <r>
      <rPr>
        <sz val="10"/>
        <rFont val="Arial"/>
        <family val="0"/>
        <charset val="1"/>
      </rPr>
      <t xml:space="preserve">GB300 NVL72</t>
    </r>
  </si>
  <si>
    <r>
      <rPr>
        <sz val="10"/>
        <rFont val="Noto Sans CJK SC"/>
        <family val="2"/>
      </rPr>
      <t xml:space="preserve">汰換出｜</t>
    </r>
    <r>
      <rPr>
        <sz val="10"/>
        <rFont val="Arial"/>
        <family val="0"/>
        <charset val="1"/>
      </rPr>
      <t xml:space="preserve">VR200 NVL72</t>
    </r>
  </si>
  <si>
    <r>
      <rPr>
        <sz val="10"/>
        <rFont val="Noto Sans CJK SC"/>
        <family val="2"/>
      </rPr>
      <t xml:space="preserve">汰換出｜</t>
    </r>
    <r>
      <rPr>
        <sz val="10"/>
        <rFont val="Arial"/>
        <family val="0"/>
        <charset val="1"/>
      </rPr>
      <t xml:space="preserve">Rubin Ultra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MGX NVL </t>
    </r>
    <r>
      <rPr>
        <sz val="10"/>
        <rFont val="Noto Sans CJK SC"/>
        <family val="2"/>
      </rPr>
      <t xml:space="preserve">單架，</t>
    </r>
    <r>
      <rPr>
        <sz val="10"/>
        <rFont val="Arial"/>
        <family val="0"/>
        <charset val="1"/>
      </rPr>
      <t xml:space="preserve">72 GPU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</si>
  <si>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新增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（期末 </t>
    </r>
    <r>
      <rPr>
        <sz val="10"/>
        <rFont val="Arial"/>
        <family val="0"/>
        <charset val="1"/>
      </rPr>
      <t xml:space="preserve">Accepted − </t>
    </r>
    <r>
      <rPr>
        <sz val="10"/>
        <rFont val="Noto Sans CJK SC"/>
        <family val="2"/>
      </rPr>
      <t xml:space="preserve">期初，不為負）</t>
    </r>
  </si>
  <si>
    <r>
      <rPr>
        <sz val="10"/>
        <rFont val="Noto Sans CJK SC"/>
        <family val="2"/>
      </rPr>
      <t xml:space="preserve">期末在役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Hopper H100</t>
    </r>
  </si>
  <si>
    <r>
      <rPr>
        <sz val="10"/>
        <rFont val="Noto Sans CJK SC"/>
        <family val="2"/>
      </rPr>
      <t xml:space="preserve">期末在役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GB200 NVL72</t>
    </r>
  </si>
  <si>
    <r>
      <rPr>
        <sz val="10"/>
        <rFont val="Noto Sans CJK SC"/>
        <family val="2"/>
      </rPr>
      <t xml:space="preserve">期末在役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GB300 NVL72</t>
    </r>
  </si>
  <si>
    <r>
      <rPr>
        <sz val="10"/>
        <rFont val="Noto Sans CJK SC"/>
        <family val="2"/>
      </rPr>
      <t xml:space="preserve">期末在役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VR200 NVL72</t>
    </r>
  </si>
  <si>
    <r>
      <rPr>
        <sz val="10"/>
        <rFont val="Noto Sans CJK SC"/>
        <family val="2"/>
      </rPr>
      <t xml:space="preserve">期末在役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Rubin Ultra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MGX NVL </t>
    </r>
    <r>
      <rPr>
        <sz val="10"/>
        <rFont val="Noto Sans CJK SC"/>
        <family val="2"/>
      </rPr>
      <t xml:space="preserve">單架，</t>
    </r>
    <r>
      <rPr>
        <sz val="10"/>
        <rFont val="Arial"/>
        <family val="0"/>
        <charset val="1"/>
      </rPr>
      <t xml:space="preserve">72 GPU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</si>
  <si>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期末在役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合計</t>
    </r>
  </si>
  <si>
    <r>
      <rPr>
        <sz val="10"/>
        <rFont val="Noto Sans CJK SC"/>
        <family val="2"/>
      </rPr>
      <t xml:space="preserve">平均在役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Hopper H100</t>
    </r>
  </si>
  <si>
    <r>
      <rPr>
        <sz val="10"/>
        <rFont val="Noto Sans CJK SC"/>
        <family val="2"/>
      </rPr>
      <t xml:space="preserve">平均在役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GB200 NVL72</t>
    </r>
  </si>
  <si>
    <r>
      <rPr>
        <sz val="10"/>
        <rFont val="Noto Sans CJK SC"/>
        <family val="2"/>
      </rPr>
      <t xml:space="preserve">平均在役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GB300 NVL72</t>
    </r>
  </si>
  <si>
    <r>
      <rPr>
        <sz val="10"/>
        <rFont val="Noto Sans CJK SC"/>
        <family val="2"/>
      </rPr>
      <t xml:space="preserve">平均在役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VR200 NVL72</t>
    </r>
  </si>
  <si>
    <r>
      <rPr>
        <sz val="10"/>
        <rFont val="Noto Sans CJK SC"/>
        <family val="2"/>
      </rPr>
      <t xml:space="preserve">平均在役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Rubin Ultra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MGX NVL </t>
    </r>
    <r>
      <rPr>
        <sz val="10"/>
        <rFont val="Noto Sans CJK SC"/>
        <family val="2"/>
      </rPr>
      <t xml:space="preserve">單架，</t>
    </r>
    <r>
      <rPr>
        <sz val="10"/>
        <rFont val="Arial"/>
        <family val="0"/>
        <charset val="1"/>
      </rPr>
      <t xml:space="preserve">72 GPU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</si>
  <si>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平均在役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合計</t>
    </r>
  </si>
  <si>
    <r>
      <rPr>
        <sz val="9"/>
        <color rgb="FF595959"/>
        <rFont val="Noto Sans CJK SC"/>
        <family val="2"/>
      </rPr>
      <t xml:space="preserve">公司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口徑（</t>
    </r>
    <r>
      <rPr>
        <sz val="9"/>
        <color rgb="FF595959"/>
        <rFont val="Arial"/>
        <family val="0"/>
        <charset val="1"/>
      </rPr>
      <t xml:space="preserve">Accepted</t>
    </r>
    <r>
      <rPr>
        <sz val="9"/>
        <color rgb="FF595959"/>
        <rFont val="Noto Sans CJK SC"/>
        <family val="2"/>
      </rPr>
      <t xml:space="preserve">）；每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值的分母</t>
    </r>
  </si>
  <si>
    <r>
      <rPr>
        <sz val="10"/>
        <rFont val="Noto Sans CJK SC"/>
        <family val="2"/>
      </rPr>
      <t xml:space="preserve">平均在役占比｜</t>
    </r>
    <r>
      <rPr>
        <sz val="10"/>
        <rFont val="Arial"/>
        <family val="0"/>
        <charset val="1"/>
      </rPr>
      <t xml:space="preserve">Hopper H100</t>
    </r>
  </si>
  <si>
    <r>
      <rPr>
        <sz val="10"/>
        <rFont val="Noto Sans CJK SC"/>
        <family val="2"/>
      </rPr>
      <t xml:space="preserve">平均在役占比｜</t>
    </r>
    <r>
      <rPr>
        <sz val="10"/>
        <rFont val="Arial"/>
        <family val="0"/>
        <charset val="1"/>
      </rPr>
      <t xml:space="preserve">GB200 NVL72</t>
    </r>
  </si>
  <si>
    <r>
      <rPr>
        <sz val="10"/>
        <rFont val="Noto Sans CJK SC"/>
        <family val="2"/>
      </rPr>
      <t xml:space="preserve">平均在役占比｜</t>
    </r>
    <r>
      <rPr>
        <sz val="10"/>
        <rFont val="Arial"/>
        <family val="0"/>
        <charset val="1"/>
      </rPr>
      <t xml:space="preserve">GB300 NVL72</t>
    </r>
  </si>
  <si>
    <r>
      <rPr>
        <sz val="10"/>
        <rFont val="Noto Sans CJK SC"/>
        <family val="2"/>
      </rPr>
      <t xml:space="preserve">平均在役占比｜</t>
    </r>
    <r>
      <rPr>
        <sz val="10"/>
        <rFont val="Arial"/>
        <family val="0"/>
        <charset val="1"/>
      </rPr>
      <t xml:space="preserve">VR200 NVL72</t>
    </r>
  </si>
  <si>
    <r>
      <rPr>
        <sz val="10"/>
        <rFont val="Noto Sans CJK SC"/>
        <family val="2"/>
      </rPr>
      <t xml:space="preserve">平均在役占比｜</t>
    </r>
    <r>
      <rPr>
        <sz val="10"/>
        <rFont val="Arial"/>
        <family val="0"/>
        <charset val="1"/>
      </rPr>
      <t xml:space="preserve">Rubin Ultra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MGX NVL </t>
    </r>
    <r>
      <rPr>
        <sz val="10"/>
        <rFont val="Noto Sans CJK SC"/>
        <family val="2"/>
      </rPr>
      <t xml:space="preserve">單架，</t>
    </r>
    <r>
      <rPr>
        <sz val="10"/>
        <rFont val="Arial"/>
        <family val="0"/>
        <charset val="1"/>
      </rPr>
      <t xml:space="preserve">72 GPU</t>
    </r>
    <r>
      <rPr>
        <sz val="10"/>
        <rFont val="Noto Sans CJK SC"/>
        <family val="2"/>
      </rPr>
      <t xml:space="preserve">）</t>
    </r>
  </si>
  <si>
    <r>
      <rPr>
        <b val="true"/>
        <sz val="10"/>
        <color rgb="FF1F3864"/>
        <rFont val="Noto Sans CJK SC"/>
        <family val="2"/>
      </rPr>
      <t xml:space="preserve">▸ 由下而上營運成本（租金前；</t>
    </r>
    <r>
      <rPr>
        <b val="true"/>
        <sz val="10"/>
        <color rgb="FF1F3864"/>
        <rFont val="Arial"/>
        <family val="0"/>
        <charset val="1"/>
      </rPr>
      <t xml:space="preserve">US$bn</t>
    </r>
    <r>
      <rPr>
        <b val="true"/>
        <sz val="10"/>
        <color rgb="FF1F3864"/>
        <rFont val="Noto Sans CJK SC"/>
        <family val="2"/>
      </rPr>
      <t xml:space="preserve">，模型期）——模型採用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</si>
  <si>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電費（世代加權）</t>
    </r>
  </si>
  <si>
    <r>
      <rPr>
        <sz val="9"/>
        <color rgb="FF595959"/>
        <rFont val="Arial"/>
        <family val="0"/>
        <charset val="1"/>
      </rPr>
      <t xml:space="preserve">Tokenomics IF_PowerCost</t>
    </r>
    <r>
      <rPr>
        <sz val="9"/>
        <color rgb="FF595959"/>
        <rFont val="Noto Sans CJK SC"/>
        <family val="2"/>
      </rPr>
      <t xml:space="preserve">（每 </t>
    </r>
    <r>
      <rPr>
        <sz val="9"/>
        <color rgb="FF595959"/>
        <rFont val="Arial"/>
        <family val="0"/>
        <charset val="1"/>
      </rPr>
      <t xml:space="preserve">IT GW </t>
    </r>
    <r>
      <rPr>
        <sz val="9"/>
        <color rgb="FF595959"/>
        <rFont val="Noto Sans CJK SC"/>
        <family val="2"/>
      </rPr>
      <t xml:space="preserve">年電費，已含平均用電比與 </t>
    </r>
    <r>
      <rPr>
        <sz val="9"/>
        <color rgb="FF595959"/>
        <rFont val="Arial"/>
        <family val="0"/>
        <charset val="1"/>
      </rPr>
      <t xml:space="preserve">PUE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</si>
  <si>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IT </t>
    </r>
    <r>
      <rPr>
        <sz val="10"/>
        <rFont val="Noto Sans CJK SC"/>
        <family val="2"/>
      </rPr>
      <t xml:space="preserve">維護（世代加權）</t>
    </r>
  </si>
  <si>
    <t xml:space="preserve">Tokenomics IF_MaintIT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</si>
  <si>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人員、軟體、水與耗材</t>
    </r>
  </si>
  <si>
    <t xml:space="preserve">Tokenomics IF_StaffSW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</si>
  <si>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財產稅與保險（只算 </t>
    </r>
    <r>
      <rPr>
        <sz val="10"/>
        <rFont val="Arial"/>
        <family val="0"/>
        <charset val="1"/>
      </rPr>
      <t xml:space="preserve">IT </t>
    </r>
    <r>
      <rPr>
        <sz val="10"/>
        <rFont val="Noto Sans CJK SC"/>
        <family val="2"/>
      </rPr>
      <t xml:space="preserve">部分）</t>
    </r>
  </si>
  <si>
    <r>
      <rPr>
        <sz val="9"/>
        <color rgb="FF595959"/>
        <rFont val="Arial"/>
        <family val="0"/>
        <charset val="1"/>
      </rPr>
      <t xml:space="preserve">Tokenomics IF_TaxIns × IT </t>
    </r>
    <r>
      <rPr>
        <sz val="9"/>
        <color rgb="FF595959"/>
        <rFont val="Noto Sans CJK SC"/>
        <family val="2"/>
      </rPr>
      <t xml:space="preserve">資本占總資本比（廠房屬房東）</t>
    </r>
  </si>
  <si>
    <t xml:space="preserve">電費（金額）</t>
  </si>
  <si>
    <r>
      <rPr>
        <sz val="9"/>
        <color rgb="FF595959"/>
        <rFont val="Noto Sans CJK SC"/>
        <family val="2"/>
      </rPr>
      <t xml:space="preserve">＝平均在役 </t>
    </r>
    <r>
      <rPr>
        <sz val="9"/>
        <color rgb="FF595959"/>
        <rFont val="Arial"/>
        <family val="0"/>
        <charset val="1"/>
      </rPr>
      <t xml:space="preserve">MW ×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值 </t>
    </r>
    <r>
      <rPr>
        <sz val="9"/>
        <color rgb="FF595959"/>
        <rFont val="Arial"/>
        <family val="0"/>
        <charset val="1"/>
      </rPr>
      <t xml:space="preserve">÷ 1000 × </t>
    </r>
    <r>
      <rPr>
        <sz val="9"/>
        <color rgb="FF595959"/>
        <rFont val="Noto Sans CJK SC"/>
        <family val="2"/>
      </rPr>
      <t xml:space="preserve">期間長度</t>
    </r>
  </si>
  <si>
    <r>
      <rPr>
        <sz val="10"/>
        <rFont val="Arial"/>
        <family val="0"/>
        <charset val="1"/>
      </rPr>
      <t xml:space="preserve">IT </t>
    </r>
    <r>
      <rPr>
        <sz val="10"/>
        <rFont val="Noto Sans CJK SC"/>
        <family val="2"/>
      </rPr>
      <t xml:space="preserve">維護（金額）</t>
    </r>
  </si>
  <si>
    <t xml:space="preserve">人員、軟體、水與耗材（金額）</t>
  </si>
  <si>
    <t xml:space="preserve">財產稅與保險（金額）</t>
  </si>
  <si>
    <t xml:space="preserve">管銷率</t>
  </si>
  <si>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區『由下而上營運成本輸入』：最近一季實際，各期持平 </t>
    </r>
    <r>
      <rPr>
        <sz val="9"/>
        <color rgb="FF595959"/>
        <rFont val="Arial"/>
        <family val="0"/>
        <charset val="1"/>
      </rPr>
      <t xml:space="preserve">[Derived]</t>
    </r>
  </si>
  <si>
    <t xml:space="preserve">公司管銷與其他（金額）</t>
  </si>
  <si>
    <t xml:space="preserve">現金營運成本合計（租金前）</t>
  </si>
  <si>
    <t xml:space="preserve">廠房維護與廠房折舊不計（房東負擔，含在租金）</t>
  </si>
  <si>
    <r>
      <rPr>
        <sz val="10"/>
        <rFont val="Noto Sans CJK SC"/>
        <family val="2"/>
      </rPr>
      <t xml:space="preserve">由下而上 </t>
    </r>
    <r>
      <rPr>
        <sz val="10"/>
        <rFont val="Arial"/>
        <family val="0"/>
        <charset val="1"/>
      </rPr>
      <t xml:space="preserve">EBITDAR </t>
    </r>
    <r>
      <rPr>
        <sz val="10"/>
        <rFont val="Noto Sans CJK SC"/>
        <family val="2"/>
      </rPr>
      <t xml:space="preserve">率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</si>
  <si>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1 −</t>
    </r>
    <r>
      <rPr>
        <sz val="9"/>
        <color rgb="FF595959"/>
        <rFont val="Noto Sans CJK SC"/>
        <family val="2"/>
      </rPr>
      <t xml:space="preserve">（現金營運成本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營收）</t>
    </r>
  </si>
  <si>
    <t xml:space="preserve">租金合計</t>
  </si>
  <si>
    <r>
      <rPr>
        <sz val="9"/>
        <color rgb="FF595959"/>
        <rFont val="Noto Sans CJK SC"/>
        <family val="2"/>
      </rPr>
      <t xml:space="preserve">在帳＋表外現金租金（只扣一次：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率＝</t>
    </r>
    <r>
      <rPr>
        <sz val="9"/>
        <color rgb="FF595959"/>
        <rFont val="Arial"/>
        <family val="0"/>
        <charset val="1"/>
      </rPr>
      <t xml:space="preserve">EBITDAR </t>
    </r>
    <r>
      <rPr>
        <sz val="9"/>
        <color rgb="FF595959"/>
        <rFont val="Noto Sans CJK SC"/>
        <family val="2"/>
      </rPr>
      <t xml:space="preserve">率 − 租金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營收）</t>
    </r>
  </si>
  <si>
    <r>
      <rPr>
        <sz val="10"/>
        <rFont val="Noto Sans CJK SC"/>
        <family val="2"/>
      </rPr>
      <t xml:space="preserve">由下而上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</si>
  <si>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率（模型採用）</t>
    </r>
  </si>
  <si>
    <r>
      <rPr>
        <sz val="9"/>
        <color rgb="FF595959"/>
        <rFont val="Noto Sans CJK SC"/>
        <family val="2"/>
      </rPr>
      <t xml:space="preserve">＝由下而上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率＋（穩態輸入 − 由下而上 </t>
    </r>
    <r>
      <rPr>
        <sz val="9"/>
        <color rgb="FF595959"/>
        <rFont val="Arial"/>
        <family val="0"/>
        <charset val="1"/>
      </rPr>
      <t xml:space="preserve">FY30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期數 </t>
    </r>
    <r>
      <rPr>
        <sz val="9"/>
        <color rgb="FF595959"/>
        <rFont val="Arial"/>
        <family val="0"/>
        <charset val="1"/>
      </rPr>
      <t xml:space="preserve">÷ 4</t>
    </r>
    <r>
      <rPr>
        <sz val="9"/>
        <color rgb="FF595959"/>
        <rFont val="Noto Sans CJK SC"/>
        <family val="2"/>
      </rPr>
      <t xml:space="preserve">（穩態輸入預設＝由下而上 </t>
    </r>
    <r>
      <rPr>
        <sz val="9"/>
        <color rgb="FF595959"/>
        <rFont val="Arial"/>
        <family val="0"/>
        <charset val="1"/>
      </rPr>
      <t xml:space="preserve">FY30</t>
    </r>
    <r>
      <rPr>
        <sz val="9"/>
        <color rgb="FF595959"/>
        <rFont val="Noto Sans CJK SC"/>
        <family val="2"/>
      </rPr>
      <t xml:space="preserve">，差額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</si>
  <si>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color rgb="FF1F3864"/>
        <rFont val="Noto Sans CJK SC"/>
        <family val="2"/>
      </rPr>
      <t xml:space="preserve">▸ 每 </t>
    </r>
    <r>
      <rPr>
        <b val="true"/>
        <sz val="10"/>
        <color rgb="FF1F3864"/>
        <rFont val="Arial"/>
        <family val="0"/>
        <charset val="1"/>
      </rPr>
      <t xml:space="preserve">MW </t>
    </r>
    <r>
      <rPr>
        <b val="true"/>
        <sz val="10"/>
        <color rgb="FF1F3864"/>
        <rFont val="Noto Sans CJK SC"/>
        <family val="2"/>
      </rPr>
      <t xml:space="preserve">收入對照（收入方法：</t>
    </r>
    <r>
      <rPr>
        <b val="true"/>
        <sz val="10"/>
        <color rgb="FF1F3864"/>
        <rFont val="Arial"/>
        <family val="0"/>
        <charset val="1"/>
      </rPr>
      <t xml:space="preserve">Tokenomics </t>
    </r>
    <r>
      <rPr>
        <b val="true"/>
        <sz val="10"/>
        <color rgb="FF1F3864"/>
        <rFont val="Noto Sans CJK SC"/>
        <family val="2"/>
      </rPr>
      <t xml:space="preserve">錨 </t>
    </r>
    <r>
      <rPr>
        <b val="true"/>
        <sz val="10"/>
        <color rgb="FF1F3864"/>
        <rFont val="Arial"/>
        <family val="0"/>
        <charset val="1"/>
      </rPr>
      <t xml:space="preserve">× </t>
    </r>
    <r>
      <rPr>
        <b val="true"/>
        <sz val="10"/>
        <color rgb="FF1F3864"/>
        <rFont val="Noto Sans CJK SC"/>
        <family val="2"/>
      </rPr>
      <t xml:space="preserve">定價倍數 </t>
    </r>
    <r>
      <rPr>
        <b val="true"/>
        <sz val="10"/>
        <color rgb="FF1F3864"/>
        <rFont val="Arial"/>
        <family val="0"/>
        <charset val="1"/>
      </rPr>
      <t xml:space="preserve">k</t>
    </r>
    <r>
      <rPr>
        <b val="true"/>
        <sz val="10"/>
        <color rgb="FF1F3864"/>
        <rFont val="Noto Sans CJK SC"/>
        <family val="2"/>
      </rPr>
      <t xml:space="preserve">（下一區）——以下為對照列）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</si>
  <si>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年收入（模型採用，</t>
    </r>
    <r>
      <rPr>
        <sz val="10"/>
        <rFont val="Arial"/>
        <family val="0"/>
        <charset val="1"/>
      </rPr>
      <t xml:space="preserve">100% </t>
    </r>
    <r>
      <rPr>
        <sz val="10"/>
        <rFont val="Noto Sans CJK SC"/>
        <family val="2"/>
      </rPr>
      <t xml:space="preserve">計費時數）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</si>
  <si>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Noto Sans CJK SC"/>
        <family val="2"/>
      </rPr>
      <t xml:space="preserve">區『每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年收入』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倍數；收入端另乘利用率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</si>
  <si>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年收入（計費後＝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利用率）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</si>
  <si>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年收入（</t>
    </r>
    <r>
      <rPr>
        <sz val="10"/>
        <rFont val="Arial"/>
        <family val="0"/>
        <charset val="1"/>
      </rPr>
      <t xml:space="preserve">v4.6 </t>
    </r>
    <r>
      <rPr>
        <sz val="10"/>
        <rFont val="Noto Sans CJK SC"/>
        <family val="2"/>
      </rPr>
      <t xml:space="preserve">舊輸入 </t>
    </r>
    <r>
      <rPr>
        <sz val="10"/>
        <rFont val="Arial"/>
        <family val="0"/>
        <charset val="1"/>
      </rPr>
      <t xml:space="preserve">m.revMW</t>
    </r>
    <r>
      <rPr>
        <sz val="10"/>
        <rFont val="Noto Sans CJK SC"/>
        <family val="2"/>
      </rPr>
      <t xml:space="preserve">，對照）</t>
    </r>
  </si>
  <si>
    <r>
      <rPr>
        <sz val="9"/>
        <color rgb="FF595959"/>
        <rFont val="Arial"/>
        <family val="0"/>
        <charset val="1"/>
      </rPr>
      <t xml:space="preserve">company.json → defaults.m.revMW</t>
    </r>
    <r>
      <rPr>
        <sz val="9"/>
        <color rgb="FF595959"/>
        <rFont val="Noto Sans CJK SC"/>
        <family val="2"/>
      </rPr>
      <t xml:space="preserve">（舊方法以期末 </t>
    </r>
    <r>
      <rPr>
        <sz val="9"/>
        <color rgb="FF595959"/>
        <rFont val="Arial"/>
        <family val="0"/>
        <charset val="1"/>
      </rPr>
      <t xml:space="preserve">ARR </t>
    </r>
    <r>
      <rPr>
        <sz val="9"/>
        <color rgb="FF595959"/>
        <rFont val="Noto Sans CJK SC"/>
        <family val="2"/>
      </rPr>
      <t xml:space="preserve">指引回推，只作對照）</t>
    </r>
  </si>
  <si>
    <r>
      <rPr>
        <sz val="10"/>
        <rFont val="Noto Sans CJK SC"/>
        <family val="2"/>
      </rPr>
      <t xml:space="preserve">期末 </t>
    </r>
    <r>
      <rPr>
        <sz val="10"/>
        <rFont val="Arial"/>
        <family val="0"/>
        <charset val="1"/>
      </rPr>
      <t xml:space="preserve">ARR </t>
    </r>
    <r>
      <rPr>
        <sz val="10"/>
        <rFont val="Noto Sans CJK SC"/>
        <family val="2"/>
      </rPr>
      <t xml:space="preserve">指引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年底主動電力（公司數字，只作對照）</t>
    </r>
  </si>
  <si>
    <r>
      <rPr>
        <sz val="9"/>
        <color rgb="FF595959"/>
        <rFont val="Noto Sans CJK SC"/>
        <family val="2"/>
      </rPr>
      <t xml:space="preserve">法說：期末 </t>
    </r>
    <r>
      <rPr>
        <sz val="9"/>
        <color rgb="FF595959"/>
        <rFont val="Arial"/>
        <family val="0"/>
        <charset val="1"/>
      </rPr>
      <t xml:space="preserve">ARR 18.5–19.5 ÷ </t>
    </r>
    <r>
      <rPr>
        <sz val="9"/>
        <color rgb="FF595959"/>
        <rFont val="Noto Sans CJK SC"/>
        <family val="2"/>
      </rPr>
      <t xml:space="preserve">年底 </t>
    </r>
    <r>
      <rPr>
        <sz val="9"/>
        <color rgb="FF595959"/>
        <rFont val="Arial"/>
        <family val="0"/>
        <charset val="1"/>
      </rPr>
      <t xml:space="preserve">1.85 GW [Derived]</t>
    </r>
    <r>
      <rPr>
        <sz val="9"/>
        <color rgb="FF595959"/>
        <rFont val="Noto Sans CJK SC"/>
        <family val="2"/>
      </rPr>
      <t xml:space="preserve">；公司數字不作參數（共同規則第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節）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</si>
  <si>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GPU </t>
    </r>
    <r>
      <rPr>
        <sz val="10"/>
        <rFont val="Noto Sans CJK SC"/>
        <family val="2"/>
      </rPr>
      <t xml:space="preserve">數（世代加權）</t>
    </r>
  </si>
  <si>
    <r>
      <rPr>
        <sz val="9"/>
        <color rgb="FF595959"/>
        <rFont val="Noto Sans CJK SC"/>
        <family val="2"/>
      </rPr>
      <t xml:space="preserve">顆</t>
    </r>
    <r>
      <rPr>
        <sz val="9"/>
        <color rgb="FF595959"/>
        <rFont val="Arial"/>
        <family val="0"/>
        <charset val="1"/>
      </rPr>
      <t xml:space="preserve">/MW</t>
    </r>
  </si>
  <si>
    <r>
      <rPr>
        <sz val="9"/>
        <color rgb="FF595959"/>
        <rFont val="Arial"/>
        <family val="0"/>
        <charset val="1"/>
      </rPr>
      <t xml:space="preserve">Tokenomics IF_GPUsPerGW ÷ 1000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× MW </t>
    </r>
    <r>
      <rPr>
        <sz val="9"/>
        <color rgb="FF595959"/>
        <rFont val="Noto Sans CJK SC"/>
        <family val="2"/>
      </rPr>
      <t xml:space="preserve">換算）</t>
    </r>
  </si>
  <si>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小時價格路線：每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</si>
  <si>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平均在役占比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GPU </t>
    </r>
    <r>
      <rPr>
        <sz val="9"/>
        <color rgb="FF595959"/>
        <rFont val="Noto Sans CJK SC"/>
        <family val="2"/>
      </rPr>
      <t xml:space="preserve">數 </t>
    </r>
    <r>
      <rPr>
        <sz val="9"/>
        <color rgb="FF595959"/>
        <rFont val="Arial"/>
        <family val="0"/>
        <charset val="1"/>
      </rPr>
      <t xml:space="preserve">× GPU </t>
    </r>
    <r>
      <rPr>
        <sz val="9"/>
        <color rgb="FF595959"/>
        <rFont val="Noto Sans CJK SC"/>
        <family val="2"/>
      </rPr>
      <t xml:space="preserve">小時合約價 </t>
    </r>
    <r>
      <rPr>
        <sz val="9"/>
        <color rgb="FF595959"/>
        <rFont val="Arial"/>
        <family val="0"/>
        <charset val="1"/>
      </rPr>
      <t xml:space="preserve">× 8,760 ÷ 10⁶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計費時數）；</t>
    </r>
    <r>
      <rPr>
        <sz val="9"/>
        <color rgb="FF595959"/>
        <rFont val="Arial"/>
        <family val="0"/>
        <charset val="1"/>
      </rPr>
      <t xml:space="preserve">company.json → pricing.gpuHr </t>
    </r>
    <r>
      <rPr>
        <sz val="9"/>
        <color rgb="FF595959"/>
        <rFont val="Noto Sans CJK SC"/>
        <family val="2"/>
      </rPr>
      <t xml:space="preserve">未填（</t>
    </r>
    <r>
      <rPr>
        <sz val="9"/>
        <color rgb="FF595959"/>
        <rFont val="Arial"/>
        <family val="0"/>
        <charset val="1"/>
      </rPr>
      <t xml:space="preserve">W1</t>
    </r>
    <r>
      <rPr>
        <sz val="9"/>
        <color rgb="FF595959"/>
        <rFont val="Noto Sans CJK SC"/>
        <family val="2"/>
      </rPr>
      <t xml:space="preserve">：長約價不足兩個獨立來源）→ 不適用</t>
    </r>
  </si>
  <si>
    <r>
      <rPr>
        <sz val="10"/>
        <rFont val="Noto Sans CJK SC"/>
        <family val="2"/>
      </rPr>
      <t xml:space="preserve">隱含每 </t>
    </r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小時價格（反算對照，不是輸入）</t>
    </r>
  </si>
  <si>
    <t xml:space="preserve">US$/GPU-hr</t>
  </si>
  <si>
    <r>
      <rPr>
        <sz val="9"/>
        <color rgb="FF595959"/>
        <rFont val="Noto Sans CJK SC"/>
        <family val="2"/>
      </rPr>
      <t xml:space="preserve">＝每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 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（每 </t>
    </r>
    <r>
      <rPr>
        <sz val="9"/>
        <color rgb="FF595959"/>
        <rFont val="Arial"/>
        <family val="0"/>
        <charset val="1"/>
      </rPr>
      <t xml:space="preserve">MW GPU </t>
    </r>
    <r>
      <rPr>
        <sz val="9"/>
        <color rgb="FF595959"/>
        <rFont val="Noto Sans CJK SC"/>
        <family val="2"/>
      </rPr>
      <t xml:space="preserve">數 </t>
    </r>
    <r>
      <rPr>
        <sz val="9"/>
        <color rgb="FF595959"/>
        <rFont val="Arial"/>
        <family val="0"/>
        <charset val="1"/>
      </rPr>
      <t xml:space="preserve">× 8,760</t>
    </r>
    <r>
      <rPr>
        <sz val="9"/>
        <color rgb="FF595959"/>
        <rFont val="Noto Sans CJK SC"/>
        <family val="2"/>
      </rPr>
      <t xml:space="preserve">）；利用率在收入端另乘，故不再除以利用率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</si>
  <si>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小時經濟持有成本（</t>
    </r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數加權）</t>
    </r>
  </si>
  <si>
    <r>
      <rPr>
        <sz val="9"/>
        <color rgb="FF595959"/>
        <rFont val="Arial"/>
        <family val="0"/>
        <charset val="1"/>
      </rPr>
      <t xml:space="preserve">Tokenomics IF_GPUhrEcon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時數、不含利潤）</t>
    </r>
  </si>
  <si>
    <r>
      <rPr>
        <sz val="10"/>
        <rFont val="Noto Sans CJK SC"/>
        <family val="2"/>
      </rPr>
      <t xml:space="preserve">隱含價格 </t>
    </r>
    <r>
      <rPr>
        <sz val="10"/>
        <rFont val="Arial"/>
        <family val="0"/>
        <charset val="1"/>
      </rPr>
      <t xml:space="preserve">÷ GPU </t>
    </r>
    <r>
      <rPr>
        <sz val="10"/>
        <rFont val="Noto Sans CJK SC"/>
        <family val="2"/>
      </rPr>
      <t xml:space="preserve">小時持有成本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</si>
  <si>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經濟持有成本（不賠錢下限）</t>
    </r>
  </si>
  <si>
    <r>
      <rPr>
        <sz val="9"/>
        <color rgb="FF595959"/>
        <rFont val="Arial"/>
        <family val="0"/>
        <charset val="1"/>
      </rPr>
      <t xml:space="preserve">Tokenomics IF_HoldEcon </t>
    </r>
    <r>
      <rPr>
        <sz val="9"/>
        <color rgb="FF595959"/>
        <rFont val="Noto Sans CJK SC"/>
        <family val="2"/>
      </rPr>
      <t xml:space="preserve">依在役世代加權（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時數、含廠房資本回收；</t>
    </r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Noto Sans CJK SC"/>
        <family val="2"/>
      </rPr>
      <t xml:space="preserve">廠房走租金，故此線高於 </t>
    </r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IT </t>
    </r>
    <r>
      <rPr>
        <sz val="9"/>
        <color rgb="FF595959"/>
        <rFont val="Noto Sans CJK SC"/>
        <family val="2"/>
      </rPr>
      <t xml:space="preserve">持有成本）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</si>
  <si>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經濟持有成本</t>
    </r>
  </si>
  <si>
    <r>
      <rPr>
        <sz val="10"/>
        <rFont val="Noto Sans CJK SC"/>
        <family val="2"/>
      </rPr>
      <t xml:space="preserve">同業｜</t>
    </r>
    <r>
      <rPr>
        <sz val="10"/>
        <rFont val="Arial"/>
        <family val="0"/>
        <charset val="1"/>
      </rPr>
      <t xml:space="preserve">IREN–Microsoft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年收入（</t>
    </r>
    <r>
      <rPr>
        <sz val="10"/>
        <rFont val="Arial"/>
        <family val="0"/>
        <charset val="1"/>
      </rPr>
      <t xml:space="preserve">GB300</t>
    </r>
    <r>
      <rPr>
        <sz val="10"/>
        <rFont val="Noto Sans CJK SC"/>
        <family val="2"/>
      </rPr>
      <t xml:space="preserve">，</t>
    </r>
    <r>
      <rPr>
        <sz val="10"/>
        <rFont val="Arial"/>
        <family val="0"/>
        <charset val="1"/>
      </rPr>
      <t xml:space="preserve">5 </t>
    </r>
    <r>
      <rPr>
        <sz val="10"/>
        <rFont val="Noto Sans CJK SC"/>
        <family val="2"/>
      </rPr>
      <t xml:space="preserve">年合約）</t>
    </r>
  </si>
  <si>
    <r>
      <rPr>
        <sz val="9"/>
        <color rgb="FF595959"/>
        <rFont val="Arial"/>
        <family val="0"/>
        <charset val="1"/>
      </rPr>
      <t xml:space="preserve">IREN Secures $9.7bn AI Cloud Contract with Microsoft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IREN </t>
    </r>
    <r>
      <rPr>
        <sz val="9"/>
        <color rgb="FF595959"/>
        <rFont val="Noto Sans CJK SC"/>
        <family val="2"/>
      </rPr>
      <t xml:space="preserve">新聞稿）（</t>
    </r>
    <r>
      <rPr>
        <sz val="9"/>
        <color rgb="FF595959"/>
        <rFont val="Arial"/>
        <family val="0"/>
        <charset val="1"/>
      </rPr>
      <t xml:space="preserve">2025-11-03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$9.7bn ÷ 5 </t>
    </r>
    <r>
      <rPr>
        <sz val="9"/>
        <color rgb="FF595959"/>
        <rFont val="Noto Sans CJK SC"/>
        <family val="2"/>
      </rPr>
      <t xml:space="preserve">年 </t>
    </r>
    <r>
      <rPr>
        <sz val="9"/>
        <color rgb="FF595959"/>
        <rFont val="Arial"/>
        <family val="0"/>
        <charset val="1"/>
      </rPr>
      <t xml:space="preserve">÷ 200 MW critical IT</t>
    </r>
    <r>
      <rPr>
        <sz val="9"/>
        <color rgb="FF595959"/>
        <rFont val="Noto Sans CJK SC"/>
        <family val="2"/>
      </rPr>
      <t xml:space="preserve">；同業合約（非 </t>
    </r>
    <r>
      <rPr>
        <sz val="9"/>
        <color rgb="FF595959"/>
        <rFont val="Arial"/>
        <family val="0"/>
        <charset val="1"/>
      </rPr>
      <t xml:space="preserve">CoreWeave</t>
    </r>
    <r>
      <rPr>
        <sz val="9"/>
        <color rgb="FF595959"/>
        <rFont val="Noto Sans CJK SC"/>
        <family val="2"/>
      </rPr>
      <t xml:space="preserve">），含 </t>
    </r>
    <r>
      <rPr>
        <sz val="9"/>
        <color rgb="FF595959"/>
        <rFont val="Arial"/>
        <family val="0"/>
        <charset val="1"/>
      </rPr>
      <t xml:space="preserve">20% </t>
    </r>
    <r>
      <rPr>
        <sz val="9"/>
        <color rgb="FF595959"/>
        <rFont val="Noto Sans CJK SC"/>
        <family val="2"/>
      </rPr>
      <t xml:space="preserve">預付</t>
    </r>
  </si>
  <si>
    <r>
      <rPr>
        <sz val="10"/>
        <rFont val="Noto Sans CJK SC"/>
        <family val="2"/>
      </rPr>
      <t xml:space="preserve">市場價格｜</t>
    </r>
    <r>
      <rPr>
        <sz val="10"/>
        <rFont val="Arial"/>
        <family val="0"/>
        <charset val="1"/>
      </rPr>
      <t xml:space="preserve">H100 Silicon Data </t>
    </r>
    <r>
      <rPr>
        <sz val="10"/>
        <rFont val="Noto Sans CJK SC"/>
        <family val="2"/>
      </rPr>
      <t xml:space="preserve">租金指數</t>
    </r>
  </si>
  <si>
    <r>
      <rPr>
        <sz val="9"/>
        <color rgb="FF595959"/>
        <rFont val="Arial"/>
        <family val="0"/>
        <charset val="1"/>
      </rPr>
      <t xml:space="preserve">Hopper H100</t>
    </r>
    <r>
      <rPr>
        <sz val="9"/>
        <color rgb="FF595959"/>
        <rFont val="Noto Sans CJK SC"/>
        <family val="2"/>
      </rPr>
      <t xml:space="preserve">；市場現行租金指數（非長約）；</t>
    </r>
    <r>
      <rPr>
        <sz val="9"/>
        <color rgb="FF595959"/>
        <rFont val="Arial"/>
        <family val="0"/>
        <charset val="1"/>
      </rPr>
      <t xml:space="preserve">Silicon Data H100 Index </t>
    </r>
    <r>
      <rPr>
        <sz val="9"/>
        <color rgb="FF595959"/>
        <rFont val="Noto Sans CJK SC"/>
        <family val="2"/>
      </rPr>
      <t xml:space="preserve">頁面（含 </t>
    </r>
    <r>
      <rPr>
        <sz val="9"/>
        <color rgb="FF595959"/>
        <rFont val="Arial"/>
        <family val="0"/>
        <charset val="1"/>
      </rPr>
      <t xml:space="preserve">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B300 </t>
    </r>
    <r>
      <rPr>
        <sz val="9"/>
        <color rgb="FF595959"/>
        <rFont val="Noto Sans CJK SC"/>
        <family val="2"/>
      </rPr>
      <t xml:space="preserve">指數）（</t>
    </r>
    <r>
      <rPr>
        <sz val="9"/>
        <color rgb="FF595959"/>
        <rFont val="Arial"/>
        <family val="0"/>
        <charset val="1"/>
      </rPr>
      <t xml:space="preserve">2026-10-06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</si>
  <si>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Noto Sans CJK SC"/>
        <family val="2"/>
      </rPr>
      <t xml:space="preserve">市場價格｜</t>
    </r>
    <r>
      <rPr>
        <sz val="10"/>
        <rFont val="Arial"/>
        <family val="0"/>
        <charset val="1"/>
      </rPr>
      <t xml:space="preserve">H100 CoreWeave </t>
    </r>
    <r>
      <rPr>
        <sz val="10"/>
        <rFont val="Noto Sans CJK SC"/>
        <family val="2"/>
      </rPr>
      <t xml:space="preserve">隨需牌價</t>
    </r>
  </si>
  <si>
    <r>
      <rPr>
        <sz val="9"/>
        <color rgb="FF595959"/>
        <rFont val="Arial"/>
        <family val="0"/>
        <charset val="1"/>
      </rPr>
      <t xml:space="preserve">Hopper H100</t>
    </r>
    <r>
      <rPr>
        <sz val="9"/>
        <color rgb="FF595959"/>
        <rFont val="Noto Sans CJK SC"/>
        <family val="2"/>
      </rPr>
      <t xml:space="preserve">；隨需牌價（長約最多 −</t>
    </r>
    <r>
      <rPr>
        <sz val="9"/>
        <color rgb="FF595959"/>
        <rFont val="Arial"/>
        <family val="0"/>
        <charset val="1"/>
      </rPr>
      <t xml:space="preserve">60%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CoreWeave Pricing</t>
    </r>
    <r>
      <rPr>
        <sz val="9"/>
        <color rgb="FF595959"/>
        <rFont val="Noto Sans CJK SC"/>
        <family val="2"/>
      </rPr>
      <t xml:space="preserve">（官網價目，頁面無日期）（</t>
    </r>
    <r>
      <rPr>
        <sz val="9"/>
        <color rgb="FF595959"/>
        <rFont val="Arial"/>
        <family val="0"/>
        <charset val="1"/>
      </rPr>
      <t xml:space="preserve">2026-10-07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</si>
  <si>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Noto Sans CJK SC"/>
        <family val="2"/>
      </rPr>
      <t xml:space="preserve">市場價格｜</t>
    </r>
    <r>
      <rPr>
        <sz val="10"/>
        <rFont val="Arial"/>
        <family val="0"/>
        <charset val="1"/>
      </rPr>
      <t xml:space="preserve">GB200 CoreWeave </t>
    </r>
    <r>
      <rPr>
        <sz val="10"/>
        <rFont val="Noto Sans CJK SC"/>
        <family val="2"/>
      </rPr>
      <t xml:space="preserve">隨需牌價</t>
    </r>
  </si>
  <si>
    <r>
      <rPr>
        <sz val="9"/>
        <color rgb="FF595959"/>
        <rFont val="Arial"/>
        <family val="0"/>
        <charset val="1"/>
      </rPr>
      <t xml:space="preserve">GB200 NVL72</t>
    </r>
    <r>
      <rPr>
        <sz val="9"/>
        <color rgb="FF595959"/>
        <rFont val="Noto Sans CJK SC"/>
        <family val="2"/>
      </rPr>
      <t xml:space="preserve">；隨需牌價（長約最多 −</t>
    </r>
    <r>
      <rPr>
        <sz val="9"/>
        <color rgb="FF595959"/>
        <rFont val="Arial"/>
        <family val="0"/>
        <charset val="1"/>
      </rPr>
      <t xml:space="preserve">60%</t>
    </r>
    <r>
      <rPr>
        <sz val="9"/>
        <color rgb="FF595959"/>
        <rFont val="Noto Sans CJK SC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Tokenomics L1_GPUhr_GB200_vsCW </t>
    </r>
    <r>
      <rPr>
        <sz val="9"/>
        <color rgb="FF595959"/>
        <rFont val="Noto Sans CJK SC"/>
        <family val="2"/>
      </rPr>
      <t xml:space="preserve">同一底層來源）；</t>
    </r>
    <r>
      <rPr>
        <sz val="9"/>
        <color rgb="FF595959"/>
        <rFont val="Arial"/>
        <family val="0"/>
        <charset val="1"/>
      </rPr>
      <t xml:space="preserve">CoreWeave Pricing</t>
    </r>
    <r>
      <rPr>
        <sz val="9"/>
        <color rgb="FF595959"/>
        <rFont val="Noto Sans CJK SC"/>
        <family val="2"/>
      </rPr>
      <t xml:space="preserve">（官網價目，頁面無日期）（</t>
    </r>
    <r>
      <rPr>
        <sz val="9"/>
        <color rgb="FF595959"/>
        <rFont val="Arial"/>
        <family val="0"/>
        <charset val="1"/>
      </rPr>
      <t xml:space="preserve">2026-10-07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</si>
  <si>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Noto Sans CJK SC"/>
        <family val="2"/>
      </rPr>
      <t xml:space="preserve">市場價格｜</t>
    </r>
    <r>
      <rPr>
        <sz val="10"/>
        <rFont val="Arial"/>
        <family val="0"/>
        <charset val="1"/>
      </rPr>
      <t xml:space="preserve">B200 Silicon Data </t>
    </r>
    <r>
      <rPr>
        <sz val="10"/>
        <rFont val="Noto Sans CJK SC"/>
        <family val="2"/>
      </rPr>
      <t xml:space="preserve">租金指數（</t>
    </r>
    <r>
      <rPr>
        <sz val="10"/>
        <rFont val="Arial"/>
        <family val="0"/>
        <charset val="1"/>
      </rPr>
      <t xml:space="preserve">GB200 </t>
    </r>
    <r>
      <rPr>
        <sz val="10"/>
        <rFont val="Noto Sans CJK SC"/>
        <family val="2"/>
      </rPr>
      <t xml:space="preserve">類比）</t>
    </r>
  </si>
  <si>
    <r>
      <rPr>
        <sz val="9"/>
        <color rgb="FF595959"/>
        <rFont val="Arial"/>
        <family val="0"/>
        <charset val="1"/>
      </rPr>
      <t xml:space="preserve">GB200 NVL72</t>
    </r>
    <r>
      <rPr>
        <sz val="9"/>
        <color rgb="FF595959"/>
        <rFont val="Noto Sans CJK SC"/>
        <family val="2"/>
      </rPr>
      <t xml:space="preserve">；市場指數；</t>
    </r>
    <r>
      <rPr>
        <sz val="9"/>
        <color rgb="FF595959"/>
        <rFont val="Arial"/>
        <family val="0"/>
        <charset val="1"/>
      </rPr>
      <t xml:space="preserve">HGX B200 </t>
    </r>
    <r>
      <rPr>
        <sz val="9"/>
        <color rgb="FF595959"/>
        <rFont val="Noto Sans CJK SC"/>
        <family val="2"/>
      </rPr>
      <t xml:space="preserve">類比，區間 </t>
    </r>
    <r>
      <rPr>
        <sz val="9"/>
        <color rgb="FF595959"/>
        <rFont val="Arial"/>
        <family val="0"/>
        <charset val="1"/>
      </rPr>
      <t xml:space="preserve">4.08–6.11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Silicon Data H100 Index </t>
    </r>
    <r>
      <rPr>
        <sz val="9"/>
        <color rgb="FF595959"/>
        <rFont val="Noto Sans CJK SC"/>
        <family val="2"/>
      </rPr>
      <t xml:space="preserve">頁面（含 </t>
    </r>
    <r>
      <rPr>
        <sz val="9"/>
        <color rgb="FF595959"/>
        <rFont val="Arial"/>
        <family val="0"/>
        <charset val="1"/>
      </rPr>
      <t xml:space="preserve">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B300 </t>
    </r>
    <r>
      <rPr>
        <sz val="9"/>
        <color rgb="FF595959"/>
        <rFont val="Noto Sans CJK SC"/>
        <family val="2"/>
      </rPr>
      <t xml:space="preserve">指數）（</t>
    </r>
    <r>
      <rPr>
        <sz val="9"/>
        <color rgb="FF595959"/>
        <rFont val="Arial"/>
        <family val="0"/>
        <charset val="1"/>
      </rPr>
      <t xml:space="preserve">2026-10-06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[Analogy]</t>
    </r>
  </si>
  <si>
    <r>
      <rPr>
        <sz val="10"/>
        <rFont val="Noto Sans CJK SC"/>
        <family val="2"/>
      </rPr>
      <t xml:space="preserve">市場價格｜</t>
    </r>
    <r>
      <rPr>
        <sz val="10"/>
        <rFont val="Arial"/>
        <family val="0"/>
        <charset val="1"/>
      </rPr>
      <t xml:space="preserve">B300 Silicon Data </t>
    </r>
    <r>
      <rPr>
        <sz val="10"/>
        <rFont val="Noto Sans CJK SC"/>
        <family val="2"/>
      </rPr>
      <t xml:space="preserve">租金指數（</t>
    </r>
    <r>
      <rPr>
        <sz val="10"/>
        <rFont val="Arial"/>
        <family val="0"/>
        <charset val="1"/>
      </rPr>
      <t xml:space="preserve">GB300 </t>
    </r>
    <r>
      <rPr>
        <sz val="10"/>
        <rFont val="Noto Sans CJK SC"/>
        <family val="2"/>
      </rPr>
      <t xml:space="preserve">類比）</t>
    </r>
  </si>
  <si>
    <r>
      <rPr>
        <sz val="9"/>
        <color rgb="FF595959"/>
        <rFont val="Arial"/>
        <family val="0"/>
        <charset val="1"/>
      </rPr>
      <t xml:space="preserve">GB300 NVL72</t>
    </r>
    <r>
      <rPr>
        <sz val="9"/>
        <color rgb="FF595959"/>
        <rFont val="Noto Sans CJK SC"/>
        <family val="2"/>
      </rPr>
      <t xml:space="preserve">；市場指數；</t>
    </r>
    <r>
      <rPr>
        <sz val="9"/>
        <color rgb="FF595959"/>
        <rFont val="Arial"/>
        <family val="0"/>
        <charset val="1"/>
      </rPr>
      <t xml:space="preserve">HGX B300 </t>
    </r>
    <r>
      <rPr>
        <sz val="9"/>
        <color rgb="FF595959"/>
        <rFont val="Noto Sans CJK SC"/>
        <family val="2"/>
      </rPr>
      <t xml:space="preserve">類比，區間 </t>
    </r>
    <r>
      <rPr>
        <sz val="9"/>
        <color rgb="FF595959"/>
        <rFont val="Arial"/>
        <family val="0"/>
        <charset val="1"/>
      </rPr>
      <t xml:space="preserve">6.82–7.85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Silicon Data H100 Index </t>
    </r>
    <r>
      <rPr>
        <sz val="9"/>
        <color rgb="FF595959"/>
        <rFont val="Noto Sans CJK SC"/>
        <family val="2"/>
      </rPr>
      <t xml:space="preserve">頁面（含 </t>
    </r>
    <r>
      <rPr>
        <sz val="9"/>
        <color rgb="FF595959"/>
        <rFont val="Arial"/>
        <family val="0"/>
        <charset val="1"/>
      </rPr>
      <t xml:space="preserve">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B300 </t>
    </r>
    <r>
      <rPr>
        <sz val="9"/>
        <color rgb="FF595959"/>
        <rFont val="Noto Sans CJK SC"/>
        <family val="2"/>
      </rPr>
      <t xml:space="preserve">指數）（</t>
    </r>
    <r>
      <rPr>
        <sz val="9"/>
        <color rgb="FF595959"/>
        <rFont val="Arial"/>
        <family val="0"/>
        <charset val="1"/>
      </rPr>
      <t xml:space="preserve">2026-10-06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[Analogy]</t>
    </r>
  </si>
  <si>
    <r>
      <rPr>
        <sz val="10"/>
        <rFont val="Noto Sans CJK SC"/>
        <family val="2"/>
      </rPr>
      <t xml:space="preserve">市場價格｜</t>
    </r>
    <r>
      <rPr>
        <sz val="10"/>
        <rFont val="Arial"/>
        <family val="0"/>
        <charset val="1"/>
      </rPr>
      <t xml:space="preserve">B300 Nebius </t>
    </r>
    <r>
      <rPr>
        <sz val="10"/>
        <rFont val="Noto Sans CJK SC"/>
        <family val="2"/>
      </rPr>
      <t xml:space="preserve">隨需牌價（</t>
    </r>
    <r>
      <rPr>
        <sz val="10"/>
        <rFont val="Arial"/>
        <family val="0"/>
        <charset val="1"/>
      </rPr>
      <t xml:space="preserve">GB300 </t>
    </r>
    <r>
      <rPr>
        <sz val="10"/>
        <rFont val="Noto Sans CJK SC"/>
        <family val="2"/>
      </rPr>
      <t xml:space="preserve">類比）</t>
    </r>
  </si>
  <si>
    <r>
      <rPr>
        <sz val="9"/>
        <color rgb="FF595959"/>
        <rFont val="Arial"/>
        <family val="0"/>
        <charset val="1"/>
      </rPr>
      <t xml:space="preserve">GB300 NVL72</t>
    </r>
    <r>
      <rPr>
        <sz val="9"/>
        <color rgb="FF595959"/>
        <rFont val="Noto Sans CJK SC"/>
        <family val="2"/>
      </rPr>
      <t xml:space="preserve">；隨需牌價（</t>
    </r>
    <r>
      <rPr>
        <sz val="9"/>
        <color rgb="FF595959"/>
        <rFont val="Arial"/>
        <family val="0"/>
        <charset val="1"/>
      </rPr>
      <t xml:space="preserve">10/1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9.50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Nebius NVIDIA GPU Pricing</t>
    </r>
    <r>
      <rPr>
        <sz val="9"/>
        <color rgb="FF595959"/>
        <rFont val="Noto Sans CJK SC"/>
        <family val="2"/>
      </rPr>
      <t xml:space="preserve">（官網價目）（</t>
    </r>
    <r>
      <rPr>
        <sz val="9"/>
        <color rgb="FF595959"/>
        <rFont val="Arial"/>
        <family val="0"/>
        <charset val="1"/>
      </rPr>
      <t xml:space="preserve">2026-10-07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[Analogy]</t>
    </r>
  </si>
  <si>
    <r>
      <rPr>
        <b val="true"/>
        <sz val="10"/>
        <color rgb="FF1F3864"/>
        <rFont val="Noto Sans CJK SC"/>
        <family val="2"/>
      </rPr>
      <t xml:space="preserve">▸ 每 </t>
    </r>
    <r>
      <rPr>
        <b val="true"/>
        <sz val="10"/>
        <color rgb="FF1F3864"/>
        <rFont val="Arial"/>
        <family val="0"/>
        <charset val="1"/>
      </rPr>
      <t xml:space="preserve">MW </t>
    </r>
    <r>
      <rPr>
        <b val="true"/>
        <sz val="10"/>
        <color rgb="FF1F3864"/>
        <rFont val="Noto Sans CJK SC"/>
        <family val="2"/>
      </rPr>
      <t xml:space="preserve">收入：</t>
    </r>
    <r>
      <rPr>
        <b val="true"/>
        <sz val="10"/>
        <color rgb="FF1F3864"/>
        <rFont val="Arial"/>
        <family val="0"/>
        <charset val="1"/>
      </rPr>
      <t xml:space="preserve">Tokenomics </t>
    </r>
    <r>
      <rPr>
        <b val="true"/>
        <sz val="10"/>
        <color rgb="FF1F3864"/>
        <rFont val="Noto Sans CJK SC"/>
        <family val="2"/>
      </rPr>
      <t xml:space="preserve">錨 </t>
    </r>
    <r>
      <rPr>
        <b val="true"/>
        <sz val="10"/>
        <color rgb="FF1F3864"/>
        <rFont val="Arial"/>
        <family val="0"/>
        <charset val="1"/>
      </rPr>
      <t xml:space="preserve">× </t>
    </r>
    <r>
      <rPr>
        <b val="true"/>
        <sz val="10"/>
        <color rgb="FF1F3864"/>
        <rFont val="Noto Sans CJK SC"/>
        <family val="2"/>
      </rPr>
      <t xml:space="preserve">定價倍數 </t>
    </r>
    <r>
      <rPr>
        <b val="true"/>
        <sz val="10"/>
        <color rgb="FF1F3864"/>
        <rFont val="Arial"/>
        <family val="0"/>
        <charset val="1"/>
      </rPr>
      <t xml:space="preserve">k</t>
    </r>
    <r>
      <rPr>
        <b val="true"/>
        <sz val="10"/>
        <color rgb="FF1F3864"/>
        <rFont val="Noto Sans CJK SC"/>
        <family val="2"/>
      </rPr>
      <t xml:space="preserve">（</t>
    </r>
    <r>
      <rPr>
        <b val="true"/>
        <sz val="10"/>
        <color rgb="FF1F3864"/>
        <rFont val="Arial"/>
        <family val="0"/>
        <charset val="1"/>
      </rPr>
      <t xml:space="preserve">W4</t>
    </r>
    <r>
      <rPr>
        <b val="true"/>
        <sz val="10"/>
        <color rgb="FF1F3864"/>
        <rFont val="Noto Sans CJK SC"/>
        <family val="2"/>
      </rPr>
      <t xml:space="preserve">）——模型採用</t>
    </r>
  </si>
  <si>
    <r>
      <rPr>
        <sz val="10"/>
        <rFont val="Noto Sans CJK SC"/>
        <family val="2"/>
      </rPr>
      <t xml:space="preserve">錨｜每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經濟持有成本（</t>
    </r>
    <r>
      <rPr>
        <sz val="10"/>
        <rFont val="Arial"/>
        <family val="0"/>
        <charset val="1"/>
      </rPr>
      <t xml:space="preserve">IF_HoldEcon</t>
    </r>
    <r>
      <rPr>
        <sz val="10"/>
        <rFont val="Noto Sans CJK SC"/>
        <family val="2"/>
      </rPr>
      <t xml:space="preserve">，在役世代加權）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</si>
  <si>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平均在役占比 </t>
    </r>
    <r>
      <rPr>
        <sz val="9"/>
        <color rgb="FF595959"/>
        <rFont val="Arial"/>
        <family val="0"/>
        <charset val="1"/>
      </rPr>
      <t xml:space="preserve">× IF_HoldEcon</t>
    </r>
    <r>
      <rPr>
        <sz val="9"/>
        <color rgb="FF595959"/>
        <rFont val="Noto Sans CJK SC"/>
        <family val="2"/>
      </rPr>
      <t xml:space="preserve">（目前 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成本情境；</t>
    </r>
    <r>
      <rPr>
        <sz val="9"/>
        <color rgb="FF595959"/>
        <rFont val="Arial"/>
        <family val="0"/>
        <charset val="1"/>
      </rPr>
      <t xml:space="preserve">WACC 10% </t>
    </r>
    <r>
      <rPr>
        <sz val="9"/>
        <color rgb="FF595959"/>
        <rFont val="Noto Sans CJK SC"/>
        <family val="2"/>
      </rPr>
      <t xml:space="preserve">下的打平租金，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時數，含廠房資本回收）</t>
    </r>
  </si>
  <si>
    <r>
      <rPr>
        <sz val="10"/>
        <rFont val="Noto Sans CJK SC"/>
        <family val="2"/>
      </rPr>
      <t xml:space="preserve">錨｜排程 </t>
    </r>
    <r>
      <rPr>
        <sz val="10"/>
        <rFont val="Arial"/>
        <family val="0"/>
        <charset val="1"/>
      </rPr>
      <t xml:space="preserve">RPO</t>
    </r>
    <r>
      <rPr>
        <sz val="10"/>
        <rFont val="Noto Sans CJK SC"/>
        <family val="2"/>
      </rPr>
      <t xml:space="preserve">（模型期）</t>
    </r>
  </si>
  <si>
    <r>
      <rPr>
        <sz val="9"/>
        <color rgb="FF595959"/>
        <rFont val="Noto Sans CJK SC"/>
        <family val="2"/>
      </rPr>
      <t xml:space="preserve">『運營</t>
    </r>
    <r>
      <rPr>
        <sz val="9"/>
        <color rgb="FF595959"/>
        <rFont val="Arial"/>
        <family val="0"/>
        <charset val="1"/>
      </rPr>
      <t xml:space="preserve">_</t>
    </r>
    <r>
      <rPr>
        <sz val="9"/>
        <color rgb="FF595959"/>
        <rFont val="Noto Sans CJK SC"/>
        <family val="2"/>
      </rPr>
      <t xml:space="preserve">產能與收入』排程 </t>
    </r>
    <r>
      <rPr>
        <sz val="9"/>
        <color rgb="FF595959"/>
        <rFont val="Arial"/>
        <family val="0"/>
        <charset val="1"/>
      </rPr>
      <t xml:space="preserve">RPO</t>
    </r>
    <r>
      <rPr>
        <sz val="9"/>
        <color rgb="FF595959"/>
        <rFont val="Noto Sans CJK SC"/>
        <family val="2"/>
      </rPr>
      <t xml:space="preserve">（期初 </t>
    </r>
    <r>
      <rPr>
        <sz val="9"/>
        <color rgb="FF595959"/>
        <rFont val="Arial"/>
        <family val="0"/>
        <charset val="1"/>
      </rPr>
      <t xml:space="preserve">RPO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Q3 </t>
    </r>
    <r>
      <rPr>
        <sz val="9"/>
        <color rgb="FF595959"/>
        <rFont val="Noto Sans CJK SC"/>
        <family val="2"/>
      </rPr>
      <t xml:space="preserve">新增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桶權重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認列比例）；只用來估長約占比，不用來反推 </t>
    </r>
    <r>
      <rPr>
        <sz val="9"/>
        <color rgb="FF595959"/>
        <rFont val="Arial"/>
        <family val="0"/>
        <charset val="1"/>
      </rPr>
      <t xml:space="preserve">k</t>
    </r>
  </si>
  <si>
    <r>
      <rPr>
        <sz val="10"/>
        <rFont val="Noto Sans CJK SC"/>
        <family val="2"/>
      </rPr>
      <t xml:space="preserve">錨｜平均計費 </t>
    </r>
    <r>
      <rPr>
        <sz val="10"/>
        <rFont val="Arial"/>
        <family val="0"/>
        <charset val="1"/>
      </rPr>
      <t xml:space="preserve">MW</t>
    </r>
  </si>
  <si>
    <r>
      <rPr>
        <sz val="9"/>
        <color rgb="FF595959"/>
        <rFont val="Noto Sans CJK SC"/>
        <family val="2"/>
      </rPr>
      <t xml:space="preserve">『運營</t>
    </r>
    <r>
      <rPr>
        <sz val="9"/>
        <color rgb="FF595959"/>
        <rFont val="Arial"/>
        <family val="0"/>
        <charset val="1"/>
      </rPr>
      <t xml:space="preserve">_</t>
    </r>
    <r>
      <rPr>
        <sz val="9"/>
        <color rgb="FF595959"/>
        <rFont val="Noto Sans CJK SC"/>
        <family val="2"/>
      </rPr>
      <t xml:space="preserve">產能與收入』平均在役（</t>
    </r>
    <r>
      <rPr>
        <sz val="9"/>
        <color rgb="FF595959"/>
        <rFont val="Arial"/>
        <family val="0"/>
        <charset val="1"/>
      </rPr>
      <t xml:space="preserve">Billable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；收入端的分母</t>
    </r>
  </si>
  <si>
    <t xml:space="preserve">錨｜利用率</t>
  </si>
  <si>
    <r>
      <rPr>
        <sz val="10"/>
        <rFont val="Noto Sans CJK SC"/>
        <family val="2"/>
      </rPr>
      <t xml:space="preserve">長約價產能收入（平均計費 </t>
    </r>
    <r>
      <rPr>
        <sz val="10"/>
        <rFont val="Arial"/>
        <family val="0"/>
        <charset val="1"/>
      </rPr>
      <t xml:space="preserve">MW × </t>
    </r>
    <r>
      <rPr>
        <sz val="10"/>
        <rFont val="Noto Sans CJK SC"/>
        <family val="2"/>
      </rPr>
      <t xml:space="preserve">錨 </t>
    </r>
    <r>
      <rPr>
        <sz val="10"/>
        <rFont val="Arial"/>
        <family val="0"/>
        <charset val="1"/>
      </rPr>
      <t xml:space="preserve">× k_</t>
    </r>
    <r>
      <rPr>
        <sz val="10"/>
        <rFont val="Noto Sans CJK SC"/>
        <family val="2"/>
      </rPr>
      <t xml:space="preserve">長約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利用率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期間長度）</t>
    </r>
  </si>
  <si>
    <r>
      <rPr>
        <sz val="9"/>
        <color rgb="FF595959"/>
        <rFont val="Noto Sans CJK SC"/>
        <family val="2"/>
      </rPr>
      <t xml:space="preserve">在役計費產能全部以長約價計的收入（</t>
    </r>
    <r>
      <rPr>
        <sz val="9"/>
        <color rgb="FF595959"/>
        <rFont val="Arial"/>
        <family val="0"/>
        <charset val="1"/>
      </rPr>
      <t xml:space="preserve">US$bn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</si>
  <si>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涵蓋的產能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在役計費產能（未截斷）</t>
    </r>
  </si>
  <si>
    <r>
      <rPr>
        <sz val="9"/>
        <color rgb="FF595959"/>
        <rFont val="Noto Sans CJK SC"/>
        <family val="2"/>
      </rPr>
      <t xml:space="preserve">＝排程 </t>
    </r>
    <r>
      <rPr>
        <sz val="9"/>
        <color rgb="FF595959"/>
        <rFont val="Arial"/>
        <family val="0"/>
        <charset val="1"/>
      </rPr>
      <t xml:space="preserve">RPO ÷ </t>
    </r>
    <r>
      <rPr>
        <sz val="9"/>
        <color rgb="FF595959"/>
        <rFont val="Noto Sans CJK SC"/>
        <family val="2"/>
      </rPr>
      <t xml:space="preserve">長約價產能收入：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Noto Sans CJK SC"/>
        <family val="2"/>
      </rPr>
      <t xml:space="preserve">金額以長約價換成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後占在役計費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的比例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</si>
  <si>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長約占比（截斷於 </t>
    </r>
    <r>
      <rPr>
        <sz val="10"/>
        <rFont val="Arial"/>
        <family val="0"/>
        <charset val="1"/>
      </rPr>
      <t xml:space="preserve">0–100%</t>
    </r>
    <r>
      <rPr>
        <sz val="10"/>
        <rFont val="Noto Sans CJK SC"/>
        <family val="2"/>
      </rPr>
      <t xml:space="preserve">，含調整）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</si>
  <si>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MIN(1, MAX(0, </t>
    </r>
    <r>
      <rPr>
        <sz val="9"/>
        <color rgb="FF595959"/>
        <rFont val="Noto Sans CJK SC"/>
        <family val="2"/>
      </rPr>
      <t xml:space="preserve">上列＋輸入頁『長約占比調整』</t>
    </r>
    <r>
      <rPr>
        <sz val="9"/>
        <color rgb="FF595959"/>
        <rFont val="Arial"/>
        <family val="0"/>
        <charset val="1"/>
      </rPr>
      <t xml:space="preserve">))</t>
    </r>
    <r>
      <rPr>
        <sz val="9"/>
        <color rgb="FF595959"/>
        <rFont val="Noto Sans CJK SC"/>
        <family val="2"/>
      </rPr>
      <t xml:space="preserve">；未被 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Noto Sans CJK SC"/>
        <family val="2"/>
      </rPr>
      <t xml:space="preserve">涵蓋的產能以現貨倍數計價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</si>
  <si>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Arial"/>
        <family val="0"/>
        <charset val="1"/>
      </rPr>
      <t xml:space="preserve">k_</t>
    </r>
    <r>
      <rPr>
        <sz val="10"/>
        <rFont val="Noto Sans CJK SC"/>
        <family val="2"/>
      </rPr>
      <t xml:space="preserve">長約（輸入）</t>
    </r>
  </si>
  <si>
    <r>
      <rPr>
        <sz val="9"/>
        <color rgb="FF595959"/>
        <rFont val="Noto Sans CJK SC"/>
        <family val="2"/>
      </rPr>
      <t xml:space="preserve">輸入頁 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Noto Sans CJK SC"/>
        <family val="2"/>
      </rPr>
      <t xml:space="preserve">區後『定價倍數 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』；證據見下方 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證據表</t>
    </r>
  </si>
  <si>
    <r>
      <rPr>
        <sz val="10"/>
        <rFont val="Arial"/>
        <family val="0"/>
        <charset val="1"/>
      </rPr>
      <t xml:space="preserve">k_</t>
    </r>
    <r>
      <rPr>
        <sz val="10"/>
        <rFont val="Noto Sans CJK SC"/>
        <family val="2"/>
      </rPr>
      <t xml:space="preserve">現貨（輸入）</t>
    </r>
  </si>
  <si>
    <r>
      <rPr>
        <sz val="10"/>
        <rFont val="Noto Sans CJK SC"/>
        <family val="2"/>
      </rPr>
      <t xml:space="preserve">定價倍數 </t>
    </r>
    <r>
      <rPr>
        <sz val="10"/>
        <rFont val="Arial"/>
        <family val="0"/>
        <charset val="1"/>
      </rPr>
      <t xml:space="preserve">k</t>
    </r>
    <r>
      <rPr>
        <sz val="10"/>
        <rFont val="Noto Sans CJK SC"/>
        <family val="2"/>
      </rPr>
      <t xml:space="preserve">（長約占比 </t>
    </r>
    <r>
      <rPr>
        <sz val="10"/>
        <rFont val="Arial"/>
        <family val="0"/>
        <charset val="1"/>
      </rPr>
      <t xml:space="preserve">× k_</t>
    </r>
    <r>
      <rPr>
        <sz val="10"/>
        <rFont val="Noto Sans CJK SC"/>
        <family val="2"/>
      </rPr>
      <t xml:space="preserve">長約 ＋（</t>
    </r>
    <r>
      <rPr>
        <sz val="10"/>
        <rFont val="Arial"/>
        <family val="0"/>
        <charset val="1"/>
      </rPr>
      <t xml:space="preserve">1 − </t>
    </r>
    <r>
      <rPr>
        <sz val="10"/>
        <rFont val="Noto Sans CJK SC"/>
        <family val="2"/>
      </rPr>
      <t xml:space="preserve">長約占比）</t>
    </r>
    <r>
      <rPr>
        <sz val="10"/>
        <rFont val="Arial"/>
        <family val="0"/>
        <charset val="1"/>
      </rPr>
      <t xml:space="preserve">× k_</t>
    </r>
    <r>
      <rPr>
        <sz val="10"/>
        <rFont val="Noto Sans CJK SC"/>
        <family val="2"/>
      </rPr>
      <t xml:space="preserve">現貨）</t>
    </r>
  </si>
  <si>
    <r>
      <rPr>
        <sz val="10"/>
        <rFont val="Arial"/>
        <family val="0"/>
        <charset val="1"/>
      </rPr>
      <t xml:space="preserve">Tokenomics </t>
    </r>
    <r>
      <rPr>
        <sz val="10"/>
        <rFont val="Noto Sans CJK SC"/>
        <family val="2"/>
      </rPr>
      <t xml:space="preserve">錨 </t>
    </r>
    <r>
      <rPr>
        <sz val="10"/>
        <rFont val="Arial"/>
        <family val="0"/>
        <charset val="1"/>
      </rPr>
      <t xml:space="preserve">× k</t>
    </r>
    <r>
      <rPr>
        <sz val="10"/>
        <rFont val="Noto Sans CJK SC"/>
        <family val="2"/>
      </rPr>
      <t xml:space="preserve">：每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年收入（</t>
    </r>
    <r>
      <rPr>
        <sz val="10"/>
        <rFont val="Arial"/>
        <family val="0"/>
        <charset val="1"/>
      </rPr>
      <t xml:space="preserve">100% </t>
    </r>
    <r>
      <rPr>
        <sz val="10"/>
        <rFont val="Noto Sans CJK SC"/>
        <family val="2"/>
      </rPr>
      <t xml:space="preserve">計費時數）</t>
    </r>
  </si>
  <si>
    <r>
      <rPr>
        <sz val="9"/>
        <color rgb="FF595959"/>
        <rFont val="Noto Sans CJK SC"/>
        <family val="2"/>
      </rPr>
      <t xml:space="preserve">模型採用：輸入頁 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Noto Sans CJK SC"/>
        <family val="2"/>
      </rPr>
      <t xml:space="preserve">區『每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年收入』＝本列 </t>
    </r>
    <r>
      <rPr>
        <sz val="9"/>
        <color rgb="FF595959"/>
        <rFont val="Arial"/>
        <family val="0"/>
        <charset val="1"/>
      </rPr>
      <t xml:space="preserve">÷ 1000</t>
    </r>
    <r>
      <rPr>
        <sz val="9"/>
        <color rgb="FF595959"/>
        <rFont val="Noto Sans CJK SC"/>
        <family val="2"/>
      </rPr>
      <t xml:space="preserve">（收入端另乘利用率與爬坡分母）</t>
    </r>
  </si>
  <si>
    <r>
      <rPr>
        <sz val="10"/>
        <rFont val="Noto Sans CJK SC"/>
        <family val="2"/>
      </rPr>
      <t xml:space="preserve">錨 </t>
    </r>
    <r>
      <rPr>
        <sz val="10"/>
        <rFont val="Arial"/>
        <family val="0"/>
        <charset val="1"/>
      </rPr>
      <t xml:space="preserve">× k </t>
    </r>
    <r>
      <rPr>
        <sz val="10"/>
        <rFont val="Noto Sans CJK SC"/>
        <family val="2"/>
      </rPr>
      <t xml:space="preserve">相對 </t>
    </r>
    <r>
      <rPr>
        <sz val="10"/>
        <rFont val="Arial"/>
        <family val="0"/>
        <charset val="1"/>
      </rPr>
      <t xml:space="preserve">v4.6 </t>
    </r>
    <r>
      <rPr>
        <sz val="10"/>
        <rFont val="Noto Sans CJK SC"/>
        <family val="2"/>
      </rPr>
      <t xml:space="preserve">舊輸入 </t>
    </r>
    <r>
      <rPr>
        <sz val="10"/>
        <rFont val="Arial"/>
        <family val="0"/>
        <charset val="1"/>
      </rPr>
      <t xml:space="preserve">m.revMW</t>
    </r>
  </si>
  <si>
    <r>
      <rPr>
        <sz val="10"/>
        <rFont val="Noto Sans CJK SC"/>
        <family val="2"/>
      </rPr>
      <t xml:space="preserve">上限檢查｜客戶每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付費 </t>
    </r>
    <r>
      <rPr>
        <sz val="10"/>
        <rFont val="Arial"/>
        <family val="0"/>
        <charset val="1"/>
      </rPr>
      <t xml:space="preserve">token </t>
    </r>
    <r>
      <rPr>
        <sz val="10"/>
        <rFont val="Noto Sans CJK SC"/>
        <family val="2"/>
      </rPr>
      <t xml:space="preserve">營收（</t>
    </r>
    <r>
      <rPr>
        <sz val="10"/>
        <rFont val="Arial"/>
        <family val="0"/>
        <charset val="1"/>
      </rPr>
      <t xml:space="preserve">IF_RevGWFleet</t>
    </r>
    <r>
      <rPr>
        <sz val="10"/>
        <rFont val="Noto Sans CJK SC"/>
        <family val="2"/>
      </rPr>
      <t xml:space="preserve">，在役世代加權）</t>
    </r>
  </si>
  <si>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客戶端（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有效單價、層級組合）每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營收的理想上限，依在役世代加權</t>
    </r>
  </si>
  <si>
    <r>
      <rPr>
        <sz val="10"/>
        <rFont val="Noto Sans CJK SC"/>
        <family val="2"/>
      </rPr>
      <t xml:space="preserve">上限檢查｜</t>
    </r>
    <r>
      <rPr>
        <sz val="10"/>
        <rFont val="Arial"/>
        <family val="0"/>
        <charset val="1"/>
      </rPr>
      <t xml:space="preserve">CRWV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計費收入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客戶付費 </t>
    </r>
    <r>
      <rPr>
        <sz val="10"/>
        <rFont val="Arial"/>
        <family val="0"/>
        <charset val="1"/>
      </rPr>
      <t xml:space="preserve">token </t>
    </r>
    <r>
      <rPr>
        <sz val="10"/>
        <rFont val="Noto Sans CJK SC"/>
        <family val="2"/>
      </rPr>
      <t xml:space="preserve">營收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</si>
  <si>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neocloud </t>
    </r>
    <r>
      <rPr>
        <sz val="9"/>
        <color rgb="FF595959"/>
        <rFont val="Noto Sans CJK SC"/>
        <family val="2"/>
      </rPr>
      <t xml:space="preserve">拿走客戶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營收的比例；</t>
    </r>
    <r>
      <rPr>
        <sz val="9"/>
        <color rgb="FF595959"/>
        <rFont val="Arial"/>
        <family val="0"/>
        <charset val="1"/>
      </rPr>
      <t xml:space="preserve">&gt; 50%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company.json → methodology.checks.revCapShareMax</t>
    </r>
    <r>
      <rPr>
        <sz val="9"/>
        <color rgb="FF595959"/>
        <rFont val="Noto Sans CJK SC"/>
        <family val="2"/>
      </rPr>
      <t xml:space="preserve">）時『檢查</t>
    </r>
    <r>
      <rPr>
        <sz val="9"/>
        <color rgb="FF595959"/>
        <rFont val="Arial"/>
        <family val="0"/>
        <charset val="1"/>
      </rPr>
      <t xml:space="preserve">_</t>
    </r>
    <r>
      <rPr>
        <sz val="9"/>
        <color rgb="FF595959"/>
        <rFont val="Noto Sans CJK SC"/>
        <family val="2"/>
      </rPr>
      <t xml:space="preserve">連動』警示</t>
    </r>
  </si>
  <si>
    <t xml:space="preserve">上限檢查｜各期結果</t>
  </si>
  <si>
    <r>
      <rPr>
        <b val="true"/>
        <sz val="10"/>
        <color rgb="FF1F3864"/>
        <rFont val="Noto Sans CJK SC"/>
        <family val="2"/>
      </rPr>
      <t xml:space="preserve">▸ 定價倍數 </t>
    </r>
    <r>
      <rPr>
        <b val="true"/>
        <sz val="10"/>
        <color rgb="FF1F3864"/>
        <rFont val="Arial"/>
        <family val="0"/>
        <charset val="1"/>
      </rPr>
      <t xml:space="preserve">k </t>
    </r>
    <r>
      <rPr>
        <b val="true"/>
        <sz val="10"/>
        <color rgb="FF1F3864"/>
        <rFont val="Noto Sans CJK SC"/>
        <family val="2"/>
      </rPr>
      <t xml:space="preserve">證據表（市場價格 </t>
    </r>
    <r>
      <rPr>
        <b val="true"/>
        <sz val="10"/>
        <color rgb="FF1F3864"/>
        <rFont val="Arial"/>
        <family val="0"/>
        <charset val="1"/>
      </rPr>
      <t xml:space="preserve">÷ Tokenomics </t>
    </r>
    <r>
      <rPr>
        <b val="true"/>
        <sz val="10"/>
        <color rgb="FF1F3864"/>
        <rFont val="Noto Sans CJK SC"/>
        <family val="2"/>
      </rPr>
      <t xml:space="preserve">同世代持有成本；用途：</t>
    </r>
    <r>
      <rPr>
        <b val="true"/>
        <sz val="10"/>
        <color rgb="FF1F3864"/>
        <rFont val="Arial"/>
        <family val="0"/>
        <charset val="1"/>
      </rPr>
      <t xml:space="preserve">long</t>
    </r>
    <r>
      <rPr>
        <b val="true"/>
        <sz val="10"/>
        <color rgb="FF1F3864"/>
        <rFont val="Noto Sans CJK SC"/>
        <family val="2"/>
      </rPr>
      <t xml:space="preserve">＝</t>
    </r>
    <r>
      <rPr>
        <b val="true"/>
        <sz val="10"/>
        <color rgb="FF1F3864"/>
        <rFont val="Arial"/>
        <family val="0"/>
        <charset val="1"/>
      </rPr>
      <t xml:space="preserve">k_</t>
    </r>
    <r>
      <rPr>
        <b val="true"/>
        <sz val="10"/>
        <color rgb="FF1F3864"/>
        <rFont val="Noto Sans CJK SC"/>
        <family val="2"/>
      </rPr>
      <t xml:space="preserve">長約基準、</t>
    </r>
    <r>
      <rPr>
        <b val="true"/>
        <sz val="10"/>
        <color rgb="FF1F3864"/>
        <rFont val="Arial"/>
        <family val="0"/>
        <charset val="1"/>
      </rPr>
      <t xml:space="preserve">spot</t>
    </r>
    <r>
      <rPr>
        <b val="true"/>
        <sz val="10"/>
        <color rgb="FF1F3864"/>
        <rFont val="Noto Sans CJK SC"/>
        <family val="2"/>
      </rPr>
      <t xml:space="preserve">＝</t>
    </r>
    <r>
      <rPr>
        <b val="true"/>
        <sz val="10"/>
        <color rgb="FF1F3864"/>
        <rFont val="Arial"/>
        <family val="0"/>
        <charset val="1"/>
      </rPr>
      <t xml:space="preserve">k_</t>
    </r>
    <r>
      <rPr>
        <b val="true"/>
        <sz val="10"/>
        <color rgb="FF1F3864"/>
        <rFont val="Noto Sans CJK SC"/>
        <family val="2"/>
      </rPr>
      <t xml:space="preserve">現貨基準、</t>
    </r>
    <r>
      <rPr>
        <b val="true"/>
        <sz val="10"/>
        <color rgb="FF1F3864"/>
        <rFont val="Arial"/>
        <family val="0"/>
        <charset val="1"/>
      </rPr>
      <t xml:space="preserve">range</t>
    </r>
    <r>
      <rPr>
        <b val="true"/>
        <sz val="10"/>
        <color rgb="FF1F3864"/>
        <rFont val="Noto Sans CJK SC"/>
        <family val="2"/>
      </rPr>
      <t xml:space="preserve">＝支持區間、</t>
    </r>
    <r>
      <rPr>
        <b val="true"/>
        <sz val="10"/>
        <color rgb="FF1F3864"/>
        <rFont val="Arial"/>
        <family val="0"/>
        <charset val="1"/>
      </rPr>
      <t xml:space="preserve">list</t>
    </r>
    <r>
      <rPr>
        <b val="true"/>
        <sz val="10"/>
        <color rgb="FF1F3864"/>
        <rFont val="Noto Sans CJK SC"/>
        <family val="2"/>
      </rPr>
      <t xml:space="preserve">＝只列不用）</t>
    </r>
  </si>
  <si>
    <t xml:space="preserve">證據</t>
  </si>
  <si>
    <t xml:space="preserve">價格</t>
  </si>
  <si>
    <r>
      <rPr>
        <b val="true"/>
        <sz val="11"/>
        <color rgb="FFFFFFFF"/>
        <rFont val="Arial"/>
        <family val="0"/>
        <charset val="1"/>
      </rPr>
      <t xml:space="preserve">Tokenomics </t>
    </r>
    <r>
      <rPr>
        <b val="true"/>
        <sz val="11"/>
        <color rgb="FFFFFFFF"/>
        <rFont val="Noto Sans CJK SC"/>
        <family val="2"/>
      </rPr>
      <t xml:space="preserve">同世代</t>
    </r>
  </si>
  <si>
    <t xml:space="preserve">倍數</t>
  </si>
  <si>
    <t xml:space="preserve">用途</t>
  </si>
  <si>
    <r>
      <rPr>
        <sz val="9"/>
        <color rgb="FF595959"/>
        <rFont val="Arial"/>
        <family val="0"/>
        <charset val="1"/>
      </rPr>
      <t xml:space="preserve">Tokenomics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IF_GPUhrEcon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US$/GPU-hr</t>
    </r>
    <r>
      <rPr>
        <sz val="9"/>
        <color rgb="FF595959"/>
        <rFont val="Noto Sans CJK SC"/>
        <family val="2"/>
      </rPr>
      <t xml:space="preserve">）或 </t>
    </r>
    <r>
      <rPr>
        <sz val="9"/>
        <color rgb="FF595959"/>
        <rFont val="Arial"/>
        <family val="0"/>
        <charset val="1"/>
      </rPr>
      <t xml:space="preserve">IF_HoldEcon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US$m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IT MW</t>
    </r>
    <r>
      <rPr>
        <sz val="9"/>
        <color rgb="FF595959"/>
        <rFont val="Noto Sans CJK SC"/>
        <family val="2"/>
      </rPr>
      <t xml:space="preserve">／年），基準成本情境；世代｜合約型態｜期間｜來源（文件日期）標記｜說明</t>
    </r>
  </si>
  <si>
    <r>
      <rPr>
        <sz val="10"/>
        <rFont val="Arial"/>
        <family val="0"/>
        <charset val="1"/>
      </rPr>
      <t xml:space="preserve">k </t>
    </r>
    <r>
      <rPr>
        <sz val="10"/>
        <rFont val="Noto Sans CJK SC"/>
        <family val="2"/>
      </rPr>
      <t xml:space="preserve">證據｜</t>
    </r>
    <r>
      <rPr>
        <sz val="10"/>
        <rFont val="Arial"/>
        <family val="0"/>
        <charset val="1"/>
      </rPr>
      <t xml:space="preserve">IREN–Microsoft GB300 </t>
    </r>
    <r>
      <rPr>
        <sz val="10"/>
        <rFont val="Noto Sans CJK SC"/>
        <family val="2"/>
      </rPr>
      <t xml:space="preserve">五年約</t>
    </r>
  </si>
  <si>
    <r>
      <rPr>
        <sz val="9"/>
        <color rgb="FF595959"/>
        <rFont val="Arial"/>
        <family val="0"/>
        <charset val="1"/>
      </rPr>
      <t xml:space="preserve">US$m/MW/</t>
    </r>
    <r>
      <rPr>
        <sz val="9"/>
        <color rgb="FF595959"/>
        <rFont val="Noto Sans CJK SC"/>
        <family val="2"/>
      </rPr>
      <t xml:space="preserve">年</t>
    </r>
  </si>
  <si>
    <t xml:space="preserve">long</t>
  </si>
  <si>
    <r>
      <rPr>
        <sz val="9"/>
        <color rgb="FF595959"/>
        <rFont val="Arial"/>
        <family val="0"/>
        <charset val="1"/>
      </rPr>
      <t xml:space="preserve">GB300 NVL72</t>
    </r>
    <r>
      <rPr>
        <sz val="9"/>
        <color rgb="FF595959"/>
        <rFont val="Noto Sans CJK SC"/>
        <family val="2"/>
      </rPr>
      <t xml:space="preserve">｜長約（</t>
    </r>
    <r>
      <rPr>
        <sz val="9"/>
        <color rgb="FF595959"/>
        <rFont val="Arial"/>
        <family val="0"/>
        <charset val="1"/>
      </rPr>
      <t xml:space="preserve">hyperscaler</t>
    </r>
    <r>
      <rPr>
        <sz val="9"/>
        <color rgb="FF595959"/>
        <rFont val="Noto Sans CJK SC"/>
        <family val="2"/>
      </rPr>
      <t xml:space="preserve">）｜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年｜</t>
    </r>
    <r>
      <rPr>
        <sz val="9"/>
        <color rgb="FF595959"/>
        <rFont val="Arial"/>
        <family val="0"/>
        <charset val="1"/>
      </rPr>
      <t xml:space="preserve">IREN Secures $9.7bn AI Cloud Contract with Microsoft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IREN </t>
    </r>
    <r>
      <rPr>
        <sz val="9"/>
        <color rgb="FF595959"/>
        <rFont val="Noto Sans CJK SC"/>
        <family val="2"/>
      </rPr>
      <t xml:space="preserve">新聞稿）（</t>
    </r>
    <r>
      <rPr>
        <sz val="9"/>
        <color rgb="FF595959"/>
        <rFont val="Arial"/>
        <family val="0"/>
        <charset val="1"/>
      </rPr>
      <t xml:space="preserve">2025-11-03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$9.7bn ÷ 5 </t>
    </r>
    <r>
      <rPr>
        <sz val="9"/>
        <color rgb="FF595959"/>
        <rFont val="Noto Sans CJK SC"/>
        <family val="2"/>
      </rPr>
      <t xml:space="preserve">年 </t>
    </r>
    <r>
      <rPr>
        <sz val="9"/>
        <color rgb="FF595959"/>
        <rFont val="Arial"/>
        <family val="0"/>
        <charset val="1"/>
      </rPr>
      <t xml:space="preserve">÷ 200 MW critical IT</t>
    </r>
    <r>
      <rPr>
        <sz val="9"/>
        <color rgb="FF595959"/>
        <rFont val="Noto Sans CJK SC"/>
        <family val="2"/>
      </rPr>
      <t xml:space="preserve">；含 </t>
    </r>
    <r>
      <rPr>
        <sz val="9"/>
        <color rgb="FF595959"/>
        <rFont val="Arial"/>
        <family val="0"/>
        <charset val="1"/>
      </rPr>
      <t xml:space="preserve">20% </t>
    </r>
    <r>
      <rPr>
        <sz val="9"/>
        <color rgb="FF595959"/>
        <rFont val="Noto Sans CJK SC"/>
        <family val="2"/>
      </rPr>
      <t xml:space="preserve">預付；</t>
    </r>
    <r>
      <rPr>
        <sz val="9"/>
        <color rgb="FF595959"/>
        <rFont val="Arial"/>
        <family val="0"/>
        <charset val="1"/>
      </rPr>
      <t xml:space="preserve">W1 </t>
    </r>
    <r>
      <rPr>
        <sz val="9"/>
        <color rgb="FF595959"/>
        <rFont val="Noto Sans CJK SC"/>
        <family val="2"/>
      </rPr>
      <t xml:space="preserve">換算 ≈ </t>
    </r>
    <r>
      <rPr>
        <sz val="9"/>
        <color rgb="FF595959"/>
        <rFont val="Arial"/>
        <family val="0"/>
        <charset val="1"/>
      </rPr>
      <t xml:space="preserve">$2.27/GPU-hr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487 </t>
    </r>
    <r>
      <rPr>
        <sz val="9"/>
        <color rgb="FF595959"/>
        <rFont val="Noto Sans CJK SC"/>
        <family val="2"/>
      </rPr>
      <t xml:space="preserve">顆</t>
    </r>
    <r>
      <rPr>
        <sz val="9"/>
        <color rgb="FF595959"/>
        <rFont val="Arial"/>
        <family val="0"/>
        <charset val="1"/>
      </rPr>
      <t xml:space="preserve">/MW</t>
    </r>
    <r>
      <rPr>
        <sz val="9"/>
        <color rgb="FF595959"/>
        <rFont val="Noto Sans CJK SC"/>
        <family val="2"/>
      </rPr>
      <t xml:space="preserve">）｜</t>
    </r>
    <r>
      <rPr>
        <sz val="9"/>
        <color rgb="FF595959"/>
        <rFont val="Arial"/>
        <family val="0"/>
        <charset val="1"/>
      </rPr>
      <t xml:space="preserve">https://iren.gcs-web.com/news-releases/news-release-details/iren-secures-97bn-ai-cloud-contract-microsoft</t>
    </r>
  </si>
  <si>
    <r>
      <rPr>
        <sz val="10"/>
        <rFont val="Arial"/>
        <family val="0"/>
        <charset val="1"/>
      </rPr>
      <t xml:space="preserve">k </t>
    </r>
    <r>
      <rPr>
        <sz val="10"/>
        <rFont val="Noto Sans CJK SC"/>
        <family val="2"/>
      </rPr>
      <t xml:space="preserve">證據｜</t>
    </r>
    <r>
      <rPr>
        <sz val="10"/>
        <rFont val="Arial"/>
        <family val="0"/>
        <charset val="1"/>
      </rPr>
      <t xml:space="preserve">IREN–NVIDIA </t>
    </r>
    <r>
      <rPr>
        <sz val="10"/>
        <rFont val="Noto Sans CJK SC"/>
        <family val="2"/>
      </rPr>
      <t xml:space="preserve">氣冷 </t>
    </r>
    <r>
      <rPr>
        <sz val="10"/>
        <rFont val="Arial"/>
        <family val="0"/>
        <charset val="1"/>
      </rPr>
      <t xml:space="preserve">Blackwell </t>
    </r>
    <r>
      <rPr>
        <sz val="10"/>
        <rFont val="Noto Sans CJK SC"/>
        <family val="2"/>
      </rPr>
      <t xml:space="preserve">五年約（</t>
    </r>
    <r>
      <rPr>
        <sz val="10"/>
        <rFont val="Arial"/>
        <family val="0"/>
        <charset val="1"/>
      </rPr>
      <t xml:space="preserve">GB300 </t>
    </r>
    <r>
      <rPr>
        <sz val="10"/>
        <rFont val="Noto Sans CJK SC"/>
        <family val="2"/>
      </rPr>
      <t xml:space="preserve">類比）</t>
    </r>
  </si>
  <si>
    <t xml:space="preserve">range</t>
  </si>
  <si>
    <r>
      <rPr>
        <sz val="9"/>
        <color rgb="FF595959"/>
        <rFont val="Arial"/>
        <family val="0"/>
        <charset val="1"/>
      </rPr>
      <t xml:space="preserve">GB300 NVL72</t>
    </r>
    <r>
      <rPr>
        <sz val="9"/>
        <color rgb="FF595959"/>
        <rFont val="Noto Sans CJK SC"/>
        <family val="2"/>
      </rPr>
      <t xml:space="preserve">｜長約（晶片商客戶）｜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年｜</t>
    </r>
    <r>
      <rPr>
        <sz val="9"/>
        <color rgb="FF595959"/>
        <rFont val="Arial"/>
        <family val="0"/>
        <charset val="1"/>
      </rPr>
      <t xml:space="preserve">IREN Secures $3.4bn AI Cloud Contract with NVIDIA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IREN </t>
    </r>
    <r>
      <rPr>
        <sz val="9"/>
        <color rgb="FF595959"/>
        <rFont val="Noto Sans CJK SC"/>
        <family val="2"/>
      </rPr>
      <t xml:space="preserve">新聞稿）（</t>
    </r>
    <r>
      <rPr>
        <sz val="9"/>
        <color rgb="FF595959"/>
        <rFont val="Arial"/>
        <family val="0"/>
        <charset val="1"/>
      </rPr>
      <t xml:space="preserve">2026-05-07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[Analogy]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$3.4bn ÷ 5 </t>
    </r>
    <r>
      <rPr>
        <sz val="9"/>
        <color rgb="FF595959"/>
        <rFont val="Noto Sans CJK SC"/>
        <family val="2"/>
      </rPr>
      <t xml:space="preserve">年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60 MW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Childress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口徑未註明，視為 </t>
    </r>
    <r>
      <rPr>
        <sz val="9"/>
        <color rgb="FF595959"/>
        <rFont val="Arial"/>
        <family val="0"/>
        <charset val="1"/>
      </rPr>
      <t xml:space="preserve">IT</t>
    </r>
    <r>
      <rPr>
        <sz val="9"/>
        <color rgb="FF595959"/>
        <rFont val="Noto Sans CJK SC"/>
        <family val="2"/>
      </rPr>
      <t xml:space="preserve">）；氣冷 </t>
    </r>
    <r>
      <rPr>
        <sz val="9"/>
        <color rgb="FF595959"/>
        <rFont val="Arial"/>
        <family val="0"/>
        <charset val="1"/>
      </rPr>
      <t xml:space="preserve">Blackwell</t>
    </r>
    <r>
      <rPr>
        <sz val="9"/>
        <color rgb="FF595959"/>
        <rFont val="Noto Sans CJK SC"/>
        <family val="2"/>
      </rPr>
      <t xml:space="preserve">（非 </t>
    </r>
    <r>
      <rPr>
        <sz val="9"/>
        <color rgb="FF595959"/>
        <rFont val="Arial"/>
        <family val="0"/>
        <charset val="1"/>
      </rPr>
      <t xml:space="preserve">NVL72</t>
    </r>
    <r>
      <rPr>
        <sz val="9"/>
        <color rgb="FF595959"/>
        <rFont val="Noto Sans CJK SC"/>
        <family val="2"/>
      </rPr>
      <t xml:space="preserve">）以 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類比；與第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筆同一供應商，只支持區間｜</t>
    </r>
    <r>
      <rPr>
        <sz val="9"/>
        <color rgb="FF595959"/>
        <rFont val="Arial"/>
        <family val="0"/>
        <charset val="1"/>
      </rPr>
      <t xml:space="preserve">https://iren.gcs-web.com/news-releases/news-release-details/iren-secures-34bn-ai-cloud-contract-nvidia</t>
    </r>
  </si>
  <si>
    <r>
      <rPr>
        <sz val="10"/>
        <rFont val="Arial"/>
        <family val="0"/>
        <charset val="1"/>
      </rPr>
      <t xml:space="preserve">k </t>
    </r>
    <r>
      <rPr>
        <sz val="10"/>
        <rFont val="Noto Sans CJK SC"/>
        <family val="2"/>
      </rPr>
      <t xml:space="preserve">證據｜</t>
    </r>
    <r>
      <rPr>
        <sz val="10"/>
        <rFont val="Arial"/>
        <family val="0"/>
        <charset val="1"/>
      </rPr>
      <t xml:space="preserve">Oracle–OpenAI </t>
    </r>
    <r>
      <rPr>
        <sz val="10"/>
        <rFont val="Noto Sans CJK SC"/>
        <family val="2"/>
      </rPr>
      <t xml:space="preserve">約 </t>
    </r>
    <r>
      <rPr>
        <sz val="10"/>
        <rFont val="Arial"/>
        <family val="0"/>
        <charset val="1"/>
      </rPr>
      <t xml:space="preserve">$300bn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4.5 GW</t>
    </r>
    <r>
      <rPr>
        <sz val="10"/>
        <rFont val="Noto Sans CJK SC"/>
        <family val="2"/>
      </rPr>
      <t xml:space="preserve">（未經證實）</t>
    </r>
  </si>
  <si>
    <t xml:space="preserve">list</t>
  </si>
  <si>
    <r>
      <rPr>
        <sz val="9"/>
        <color rgb="FF595959"/>
        <rFont val="Arial"/>
        <family val="0"/>
        <charset val="1"/>
      </rPr>
      <t xml:space="preserve">GB300 NVL72</t>
    </r>
    <r>
      <rPr>
        <sz val="9"/>
        <color rgb="FF595959"/>
        <rFont val="Noto Sans CJK SC"/>
        <family val="2"/>
      </rPr>
      <t xml:space="preserve">｜長約（</t>
    </r>
    <r>
      <rPr>
        <sz val="9"/>
        <color rgb="FF595959"/>
        <rFont val="Arial"/>
        <family val="0"/>
        <charset val="1"/>
      </rPr>
      <t xml:space="preserve">hyperscaler </t>
    </r>
    <r>
      <rPr>
        <sz val="9"/>
        <color rgb="FF595959"/>
        <rFont val="Noto Sans CJK SC"/>
        <family val="2"/>
      </rPr>
      <t xml:space="preserve">對實驗室）｜約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年（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起）｜</t>
    </r>
    <r>
      <rPr>
        <sz val="9"/>
        <color rgb="FF595959"/>
        <rFont val="Arial"/>
        <family val="0"/>
        <charset val="1"/>
      </rPr>
      <t xml:space="preserve">The Register </t>
    </r>
    <r>
      <rPr>
        <sz val="9"/>
        <color rgb="FF595959"/>
        <rFont val="Noto Sans CJK SC"/>
        <family val="2"/>
      </rPr>
      <t xml:space="preserve">轉述 </t>
    </r>
    <r>
      <rPr>
        <sz val="9"/>
        <color rgb="FF595959"/>
        <rFont val="Arial"/>
        <family val="0"/>
        <charset val="1"/>
      </rPr>
      <t xml:space="preserve">WSJ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2025-09-11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五年支付 </t>
    </r>
    <r>
      <rPr>
        <sz val="9"/>
        <color rgb="FF595959"/>
        <rFont val="Arial"/>
        <family val="0"/>
        <charset val="1"/>
      </rPr>
      <t xml:space="preserve">Oracle $300bn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4.5 GW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2025-07 Stargate </t>
    </r>
    <r>
      <rPr>
        <sz val="9"/>
        <color rgb="FF595959"/>
        <rFont val="Noto Sans CJK SC"/>
        <family val="2"/>
      </rPr>
      <t xml:space="preserve">擴充（</t>
    </r>
    <r>
      <rPr>
        <sz val="9"/>
        <color rgb="FF595959"/>
        <rFont val="Arial"/>
        <family val="0"/>
        <charset val="1"/>
      </rPr>
      <t xml:space="preserve">2025-09-11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[Analogy]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$300bn ÷ 5 ÷ 4,500 MW</t>
    </r>
    <r>
      <rPr>
        <sz val="9"/>
        <color rgb="FF595959"/>
        <rFont val="Noto Sans CJK SC"/>
        <family val="2"/>
      </rPr>
      <t xml:space="preserve">；金額未經當事方證實、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口徑不明（若為設施口徑，每 </t>
    </r>
    <r>
      <rPr>
        <sz val="9"/>
        <color rgb="FF595959"/>
        <rFont val="Arial"/>
        <family val="0"/>
        <charset val="1"/>
      </rPr>
      <t xml:space="preserve">IT MW </t>
    </r>
    <r>
      <rPr>
        <sz val="9"/>
        <color rgb="FF595959"/>
        <rFont val="Noto Sans CJK SC"/>
        <family val="2"/>
      </rPr>
      <t xml:space="preserve">再 </t>
    </r>
    <r>
      <rPr>
        <sz val="9"/>
        <color rgb="FF595959"/>
        <rFont val="Arial"/>
        <family val="0"/>
        <charset val="1"/>
      </rPr>
      <t xml:space="preserve">× 1.2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Oracle </t>
    </r>
    <r>
      <rPr>
        <sz val="9"/>
        <color rgb="FF595959"/>
        <rFont val="Noto Sans CJK SC"/>
        <family val="2"/>
      </rPr>
      <t xml:space="preserve">自有廠房；只列不用｜</t>
    </r>
    <r>
      <rPr>
        <sz val="9"/>
        <color rgb="FF595959"/>
        <rFont val="Arial"/>
        <family val="0"/>
        <charset val="1"/>
      </rPr>
      <t xml:space="preserve">https://www.theregister.com/2025/09/11/openai_reportedly_on_the_hook/</t>
    </r>
  </si>
  <si>
    <r>
      <rPr>
        <sz val="10"/>
        <rFont val="Arial"/>
        <family val="0"/>
        <charset val="1"/>
      </rPr>
      <t xml:space="preserve">k </t>
    </r>
    <r>
      <rPr>
        <sz val="10"/>
        <rFont val="Noto Sans CJK SC"/>
        <family val="2"/>
      </rPr>
      <t xml:space="preserve">證據｜</t>
    </r>
    <r>
      <rPr>
        <sz val="10"/>
        <rFont val="Arial"/>
        <family val="0"/>
        <charset val="1"/>
      </rPr>
      <t xml:space="preserve">H100 Silicon Data </t>
    </r>
    <r>
      <rPr>
        <sz val="10"/>
        <rFont val="Noto Sans CJK SC"/>
        <family val="2"/>
      </rPr>
      <t xml:space="preserve">現貨指數</t>
    </r>
  </si>
  <si>
    <t xml:space="preserve">spot</t>
  </si>
  <si>
    <r>
      <rPr>
        <sz val="9"/>
        <color rgb="FF595959"/>
        <rFont val="Arial"/>
        <family val="0"/>
        <charset val="1"/>
      </rPr>
      <t xml:space="preserve">Hopper H100</t>
    </r>
    <r>
      <rPr>
        <sz val="9"/>
        <color rgb="FF595959"/>
        <rFont val="Noto Sans CJK SC"/>
        <family val="2"/>
      </rPr>
      <t xml:space="preserve">｜現貨（市場租金指數）｜隨需／短期｜</t>
    </r>
    <r>
      <rPr>
        <sz val="9"/>
        <color rgb="FF595959"/>
        <rFont val="Arial"/>
        <family val="0"/>
        <charset val="1"/>
      </rPr>
      <t xml:space="preserve">Silicon Data H100 Index </t>
    </r>
    <r>
      <rPr>
        <sz val="9"/>
        <color rgb="FF595959"/>
        <rFont val="Noto Sans CJK SC"/>
        <family val="2"/>
      </rPr>
      <t xml:space="preserve">頁面（</t>
    </r>
    <r>
      <rPr>
        <sz val="9"/>
        <color rgb="FF595959"/>
        <rFont val="Arial"/>
        <family val="0"/>
        <charset val="1"/>
      </rPr>
      <t xml:space="preserve">2026-10-06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  <r>
      <rPr>
        <sz val="9"/>
        <color rgb="FF595959"/>
        <rFont val="Noto Sans CJK SC"/>
        <family val="2"/>
      </rPr>
      <t xml:space="preserve">｜價格 </t>
    </r>
    <r>
      <rPr>
        <sz val="9"/>
        <color rgb="FF595959"/>
        <rFont val="Arial"/>
        <family val="0"/>
        <charset val="1"/>
      </rPr>
      <t xml:space="preserve">[Verified]</t>
    </r>
    <r>
      <rPr>
        <sz val="9"/>
        <color rgb="FF595959"/>
        <rFont val="Noto Sans CJK SC"/>
        <family val="2"/>
      </rPr>
      <t xml:space="preserve">；倍數 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https://www.silicondata.com/products/silicon-index/h100</t>
    </r>
  </si>
  <si>
    <r>
      <rPr>
        <sz val="10"/>
        <rFont val="Arial"/>
        <family val="0"/>
        <charset val="1"/>
      </rPr>
      <t xml:space="preserve">k </t>
    </r>
    <r>
      <rPr>
        <sz val="10"/>
        <rFont val="Noto Sans CJK SC"/>
        <family val="2"/>
      </rPr>
      <t xml:space="preserve">證據｜</t>
    </r>
    <r>
      <rPr>
        <sz val="10"/>
        <rFont val="Arial"/>
        <family val="0"/>
        <charset val="1"/>
      </rPr>
      <t xml:space="preserve">B300 Silicon Data </t>
    </r>
    <r>
      <rPr>
        <sz val="10"/>
        <rFont val="Noto Sans CJK SC"/>
        <family val="2"/>
      </rPr>
      <t xml:space="preserve">現貨指數（</t>
    </r>
    <r>
      <rPr>
        <sz val="10"/>
        <rFont val="Arial"/>
        <family val="0"/>
        <charset val="1"/>
      </rPr>
      <t xml:space="preserve">GB300 </t>
    </r>
    <r>
      <rPr>
        <sz val="10"/>
        <rFont val="Noto Sans CJK SC"/>
        <family val="2"/>
      </rPr>
      <t xml:space="preserve">類比）</t>
    </r>
  </si>
  <si>
    <r>
      <rPr>
        <sz val="9"/>
        <color rgb="FF595959"/>
        <rFont val="Arial"/>
        <family val="0"/>
        <charset val="1"/>
      </rPr>
      <t xml:space="preserve">GB300 NVL72</t>
    </r>
    <r>
      <rPr>
        <sz val="9"/>
        <color rgb="FF595959"/>
        <rFont val="Noto Sans CJK SC"/>
        <family val="2"/>
      </rPr>
      <t xml:space="preserve">｜現貨（市場租金指數）｜隨需／短期｜</t>
    </r>
    <r>
      <rPr>
        <sz val="9"/>
        <color rgb="FF595959"/>
        <rFont val="Arial"/>
        <family val="0"/>
        <charset val="1"/>
      </rPr>
      <t xml:space="preserve">Silicon Data H100 Index </t>
    </r>
    <r>
      <rPr>
        <sz val="9"/>
        <color rgb="FF595959"/>
        <rFont val="Noto Sans CJK SC"/>
        <family val="2"/>
      </rPr>
      <t xml:space="preserve">頁面（含 </t>
    </r>
    <r>
      <rPr>
        <sz val="9"/>
        <color rgb="FF595959"/>
        <rFont val="Arial"/>
        <family val="0"/>
        <charset val="1"/>
      </rPr>
      <t xml:space="preserve">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B300 </t>
    </r>
    <r>
      <rPr>
        <sz val="9"/>
        <color rgb="FF595959"/>
        <rFont val="Noto Sans CJK SC"/>
        <family val="2"/>
      </rPr>
      <t xml:space="preserve">指數）（</t>
    </r>
    <r>
      <rPr>
        <sz val="9"/>
        <color rgb="FF595959"/>
        <rFont val="Arial"/>
        <family val="0"/>
        <charset val="1"/>
      </rPr>
      <t xml:space="preserve">2026-10-06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[Analogy]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HGX B300 </t>
    </r>
    <r>
      <rPr>
        <sz val="9"/>
        <color rgb="FF595959"/>
        <rFont val="Noto Sans CJK SC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GB300 NVL72 </t>
    </r>
    <r>
      <rPr>
        <sz val="9"/>
        <color rgb="FF595959"/>
        <rFont val="Noto Sans CJK SC"/>
        <family val="2"/>
      </rPr>
      <t xml:space="preserve">類比；</t>
    </r>
    <r>
      <rPr>
        <sz val="9"/>
        <color rgb="FF595959"/>
        <rFont val="Arial"/>
        <family val="0"/>
        <charset val="1"/>
      </rPr>
      <t xml:space="preserve">k_</t>
    </r>
    <r>
      <rPr>
        <sz val="9"/>
        <color rgb="FF595959"/>
        <rFont val="Noto Sans CJK SC"/>
        <family val="2"/>
      </rPr>
      <t xml:space="preserve">現貨上緣｜</t>
    </r>
    <r>
      <rPr>
        <sz val="9"/>
        <color rgb="FF595959"/>
        <rFont val="Arial"/>
        <family val="0"/>
        <charset val="1"/>
      </rPr>
      <t xml:space="preserve">https://www.silicondata.com/products/silicon-index/h100</t>
    </r>
  </si>
  <si>
    <r>
      <rPr>
        <sz val="10"/>
        <rFont val="Arial"/>
        <family val="0"/>
        <charset val="1"/>
      </rPr>
      <t xml:space="preserve">k </t>
    </r>
    <r>
      <rPr>
        <sz val="10"/>
        <rFont val="Noto Sans CJK SC"/>
        <family val="2"/>
      </rPr>
      <t xml:space="preserve">證據｜</t>
    </r>
    <r>
      <rPr>
        <sz val="10"/>
        <rFont val="Arial"/>
        <family val="0"/>
        <charset val="1"/>
      </rPr>
      <t xml:space="preserve">B200 Ornn </t>
    </r>
    <r>
      <rPr>
        <sz val="10"/>
        <rFont val="Noto Sans CJK SC"/>
        <family val="2"/>
      </rPr>
      <t xml:space="preserve">成交指數（</t>
    </r>
    <r>
      <rPr>
        <sz val="10"/>
        <rFont val="Arial"/>
        <family val="0"/>
        <charset val="1"/>
      </rPr>
      <t xml:space="preserve">GB200 </t>
    </r>
    <r>
      <rPr>
        <sz val="10"/>
        <rFont val="Noto Sans CJK SC"/>
        <family val="2"/>
      </rPr>
      <t xml:space="preserve">類比）</t>
    </r>
  </si>
  <si>
    <r>
      <rPr>
        <sz val="9"/>
        <color rgb="FF595959"/>
        <rFont val="Arial"/>
        <family val="0"/>
        <charset val="1"/>
      </rPr>
      <t xml:space="preserve">GB200 NVL72</t>
    </r>
    <r>
      <rPr>
        <sz val="9"/>
        <color rgb="FF595959"/>
        <rFont val="Noto Sans CJK SC"/>
        <family val="2"/>
      </rPr>
      <t xml:space="preserve">｜現貨（市場成交指數）｜隨需／短期｜</t>
    </r>
    <r>
      <rPr>
        <sz val="9"/>
        <color rgb="FF595959"/>
        <rFont val="Arial"/>
        <family val="0"/>
        <charset val="1"/>
      </rPr>
      <t xml:space="preserve">Ornn</t>
    </r>
    <r>
      <rPr>
        <sz val="9"/>
        <color rgb="FF595959"/>
        <rFont val="Noto Sans CJK SC"/>
        <family val="2"/>
      </rPr>
      <t xml:space="preserve">（經 </t>
    </r>
    <r>
      <rPr>
        <sz val="9"/>
        <color rgb="FF595959"/>
        <rFont val="Arial"/>
        <family val="0"/>
        <charset val="1"/>
      </rPr>
      <t xml:space="preserve">WSJ </t>
    </r>
    <r>
      <rPr>
        <sz val="9"/>
        <color rgb="FF595959"/>
        <rFont val="Noto Sans CJK SC"/>
        <family val="2"/>
      </rPr>
      <t xml:space="preserve">轉述；</t>
    </r>
    <r>
      <rPr>
        <sz val="9"/>
        <color rgb="FF595959"/>
        <rFont val="Arial"/>
        <family val="0"/>
        <charset val="1"/>
      </rPr>
      <t xml:space="preserve">W1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6c </t>
    </r>
    <r>
      <rPr>
        <sz val="9"/>
        <color rgb="FF595959"/>
        <rFont val="Noto Sans CJK SC"/>
        <family val="2"/>
      </rPr>
      <t xml:space="preserve">步）（</t>
    </r>
    <r>
      <rPr>
        <sz val="9"/>
        <color rgb="FF595959"/>
        <rFont val="Arial"/>
        <family val="0"/>
        <charset val="1"/>
      </rPr>
      <t xml:space="preserve">2026-04-13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[Analogy]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HGX B200 </t>
    </r>
    <r>
      <rPr>
        <sz val="9"/>
        <color rgb="FF595959"/>
        <rFont val="Noto Sans CJK SC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GB200 NVL72 </t>
    </r>
    <r>
      <rPr>
        <sz val="9"/>
        <color rgb="FF595959"/>
        <rFont val="Noto Sans CJK SC"/>
        <family val="2"/>
      </rPr>
      <t xml:space="preserve">類比；落在 </t>
    </r>
    <r>
      <rPr>
        <sz val="9"/>
        <color rgb="FF595959"/>
        <rFont val="Arial"/>
        <family val="0"/>
        <charset val="1"/>
      </rPr>
      <t xml:space="preserve">k_</t>
    </r>
    <r>
      <rPr>
        <sz val="9"/>
        <color rgb="FF595959"/>
        <rFont val="Noto Sans CJK SC"/>
        <family val="2"/>
      </rPr>
      <t xml:space="preserve">現貨區間內</t>
    </r>
  </si>
  <si>
    <r>
      <rPr>
        <sz val="10"/>
        <rFont val="Arial"/>
        <family val="0"/>
        <charset val="1"/>
      </rPr>
      <t xml:space="preserve">k </t>
    </r>
    <r>
      <rPr>
        <sz val="10"/>
        <rFont val="Noto Sans CJK SC"/>
        <family val="2"/>
      </rPr>
      <t xml:space="preserve">證據｜</t>
    </r>
    <r>
      <rPr>
        <sz val="10"/>
        <rFont val="Arial"/>
        <family val="0"/>
        <charset val="1"/>
      </rPr>
      <t xml:space="preserve">B200 Silicon Data </t>
    </r>
    <r>
      <rPr>
        <sz val="10"/>
        <rFont val="Noto Sans CJK SC"/>
        <family val="2"/>
      </rPr>
      <t xml:space="preserve">現貨指數（</t>
    </r>
    <r>
      <rPr>
        <sz val="10"/>
        <rFont val="Arial"/>
        <family val="0"/>
        <charset val="1"/>
      </rPr>
      <t xml:space="preserve">GB200 </t>
    </r>
    <r>
      <rPr>
        <sz val="10"/>
        <rFont val="Noto Sans CJK SC"/>
        <family val="2"/>
      </rPr>
      <t xml:space="preserve">類比）</t>
    </r>
  </si>
  <si>
    <r>
      <rPr>
        <sz val="9"/>
        <color rgb="FF595959"/>
        <rFont val="Arial"/>
        <family val="0"/>
        <charset val="1"/>
      </rPr>
      <t xml:space="preserve">GB200 NVL72</t>
    </r>
    <r>
      <rPr>
        <sz val="9"/>
        <color rgb="FF595959"/>
        <rFont val="Noto Sans CJK SC"/>
        <family val="2"/>
      </rPr>
      <t xml:space="preserve">｜現貨（市場租金指數）｜隨需／短期｜</t>
    </r>
    <r>
      <rPr>
        <sz val="9"/>
        <color rgb="FF595959"/>
        <rFont val="Arial"/>
        <family val="0"/>
        <charset val="1"/>
      </rPr>
      <t xml:space="preserve">Silicon Data H100 Index </t>
    </r>
    <r>
      <rPr>
        <sz val="9"/>
        <color rgb="FF595959"/>
        <rFont val="Noto Sans CJK SC"/>
        <family val="2"/>
      </rPr>
      <t xml:space="preserve">頁面（含 </t>
    </r>
    <r>
      <rPr>
        <sz val="9"/>
        <color rgb="FF595959"/>
        <rFont val="Arial"/>
        <family val="0"/>
        <charset val="1"/>
      </rPr>
      <t xml:space="preserve">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B300 </t>
    </r>
    <r>
      <rPr>
        <sz val="9"/>
        <color rgb="FF595959"/>
        <rFont val="Noto Sans CJK SC"/>
        <family val="2"/>
      </rPr>
      <t xml:space="preserve">指數）（</t>
    </r>
    <r>
      <rPr>
        <sz val="9"/>
        <color rgb="FF595959"/>
        <rFont val="Arial"/>
        <family val="0"/>
        <charset val="1"/>
      </rPr>
      <t xml:space="preserve">2026-10-06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[Analogy]</t>
    </r>
    <r>
      <rPr>
        <sz val="9"/>
        <color rgb="FF595959"/>
        <rFont val="Noto Sans CJK SC"/>
        <family val="2"/>
      </rPr>
      <t xml:space="preserve">｜高於 </t>
    </r>
    <r>
      <rPr>
        <sz val="9"/>
        <color rgb="FF595959"/>
        <rFont val="Arial"/>
        <family val="0"/>
        <charset val="1"/>
      </rPr>
      <t xml:space="preserve">k_</t>
    </r>
    <r>
      <rPr>
        <sz val="9"/>
        <color rgb="FF595959"/>
        <rFont val="Noto Sans CJK SC"/>
        <family val="2"/>
      </rPr>
      <t xml:space="preserve">現貨區間上緣；</t>
    </r>
    <r>
      <rPr>
        <sz val="9"/>
        <color rgb="FF595959"/>
        <rFont val="Arial"/>
        <family val="0"/>
        <charset val="1"/>
      </rPr>
      <t xml:space="preserve">HGX B200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小時成本低於 </t>
    </r>
    <r>
      <rPr>
        <sz val="9"/>
        <color rgb="FF595959"/>
        <rFont val="Arial"/>
        <family val="0"/>
        <charset val="1"/>
      </rPr>
      <t xml:space="preserve">GB200 NVL72 </t>
    </r>
    <r>
      <rPr>
        <sz val="9"/>
        <color rgb="FF595959"/>
        <rFont val="Noto Sans CJK SC"/>
        <family val="2"/>
      </rPr>
      <t xml:space="preserve">的機架攤提，類比偏高，只列｜</t>
    </r>
    <r>
      <rPr>
        <sz val="9"/>
        <color rgb="FF595959"/>
        <rFont val="Arial"/>
        <family val="0"/>
        <charset val="1"/>
      </rPr>
      <t xml:space="preserve">https://www.silicondata.com/products/silicon-index/h100</t>
    </r>
  </si>
  <si>
    <r>
      <rPr>
        <sz val="10"/>
        <rFont val="Arial"/>
        <family val="0"/>
        <charset val="1"/>
      </rPr>
      <t xml:space="preserve">k </t>
    </r>
    <r>
      <rPr>
        <sz val="10"/>
        <rFont val="Noto Sans CJK SC"/>
        <family val="2"/>
      </rPr>
      <t xml:space="preserve">證據｜</t>
    </r>
    <r>
      <rPr>
        <sz val="10"/>
        <rFont val="Arial"/>
        <family val="0"/>
        <charset val="1"/>
      </rPr>
      <t xml:space="preserve">B300 Nebius </t>
    </r>
    <r>
      <rPr>
        <sz val="10"/>
        <rFont val="Noto Sans CJK SC"/>
        <family val="2"/>
      </rPr>
      <t xml:space="preserve">隨需牌價（</t>
    </r>
    <r>
      <rPr>
        <sz val="10"/>
        <rFont val="Arial"/>
        <family val="0"/>
        <charset val="1"/>
      </rPr>
      <t xml:space="preserve">GB300 </t>
    </r>
    <r>
      <rPr>
        <sz val="10"/>
        <rFont val="Noto Sans CJK SC"/>
        <family val="2"/>
      </rPr>
      <t xml:space="preserve">類比）</t>
    </r>
  </si>
  <si>
    <r>
      <rPr>
        <sz val="9"/>
        <color rgb="FF595959"/>
        <rFont val="Arial"/>
        <family val="0"/>
        <charset val="1"/>
      </rPr>
      <t xml:space="preserve">GB300 NVL72</t>
    </r>
    <r>
      <rPr>
        <sz val="9"/>
        <color rgb="FF595959"/>
        <rFont val="Noto Sans CJK SC"/>
        <family val="2"/>
      </rPr>
      <t xml:space="preserve">｜隨需牌價｜隨需｜</t>
    </r>
    <r>
      <rPr>
        <sz val="9"/>
        <color rgb="FF595959"/>
        <rFont val="Arial"/>
        <family val="0"/>
        <charset val="1"/>
      </rPr>
      <t xml:space="preserve">Nebius NVIDIA GPU Pricing</t>
    </r>
    <r>
      <rPr>
        <sz val="9"/>
        <color rgb="FF595959"/>
        <rFont val="Noto Sans CJK SC"/>
        <family val="2"/>
      </rPr>
      <t xml:space="preserve">（官網價目）（</t>
    </r>
    <r>
      <rPr>
        <sz val="9"/>
        <color rgb="FF595959"/>
        <rFont val="Arial"/>
        <family val="0"/>
        <charset val="1"/>
      </rPr>
      <t xml:space="preserve">2026-10-07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  <r>
      <rPr>
        <sz val="9"/>
        <color rgb="FF595959"/>
        <rFont val="Noto Sans CJK SC"/>
        <family val="2"/>
      </rPr>
      <t xml:space="preserve">｜牌價非成交價（</t>
    </r>
    <r>
      <rPr>
        <sz val="9"/>
        <color rgb="FF595959"/>
        <rFont val="Arial"/>
        <family val="0"/>
        <charset val="1"/>
      </rPr>
      <t xml:space="preserve">10/1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9.50</t>
    </r>
    <r>
      <rPr>
        <sz val="9"/>
        <color rgb="FF595959"/>
        <rFont val="Noto Sans CJK SC"/>
        <family val="2"/>
      </rPr>
      <t xml:space="preserve">）；只列不用｜</t>
    </r>
    <r>
      <rPr>
        <sz val="9"/>
        <color rgb="FF595959"/>
        <rFont val="Arial"/>
        <family val="0"/>
        <charset val="1"/>
      </rPr>
      <t xml:space="preserve">https://nebius.com/prices</t>
    </r>
  </si>
  <si>
    <r>
      <rPr>
        <sz val="10"/>
        <rFont val="Arial"/>
        <family val="0"/>
        <charset val="1"/>
      </rPr>
      <t xml:space="preserve">k </t>
    </r>
    <r>
      <rPr>
        <sz val="10"/>
        <rFont val="Noto Sans CJK SC"/>
        <family val="2"/>
      </rPr>
      <t xml:space="preserve">證據｜</t>
    </r>
    <r>
      <rPr>
        <sz val="10"/>
        <rFont val="Arial"/>
        <family val="0"/>
        <charset val="1"/>
      </rPr>
      <t xml:space="preserve">GB200 CoreWeave </t>
    </r>
    <r>
      <rPr>
        <sz val="10"/>
        <rFont val="Noto Sans CJK SC"/>
        <family val="2"/>
      </rPr>
      <t xml:space="preserve">隨需牌價</t>
    </r>
  </si>
  <si>
    <r>
      <rPr>
        <sz val="9"/>
        <color rgb="FF595959"/>
        <rFont val="Arial"/>
        <family val="0"/>
        <charset val="1"/>
      </rPr>
      <t xml:space="preserve">GB200 NVL72</t>
    </r>
    <r>
      <rPr>
        <sz val="9"/>
        <color rgb="FF595959"/>
        <rFont val="Noto Sans CJK SC"/>
        <family val="2"/>
      </rPr>
      <t xml:space="preserve">｜隨需牌價｜隨需｜</t>
    </r>
    <r>
      <rPr>
        <sz val="9"/>
        <color rgb="FF595959"/>
        <rFont val="Arial"/>
        <family val="0"/>
        <charset val="1"/>
      </rPr>
      <t xml:space="preserve">CoreWeave Pricing</t>
    </r>
    <r>
      <rPr>
        <sz val="9"/>
        <color rgb="FF595959"/>
        <rFont val="Noto Sans CJK SC"/>
        <family val="2"/>
      </rPr>
      <t xml:space="preserve">（官網價目）（</t>
    </r>
    <r>
      <rPr>
        <sz val="9"/>
        <color rgb="FF595959"/>
        <rFont val="Arial"/>
        <family val="0"/>
        <charset val="1"/>
      </rPr>
      <t xml:space="preserve">2026-10-07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  <r>
      <rPr>
        <sz val="9"/>
        <color rgb="FF595959"/>
        <rFont val="Noto Sans CJK SC"/>
        <family val="2"/>
      </rPr>
      <t xml:space="preserve">｜牌價非成交價（長約最多 −</t>
    </r>
    <r>
      <rPr>
        <sz val="9"/>
        <color rgb="FF595959"/>
        <rFont val="Arial"/>
        <family val="0"/>
        <charset val="1"/>
      </rPr>
      <t xml:space="preserve">60%</t>
    </r>
    <r>
      <rPr>
        <sz val="9"/>
        <color rgb="FF595959"/>
        <rFont val="Noto Sans CJK SC"/>
        <family val="2"/>
      </rPr>
      <t xml:space="preserve">）；只列不用｜</t>
    </r>
    <r>
      <rPr>
        <sz val="9"/>
        <color rgb="FF595959"/>
        <rFont val="Arial"/>
        <family val="0"/>
        <charset val="1"/>
      </rPr>
      <t xml:space="preserve">https://www.coreweave.com/pricing</t>
    </r>
  </si>
  <si>
    <r>
      <rPr>
        <sz val="10"/>
        <rFont val="Arial"/>
        <family val="0"/>
        <charset val="1"/>
      </rPr>
      <t xml:space="preserve">k </t>
    </r>
    <r>
      <rPr>
        <sz val="10"/>
        <rFont val="Noto Sans CJK SC"/>
        <family val="2"/>
      </rPr>
      <t xml:space="preserve">證據｜</t>
    </r>
    <r>
      <rPr>
        <sz val="10"/>
        <rFont val="Arial"/>
        <family val="0"/>
        <charset val="1"/>
      </rPr>
      <t xml:space="preserve">H100 CoreWeave </t>
    </r>
    <r>
      <rPr>
        <sz val="10"/>
        <rFont val="Noto Sans CJK SC"/>
        <family val="2"/>
      </rPr>
      <t xml:space="preserve">隨需牌價</t>
    </r>
  </si>
  <si>
    <r>
      <rPr>
        <sz val="9"/>
        <color rgb="FF595959"/>
        <rFont val="Arial"/>
        <family val="0"/>
        <charset val="1"/>
      </rPr>
      <t xml:space="preserve">Hopper H100</t>
    </r>
    <r>
      <rPr>
        <sz val="9"/>
        <color rgb="FF595959"/>
        <rFont val="Noto Sans CJK SC"/>
        <family val="2"/>
      </rPr>
      <t xml:space="preserve">｜隨需牌價｜隨需｜</t>
    </r>
    <r>
      <rPr>
        <sz val="9"/>
        <color rgb="FF595959"/>
        <rFont val="Arial"/>
        <family val="0"/>
        <charset val="1"/>
      </rPr>
      <t xml:space="preserve">CoreWeave Pricing</t>
    </r>
    <r>
      <rPr>
        <sz val="9"/>
        <color rgb="FF595959"/>
        <rFont val="Noto Sans CJK SC"/>
        <family val="2"/>
      </rPr>
      <t xml:space="preserve">（官網價目）（</t>
    </r>
    <r>
      <rPr>
        <sz val="9"/>
        <color rgb="FF595959"/>
        <rFont val="Arial"/>
        <family val="0"/>
        <charset val="1"/>
      </rPr>
      <t xml:space="preserve">2026-10-07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  <r>
      <rPr>
        <sz val="9"/>
        <color rgb="FF595959"/>
        <rFont val="Noto Sans CJK SC"/>
        <family val="2"/>
      </rPr>
      <t xml:space="preserve">｜牌價非成交價；只列不用｜</t>
    </r>
    <r>
      <rPr>
        <sz val="9"/>
        <color rgb="FF595959"/>
        <rFont val="Arial"/>
        <family val="0"/>
        <charset val="1"/>
      </rPr>
      <t xml:space="preserve">https://www.coreweave.com/pricing</t>
    </r>
  </si>
  <si>
    <t xml:space="preserve">合約組合｜已承諾合約加權平均年期</t>
  </si>
  <si>
    <r>
      <rPr>
        <sz val="9"/>
        <color rgb="FF595959"/>
        <rFont val="Arial"/>
        <family val="0"/>
        <charset val="1"/>
      </rPr>
      <t xml:space="preserve">CoreWeave Form 10-K FY2025</t>
    </r>
    <r>
      <rPr>
        <sz val="9"/>
        <color rgb="FF595959"/>
        <rFont val="Noto Sans CJK SC"/>
        <family val="2"/>
      </rPr>
      <t xml:space="preserve">：「</t>
    </r>
    <r>
      <rPr>
        <sz val="9"/>
        <color rgb="FF595959"/>
        <rFont val="Arial"/>
        <family val="0"/>
        <charset val="1"/>
      </rPr>
      <t xml:space="preserve">As of December 31, 2025, our committed contracts had a weighted-average contract duration of approximately five years.</t>
    </r>
    <r>
      <rPr>
        <sz val="9"/>
        <color rgb="FF595959"/>
        <rFont val="Noto Sans CJK SC"/>
        <family val="2"/>
      </rPr>
      <t xml:space="preserve">」（</t>
    </r>
    <r>
      <rPr>
        <sz val="9"/>
        <color rgb="FF595959"/>
        <rFont val="Arial"/>
        <family val="0"/>
        <charset val="1"/>
      </rPr>
      <t xml:space="preserve">2026-02-26</t>
    </r>
    <r>
      <rPr>
        <sz val="9"/>
        <color rgb="FF595959"/>
        <rFont val="Noto Sans CJK SC"/>
        <family val="2"/>
      </rPr>
      <t xml:space="preserve">） </t>
    </r>
    <r>
      <rPr>
        <sz val="9"/>
        <color rgb="FF595959"/>
        <rFont val="Arial"/>
        <family val="0"/>
        <charset val="1"/>
      </rPr>
      <t xml:space="preserve">[Verified]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https://www.sec.gov/Archives/edgar/data/1769628/000176962826000104/crwv-20251231.htm</t>
    </r>
  </si>
  <si>
    <t xml:space="preserve">合約組合｜收入以多年期已承諾合約為主（未給百分比）</t>
  </si>
  <si>
    <t xml:space="preserve">[Interested-party]</t>
  </si>
  <si>
    <r>
      <rPr>
        <sz val="9"/>
        <color rgb="FF595959"/>
        <rFont val="Arial"/>
        <family val="0"/>
        <charset val="1"/>
      </rPr>
      <t xml:space="preserve">CoreWeave Form S-1</t>
    </r>
    <r>
      <rPr>
        <sz val="9"/>
        <color rgb="FF595959"/>
        <rFont val="Noto Sans CJK SC"/>
        <family val="2"/>
      </rPr>
      <t xml:space="preserve">：「</t>
    </r>
    <r>
      <rPr>
        <sz val="9"/>
        <color rgb="FF595959"/>
        <rFont val="Arial"/>
        <family val="0"/>
        <charset val="1"/>
      </rPr>
      <t xml:space="preserve">The vast majority of our revenue today is from multi-year committed contracts</t>
    </r>
    <r>
      <rPr>
        <sz val="9"/>
        <color rgb="FF595959"/>
        <rFont val="Noto Sans CJK SC"/>
        <family val="2"/>
      </rPr>
      <t xml:space="preserve">」；另有 </t>
    </r>
    <r>
      <rPr>
        <sz val="9"/>
        <color rgb="FF595959"/>
        <rFont val="Arial"/>
        <family val="0"/>
        <charset val="1"/>
      </rPr>
      <t xml:space="preserve">pay-as-you-go </t>
    </r>
    <r>
      <rPr>
        <sz val="9"/>
        <color rgb="FF595959"/>
        <rFont val="Noto Sans CJK SC"/>
        <family val="2"/>
      </rPr>
      <t xml:space="preserve">隨需（</t>
    </r>
    <r>
      <rPr>
        <sz val="9"/>
        <color rgb="FF595959"/>
        <rFont val="Arial"/>
        <family val="0"/>
        <charset val="1"/>
      </rPr>
      <t xml:space="preserve">2025-03-03</t>
    </r>
    <r>
      <rPr>
        <sz val="9"/>
        <color rgb="FF595959"/>
        <rFont val="Noto Sans CJK SC"/>
        <family val="2"/>
      </rPr>
      <t xml:space="preserve">） </t>
    </r>
    <r>
      <rPr>
        <sz val="9"/>
        <color rgb="FF595959"/>
        <rFont val="Arial"/>
        <family val="0"/>
        <charset val="1"/>
      </rPr>
      <t xml:space="preserve">[Interested-party]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https://www.sec.gov/Archives/edgar/data/1769628/000119312525044231/d899798ds1.htm</t>
    </r>
  </si>
  <si>
    <t xml:space="preserve">合約組合｜長約與隨需收入比例（百分比）</t>
  </si>
  <si>
    <t xml:space="preserve">找不到</t>
  </si>
  <si>
    <r>
      <rPr>
        <sz val="9"/>
        <color rgb="FF595959"/>
        <rFont val="Noto Sans CJK SC"/>
        <family val="2"/>
      </rPr>
      <t xml:space="preserve">試過：</t>
    </r>
    <r>
      <rPr>
        <sz val="9"/>
        <color rgb="FF595959"/>
        <rFont val="Arial"/>
        <family val="0"/>
        <charset val="1"/>
      </rPr>
      <t xml:space="preserve">10-K FY2025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S-1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Q2 2026 </t>
    </r>
    <r>
      <rPr>
        <sz val="9"/>
        <color rgb="FF595959"/>
        <rFont val="Noto Sans CJK SC"/>
        <family val="2"/>
      </rPr>
      <t xml:space="preserve">新聞稿與網路搜尋；公司未揭露長約／隨需收入或產能比例（找不到，不代表不存在） 找不到</t>
    </r>
  </si>
  <si>
    <r>
      <rPr>
        <sz val="10"/>
        <rFont val="Noto Sans CJK SC"/>
        <family val="2"/>
      </rPr>
      <t xml:space="preserve">找不到｜第 </t>
    </r>
    <r>
      <rPr>
        <sz val="10"/>
        <rFont val="Arial"/>
        <family val="0"/>
        <charset val="1"/>
      </rPr>
      <t xml:space="preserve">1 </t>
    </r>
    <r>
      <rPr>
        <sz val="10"/>
        <rFont val="Noto Sans CJK SC"/>
        <family val="2"/>
      </rPr>
      <t xml:space="preserve">項</t>
    </r>
  </si>
  <si>
    <r>
      <rPr>
        <sz val="9"/>
        <color rgb="FF595959"/>
        <rFont val="Arial"/>
        <family val="0"/>
        <charset val="1"/>
      </rPr>
      <t xml:space="preserve">VR200 NVL72 </t>
    </r>
    <r>
      <rPr>
        <sz val="9"/>
        <color rgb="FF595959"/>
        <rFont val="Noto Sans CJK SC"/>
        <family val="2"/>
      </rPr>
      <t xml:space="preserve">長約或多年期合約的每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小時／每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價格：</t>
    </r>
    <r>
      <rPr>
        <sz val="9"/>
        <color rgb="FF595959"/>
        <rFont val="Arial"/>
        <family val="0"/>
        <charset val="1"/>
      </rPr>
      <t xml:space="preserve">Nebius–Meta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2026-03-16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$12bn </t>
    </r>
    <r>
      <rPr>
        <sz val="9"/>
        <color rgb="FF595959"/>
        <rFont val="Noto Sans CJK SC"/>
        <family val="2"/>
      </rPr>
      <t xml:space="preserve">專屬產能、</t>
    </r>
    <r>
      <rPr>
        <sz val="9"/>
        <color rgb="FF595959"/>
        <rFont val="Arial"/>
        <family val="0"/>
        <charset val="1"/>
      </rPr>
      <t xml:space="preserve">Vera Rubin</t>
    </r>
    <r>
      <rPr>
        <sz val="9"/>
        <color rgb="FF595959"/>
        <rFont val="Noto Sans CJK SC"/>
        <family val="2"/>
      </rPr>
      <t xml:space="preserve">、五年）與 </t>
    </r>
    <r>
      <rPr>
        <sz val="9"/>
        <color rgb="FF595959"/>
        <rFont val="Arial"/>
        <family val="0"/>
        <charset val="1"/>
      </rPr>
      <t xml:space="preserve">Nebius–Microsoft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2025-09-08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$17.4–19.4bn</t>
    </r>
    <r>
      <rPr>
        <sz val="9"/>
        <color rgb="FF595959"/>
        <rFont val="Noto Sans CJK SC"/>
        <family val="2"/>
      </rPr>
      <t xml:space="preserve">、五年）都未揭露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或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數，無法換算（找不到）</t>
    </r>
  </si>
  <si>
    <r>
      <rPr>
        <sz val="10"/>
        <rFont val="Noto Sans CJK SC"/>
        <family val="2"/>
      </rPr>
      <t xml:space="preserve">找不到｜第 </t>
    </r>
    <r>
      <rPr>
        <sz val="10"/>
        <rFont val="Arial"/>
        <family val="0"/>
        <charset val="1"/>
      </rPr>
      <t xml:space="preserve">2 </t>
    </r>
    <r>
      <rPr>
        <sz val="10"/>
        <rFont val="Noto Sans CJK SC"/>
        <family val="2"/>
      </rPr>
      <t xml:space="preserve">項</t>
    </r>
  </si>
  <si>
    <r>
      <rPr>
        <sz val="9"/>
        <color rgb="FF595959"/>
        <rFont val="Arial"/>
        <family val="0"/>
        <charset val="1"/>
      </rPr>
      <t xml:space="preserve">GB200 NVL72 </t>
    </r>
    <r>
      <rPr>
        <sz val="9"/>
        <color rgb="FF595959"/>
        <rFont val="Noto Sans CJK SC"/>
        <family val="2"/>
      </rPr>
      <t xml:space="preserve">長約價：找不到可換算的揭露（</t>
    </r>
    <r>
      <rPr>
        <sz val="9"/>
        <color rgb="FF595959"/>
        <rFont val="Arial"/>
        <family val="0"/>
        <charset val="1"/>
      </rPr>
      <t xml:space="preserve">Nscale–Microsoft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20 </t>
    </r>
    <r>
      <rPr>
        <sz val="9"/>
        <color rgb="FF595959"/>
        <rFont val="Noto Sans CJK SC"/>
        <family val="2"/>
      </rPr>
      <t xml:space="preserve">萬顆 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未揭露金額，</t>
    </r>
    <r>
      <rPr>
        <sz val="9"/>
        <color rgb="FF595959"/>
        <rFont val="Arial"/>
        <family val="0"/>
        <charset val="1"/>
      </rPr>
      <t xml:space="preserve">FT </t>
    </r>
    <r>
      <rPr>
        <sz val="9"/>
        <color rgb="FF595959"/>
        <rFont val="Noto Sans CJK SC"/>
        <family val="2"/>
      </rPr>
      <t xml:space="preserve">估約 </t>
    </r>
    <r>
      <rPr>
        <sz val="9"/>
        <color rgb="FF595959"/>
        <rFont val="Arial"/>
        <family val="0"/>
        <charset val="1"/>
      </rPr>
      <t xml:space="preserve">$14bn </t>
    </r>
    <r>
      <rPr>
        <sz val="9"/>
        <color rgb="FF595959"/>
        <rFont val="Noto Sans CJK SC"/>
        <family val="2"/>
      </rPr>
      <t xml:space="preserve">屬估計，不用）</t>
    </r>
  </si>
  <si>
    <r>
      <rPr>
        <sz val="10"/>
        <rFont val="Noto Sans CJK SC"/>
        <family val="2"/>
      </rPr>
      <t xml:space="preserve">找不到｜第 </t>
    </r>
    <r>
      <rPr>
        <sz val="10"/>
        <rFont val="Arial"/>
        <family val="0"/>
        <charset val="1"/>
      </rPr>
      <t xml:space="preserve">3 </t>
    </r>
    <r>
      <rPr>
        <sz val="10"/>
        <rFont val="Noto Sans CJK SC"/>
        <family val="2"/>
      </rPr>
      <t xml:space="preserve">項</t>
    </r>
  </si>
  <si>
    <r>
      <rPr>
        <sz val="9"/>
        <color rgb="FF595959"/>
        <rFont val="Noto Sans CJK SC"/>
        <family val="2"/>
      </rPr>
      <t xml:space="preserve">其他 </t>
    </r>
    <r>
      <rPr>
        <sz val="9"/>
        <color rgb="FF595959"/>
        <rFont val="Arial"/>
        <family val="0"/>
        <charset val="1"/>
      </rPr>
      <t xml:space="preserve">neocloud </t>
    </r>
    <r>
      <rPr>
        <sz val="9"/>
        <color rgb="FF595959"/>
        <rFont val="Noto Sans CJK SC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hyperscaler</t>
    </r>
    <r>
      <rPr>
        <sz val="9"/>
        <color rgb="FF595959"/>
        <rFont val="Noto Sans CJK SC"/>
        <family val="2"/>
      </rPr>
      <t xml:space="preserve">／實驗室的長約（獨立於 </t>
    </r>
    <r>
      <rPr>
        <sz val="9"/>
        <color rgb="FF595959"/>
        <rFont val="Arial"/>
        <family val="0"/>
        <charset val="1"/>
      </rPr>
      <t xml:space="preserve">IREN </t>
    </r>
    <r>
      <rPr>
        <sz val="9"/>
        <color rgb="FF595959"/>
        <rFont val="Noto Sans CJK SC"/>
        <family val="2"/>
      </rPr>
      <t xml:space="preserve">的供應商）：上列 </t>
    </r>
    <r>
      <rPr>
        <sz val="9"/>
        <color rgb="FF595959"/>
        <rFont val="Arial"/>
        <family val="0"/>
        <charset val="1"/>
      </rPr>
      <t xml:space="preserve">Nebius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Nscale </t>
    </r>
    <r>
      <rPr>
        <sz val="9"/>
        <color rgb="FF595959"/>
        <rFont val="Noto Sans CJK SC"/>
        <family val="2"/>
      </rPr>
      <t xml:space="preserve">皆缺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或金額；</t>
    </r>
    <r>
      <rPr>
        <sz val="9"/>
        <color rgb="FF595959"/>
        <rFont val="Arial"/>
        <family val="0"/>
        <charset val="1"/>
      </rPr>
      <t xml:space="preserve">Oracle–OpenAI </t>
    </r>
    <r>
      <rPr>
        <sz val="9"/>
        <color rgb="FF595959"/>
        <rFont val="Noto Sans CJK SC"/>
        <family val="2"/>
      </rPr>
      <t xml:space="preserve">金額未經證實、只列</t>
    </r>
  </si>
  <si>
    <r>
      <rPr>
        <b val="true"/>
        <sz val="10"/>
        <color rgb="FF1F3864"/>
        <rFont val="Noto Sans CJK SC"/>
        <family val="2"/>
      </rPr>
      <t xml:space="preserve">▸ 每 </t>
    </r>
    <r>
      <rPr>
        <b val="true"/>
        <sz val="10"/>
        <color rgb="FF1F3864"/>
        <rFont val="Arial"/>
        <family val="0"/>
        <charset val="1"/>
      </rPr>
      <t xml:space="preserve">MW </t>
    </r>
    <r>
      <rPr>
        <b val="true"/>
        <sz val="10"/>
        <color rgb="FF1F3864"/>
        <rFont val="Noto Sans CJK SC"/>
        <family val="2"/>
      </rPr>
      <t xml:space="preserve">資本支出對照（</t>
    </r>
    <r>
      <rPr>
        <b val="true"/>
        <sz val="10"/>
        <color rgb="FF1F3864"/>
        <rFont val="Arial"/>
        <family val="0"/>
        <charset val="1"/>
      </rPr>
      <t xml:space="preserve">US$m</t>
    </r>
    <r>
      <rPr>
        <b val="true"/>
        <sz val="10"/>
        <color rgb="FF1F3864"/>
        <rFont val="Noto Sans CJK SC"/>
        <family val="2"/>
      </rPr>
      <t xml:space="preserve">／</t>
    </r>
    <r>
      <rPr>
        <b val="true"/>
        <sz val="10"/>
        <color rgb="FF1F3864"/>
        <rFont val="Arial"/>
        <family val="0"/>
        <charset val="1"/>
      </rPr>
      <t xml:space="preserve">MW</t>
    </r>
    <r>
      <rPr>
        <b val="true"/>
        <sz val="10"/>
        <color rgb="FF1F3864"/>
        <rFont val="Noto Sans CJK SC"/>
        <family val="2"/>
      </rPr>
      <t xml:space="preserve">；新增 </t>
    </r>
    <r>
      <rPr>
        <b val="true"/>
        <sz val="10"/>
        <color rgb="FF1F3864"/>
        <rFont val="Arial"/>
        <family val="0"/>
        <charset val="1"/>
      </rPr>
      <t xml:space="preserve">MW </t>
    </r>
    <r>
      <rPr>
        <b val="true"/>
        <sz val="10"/>
        <color rgb="FF1F3864"/>
        <rFont val="Noto Sans CJK SC"/>
        <family val="2"/>
      </rPr>
      <t xml:space="preserve">的世代加權）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</si>
  <si>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建置成本（模型採用）</t>
    </r>
  </si>
  <si>
    <r>
      <rPr>
        <sz val="10"/>
        <rFont val="Arial"/>
        <family val="0"/>
        <charset val="1"/>
      </rPr>
      <t xml:space="preserve">Tokenomics IT </t>
    </r>
    <r>
      <rPr>
        <sz val="10"/>
        <rFont val="Noto Sans CJK SC"/>
        <family val="2"/>
      </rPr>
      <t xml:space="preserve">設備（</t>
    </r>
    <r>
      <rPr>
        <sz val="10"/>
        <rFont val="Arial"/>
        <family val="0"/>
        <charset val="1"/>
      </rPr>
      <t xml:space="preserve">IF_CapexIT</t>
    </r>
    <r>
      <rPr>
        <sz val="10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</si>
  <si>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Tokenomics </t>
    </r>
    <r>
      <rPr>
        <sz val="10"/>
        <rFont val="Noto Sans CJK SC"/>
        <family val="2"/>
      </rPr>
      <t xml:space="preserve">含廠房合計（</t>
    </r>
    <r>
      <rPr>
        <sz val="10"/>
        <rFont val="Arial"/>
        <family val="0"/>
        <charset val="1"/>
      </rPr>
      <t xml:space="preserve">IF_CapexTotal</t>
    </r>
    <r>
      <rPr>
        <sz val="10"/>
        <rFont val="Noto Sans CJK SC"/>
        <family val="2"/>
      </rPr>
      <t xml:space="preserve">；對照）</t>
    </r>
  </si>
  <si>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Noto Sans CJK SC"/>
        <family val="2"/>
      </rPr>
      <t xml:space="preserve">機房以租約取得、不含廠房；合計只作對照</t>
    </r>
  </si>
  <si>
    <r>
      <rPr>
        <sz val="10"/>
        <rFont val="Arial"/>
        <family val="0"/>
        <charset val="1"/>
      </rPr>
      <t xml:space="preserve">v4.5 </t>
    </r>
    <r>
      <rPr>
        <sz val="10"/>
        <rFont val="Noto Sans CJK SC"/>
        <family val="2"/>
      </rPr>
      <t xml:space="preserve">舊值（以 </t>
    </r>
    <r>
      <rPr>
        <sz val="10"/>
        <rFont val="Arial"/>
        <family val="0"/>
        <charset val="1"/>
      </rPr>
      <t xml:space="preserve">FY26 CapEx </t>
    </r>
    <r>
      <rPr>
        <sz val="10"/>
        <rFont val="Noto Sans CJK SC"/>
        <family val="2"/>
      </rPr>
      <t xml:space="preserve">指引校準）</t>
    </r>
  </si>
  <si>
    <t xml:space="preserve">舊方法，只作對照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</si>
  <si>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建置成本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壽命（在役世代加權；</t>
    </r>
    <r>
      <rPr>
        <sz val="10"/>
        <rFont val="Arial"/>
        <family val="0"/>
        <charset val="1"/>
      </rPr>
      <t xml:space="preserve">D&amp;A </t>
    </r>
    <r>
      <rPr>
        <sz val="10"/>
        <rFont val="Noto Sans CJK SC"/>
        <family val="2"/>
      </rPr>
      <t xml:space="preserve">參考）</t>
    </r>
  </si>
  <si>
    <r>
      <rPr>
        <b val="true"/>
        <sz val="10"/>
        <color rgb="FF1F3864"/>
        <rFont val="Noto Sans CJK SC"/>
        <family val="2"/>
      </rPr>
      <t xml:space="preserve">▸ 最近一季實際對照（</t>
    </r>
    <r>
      <rPr>
        <b val="true"/>
        <sz val="10"/>
        <color rgb="FF1F3864"/>
        <rFont val="Arial"/>
        <family val="0"/>
        <charset val="1"/>
      </rPr>
      <t xml:space="preserve">10-Q</t>
    </r>
    <r>
      <rPr>
        <b val="true"/>
        <sz val="10"/>
        <color rgb="FF1F3864"/>
        <rFont val="Noto Sans CJK SC"/>
        <family val="2"/>
      </rPr>
      <t xml:space="preserve">；不強制平衡）</t>
    </r>
  </si>
  <si>
    <r>
      <rPr>
        <sz val="10"/>
        <rFont val="Noto Sans CJK SC"/>
        <family val="2"/>
      </rPr>
      <t xml:space="preserve">最近一季平均在役 </t>
    </r>
    <r>
      <rPr>
        <sz val="10"/>
        <rFont val="Arial"/>
        <family val="0"/>
        <charset val="1"/>
      </rPr>
      <t xml:space="preserve">MW</t>
    </r>
  </si>
  <si>
    <r>
      <rPr>
        <sz val="9"/>
        <color rgb="FF595959"/>
        <rFont val="Noto Sans CJK SC"/>
        <family val="2"/>
      </rPr>
      <t xml:space="preserve">＝季末主動電力 − 當季新增 </t>
    </r>
    <r>
      <rPr>
        <sz val="9"/>
        <color rgb="FF595959"/>
        <rFont val="Arial"/>
        <family val="0"/>
        <charset val="1"/>
      </rPr>
      <t xml:space="preserve">÷ 2</t>
    </r>
  </si>
  <si>
    <t xml:space="preserve">最近一季現金營運成本（租金前，不含管銷）</t>
  </si>
  <si>
    <r>
      <rPr>
        <sz val="9"/>
        <color rgb="FF595959"/>
        <rFont val="Noto Sans CJK SC"/>
        <family val="2"/>
      </rPr>
      <t xml:space="preserve">＝營收成本＋技術與基礎設施 − </t>
    </r>
    <r>
      <rPr>
        <sz val="9"/>
        <color rgb="FF595959"/>
        <rFont val="Arial"/>
        <family val="0"/>
        <charset val="1"/>
      </rPr>
      <t xml:space="preserve">D&amp;A − SBC − </t>
    </r>
    <r>
      <rPr>
        <sz val="9"/>
        <color rgb="FF595959"/>
        <rFont val="Noto Sans CJK SC"/>
        <family val="2"/>
      </rPr>
      <t xml:space="preserve">營業租賃成本 − 變動租賃成本</t>
    </r>
  </si>
  <si>
    <r>
      <rPr>
        <sz val="10"/>
        <rFont val="Noto Sans CJK SC"/>
        <family val="2"/>
      </rPr>
      <t xml:space="preserve">最近一季每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現金營運成本（年化，不含管銷）</t>
    </r>
  </si>
  <si>
    <r>
      <rPr>
        <sz val="10"/>
        <rFont val="Noto Sans CJK SC"/>
        <family val="2"/>
      </rPr>
      <t xml:space="preserve">模型由下而上每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現金營運成本（不含管銷）</t>
    </r>
  </si>
  <si>
    <r>
      <rPr>
        <sz val="10"/>
        <rFont val="Noto Sans CJK SC"/>
        <family val="2"/>
      </rPr>
      <t xml:space="preserve">差距（模型 </t>
    </r>
    <r>
      <rPr>
        <sz val="10"/>
        <rFont val="Arial"/>
        <family val="0"/>
        <charset val="1"/>
      </rPr>
      <t xml:space="preserve">FY26 − </t>
    </r>
    <r>
      <rPr>
        <sz val="10"/>
        <rFont val="Noto Sans CJK SC"/>
        <family val="2"/>
      </rPr>
      <t xml:space="preserve">實際）</t>
    </r>
  </si>
  <si>
    <r>
      <rPr>
        <sz val="9"/>
        <color rgb="FF595959"/>
        <rFont val="Noto Sans CJK SC"/>
        <family val="2"/>
      </rPr>
      <t xml:space="preserve">可能原因：爬坡期閒置產能（分母含尚未計費的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）、未揭露的成本項、</t>
    </r>
    <r>
      <rPr>
        <sz val="9"/>
        <color rgb="FF595959"/>
        <rFont val="Arial"/>
        <family val="0"/>
        <charset val="1"/>
      </rPr>
      <t xml:space="preserve">D&amp;A </t>
    </r>
    <r>
      <rPr>
        <sz val="9"/>
        <color rgb="FF595959"/>
        <rFont val="Noto Sans CJK SC"/>
        <family val="2"/>
      </rPr>
      <t xml:space="preserve">未依列別揭露；</t>
    </r>
    <r>
      <rPr>
        <sz val="9"/>
        <color rgb="FF595959"/>
        <rFont val="Arial"/>
        <family val="0"/>
        <charset val="1"/>
      </rPr>
      <t xml:space="preserve">v5.26 </t>
    </r>
    <r>
      <rPr>
        <sz val="9"/>
        <color rgb="FF595959"/>
        <rFont val="Noto Sans CJK SC"/>
        <family val="2"/>
      </rPr>
      <t xml:space="preserve">前人員軟體與稅險暫代 </t>
    </r>
    <r>
      <rPr>
        <sz val="9"/>
        <color rgb="FF595959"/>
        <rFont val="Arial"/>
        <family val="0"/>
        <charset val="1"/>
      </rPr>
      <t xml:space="preserve">0</t>
    </r>
  </si>
  <si>
    <r>
      <rPr>
        <sz val="10"/>
        <rFont val="Noto Sans CJK SC"/>
        <family val="2"/>
      </rPr>
      <t xml:space="preserve">最近一季每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年租金（營業＋變動，年化）</t>
    </r>
  </si>
  <si>
    <r>
      <rPr>
        <sz val="10"/>
        <rFont val="Noto Sans CJK SC"/>
        <family val="2"/>
      </rPr>
      <t xml:space="preserve">模型每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年租金</t>
    </r>
  </si>
  <si>
    <r>
      <rPr>
        <sz val="10"/>
        <rFont val="Noto Sans CJK SC"/>
        <family val="2"/>
      </rPr>
      <t xml:space="preserve">最近一季每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年收入（營收 </t>
    </r>
    <r>
      <rPr>
        <sz val="10"/>
        <rFont val="Arial"/>
        <family val="0"/>
        <charset val="1"/>
      </rPr>
      <t xml:space="preserve">× 4 ÷ </t>
    </r>
    <r>
      <rPr>
        <sz val="10"/>
        <rFont val="Noto Sans CJK SC"/>
        <family val="2"/>
      </rPr>
      <t xml:space="preserve">平均在役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</si>
  <si>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營收年化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平均在役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（含爬坡中尚未計費的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</si>
  <si>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最近一季計費比例（季末 </t>
    </r>
    <r>
      <rPr>
        <sz val="10"/>
        <rFont val="Arial"/>
        <family val="0"/>
        <charset val="1"/>
      </rPr>
      <t xml:space="preserve">Billable ÷ </t>
    </r>
    <r>
      <rPr>
        <sz val="10"/>
        <rFont val="Noto Sans CJK SC"/>
        <family val="2"/>
      </rPr>
      <t xml:space="preserve">季末在役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，假設）</t>
    </r>
  </si>
  <si>
    <r>
      <rPr>
        <sz val="9"/>
        <color rgb="FF595959"/>
        <rFont val="Noto Sans CJK SC"/>
        <family val="2"/>
      </rPr>
      <t xml:space="preserve">輸入頁 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Noto Sans CJK SC"/>
        <family val="2"/>
      </rPr>
      <t xml:space="preserve">區季末 </t>
    </r>
    <r>
      <rPr>
        <sz val="9"/>
        <color rgb="FF595959"/>
        <rFont val="Arial"/>
        <family val="0"/>
        <charset val="1"/>
      </rPr>
      <t xml:space="preserve">Billable MW ÷ </t>
    </r>
    <r>
      <rPr>
        <sz val="9"/>
        <color rgb="FF595959"/>
        <rFont val="Noto Sans CJK SC"/>
        <family val="2"/>
      </rPr>
      <t xml:space="preserve">世代組合期初在役 </t>
    </r>
    <r>
      <rPr>
        <sz val="9"/>
        <color rgb="FF595959"/>
        <rFont val="Arial"/>
        <family val="0"/>
        <charset val="1"/>
      </rPr>
      <t xml:space="preserve">MW [Assumed]</t>
    </r>
    <r>
      <rPr>
        <sz val="9"/>
        <color rgb="FF595959"/>
        <rFont val="Noto Sans CJK SC"/>
        <family val="2"/>
      </rPr>
      <t xml:space="preserve">；用於換算每計費 </t>
    </r>
    <r>
      <rPr>
        <sz val="9"/>
        <color rgb="FF595959"/>
        <rFont val="Arial"/>
        <family val="0"/>
        <charset val="1"/>
      </rPr>
      <t xml:space="preserve">MW</t>
    </r>
  </si>
  <si>
    <r>
      <rPr>
        <sz val="10"/>
        <rFont val="Noto Sans CJK SC"/>
        <family val="2"/>
      </rPr>
      <t xml:space="preserve">最近一季每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年收入（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平均計費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</si>
  <si>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最近一季錨（季末在役世代 </t>
    </r>
    <r>
      <rPr>
        <sz val="10"/>
        <rFont val="Arial"/>
        <family val="0"/>
        <charset val="1"/>
      </rPr>
      <t xml:space="preserve">× IF_HoldEcon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</si>
  <si>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世代組合期初占比（季末）</t>
    </r>
    <r>
      <rPr>
        <sz val="9"/>
        <color rgb="FF595959"/>
        <rFont val="Arial"/>
        <family val="0"/>
        <charset val="1"/>
      </rPr>
      <t xml:space="preserve">× Tokenomics IF_HoldEcon</t>
    </r>
    <r>
      <rPr>
        <sz val="9"/>
        <color rgb="FF595959"/>
        <rFont val="Noto Sans CJK SC"/>
        <family val="2"/>
      </rPr>
      <t xml:space="preserve">（目前成本情境）</t>
    </r>
  </si>
  <si>
    <r>
      <rPr>
        <sz val="10"/>
        <rFont val="Noto Sans CJK SC"/>
        <family val="2"/>
      </rPr>
      <t xml:space="preserve">最近一季隱含 </t>
    </r>
    <r>
      <rPr>
        <sz val="10"/>
        <rFont val="Arial"/>
        <family val="0"/>
        <charset val="1"/>
      </rPr>
      <t xml:space="preserve">k</t>
    </r>
    <r>
      <rPr>
        <sz val="10"/>
        <rFont val="Noto Sans CJK SC"/>
        <family val="2"/>
      </rPr>
      <t xml:space="preserve">（年化營收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平均在役 </t>
    </r>
    <r>
      <rPr>
        <sz val="10"/>
        <rFont val="Arial"/>
        <family val="0"/>
        <charset val="1"/>
      </rPr>
      <t xml:space="preserve">MW ÷ </t>
    </r>
    <r>
      <rPr>
        <sz val="10"/>
        <rFont val="Noto Sans CJK SC"/>
        <family val="2"/>
      </rPr>
      <t xml:space="preserve">錨，未調整）</t>
    </r>
  </si>
  <si>
    <r>
      <rPr>
        <sz val="9"/>
        <color rgb="FF595959"/>
        <rFont val="Noto Sans CJK SC"/>
        <family val="2"/>
      </rPr>
      <t xml:space="preserve">只作驗證：不以此值校準 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（已決定事項 </t>
    </r>
    <r>
      <rPr>
        <sz val="9"/>
        <color rgb="FF595959"/>
        <rFont val="Arial"/>
        <family val="0"/>
        <charset val="1"/>
      </rPr>
      <t xml:space="preserve">14</t>
    </r>
    <r>
      <rPr>
        <sz val="9"/>
        <color rgb="FF595959"/>
        <rFont val="Noto Sans CJK SC"/>
        <family val="2"/>
      </rPr>
      <t xml:space="preserve">）；含爬坡分母、服務收入、舊世代舊約價格</t>
    </r>
  </si>
  <si>
    <r>
      <rPr>
        <b val="true"/>
        <sz val="10"/>
        <color rgb="FF1F3864"/>
        <rFont val="Noto Sans CJK SC"/>
        <family val="2"/>
      </rPr>
      <t xml:space="preserve">▸ 敏感度（建置時快照：</t>
    </r>
    <r>
      <rPr>
        <b val="true"/>
        <sz val="10"/>
        <color rgb="FF1F3864"/>
        <rFont val="Arial"/>
        <family val="0"/>
        <charset val="1"/>
      </rPr>
      <t xml:space="preserve">Tokenomics </t>
    </r>
    <r>
      <rPr>
        <b val="true"/>
        <sz val="10"/>
        <color rgb="FF1F3864"/>
        <rFont val="Noto Sans CJK SC"/>
        <family val="2"/>
      </rPr>
      <t xml:space="preserve">成本情境、</t>
    </r>
    <r>
      <rPr>
        <b val="true"/>
        <sz val="10"/>
        <color rgb="FF1F3864"/>
        <rFont val="Arial"/>
        <family val="0"/>
        <charset val="1"/>
      </rPr>
      <t xml:space="preserve">GPU </t>
    </r>
    <r>
      <rPr>
        <b val="true"/>
        <sz val="10"/>
        <color rgb="FF1F3864"/>
        <rFont val="Noto Sans CJK SC"/>
        <family val="2"/>
      </rPr>
      <t xml:space="preserve">小時價格、世代組合、管銷率口徑 </t>
    </r>
    <r>
      <rPr>
        <b val="true"/>
        <sz val="10"/>
        <color rgb="FF1F3864"/>
        <rFont val="Arial"/>
        <family val="0"/>
        <charset val="1"/>
      </rPr>
      <t xml:space="preserve">× </t>
    </r>
    <r>
      <rPr>
        <b val="true"/>
        <sz val="10"/>
        <color rgb="FF1F3864"/>
        <rFont val="Noto Sans CJK SC"/>
        <family val="2"/>
      </rPr>
      <t xml:space="preserve">三情境；目標價 </t>
    </r>
    <r>
      <rPr>
        <b val="true"/>
        <sz val="10"/>
        <color rgb="FF1F3864"/>
        <rFont val="Arial"/>
        <family val="0"/>
        <charset val="1"/>
      </rPr>
      <t xml:space="preserve">US$</t>
    </r>
    <r>
      <rPr>
        <b val="true"/>
        <sz val="10"/>
        <color rgb="FF1F3864"/>
        <rFont val="Noto Sans CJK SC"/>
        <family val="2"/>
      </rPr>
      <t xml:space="preserve">、融資缺口 </t>
    </r>
    <r>
      <rPr>
        <b val="true"/>
        <sz val="10"/>
        <color rgb="FF1F3864"/>
        <rFont val="Arial"/>
        <family val="0"/>
        <charset val="1"/>
      </rPr>
      <t xml:space="preserve">US$bn</t>
    </r>
    <r>
      <rPr>
        <b val="true"/>
        <sz val="10"/>
        <color rgb="FF1F3864"/>
        <rFont val="Noto Sans CJK SC"/>
        <family val="2"/>
      </rPr>
      <t xml:space="preserve">）</t>
    </r>
  </si>
  <si>
    <t xml:space="preserve">敏感度｜欄位</t>
  </si>
  <si>
    <t xml:space="preserve">加權目標價</t>
  </si>
  <si>
    <t xml:space="preserve">融資缺口</t>
  </si>
  <si>
    <r>
      <rPr>
        <b val="true"/>
        <sz val="11"/>
        <color rgb="FFFFFFFF"/>
        <rFont val="Arial"/>
        <family val="0"/>
        <charset val="1"/>
      </rPr>
      <t xml:space="preserve">Δ</t>
    </r>
    <r>
      <rPr>
        <b val="true"/>
        <sz val="11"/>
        <color rgb="FFFFFFFF"/>
        <rFont val="Noto Sans CJK SC"/>
        <family val="2"/>
      </rPr>
      <t xml:space="preserve">目標價</t>
    </r>
  </si>
  <si>
    <r>
      <rPr>
        <b val="true"/>
        <sz val="11"/>
        <color rgb="FFFFFFFF"/>
        <rFont val="Arial"/>
        <family val="0"/>
        <charset val="1"/>
      </rPr>
      <t xml:space="preserve">Δ</t>
    </r>
    <r>
      <rPr>
        <b val="true"/>
        <sz val="11"/>
        <color rgb="FFFFFFFF"/>
        <rFont val="Noto Sans CJK SC"/>
        <family val="2"/>
      </rPr>
      <t xml:space="preserve">融資缺口</t>
    </r>
  </si>
  <si>
    <r>
      <rPr>
        <sz val="9"/>
        <color rgb="FF595959"/>
        <rFont val="Noto Sans CJK SC"/>
        <family val="2"/>
      </rPr>
      <t xml:space="preserve">融資缺口＝</t>
    </r>
    <r>
      <rPr>
        <sz val="9"/>
        <color rgb="FF595959"/>
        <rFont val="Arial"/>
        <family val="0"/>
        <charset val="1"/>
      </rPr>
      <t xml:space="preserve">MAX(0, −FY30 </t>
    </r>
    <r>
      <rPr>
        <sz val="9"/>
        <color rgb="FF595959"/>
        <rFont val="Noto Sans CJK SC"/>
        <family val="2"/>
      </rPr>
      <t xml:space="preserve">融資前累積現金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Δ</t>
    </r>
    <r>
      <rPr>
        <sz val="9"/>
        <color rgb="FF595959"/>
        <rFont val="Noto Sans CJK SC"/>
        <family val="2"/>
      </rPr>
      <t xml:space="preserve">＝對同情境「基準（目前輸入）」；快照由 </t>
    </r>
    <r>
      <rPr>
        <sz val="9"/>
        <color rgb="FF595959"/>
        <rFont val="Arial"/>
        <family val="0"/>
        <charset val="1"/>
      </rPr>
      <t xml:space="preserve">verify.sh </t>
    </r>
    <r>
      <rPr>
        <sz val="9"/>
        <color rgb="FF595959"/>
        <rFont val="Noto Sans CJK SC"/>
        <family val="2"/>
      </rPr>
      <t xml:space="preserve">步驟 </t>
    </r>
    <r>
      <rPr>
        <sz val="9"/>
        <color rgb="FF595959"/>
        <rFont val="Arial"/>
        <family val="0"/>
        <charset val="1"/>
      </rPr>
      <t xml:space="preserve">3c </t>
    </r>
    <r>
      <rPr>
        <sz val="9"/>
        <color rgb="FF595959"/>
        <rFont val="Noto Sans CJK SC"/>
        <family val="2"/>
      </rPr>
      <t xml:space="preserve">產生，</t>
    </r>
    <r>
      <rPr>
        <sz val="9"/>
        <color rgb="FF595959"/>
        <rFont val="Arial"/>
        <family val="0"/>
        <charset val="1"/>
      </rPr>
      <t xml:space="preserve">HTML </t>
    </r>
    <r>
      <rPr>
        <sz val="9"/>
        <color rgb="FF595959"/>
        <rFont val="Noto Sans CJK SC"/>
        <family val="2"/>
      </rPr>
      <t xml:space="preserve">即時計算同一組設定</t>
    </r>
  </si>
  <si>
    <t xml:space="preserve">敏感度｜保守｜基準（目前輸入）</t>
  </si>
  <si>
    <r>
      <rPr>
        <sz val="9"/>
        <color rgb="FF595959"/>
        <rFont val="Arial"/>
        <family val="0"/>
        <charset val="1"/>
      </rPr>
      <t xml:space="preserve">US$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US$bn</t>
    </r>
  </si>
  <si>
    <r>
      <rPr>
        <sz val="10"/>
        <rFont val="Noto Sans CJK SC"/>
        <family val="2"/>
      </rPr>
      <t xml:space="preserve">敏感度｜保守｜</t>
    </r>
    <r>
      <rPr>
        <sz val="10"/>
        <rFont val="Arial"/>
        <family val="0"/>
        <charset val="1"/>
      </rPr>
      <t xml:space="preserve">Tokenomics </t>
    </r>
    <r>
      <rPr>
        <sz val="10"/>
        <rFont val="Noto Sans CJK SC"/>
        <family val="2"/>
      </rPr>
      <t xml:space="preserve">低成本</t>
    </r>
  </si>
  <si>
    <r>
      <rPr>
        <sz val="10"/>
        <rFont val="Noto Sans CJK SC"/>
        <family val="2"/>
      </rPr>
      <t xml:space="preserve">敏感度｜保守｜</t>
    </r>
    <r>
      <rPr>
        <sz val="10"/>
        <rFont val="Arial"/>
        <family val="0"/>
        <charset val="1"/>
      </rPr>
      <t xml:space="preserve">Tokenomics </t>
    </r>
    <r>
      <rPr>
        <sz val="10"/>
        <rFont val="Noto Sans CJK SC"/>
        <family val="2"/>
      </rPr>
      <t xml:space="preserve">高成本</t>
    </r>
  </si>
  <si>
    <r>
      <rPr>
        <sz val="10"/>
        <rFont val="Noto Sans CJK SC"/>
        <family val="2"/>
      </rPr>
      <t xml:space="preserve">敏感度｜保守｜</t>
    </r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小時價格 低</t>
    </r>
  </si>
  <si>
    <r>
      <rPr>
        <sz val="10"/>
        <rFont val="Noto Sans CJK SC"/>
        <family val="2"/>
      </rPr>
      <t xml:space="preserve">敏感度｜保守｜</t>
    </r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小時價格 高</t>
    </r>
  </si>
  <si>
    <r>
      <rPr>
        <sz val="10"/>
        <rFont val="Noto Sans CJK SC"/>
        <family val="2"/>
      </rPr>
      <t xml:space="preserve">敏感度｜保守｜世代組合 </t>
    </r>
    <r>
      <rPr>
        <sz val="10"/>
        <rFont val="Arial"/>
        <family val="0"/>
        <charset val="1"/>
      </rPr>
      <t xml:space="preserve">Rubin Ultra </t>
    </r>
    <r>
      <rPr>
        <sz val="10"/>
        <rFont val="Noto Sans CJK SC"/>
        <family val="2"/>
      </rPr>
      <t xml:space="preserve">版</t>
    </r>
  </si>
  <si>
    <r>
      <rPr>
        <sz val="10"/>
        <rFont val="Noto Sans CJK SC"/>
        <family val="2"/>
      </rPr>
      <t xml:space="preserve">敏感度｜保守｜管銷率 </t>
    </r>
    <r>
      <rPr>
        <sz val="10"/>
        <rFont val="Arial"/>
        <family val="0"/>
        <charset val="1"/>
      </rPr>
      <t xml:space="preserve">GAAP</t>
    </r>
    <r>
      <rPr>
        <sz val="10"/>
        <rFont val="Noto Sans CJK SC"/>
        <family val="2"/>
      </rPr>
      <t xml:space="preserve">（含 </t>
    </r>
    <r>
      <rPr>
        <sz val="10"/>
        <rFont val="Arial"/>
        <family val="0"/>
        <charset val="1"/>
      </rPr>
      <t xml:space="preserve">SBC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</si>
  <si>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敏感度｜保守｜</t>
    </r>
    <r>
      <rPr>
        <sz val="10"/>
        <rFont val="Arial"/>
        <family val="0"/>
        <charset val="1"/>
      </rPr>
      <t xml:space="preserve">k_</t>
    </r>
    <r>
      <rPr>
        <sz val="10"/>
        <rFont val="Noto Sans CJK SC"/>
        <family val="2"/>
      </rPr>
      <t xml:space="preserve">長約 </t>
    </r>
    <r>
      <rPr>
        <sz val="10"/>
        <rFont val="Arial"/>
        <family val="0"/>
        <charset val="1"/>
      </rPr>
      <t xml:space="preserve">0.70</t>
    </r>
  </si>
  <si>
    <r>
      <rPr>
        <sz val="10"/>
        <rFont val="Noto Sans CJK SC"/>
        <family val="2"/>
      </rPr>
      <t xml:space="preserve">敏感度｜保守｜</t>
    </r>
    <r>
      <rPr>
        <sz val="10"/>
        <rFont val="Arial"/>
        <family val="0"/>
        <charset val="1"/>
      </rPr>
      <t xml:space="preserve">k_</t>
    </r>
    <r>
      <rPr>
        <sz val="10"/>
        <rFont val="Noto Sans CJK SC"/>
        <family val="2"/>
      </rPr>
      <t xml:space="preserve">長約 </t>
    </r>
    <r>
      <rPr>
        <sz val="10"/>
        <rFont val="Arial"/>
        <family val="0"/>
        <charset val="1"/>
      </rPr>
      <t xml:space="preserve">1.00</t>
    </r>
  </si>
  <si>
    <r>
      <rPr>
        <sz val="10"/>
        <rFont val="Noto Sans CJK SC"/>
        <family val="2"/>
      </rPr>
      <t xml:space="preserve">敏感度｜保守｜</t>
    </r>
    <r>
      <rPr>
        <sz val="10"/>
        <rFont val="Arial"/>
        <family val="0"/>
        <charset val="1"/>
      </rPr>
      <t xml:space="preserve">k_</t>
    </r>
    <r>
      <rPr>
        <sz val="10"/>
        <rFont val="Noto Sans CJK SC"/>
        <family val="2"/>
      </rPr>
      <t xml:space="preserve">現貨 </t>
    </r>
    <r>
      <rPr>
        <sz val="10"/>
        <rFont val="Arial"/>
        <family val="0"/>
        <charset val="1"/>
      </rPr>
      <t xml:space="preserve">1.50</t>
    </r>
  </si>
  <si>
    <r>
      <rPr>
        <sz val="10"/>
        <rFont val="Noto Sans CJK SC"/>
        <family val="2"/>
      </rPr>
      <t xml:space="preserve">敏感度｜保守｜</t>
    </r>
    <r>
      <rPr>
        <sz val="10"/>
        <rFont val="Arial"/>
        <family val="0"/>
        <charset val="1"/>
      </rPr>
      <t xml:space="preserve">k_</t>
    </r>
    <r>
      <rPr>
        <sz val="10"/>
        <rFont val="Noto Sans CJK SC"/>
        <family val="2"/>
      </rPr>
      <t xml:space="preserve">現貨 </t>
    </r>
    <r>
      <rPr>
        <sz val="10"/>
        <rFont val="Arial"/>
        <family val="0"/>
        <charset val="1"/>
      </rPr>
      <t xml:space="preserve">2.30</t>
    </r>
  </si>
  <si>
    <r>
      <rPr>
        <sz val="10"/>
        <rFont val="Noto Sans CJK SC"/>
        <family val="2"/>
      </rPr>
      <t xml:space="preserve">敏感度｜保守｜長約占比 </t>
    </r>
    <r>
      <rPr>
        <sz val="10"/>
        <rFont val="Arial"/>
        <family val="0"/>
        <charset val="1"/>
      </rPr>
      <t xml:space="preserve">-20pt</t>
    </r>
  </si>
  <si>
    <r>
      <rPr>
        <sz val="10"/>
        <rFont val="Noto Sans CJK SC"/>
        <family val="2"/>
      </rPr>
      <t xml:space="preserve">敏感度｜保守｜長約占比 </t>
    </r>
    <r>
      <rPr>
        <sz val="10"/>
        <rFont val="Arial"/>
        <family val="0"/>
        <charset val="1"/>
      </rPr>
      <t xml:space="preserve">100%</t>
    </r>
    <r>
      <rPr>
        <sz val="10"/>
        <rFont val="Noto Sans CJK SC"/>
        <family val="2"/>
      </rPr>
      <t xml:space="preserve">（新簽約全視為長約）</t>
    </r>
  </si>
  <si>
    <t xml:space="preserve">敏感度｜基準｜基準（目前輸入）</t>
  </si>
  <si>
    <r>
      <rPr>
        <sz val="10"/>
        <rFont val="Noto Sans CJK SC"/>
        <family val="2"/>
      </rPr>
      <t xml:space="preserve">敏感度｜基準｜</t>
    </r>
    <r>
      <rPr>
        <sz val="10"/>
        <rFont val="Arial"/>
        <family val="0"/>
        <charset val="1"/>
      </rPr>
      <t xml:space="preserve">Tokenomics </t>
    </r>
    <r>
      <rPr>
        <sz val="10"/>
        <rFont val="Noto Sans CJK SC"/>
        <family val="2"/>
      </rPr>
      <t xml:space="preserve">低成本</t>
    </r>
  </si>
  <si>
    <r>
      <rPr>
        <sz val="10"/>
        <rFont val="Noto Sans CJK SC"/>
        <family val="2"/>
      </rPr>
      <t xml:space="preserve">敏感度｜基準｜</t>
    </r>
    <r>
      <rPr>
        <sz val="10"/>
        <rFont val="Arial"/>
        <family val="0"/>
        <charset val="1"/>
      </rPr>
      <t xml:space="preserve">Tokenomics </t>
    </r>
    <r>
      <rPr>
        <sz val="10"/>
        <rFont val="Noto Sans CJK SC"/>
        <family val="2"/>
      </rPr>
      <t xml:space="preserve">高成本</t>
    </r>
  </si>
  <si>
    <r>
      <rPr>
        <sz val="10"/>
        <rFont val="Noto Sans CJK SC"/>
        <family val="2"/>
      </rPr>
      <t xml:space="preserve">敏感度｜基準｜</t>
    </r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小時價格 低</t>
    </r>
  </si>
  <si>
    <r>
      <rPr>
        <sz val="10"/>
        <rFont val="Noto Sans CJK SC"/>
        <family val="2"/>
      </rPr>
      <t xml:space="preserve">敏感度｜基準｜</t>
    </r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小時價格 高</t>
    </r>
  </si>
  <si>
    <r>
      <rPr>
        <sz val="10"/>
        <rFont val="Noto Sans CJK SC"/>
        <family val="2"/>
      </rPr>
      <t xml:space="preserve">敏感度｜基準｜世代組合 </t>
    </r>
    <r>
      <rPr>
        <sz val="10"/>
        <rFont val="Arial"/>
        <family val="0"/>
        <charset val="1"/>
      </rPr>
      <t xml:space="preserve">Rubin Ultra </t>
    </r>
    <r>
      <rPr>
        <sz val="10"/>
        <rFont val="Noto Sans CJK SC"/>
        <family val="2"/>
      </rPr>
      <t xml:space="preserve">版</t>
    </r>
  </si>
  <si>
    <r>
      <rPr>
        <sz val="10"/>
        <rFont val="Noto Sans CJK SC"/>
        <family val="2"/>
      </rPr>
      <t xml:space="preserve">敏感度｜基準｜管銷率 </t>
    </r>
    <r>
      <rPr>
        <sz val="10"/>
        <rFont val="Arial"/>
        <family val="0"/>
        <charset val="1"/>
      </rPr>
      <t xml:space="preserve">GAAP</t>
    </r>
    <r>
      <rPr>
        <sz val="10"/>
        <rFont val="Noto Sans CJK SC"/>
        <family val="2"/>
      </rPr>
      <t xml:space="preserve">（含 </t>
    </r>
    <r>
      <rPr>
        <sz val="10"/>
        <rFont val="Arial"/>
        <family val="0"/>
        <charset val="1"/>
      </rPr>
      <t xml:space="preserve">SBC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</si>
  <si>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敏感度｜基準｜</t>
    </r>
    <r>
      <rPr>
        <sz val="10"/>
        <rFont val="Arial"/>
        <family val="0"/>
        <charset val="1"/>
      </rPr>
      <t xml:space="preserve">k_</t>
    </r>
    <r>
      <rPr>
        <sz val="10"/>
        <rFont val="Noto Sans CJK SC"/>
        <family val="2"/>
      </rPr>
      <t xml:space="preserve">長約 </t>
    </r>
    <r>
      <rPr>
        <sz val="10"/>
        <rFont val="Arial"/>
        <family val="0"/>
        <charset val="1"/>
      </rPr>
      <t xml:space="preserve">0.70</t>
    </r>
  </si>
  <si>
    <r>
      <rPr>
        <sz val="10"/>
        <rFont val="Noto Sans CJK SC"/>
        <family val="2"/>
      </rPr>
      <t xml:space="preserve">敏感度｜基準｜</t>
    </r>
    <r>
      <rPr>
        <sz val="10"/>
        <rFont val="Arial"/>
        <family val="0"/>
        <charset val="1"/>
      </rPr>
      <t xml:space="preserve">k_</t>
    </r>
    <r>
      <rPr>
        <sz val="10"/>
        <rFont val="Noto Sans CJK SC"/>
        <family val="2"/>
      </rPr>
      <t xml:space="preserve">長約 </t>
    </r>
    <r>
      <rPr>
        <sz val="10"/>
        <rFont val="Arial"/>
        <family val="0"/>
        <charset val="1"/>
      </rPr>
      <t xml:space="preserve">1.00</t>
    </r>
  </si>
  <si>
    <r>
      <rPr>
        <sz val="10"/>
        <rFont val="Noto Sans CJK SC"/>
        <family val="2"/>
      </rPr>
      <t xml:space="preserve">敏感度｜基準｜</t>
    </r>
    <r>
      <rPr>
        <sz val="10"/>
        <rFont val="Arial"/>
        <family val="0"/>
        <charset val="1"/>
      </rPr>
      <t xml:space="preserve">k_</t>
    </r>
    <r>
      <rPr>
        <sz val="10"/>
        <rFont val="Noto Sans CJK SC"/>
        <family val="2"/>
      </rPr>
      <t xml:space="preserve">現貨 </t>
    </r>
    <r>
      <rPr>
        <sz val="10"/>
        <rFont val="Arial"/>
        <family val="0"/>
        <charset val="1"/>
      </rPr>
      <t xml:space="preserve">1.50</t>
    </r>
  </si>
  <si>
    <r>
      <rPr>
        <sz val="10"/>
        <rFont val="Noto Sans CJK SC"/>
        <family val="2"/>
      </rPr>
      <t xml:space="preserve">敏感度｜基準｜</t>
    </r>
    <r>
      <rPr>
        <sz val="10"/>
        <rFont val="Arial"/>
        <family val="0"/>
        <charset val="1"/>
      </rPr>
      <t xml:space="preserve">k_</t>
    </r>
    <r>
      <rPr>
        <sz val="10"/>
        <rFont val="Noto Sans CJK SC"/>
        <family val="2"/>
      </rPr>
      <t xml:space="preserve">現貨 </t>
    </r>
    <r>
      <rPr>
        <sz val="10"/>
        <rFont val="Arial"/>
        <family val="0"/>
        <charset val="1"/>
      </rPr>
      <t xml:space="preserve">2.30</t>
    </r>
  </si>
  <si>
    <r>
      <rPr>
        <sz val="10"/>
        <rFont val="Noto Sans CJK SC"/>
        <family val="2"/>
      </rPr>
      <t xml:space="preserve">敏感度｜基準｜長約占比 </t>
    </r>
    <r>
      <rPr>
        <sz val="10"/>
        <rFont val="Arial"/>
        <family val="0"/>
        <charset val="1"/>
      </rPr>
      <t xml:space="preserve">-20pt</t>
    </r>
  </si>
  <si>
    <r>
      <rPr>
        <sz val="10"/>
        <rFont val="Noto Sans CJK SC"/>
        <family val="2"/>
      </rPr>
      <t xml:space="preserve">敏感度｜基準｜長約占比 </t>
    </r>
    <r>
      <rPr>
        <sz val="10"/>
        <rFont val="Arial"/>
        <family val="0"/>
        <charset val="1"/>
      </rPr>
      <t xml:space="preserve">100%</t>
    </r>
    <r>
      <rPr>
        <sz val="10"/>
        <rFont val="Noto Sans CJK SC"/>
        <family val="2"/>
      </rPr>
      <t xml:space="preserve">（新簽約全視為長約）</t>
    </r>
  </si>
  <si>
    <t xml:space="preserve">敏感度｜積極｜基準（目前輸入）</t>
  </si>
  <si>
    <r>
      <rPr>
        <sz val="10"/>
        <rFont val="Noto Sans CJK SC"/>
        <family val="2"/>
      </rPr>
      <t xml:space="preserve">敏感度｜積極｜</t>
    </r>
    <r>
      <rPr>
        <sz val="10"/>
        <rFont val="Arial"/>
        <family val="0"/>
        <charset val="1"/>
      </rPr>
      <t xml:space="preserve">Tokenomics </t>
    </r>
    <r>
      <rPr>
        <sz val="10"/>
        <rFont val="Noto Sans CJK SC"/>
        <family val="2"/>
      </rPr>
      <t xml:space="preserve">低成本</t>
    </r>
  </si>
  <si>
    <r>
      <rPr>
        <sz val="10"/>
        <rFont val="Noto Sans CJK SC"/>
        <family val="2"/>
      </rPr>
      <t xml:space="preserve">敏感度｜積極｜</t>
    </r>
    <r>
      <rPr>
        <sz val="10"/>
        <rFont val="Arial"/>
        <family val="0"/>
        <charset val="1"/>
      </rPr>
      <t xml:space="preserve">Tokenomics </t>
    </r>
    <r>
      <rPr>
        <sz val="10"/>
        <rFont val="Noto Sans CJK SC"/>
        <family val="2"/>
      </rPr>
      <t xml:space="preserve">高成本</t>
    </r>
  </si>
  <si>
    <r>
      <rPr>
        <sz val="10"/>
        <rFont val="Noto Sans CJK SC"/>
        <family val="2"/>
      </rPr>
      <t xml:space="preserve">敏感度｜積極｜</t>
    </r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小時價格 低</t>
    </r>
  </si>
  <si>
    <r>
      <rPr>
        <sz val="10"/>
        <rFont val="Noto Sans CJK SC"/>
        <family val="2"/>
      </rPr>
      <t xml:space="preserve">敏感度｜積極｜</t>
    </r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小時價格 高</t>
    </r>
  </si>
  <si>
    <r>
      <rPr>
        <sz val="10"/>
        <rFont val="Noto Sans CJK SC"/>
        <family val="2"/>
      </rPr>
      <t xml:space="preserve">敏感度｜積極｜世代組合 </t>
    </r>
    <r>
      <rPr>
        <sz val="10"/>
        <rFont val="Arial"/>
        <family val="0"/>
        <charset val="1"/>
      </rPr>
      <t xml:space="preserve">Rubin Ultra </t>
    </r>
    <r>
      <rPr>
        <sz val="10"/>
        <rFont val="Noto Sans CJK SC"/>
        <family val="2"/>
      </rPr>
      <t xml:space="preserve">版</t>
    </r>
  </si>
  <si>
    <r>
      <rPr>
        <sz val="10"/>
        <rFont val="Noto Sans CJK SC"/>
        <family val="2"/>
      </rPr>
      <t xml:space="preserve">敏感度｜積極｜管銷率 </t>
    </r>
    <r>
      <rPr>
        <sz val="10"/>
        <rFont val="Arial"/>
        <family val="0"/>
        <charset val="1"/>
      </rPr>
      <t xml:space="preserve">GAAP</t>
    </r>
    <r>
      <rPr>
        <sz val="10"/>
        <rFont val="Noto Sans CJK SC"/>
        <family val="2"/>
      </rPr>
      <t xml:space="preserve">（含 </t>
    </r>
    <r>
      <rPr>
        <sz val="10"/>
        <rFont val="Arial"/>
        <family val="0"/>
        <charset val="1"/>
      </rPr>
      <t xml:space="preserve">SBC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</si>
  <si>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敏感度｜積極｜</t>
    </r>
    <r>
      <rPr>
        <sz val="10"/>
        <rFont val="Arial"/>
        <family val="0"/>
        <charset val="1"/>
      </rPr>
      <t xml:space="preserve">k_</t>
    </r>
    <r>
      <rPr>
        <sz val="10"/>
        <rFont val="Noto Sans CJK SC"/>
        <family val="2"/>
      </rPr>
      <t xml:space="preserve">長約 </t>
    </r>
    <r>
      <rPr>
        <sz val="10"/>
        <rFont val="Arial"/>
        <family val="0"/>
        <charset val="1"/>
      </rPr>
      <t xml:space="preserve">0.70</t>
    </r>
  </si>
  <si>
    <r>
      <rPr>
        <sz val="10"/>
        <rFont val="Noto Sans CJK SC"/>
        <family val="2"/>
      </rPr>
      <t xml:space="preserve">敏感度｜積極｜</t>
    </r>
    <r>
      <rPr>
        <sz val="10"/>
        <rFont val="Arial"/>
        <family val="0"/>
        <charset val="1"/>
      </rPr>
      <t xml:space="preserve">k_</t>
    </r>
    <r>
      <rPr>
        <sz val="10"/>
        <rFont val="Noto Sans CJK SC"/>
        <family val="2"/>
      </rPr>
      <t xml:space="preserve">長約 </t>
    </r>
    <r>
      <rPr>
        <sz val="10"/>
        <rFont val="Arial"/>
        <family val="0"/>
        <charset val="1"/>
      </rPr>
      <t xml:space="preserve">1.00</t>
    </r>
  </si>
  <si>
    <r>
      <rPr>
        <sz val="10"/>
        <rFont val="Noto Sans CJK SC"/>
        <family val="2"/>
      </rPr>
      <t xml:space="preserve">敏感度｜積極｜</t>
    </r>
    <r>
      <rPr>
        <sz val="10"/>
        <rFont val="Arial"/>
        <family val="0"/>
        <charset val="1"/>
      </rPr>
      <t xml:space="preserve">k_</t>
    </r>
    <r>
      <rPr>
        <sz val="10"/>
        <rFont val="Noto Sans CJK SC"/>
        <family val="2"/>
      </rPr>
      <t xml:space="preserve">現貨 </t>
    </r>
    <r>
      <rPr>
        <sz val="10"/>
        <rFont val="Arial"/>
        <family val="0"/>
        <charset val="1"/>
      </rPr>
      <t xml:space="preserve">1.50</t>
    </r>
  </si>
  <si>
    <r>
      <rPr>
        <sz val="10"/>
        <rFont val="Noto Sans CJK SC"/>
        <family val="2"/>
      </rPr>
      <t xml:space="preserve">敏感度｜積極｜</t>
    </r>
    <r>
      <rPr>
        <sz val="10"/>
        <rFont val="Arial"/>
        <family val="0"/>
        <charset val="1"/>
      </rPr>
      <t xml:space="preserve">k_</t>
    </r>
    <r>
      <rPr>
        <sz val="10"/>
        <rFont val="Noto Sans CJK SC"/>
        <family val="2"/>
      </rPr>
      <t xml:space="preserve">現貨 </t>
    </r>
    <r>
      <rPr>
        <sz val="10"/>
        <rFont val="Arial"/>
        <family val="0"/>
        <charset val="1"/>
      </rPr>
      <t xml:space="preserve">2.30</t>
    </r>
  </si>
  <si>
    <r>
      <rPr>
        <sz val="10"/>
        <rFont val="Noto Sans CJK SC"/>
        <family val="2"/>
      </rPr>
      <t xml:space="preserve">敏感度｜積極｜長約占比 </t>
    </r>
    <r>
      <rPr>
        <sz val="10"/>
        <rFont val="Arial"/>
        <family val="0"/>
        <charset val="1"/>
      </rPr>
      <t xml:space="preserve">-20pt</t>
    </r>
  </si>
  <si>
    <r>
      <rPr>
        <sz val="10"/>
        <rFont val="Noto Sans CJK SC"/>
        <family val="2"/>
      </rPr>
      <t xml:space="preserve">敏感度｜積極｜長約占比 </t>
    </r>
    <r>
      <rPr>
        <sz val="10"/>
        <rFont val="Arial"/>
        <family val="0"/>
        <charset val="1"/>
      </rPr>
      <t xml:space="preserve">100%</t>
    </r>
    <r>
      <rPr>
        <sz val="10"/>
        <rFont val="Noto Sans CJK SC"/>
        <family val="2"/>
      </rPr>
      <t xml:space="preserve">（新簽約全視為長約）</t>
    </r>
  </si>
  <si>
    <r>
      <rPr>
        <b val="true"/>
        <sz val="10"/>
        <rFont val="Noto Sans CJK SC"/>
        <family val="2"/>
      </rPr>
      <t xml:space="preserve">敏感度快照狀態（目前輸入的加權目標價 </t>
    </r>
    <r>
      <rPr>
        <b val="true"/>
        <sz val="10"/>
        <rFont val="Arial"/>
        <family val="0"/>
        <charset val="1"/>
      </rPr>
      <t xml:space="preserve">vs </t>
    </r>
    <r>
      <rPr>
        <b val="true"/>
        <sz val="10"/>
        <rFont val="Noto Sans CJK SC"/>
        <family val="2"/>
      </rPr>
      <t xml:space="preserve">快照）</t>
    </r>
  </si>
  <si>
    <r>
      <rPr>
        <sz val="9"/>
        <color rgb="FF595959"/>
        <rFont val="Noto Sans CJK SC"/>
        <family val="2"/>
      </rPr>
      <t xml:space="preserve">改了任何輸入後快照不會自動更新：狀態顯示「快照已過期」時，以 </t>
    </r>
    <r>
      <rPr>
        <sz val="9"/>
        <color rgb="FF595959"/>
        <rFont val="Arial"/>
        <family val="0"/>
        <charset val="1"/>
      </rPr>
      <t xml:space="preserve">python3 scripts/permw_sens.py </t>
    </r>
    <r>
      <rPr>
        <sz val="9"/>
        <color rgb="FF595959"/>
        <rFont val="Noto Sans CJK SC"/>
        <family val="2"/>
      </rPr>
      <t xml:space="preserve">重新產生並重建</t>
    </r>
  </si>
  <si>
    <r>
      <rPr>
        <b val="true"/>
        <sz val="14"/>
        <rFont val="Noto Sans CJK SC"/>
        <family val="2"/>
      </rPr>
      <t xml:space="preserve">債務明細 — </t>
    </r>
    <r>
      <rPr>
        <b val="true"/>
        <sz val="14"/>
        <rFont val="Arial"/>
        <family val="0"/>
        <charset val="1"/>
      </rPr>
      <t xml:space="preserve">10-Q Note 10</t>
    </r>
    <r>
      <rPr>
        <b val="true"/>
        <sz val="14"/>
        <rFont val="Noto Sans CJK SC"/>
        <family val="2"/>
      </rPr>
      <t xml:space="preserve">（</t>
    </r>
    <r>
      <rPr>
        <b val="true"/>
        <sz val="14"/>
        <rFont val="Arial"/>
        <family val="0"/>
        <charset val="1"/>
      </rPr>
      <t xml:space="preserve">2026-06-30</t>
    </r>
    <r>
      <rPr>
        <b val="true"/>
        <sz val="14"/>
        <rFont val="Noto Sans CJK SC"/>
        <family val="2"/>
      </rPr>
      <t xml:space="preserve">）逐筆＋存量利息推導</t>
    </r>
  </si>
  <si>
    <r>
      <rPr>
        <sz val="9"/>
        <color rgb="FF595959"/>
        <rFont val="Noto Sans CJK SC"/>
        <family val="2"/>
      </rPr>
      <t xml:space="preserve">有效利率為 </t>
    </r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揭露值（含折價攤銷，四捨五入至整數 </t>
    </r>
    <r>
      <rPr>
        <sz val="9"/>
        <color rgb="FF595959"/>
        <rFont val="Arial"/>
        <family val="0"/>
        <charset val="1"/>
      </rPr>
      <t xml:space="preserve">%</t>
    </r>
    <r>
      <rPr>
        <sz val="9"/>
        <color rgb="FF595959"/>
        <rFont val="Noto Sans CJK SC"/>
        <family val="2"/>
      </rPr>
      <t xml:space="preserve">）。本頁算出的存量利息連回『輸入』頁，再進入支出與資金頁</t>
    </r>
  </si>
  <si>
    <t xml:space="preserve">工具</t>
  </si>
  <si>
    <t xml:space="preserve">類別</t>
  </si>
  <si>
    <t xml:space="preserve">到期</t>
  </si>
  <si>
    <t xml:space="preserve">有效利率</t>
  </si>
  <si>
    <r>
      <rPr>
        <b val="true"/>
        <sz val="11"/>
        <color rgb="FFFFFFFF"/>
        <rFont val="Arial"/>
        <family val="0"/>
        <charset val="1"/>
      </rPr>
      <t xml:space="preserve">6/30 </t>
    </r>
    <r>
      <rPr>
        <b val="true"/>
        <sz val="11"/>
        <color rgb="FFFFFFFF"/>
        <rFont val="Noto Sans CJK SC"/>
        <family val="2"/>
      </rPr>
      <t xml:space="preserve">本金</t>
    </r>
  </si>
  <si>
    <t xml:space="preserve">年化利息</t>
  </si>
  <si>
    <t xml:space="preserve">DDTL 1.0</t>
  </si>
  <si>
    <t xml:space="preserve">追索</t>
  </si>
  <si>
    <t xml:space="preserve">2028-03</t>
  </si>
  <si>
    <r>
      <rPr>
        <sz val="9"/>
        <color rgb="FF595959"/>
        <rFont val="Noto Sans CJK SC"/>
        <family val="2"/>
      </rPr>
      <t xml:space="preserve">資產層、隨客戶付款攤還 </t>
    </r>
    <r>
      <rPr>
        <sz val="9"/>
        <color rgb="FF595959"/>
        <rFont val="Arial"/>
        <family val="0"/>
        <charset val="1"/>
      </rPr>
      <t xml:space="preserve">[Verified]</t>
    </r>
  </si>
  <si>
    <t xml:space="preserve">DDTL 2.0</t>
  </si>
  <si>
    <t xml:space="preserve">2030-08</t>
  </si>
  <si>
    <t xml:space="preserve">DDTL 2.1</t>
  </si>
  <si>
    <t xml:space="preserve">2031-03</t>
  </si>
  <si>
    <t xml:space="preserve">DDTL 3.0</t>
  </si>
  <si>
    <t xml:space="preserve">DDTL 5.0</t>
  </si>
  <si>
    <t xml:space="preserve">2031-11</t>
  </si>
  <si>
    <r>
      <rPr>
        <sz val="9"/>
        <color rgb="FF595959"/>
        <rFont val="Arial"/>
        <family val="0"/>
        <charset val="1"/>
      </rPr>
      <t xml:space="preserve">SOFR+4.50%</t>
    </r>
    <r>
      <rPr>
        <sz val="9"/>
        <color rgb="FF595959"/>
        <rFont val="Noto Sans CJK SC"/>
        <family val="2"/>
      </rPr>
      <t xml:space="preserve">；額度 </t>
    </r>
    <r>
      <rPr>
        <sz val="9"/>
        <color rgb="FF595959"/>
        <rFont val="Arial"/>
        <family val="0"/>
        <charset val="1"/>
      </rPr>
      <t xml:space="preserve">3.1 [Verified]</t>
    </r>
  </si>
  <si>
    <t xml:space="preserve">2030 Senior Notes</t>
  </si>
  <si>
    <t xml:space="preserve">2030-06</t>
  </si>
  <si>
    <r>
      <rPr>
        <sz val="9"/>
        <color rgb="FF595959"/>
        <rFont val="Noto Sans CJK SC"/>
        <family val="2"/>
      </rPr>
      <t xml:space="preserve">到期一次還本 </t>
    </r>
    <r>
      <rPr>
        <sz val="9"/>
        <color rgb="FF595959"/>
        <rFont val="Arial"/>
        <family val="0"/>
        <charset val="1"/>
      </rPr>
      <t xml:space="preserve">[Verified]</t>
    </r>
  </si>
  <si>
    <t xml:space="preserve">2031 9.00% Senior Notes</t>
  </si>
  <si>
    <t xml:space="preserve">2031-02</t>
  </si>
  <si>
    <t xml:space="preserve">2031 9.75% Senior Notes</t>
  </si>
  <si>
    <t xml:space="preserve">2031-10</t>
  </si>
  <si>
    <r>
      <rPr>
        <sz val="9"/>
        <color rgb="FF595959"/>
        <rFont val="Arial"/>
        <family val="0"/>
        <charset val="1"/>
      </rPr>
      <t xml:space="preserve">2026-04 </t>
    </r>
    <r>
      <rPr>
        <sz val="9"/>
        <color rgb="FF595959"/>
        <rFont val="Noto Sans CJK SC"/>
        <family val="2"/>
      </rPr>
      <t xml:space="preserve">發行 </t>
    </r>
    <r>
      <rPr>
        <sz val="9"/>
        <color rgb="FF595959"/>
        <rFont val="Arial"/>
        <family val="0"/>
        <charset val="1"/>
      </rPr>
      <t xml:space="preserve">[Verified]</t>
    </r>
  </si>
  <si>
    <t xml:space="preserve">2032 9.625% Senior Notes</t>
  </si>
  <si>
    <t xml:space="preserve">2032-07</t>
  </si>
  <si>
    <r>
      <rPr>
        <sz val="9"/>
        <color rgb="FF595959"/>
        <rFont val="Arial"/>
        <family val="0"/>
        <charset val="1"/>
      </rPr>
      <t xml:space="preserve">2026-06 </t>
    </r>
    <r>
      <rPr>
        <sz val="9"/>
        <color rgb="FF595959"/>
        <rFont val="Noto Sans CJK SC"/>
        <family val="2"/>
      </rPr>
      <t xml:space="preserve">發行 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</si>
  <si>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Arial"/>
        <family val="0"/>
        <charset val="1"/>
      </rPr>
      <t xml:space="preserve">2032 EUR Senior Notes</t>
    </r>
    <r>
      <rPr>
        <sz val="10"/>
        <rFont val="Noto Sans CJK SC"/>
        <family val="2"/>
      </rPr>
      <t xml:space="preserve">（€</t>
    </r>
    <r>
      <rPr>
        <sz val="10"/>
        <rFont val="Arial"/>
        <family val="0"/>
        <charset val="1"/>
      </rPr>
      <t xml:space="preserve">2.0bn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</si>
  <si>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票面 </t>
    </r>
    <r>
      <rPr>
        <sz val="9"/>
        <color rgb="FF595959"/>
        <rFont val="Arial"/>
        <family val="0"/>
        <charset val="1"/>
      </rPr>
      <t xml:space="preserve">8.50%</t>
    </r>
    <r>
      <rPr>
        <sz val="9"/>
        <color rgb="FF595959"/>
        <rFont val="Noto Sans CJK SC"/>
        <family val="2"/>
      </rPr>
      <t xml:space="preserve">；已做換匯換利避險 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</si>
  <si>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Arial"/>
        <family val="0"/>
        <charset val="1"/>
      </rPr>
      <t xml:space="preserve">2031 </t>
    </r>
    <r>
      <rPr>
        <sz val="10"/>
        <rFont val="Noto Sans CJK SC"/>
        <family val="2"/>
      </rPr>
      <t xml:space="preserve">可轉債</t>
    </r>
  </si>
  <si>
    <t xml:space="preserve">2031-12</t>
  </si>
  <si>
    <r>
      <rPr>
        <sz val="10"/>
        <rFont val="Arial"/>
        <family val="0"/>
        <charset val="1"/>
      </rPr>
      <t xml:space="preserve">2032 </t>
    </r>
    <r>
      <rPr>
        <sz val="10"/>
        <rFont val="Noto Sans CJK SC"/>
        <family val="2"/>
      </rPr>
      <t xml:space="preserve">可轉債</t>
    </r>
  </si>
  <si>
    <t xml:space="preserve">2032-10</t>
  </si>
  <si>
    <r>
      <rPr>
        <sz val="9"/>
        <color rgb="FF595959"/>
        <rFont val="Noto Sans CJK SC"/>
        <family val="2"/>
      </rPr>
      <t xml:space="preserve">票面 </t>
    </r>
    <r>
      <rPr>
        <sz val="9"/>
        <color rgb="FF595959"/>
        <rFont val="Arial"/>
        <family val="0"/>
        <charset val="1"/>
      </rPr>
      <t xml:space="preserve">1.75%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2026-04 </t>
    </r>
    <r>
      <rPr>
        <sz val="9"/>
        <color rgb="FF595959"/>
        <rFont val="Noto Sans CJK SC"/>
        <family val="2"/>
      </rPr>
      <t xml:space="preserve">發行 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</si>
  <si>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Arial"/>
        <family val="0"/>
        <charset val="1"/>
      </rPr>
      <t xml:space="preserve">OEM </t>
    </r>
    <r>
      <rPr>
        <sz val="10"/>
        <rFont val="Noto Sans CJK SC"/>
        <family val="2"/>
      </rPr>
      <t xml:space="preserve">與軟體授權融資</t>
    </r>
  </si>
  <si>
    <r>
      <rPr>
        <sz val="9"/>
        <color rgb="FF595959"/>
        <rFont val="Arial"/>
        <family val="0"/>
        <charset val="1"/>
      </rPr>
      <t xml:space="preserve">2026-12</t>
    </r>
    <r>
      <rPr>
        <sz val="9"/>
        <color rgb="FF595959"/>
        <rFont val="Noto Sans CJK SC"/>
        <family val="2"/>
      </rPr>
      <t xml:space="preserve">～</t>
    </r>
    <r>
      <rPr>
        <sz val="9"/>
        <color rgb="FF595959"/>
        <rFont val="Arial"/>
        <family val="0"/>
        <charset val="1"/>
      </rPr>
      <t xml:space="preserve">2030-07</t>
    </r>
  </si>
  <si>
    <r>
      <rPr>
        <sz val="9"/>
        <color rgb="FF595959"/>
        <rFont val="Noto Sans CJK SC"/>
        <family val="2"/>
      </rPr>
      <t xml:space="preserve">短期部分加權 </t>
    </r>
    <r>
      <rPr>
        <sz val="9"/>
        <color rgb="FF595959"/>
        <rFont val="Arial"/>
        <family val="0"/>
        <charset val="1"/>
      </rPr>
      <t xml:space="preserve">9% [Verified]</t>
    </r>
  </si>
  <si>
    <t xml:space="preserve">Magnetar Loan</t>
  </si>
  <si>
    <t xml:space="preserve">2029-01</t>
  </si>
  <si>
    <t xml:space="preserve">DDTL 4.0</t>
  </si>
  <si>
    <t xml:space="preserve">非追索</t>
  </si>
  <si>
    <t xml:space="preserve">2032-03</t>
  </si>
  <si>
    <r>
      <rPr>
        <sz val="9"/>
        <color rgb="FF595959"/>
        <rFont val="Arial"/>
        <family val="0"/>
        <charset val="1"/>
      </rPr>
      <t xml:space="preserve">SOFR+2.25%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Treasury+2.00%</t>
    </r>
    <r>
      <rPr>
        <sz val="9"/>
        <color rgb="FF595959"/>
        <rFont val="Noto Sans CJK SC"/>
        <family val="2"/>
      </rPr>
      <t xml:space="preserve">；額度 </t>
    </r>
    <r>
      <rPr>
        <sz val="9"/>
        <color rgb="FF595959"/>
        <rFont val="Arial"/>
        <family val="0"/>
        <charset val="1"/>
      </rPr>
      <t xml:space="preserve">8.5</t>
    </r>
    <r>
      <rPr>
        <sz val="9"/>
        <color rgb="FF595959"/>
        <rFont val="Noto Sans CJK SC"/>
        <family val="2"/>
      </rPr>
      <t xml:space="preserve">，可動用至 </t>
    </r>
    <r>
      <rPr>
        <sz val="9"/>
        <color rgb="FF595959"/>
        <rFont val="Arial"/>
        <family val="0"/>
        <charset val="1"/>
      </rPr>
      <t xml:space="preserve">2027-06 [Verified]</t>
    </r>
  </si>
  <si>
    <r>
      <rPr>
        <sz val="10"/>
        <rFont val="Arial"/>
        <family val="0"/>
        <charset val="1"/>
      </rPr>
      <t xml:space="preserve">OEM </t>
    </r>
    <r>
      <rPr>
        <sz val="10"/>
        <rFont val="Noto Sans CJK SC"/>
        <family val="2"/>
      </rPr>
      <t xml:space="preserve">融資（非追索）</t>
    </r>
  </si>
  <si>
    <r>
      <rPr>
        <sz val="9"/>
        <color rgb="FF595959"/>
        <rFont val="Arial"/>
        <family val="0"/>
        <charset val="1"/>
      </rPr>
      <t xml:space="preserve">2026-08</t>
    </r>
    <r>
      <rPr>
        <sz val="9"/>
        <color rgb="FF595959"/>
        <rFont val="Noto Sans CJK SC"/>
        <family val="2"/>
      </rPr>
      <t xml:space="preserve">～</t>
    </r>
    <r>
      <rPr>
        <sz val="9"/>
        <color rgb="FF595959"/>
        <rFont val="Arial"/>
        <family val="0"/>
        <charset val="1"/>
      </rPr>
      <t xml:space="preserve">2028-08</t>
    </r>
  </si>
  <si>
    <r>
      <rPr>
        <b val="true"/>
        <sz val="10"/>
        <rFont val="Noto Sans CJK SC"/>
        <family val="2"/>
      </rPr>
      <t xml:space="preserve">合計（</t>
    </r>
    <r>
      <rPr>
        <b val="true"/>
        <sz val="10"/>
        <rFont val="Arial"/>
        <family val="0"/>
        <charset val="1"/>
      </rPr>
      <t xml:space="preserve">6/30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</si>
  <si>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應等於 </t>
    </r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本金合計 </t>
    </r>
    <r>
      <rPr>
        <sz val="9"/>
        <color rgb="FF595959"/>
        <rFont val="Arial"/>
        <family val="0"/>
        <charset val="1"/>
      </rPr>
      <t xml:space="preserve">35.551</t>
    </r>
  </si>
  <si>
    <t xml:space="preserve">加權有效利率</t>
  </si>
  <si>
    <r>
      <rPr>
        <sz val="9"/>
        <color rgb="FF595959"/>
        <rFont val="Noto Sans CJK SC"/>
        <family val="2"/>
      </rPr>
      <t xml:space="preserve">公司 </t>
    </r>
    <r>
      <rPr>
        <sz val="9"/>
        <color rgb="FF595959"/>
        <rFont val="Arial"/>
        <family val="0"/>
        <charset val="1"/>
      </rPr>
      <t xml:space="preserve">9/17 </t>
    </r>
    <r>
      <rPr>
        <sz val="9"/>
        <color rgb="FF595959"/>
        <rFont val="Noto Sans CJK SC"/>
        <family val="2"/>
      </rPr>
      <t xml:space="preserve">簡報：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加權 </t>
    </r>
    <r>
      <rPr>
        <sz val="9"/>
        <color rgb="FF595959"/>
        <rFont val="Arial"/>
        <family val="0"/>
        <charset val="1"/>
      </rPr>
      <t xml:space="preserve">8.3%</t>
    </r>
    <r>
      <rPr>
        <sz val="9"/>
        <color rgb="FF595959"/>
        <rFont val="Noto Sans CJK SC"/>
        <family val="2"/>
      </rPr>
      <t xml:space="preserve">、含新可轉債 </t>
    </r>
    <r>
      <rPr>
        <sz val="9"/>
        <color rgb="FF595959"/>
        <rFont val="Arial"/>
        <family val="0"/>
        <charset val="1"/>
      </rPr>
      <t xml:space="preserve">pro forma 7.8%</t>
    </r>
    <r>
      <rPr>
        <sz val="9"/>
        <color rgb="FF595959"/>
        <rFont val="Noto Sans CJK SC"/>
        <family val="2"/>
      </rPr>
      <t xml:space="preserve">（該口徑用票面，本頁用有效利率）</t>
    </r>
  </si>
  <si>
    <r>
      <rPr>
        <sz val="10"/>
        <rFont val="Arial"/>
        <family val="0"/>
        <charset val="1"/>
      </rPr>
      <t xml:space="preserve">9/17 </t>
    </r>
    <r>
      <rPr>
        <sz val="10"/>
        <rFont val="Noto Sans CJK SC"/>
        <family val="2"/>
      </rPr>
      <t xml:space="preserve">期後：</t>
    </r>
    <r>
      <rPr>
        <sz val="10"/>
        <rFont val="Arial"/>
        <family val="0"/>
        <charset val="1"/>
      </rPr>
      <t xml:space="preserve">2033 </t>
    </r>
    <r>
      <rPr>
        <sz val="10"/>
        <rFont val="Noto Sans CJK SC"/>
        <family val="2"/>
      </rPr>
      <t xml:space="preserve">可轉債</t>
    </r>
  </si>
  <si>
    <r>
      <rPr>
        <sz val="9"/>
        <color rgb="FF595959"/>
        <rFont val="Noto Sans CJK SC"/>
        <family val="2"/>
      </rPr>
      <t xml:space="preserve">轉換價 </t>
    </r>
    <r>
      <rPr>
        <sz val="9"/>
        <color rgb="FF595959"/>
        <rFont val="Arial"/>
        <family val="0"/>
        <charset val="1"/>
      </rPr>
      <t xml:space="preserve">$97.85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2033 </t>
    </r>
    <r>
      <rPr>
        <sz val="9"/>
        <color rgb="FF595959"/>
        <rFont val="Noto Sans CJK SC"/>
        <family val="2"/>
      </rPr>
      <t xml:space="preserve">到期，不在五期還本表內 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</si>
  <si>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b val="true"/>
        <sz val="10"/>
        <rFont val="Noto Sans CJK SC"/>
        <family val="2"/>
      </rPr>
      <t xml:space="preserve">存量利息推導（本金依 </t>
    </r>
    <r>
      <rPr>
        <b val="true"/>
        <sz val="10"/>
        <rFont val="Arial"/>
        <family val="0"/>
        <charset val="1"/>
      </rPr>
      <t xml:space="preserve">10-Q </t>
    </r>
    <r>
      <rPr>
        <b val="true"/>
        <sz val="10"/>
        <rFont val="Noto Sans CJK SC"/>
        <family val="2"/>
      </rPr>
      <t xml:space="preserve">到期表遞減）</t>
    </r>
  </si>
  <si>
    <t xml:space="preserve">期初本金</t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</si>
  <si>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期初為 </t>
    </r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Noto Sans CJK SC"/>
        <family val="2"/>
      </rPr>
      <t xml:space="preserve">本金（模型期起點）</t>
    </r>
  </si>
  <si>
    <t xml:space="preserve">排程還本</t>
  </si>
  <si>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到期表</t>
    </r>
  </si>
  <si>
    <t xml:space="preserve">期末本金</t>
  </si>
  <si>
    <t xml:space="preserve">平均本金</t>
  </si>
  <si>
    <t xml:space="preserve">存量債務利息</t>
  </si>
  <si>
    <r>
      <rPr>
        <sz val="9"/>
        <color rgb="FF595959"/>
        <rFont val="Noto Sans CJK SC"/>
        <family val="2"/>
      </rPr>
      <t xml:space="preserve">＝平均本金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加權有效利率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期間長度。限制：假設利率組合不變（實際上 </t>
    </r>
    <r>
      <rPr>
        <sz val="9"/>
        <color rgb="FF595959"/>
        <rFont val="Arial"/>
        <family val="0"/>
        <charset val="1"/>
      </rPr>
      <t xml:space="preserve">15%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DDTL 1.0 </t>
    </r>
    <r>
      <rPr>
        <sz val="9"/>
        <color rgb="FF595959"/>
        <rFont val="Noto Sans CJK SC"/>
        <family val="2"/>
      </rPr>
      <t xml:space="preserve">先到期，後期利率會略降）</t>
    </r>
  </si>
  <si>
    <r>
      <rPr>
        <sz val="10"/>
        <rFont val="Arial"/>
        <family val="0"/>
        <charset val="1"/>
      </rPr>
      <t xml:space="preserve">9/17 </t>
    </r>
    <r>
      <rPr>
        <sz val="10"/>
        <rFont val="Noto Sans CJK SC"/>
        <family val="2"/>
      </rPr>
      <t xml:space="preserve">可轉債利息</t>
    </r>
  </si>
  <si>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新增借款利息校準</t>
    </r>
  </si>
  <si>
    <r>
      <rPr>
        <sz val="9"/>
        <color rgb="FF595959"/>
        <rFont val="Arial"/>
        <family val="0"/>
        <charset val="1"/>
      </rPr>
      <t xml:space="preserve">Q3 </t>
    </r>
    <r>
      <rPr>
        <sz val="9"/>
        <color rgb="FF595959"/>
        <rFont val="Noto Sans CJK SC"/>
        <family val="2"/>
      </rPr>
      <t xml:space="preserve">指引 </t>
    </r>
    <r>
      <rPr>
        <sz val="9"/>
        <color rgb="FF595959"/>
        <rFont val="Arial"/>
        <family val="0"/>
        <charset val="1"/>
      </rPr>
      <t xml:space="preserve">0.86–0.94</t>
    </r>
    <r>
      <rPr>
        <sz val="9"/>
        <color rgb="FF595959"/>
        <rFont val="Noto Sans CJK SC"/>
        <family val="2"/>
      </rPr>
      <t xml:space="preserve">／季含 </t>
    </r>
    <r>
      <rPr>
        <sz val="9"/>
        <color rgb="FF595959"/>
        <rFont val="Arial"/>
        <family val="0"/>
        <charset val="1"/>
      </rPr>
      <t xml:space="preserve">Q3 </t>
    </r>
    <r>
      <rPr>
        <sz val="9"/>
        <color rgb="FF595959"/>
        <rFont val="Noto Sans CJK SC"/>
        <family val="2"/>
      </rPr>
      <t xml:space="preserve">新動用的 </t>
    </r>
    <r>
      <rPr>
        <sz val="9"/>
        <color rgb="FF595959"/>
        <rFont val="Arial"/>
        <family val="0"/>
        <charset val="1"/>
      </rPr>
      <t xml:space="preserve">DDTL</t>
    </r>
    <r>
      <rPr>
        <sz val="9"/>
        <color rgb="FF595959"/>
        <rFont val="Noto Sans CJK SC"/>
        <family val="2"/>
      </rPr>
      <t xml:space="preserve">；存量推算約 </t>
    </r>
    <r>
      <rPr>
        <sz val="9"/>
        <color rgb="FF595959"/>
        <rFont val="Arial"/>
        <family val="0"/>
        <charset val="1"/>
      </rPr>
      <t xml:space="preserve">0.73</t>
    </r>
    <r>
      <rPr>
        <sz val="9"/>
        <color rgb="FF595959"/>
        <rFont val="Noto Sans CJK SC"/>
        <family val="2"/>
      </rPr>
      <t xml:space="preserve">／季，差額</t>
    </r>
    <r>
      <rPr>
        <sz val="9"/>
        <color rgb="FF595959"/>
        <rFont val="Arial"/>
        <family val="0"/>
        <charset val="1"/>
      </rPr>
      <t xml:space="preserve">×2 </t>
    </r>
    <r>
      <rPr>
        <sz val="9"/>
        <color rgb="FF595959"/>
        <rFont val="Noto Sans CJK SC"/>
        <family val="2"/>
      </rPr>
      <t xml:space="preserve">季≈</t>
    </r>
    <r>
      <rPr>
        <sz val="9"/>
        <color rgb="FF595959"/>
        <rFont val="Arial"/>
        <family val="0"/>
        <charset val="1"/>
      </rPr>
      <t xml:space="preserve">0.35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起新增借款改由瀑布新債利息承接 </t>
    </r>
    <r>
      <rPr>
        <sz val="9"/>
        <color rgb="FF595959"/>
        <rFont val="Arial"/>
        <family val="0"/>
        <charset val="1"/>
      </rPr>
      <t xml:space="preserve">[Derived]</t>
    </r>
  </si>
  <si>
    <t xml:space="preserve">存量利息合計（連回輸入頁）</t>
  </si>
  <si>
    <r>
      <rPr>
        <sz val="9"/>
        <color rgb="FF595959"/>
        <rFont val="Arial"/>
        <family val="0"/>
        <charset val="1"/>
      </rPr>
      <t xml:space="preserve">v1.4 </t>
    </r>
    <r>
      <rPr>
        <sz val="9"/>
        <color rgb="FF595959"/>
        <rFont val="Noto Sans CJK SC"/>
        <family val="2"/>
      </rPr>
      <t xml:space="preserve">手動值為 </t>
    </r>
    <r>
      <rPr>
        <sz val="9"/>
        <color rgb="FF595959"/>
        <rFont val="Arial"/>
        <family val="0"/>
        <charset val="1"/>
      </rPr>
      <t xml:space="preserve">1.8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2.7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2.3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2.0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1.8</t>
    </r>
  </si>
  <si>
    <t xml:space="preserve">新債與新股（類資產負債表：現金、債務、股本、槓桿）</t>
  </si>
  <si>
    <r>
      <rPr>
        <sz val="9"/>
        <color rgb="FF595959"/>
        <rFont val="Noto Sans CJK SC"/>
        <family val="2"/>
      </rPr>
      <t xml:space="preserve">全部為連結公式。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欄的現金自 </t>
    </r>
    <r>
      <rPr>
        <sz val="9"/>
        <color rgb="FF595959"/>
        <rFont val="Arial"/>
        <family val="0"/>
        <charset val="1"/>
      </rPr>
      <t xml:space="preserve">2026-06-30 </t>
    </r>
    <r>
      <rPr>
        <sz val="9"/>
        <color rgb="FF595959"/>
        <rFont val="Noto Sans CJK SC"/>
        <family val="2"/>
      </rPr>
      <t xml:space="preserve">起算（模型期），與 </t>
    </r>
    <r>
      <rPr>
        <sz val="9"/>
        <color rgb="FF595959"/>
        <rFont val="Arial"/>
        <family val="0"/>
        <charset val="1"/>
      </rPr>
      <t xml:space="preserve">HTML</t>
    </r>
    <r>
      <rPr>
        <sz val="9"/>
        <color rgb="FF595959"/>
        <rFont val="Noto Sans CJK SC"/>
        <family val="2"/>
      </rPr>
      <t xml:space="preserve">『資產與負債 → 新債與新股』同口徑</t>
    </r>
  </si>
  <si>
    <t xml:space="preserve">現金</t>
  </si>
  <si>
    <t xml:space="preserve">期初現金</t>
  </si>
  <si>
    <r>
      <rPr>
        <sz val="9"/>
        <color rgb="FF595959"/>
        <rFont val="Arial"/>
        <family val="0"/>
        <charset val="1"/>
      </rPr>
      <t xml:space="preserve">FY26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Noto Sans CJK SC"/>
        <family val="2"/>
      </rPr>
      <t xml:space="preserve">現金（模型期起點）</t>
    </r>
  </si>
  <si>
    <r>
      <rPr>
        <sz val="10"/>
        <rFont val="Noto Sans CJK SC"/>
        <family val="2"/>
      </rPr>
      <t xml:space="preserve">營運收支淨額（含 </t>
    </r>
    <r>
      <rPr>
        <sz val="10"/>
        <rFont val="Arial"/>
        <family val="0"/>
        <charset val="1"/>
      </rPr>
      <t xml:space="preserve">9/17 </t>
    </r>
    <r>
      <rPr>
        <sz val="10"/>
        <rFont val="Noto Sans CJK SC"/>
        <family val="2"/>
      </rPr>
      <t xml:space="preserve">可轉債／</t>
    </r>
    <r>
      <rPr>
        <sz val="10"/>
        <rFont val="Arial"/>
        <family val="0"/>
        <charset val="1"/>
      </rPr>
      <t xml:space="preserve">ATM</t>
    </r>
    <r>
      <rPr>
        <sz val="10"/>
        <rFont val="Noto Sans CJK SC"/>
        <family val="2"/>
      </rPr>
      <t xml:space="preserve">，不含瀑布）</t>
    </r>
  </si>
  <si>
    <t xml:space="preserve">＝融資前累積現金的當期變動；負值即當期外部資金需求</t>
  </si>
  <si>
    <t xml:space="preserve">＋ 瀑布：新債（額度＋資產層）</t>
  </si>
  <si>
    <t xml:space="preserve">＋ 瀑布：高息債</t>
  </si>
  <si>
    <t xml:space="preserve">＋ 瀑布：股權募資</t>
  </si>
  <si>
    <t xml:space="preserve">− 新融資利息（新債＋高息債）</t>
  </si>
  <si>
    <t xml:space="preserve">期末現金</t>
  </si>
  <si>
    <t xml:space="preserve">應等於『各期收支』期末累積現金（見下列驗算）</t>
  </si>
  <si>
    <t xml:space="preserve">　驗算：與各期收支期末現金差異</t>
  </si>
  <si>
    <r>
      <rPr>
        <sz val="9"/>
        <color rgb="FF595959"/>
        <rFont val="Noto Sans CJK SC"/>
        <family val="2"/>
      </rPr>
      <t xml:space="preserve">應為 </t>
    </r>
    <r>
      <rPr>
        <sz val="9"/>
        <color rgb="FF595959"/>
        <rFont val="Arial"/>
        <family val="0"/>
        <charset val="1"/>
      </rPr>
      <t xml:space="preserve">0</t>
    </r>
  </si>
  <si>
    <t xml:space="preserve">債務</t>
  </si>
  <si>
    <r>
      <rPr>
        <sz val="10"/>
        <rFont val="Noto Sans CJK SC"/>
        <family val="2"/>
      </rPr>
      <t xml:space="preserve">既有債務期初（</t>
    </r>
    <r>
      <rPr>
        <sz val="10"/>
        <rFont val="Arial"/>
        <family val="0"/>
        <charset val="1"/>
      </rPr>
      <t xml:space="preserve">10-Q </t>
    </r>
    <r>
      <rPr>
        <sz val="10"/>
        <rFont val="Noto Sans CJK SC"/>
        <family val="2"/>
      </rPr>
      <t xml:space="preserve">本金）</t>
    </r>
  </si>
  <si>
    <t xml:space="preserve">− 排程還本（模型期）</t>
  </si>
  <si>
    <t xml:space="preserve">既有債務期末</t>
  </si>
  <si>
    <r>
      <rPr>
        <sz val="9"/>
        <color rgb="FF595959"/>
        <rFont val="Noto Sans CJK SC"/>
        <family val="2"/>
      </rPr>
      <t xml:space="preserve">＝依到期表遞減（關閉攤還時維持 </t>
    </r>
    <r>
      <rPr>
        <sz val="9"/>
        <color rgb="FF595959"/>
        <rFont val="Arial"/>
        <family val="0"/>
        <charset val="1"/>
      </rPr>
      <t xml:space="preserve">35.551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</si>
  <si>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＋ </t>
    </r>
    <r>
      <rPr>
        <sz val="10"/>
        <rFont val="Arial"/>
        <family val="0"/>
        <charset val="1"/>
      </rPr>
      <t xml:space="preserve">9/17 </t>
    </r>
    <r>
      <rPr>
        <sz val="10"/>
        <rFont val="Noto Sans CJK SC"/>
        <family val="2"/>
      </rPr>
      <t xml:space="preserve">可轉債（</t>
    </r>
    <r>
      <rPr>
        <sz val="10"/>
        <rFont val="Arial"/>
        <family val="0"/>
        <charset val="1"/>
      </rPr>
      <t xml:space="preserve">2033 </t>
    </r>
    <r>
      <rPr>
        <sz val="10"/>
        <rFont val="Noto Sans CJK SC"/>
        <family val="2"/>
      </rPr>
      <t xml:space="preserve">到期）</t>
    </r>
  </si>
  <si>
    <t xml:space="preserve">＋ 瀑布新債餘額</t>
  </si>
  <si>
    <t xml:space="preserve">＋ 高息債餘額</t>
  </si>
  <si>
    <t xml:space="preserve">總債務</t>
  </si>
  <si>
    <t xml:space="preserve">應等於『各期收支』期末總債務</t>
  </si>
  <si>
    <t xml:space="preserve">淨負債（總債務 − 期末現金）</t>
  </si>
  <si>
    <t xml:space="preserve">股本</t>
  </si>
  <si>
    <r>
      <rPr>
        <sz val="10"/>
        <rFont val="Noto Sans CJK SC"/>
        <family val="2"/>
      </rPr>
      <t xml:space="preserve">基礎股數（含 </t>
    </r>
    <r>
      <rPr>
        <sz val="10"/>
        <rFont val="Arial"/>
        <family val="0"/>
        <charset val="1"/>
      </rPr>
      <t xml:space="preserve">ATM </t>
    </r>
    <r>
      <rPr>
        <sz val="10"/>
        <rFont val="Noto Sans CJK SC"/>
        <family val="2"/>
      </rPr>
      <t xml:space="preserve">上限、</t>
    </r>
    <r>
      <rPr>
        <sz val="10"/>
        <rFont val="Arial"/>
        <family val="0"/>
        <charset val="1"/>
      </rPr>
      <t xml:space="preserve">SBC </t>
    </r>
    <r>
      <rPr>
        <sz val="10"/>
        <rFont val="Noto Sans CJK SC"/>
        <family val="2"/>
      </rPr>
      <t xml:space="preserve">稀釋）</t>
    </r>
  </si>
  <si>
    <t xml:space="preserve">＋ 本期新股</t>
  </si>
  <si>
    <t xml:space="preserve">總股數（期末）</t>
  </si>
  <si>
    <t xml:space="preserve">＝基礎股數＋累計新股</t>
  </si>
  <si>
    <t xml:space="preserve">槓桿</t>
  </si>
  <si>
    <r>
      <rPr>
        <sz val="10"/>
        <rFont val="Noto Sans CJK SC"/>
        <family val="2"/>
      </rPr>
      <t xml:space="preserve">總債務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期末 </t>
    </r>
    <r>
      <rPr>
        <sz val="10"/>
        <rFont val="Arial"/>
        <family val="0"/>
        <charset val="1"/>
      </rPr>
      <t xml:space="preserve">backlog</t>
    </r>
  </si>
  <si>
    <r>
      <rPr>
        <sz val="9"/>
        <color rgb="FF595959"/>
        <rFont val="Noto Sans CJK SC"/>
        <family val="2"/>
      </rPr>
      <t xml:space="preserve">高息債不受 </t>
    </r>
    <r>
      <rPr>
        <sz val="9"/>
        <color rgb="FF595959"/>
        <rFont val="Arial"/>
        <family val="0"/>
        <charset val="1"/>
      </rPr>
      <t xml:space="preserve">backlog </t>
    </r>
    <r>
      <rPr>
        <sz val="9"/>
        <color rgb="FF595959"/>
        <rFont val="Noto Sans CJK SC"/>
        <family val="2"/>
      </rPr>
      <t xml:space="preserve">上限約束</t>
    </r>
  </si>
  <si>
    <r>
      <rPr>
        <sz val="10"/>
        <rFont val="Noto Sans CJK SC"/>
        <family val="2"/>
      </rPr>
      <t xml:space="preserve">總債務 </t>
    </r>
    <r>
      <rPr>
        <sz val="10"/>
        <rFont val="Arial"/>
        <family val="0"/>
        <charset val="1"/>
      </rPr>
      <t xml:space="preserve">÷ EBITDA</t>
    </r>
    <r>
      <rPr>
        <sz val="10"/>
        <rFont val="Noto Sans CJK SC"/>
        <family val="2"/>
      </rPr>
      <t xml:space="preserve">（年化）</t>
    </r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</si>
  <si>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模型期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以半年</t>
    </r>
    <r>
      <rPr>
        <sz val="9"/>
        <color rgb="FF595959"/>
        <rFont val="Arial"/>
        <family val="0"/>
        <charset val="1"/>
      </rPr>
      <t xml:space="preserve">×2 </t>
    </r>
    <r>
      <rPr>
        <sz val="9"/>
        <color rgb="FF595959"/>
        <rFont val="Noto Sans CJK SC"/>
        <family val="2"/>
      </rPr>
      <t xml:space="preserve">年化</t>
    </r>
  </si>
  <si>
    <r>
      <rPr>
        <b val="true"/>
        <sz val="14"/>
        <rFont val="Noto Sans CJK SC"/>
        <family val="2"/>
      </rPr>
      <t xml:space="preserve">租賃與承諾 — </t>
    </r>
    <r>
      <rPr>
        <b val="true"/>
        <sz val="14"/>
        <rFont val="Arial"/>
        <family val="0"/>
        <charset val="1"/>
      </rPr>
      <t xml:space="preserve">10-Q</t>
    </r>
    <r>
      <rPr>
        <b val="true"/>
        <sz val="14"/>
        <rFont val="Noto Sans CJK SC"/>
        <family val="2"/>
      </rPr>
      <t xml:space="preserve">（</t>
    </r>
    <r>
      <rPr>
        <b val="true"/>
        <sz val="14"/>
        <rFont val="Arial"/>
        <family val="0"/>
        <charset val="1"/>
      </rPr>
      <t xml:space="preserve">2026-06-30</t>
    </r>
    <r>
      <rPr>
        <b val="true"/>
        <sz val="14"/>
        <rFont val="Noto Sans CJK SC"/>
        <family val="2"/>
      </rPr>
      <t xml:space="preserve">）原始揭露</t>
    </r>
  </si>
  <si>
    <t xml:space="preserve">本頁為硬編碼的申報數字（藍字），支出與資金頁的租金與還本列由此而來</t>
  </si>
  <si>
    <t xml:space="preserve">在帳租賃到期表（未折現）</t>
  </si>
  <si>
    <r>
      <rPr>
        <b val="true"/>
        <sz val="11"/>
        <color rgb="FFFFFFFF"/>
        <rFont val="Arial"/>
        <family val="0"/>
        <charset val="1"/>
      </rPr>
      <t xml:space="preserve">2026 </t>
    </r>
    <r>
      <rPr>
        <b val="true"/>
        <sz val="11"/>
        <color rgb="FFFFFFFF"/>
        <rFont val="Noto Sans CJK SC"/>
        <family val="2"/>
      </rPr>
      <t xml:space="preserve">下半</t>
    </r>
  </si>
  <si>
    <t xml:space="preserve">2027</t>
  </si>
  <si>
    <t xml:space="preserve">2028</t>
  </si>
  <si>
    <t xml:space="preserve">2029</t>
  </si>
  <si>
    <t xml:space="preserve">2030</t>
  </si>
  <si>
    <t xml:space="preserve">其後</t>
  </si>
  <si>
    <t xml:space="preserve">營業租賃付款</t>
  </si>
  <si>
    <t xml:space="preserve">融資租賃付款</t>
  </si>
  <si>
    <t xml:space="preserve">合計（＝支出頁「在帳現金租金」）</t>
  </si>
  <si>
    <r>
      <rPr>
        <sz val="9"/>
        <color rgb="FF595959"/>
        <rFont val="Noto Sans CJK SC"/>
        <family val="2"/>
      </rPr>
      <t xml:space="preserve">營業租賃負債現值 </t>
    </r>
    <r>
      <rPr>
        <sz val="9"/>
        <color rgb="FF595959"/>
        <rFont val="Arial"/>
        <family val="0"/>
        <charset val="1"/>
      </rPr>
      <t xml:space="preserve">16.319</t>
    </r>
    <r>
      <rPr>
        <sz val="9"/>
        <color rgb="FF595959"/>
        <rFont val="Noto Sans CJK SC"/>
        <family val="2"/>
      </rPr>
      <t xml:space="preserve">、融資租賃 </t>
    </r>
    <r>
      <rPr>
        <sz val="9"/>
        <color rgb="FF595959"/>
        <rFont val="Arial"/>
        <family val="0"/>
        <charset val="1"/>
      </rPr>
      <t xml:space="preserve">0.221</t>
    </r>
    <r>
      <rPr>
        <sz val="9"/>
        <color rgb="FF595959"/>
        <rFont val="Noto Sans CJK SC"/>
        <family val="2"/>
      </rPr>
      <t xml:space="preserve">；加權剩餘租期 </t>
    </r>
    <r>
      <rPr>
        <sz val="9"/>
        <color rgb="FF595959"/>
        <rFont val="Arial"/>
        <family val="0"/>
        <charset val="1"/>
      </rPr>
      <t xml:space="preserve">12 </t>
    </r>
    <r>
      <rPr>
        <sz val="9"/>
        <color rgb="FF595959"/>
        <rFont val="Noto Sans CJK SC"/>
        <family val="2"/>
      </rPr>
      <t xml:space="preserve">年、折現率 </t>
    </r>
    <r>
      <rPr>
        <sz val="9"/>
        <color rgb="FF595959"/>
        <rFont val="Arial"/>
        <family val="0"/>
        <charset val="1"/>
      </rPr>
      <t xml:space="preserve">10% [Verified]</t>
    </r>
  </si>
  <si>
    <t xml:space="preserve">債務本金到期表</t>
  </si>
  <si>
    <t xml:space="preserve">本金（＝支出頁「排程還本」）</t>
  </si>
  <si>
    <r>
      <rPr>
        <sz val="9"/>
        <color rgb="FF595959"/>
        <rFont val="Noto Sans CJK SC"/>
        <family val="2"/>
      </rPr>
      <t xml:space="preserve">本金合計 </t>
    </r>
    <r>
      <rPr>
        <sz val="9"/>
        <color rgb="FF595959"/>
        <rFont val="Arial"/>
        <family val="0"/>
        <charset val="1"/>
      </rPr>
      <t xml:space="preserve">35.551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DDTL 13.6</t>
    </r>
    <r>
      <rPr>
        <sz val="9"/>
        <color rgb="FF595959"/>
        <rFont val="Noto Sans CJK SC"/>
        <family val="2"/>
      </rPr>
      <t xml:space="preserve">、票據 </t>
    </r>
    <r>
      <rPr>
        <sz val="9"/>
        <color rgb="FF595959"/>
        <rFont val="Arial"/>
        <family val="0"/>
        <charset val="1"/>
      </rPr>
      <t xml:space="preserve">16.6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OEM 5.1 </t>
    </r>
    <r>
      <rPr>
        <sz val="9"/>
        <color rgb="FF595959"/>
        <rFont val="Noto Sans CJK SC"/>
        <family val="2"/>
      </rPr>
      <t xml:space="preserve">等）</t>
    </r>
    <r>
      <rPr>
        <sz val="9"/>
        <color rgb="FF595959"/>
        <rFont val="Arial"/>
        <family val="0"/>
        <charset val="1"/>
      </rPr>
      <t xml:space="preserve">[Verified]</t>
    </r>
  </si>
  <si>
    <t xml:space="preserve">表外與契約性承諾（未入表）</t>
  </si>
  <si>
    <t xml:space="preserve">金額</t>
  </si>
  <si>
    <t xml:space="preserve">時程</t>
  </si>
  <si>
    <t xml:space="preserve">入表？</t>
  </si>
  <si>
    <t xml:space="preserve">模型位置</t>
  </si>
  <si>
    <t xml:space="preserve">未起租租賃（未折現）</t>
  </si>
  <si>
    <r>
      <rPr>
        <sz val="9"/>
        <color rgb="FF595959"/>
        <rFont val="Arial"/>
        <family val="0"/>
        <charset val="1"/>
      </rPr>
      <t xml:space="preserve">2026–2029 </t>
    </r>
    <r>
      <rPr>
        <sz val="9"/>
        <color rgb="FF595959"/>
        <rFont val="Noto Sans CJK SC"/>
        <family val="2"/>
      </rPr>
      <t xml:space="preserve">起租，</t>
    </r>
    <r>
      <rPr>
        <sz val="9"/>
        <color rgb="FF595959"/>
        <rFont val="Arial"/>
        <family val="0"/>
        <charset val="1"/>
      </rPr>
      <t xml:space="preserve">7–16 </t>
    </r>
    <r>
      <rPr>
        <sz val="9"/>
        <color rgb="FF595959"/>
        <rFont val="Noto Sans CJK SC"/>
        <family val="2"/>
      </rPr>
      <t xml:space="preserve">年</t>
    </r>
  </si>
  <si>
    <t xml:space="preserve">否</t>
  </si>
  <si>
    <t xml:space="preserve">表外現金租金</t>
  </si>
  <si>
    <t xml:space="preserve">單站按造價計租，上限</t>
  </si>
  <si>
    <r>
      <rPr>
        <sz val="9"/>
        <color rgb="FF595959"/>
        <rFont val="Arial"/>
        <family val="0"/>
        <charset val="1"/>
      </rPr>
      <t xml:space="preserve">393 MW </t>
    </r>
    <r>
      <rPr>
        <sz val="9"/>
        <color rgb="FF595959"/>
        <rFont val="Noto Sans CJK SC"/>
        <family val="2"/>
      </rPr>
      <t xml:space="preserve">未交付，</t>
    </r>
    <r>
      <rPr>
        <sz val="9"/>
        <color rgb="FF595959"/>
        <rFont val="Arial"/>
        <family val="0"/>
        <charset val="1"/>
      </rPr>
      <t xml:space="preserve">16 </t>
    </r>
    <r>
      <rPr>
        <sz val="9"/>
        <color rgb="FF595959"/>
        <rFont val="Noto Sans CJK SC"/>
        <family val="2"/>
      </rPr>
      <t xml:space="preserve">年</t>
    </r>
  </si>
  <si>
    <r>
      <rPr>
        <sz val="10"/>
        <rFont val="Noto Sans CJK SC"/>
        <family val="2"/>
      </rPr>
      <t xml:space="preserve">按造價計租，</t>
    </r>
    <r>
      <rPr>
        <sz val="10"/>
        <rFont val="Arial"/>
        <family val="0"/>
        <charset val="1"/>
      </rPr>
      <t xml:space="preserve">355 MW</t>
    </r>
  </si>
  <si>
    <t xml:space="preserve">未定</t>
  </si>
  <si>
    <r>
      <rPr>
        <sz val="9"/>
        <color rgb="FF595959"/>
        <rFont val="Arial"/>
        <family val="0"/>
        <charset val="1"/>
      </rPr>
      <t xml:space="preserve">2026–2028 </t>
    </r>
    <r>
      <rPr>
        <sz val="9"/>
        <color rgb="FF595959"/>
        <rFont val="Noto Sans CJK SC"/>
        <family val="2"/>
      </rPr>
      <t xml:space="preserve">分期，金額未定</t>
    </r>
  </si>
  <si>
    <t xml:space="preserve">承租人自備設備承諾</t>
  </si>
  <si>
    <r>
      <rPr>
        <sz val="9"/>
        <color rgb="FF595959"/>
        <rFont val="Arial"/>
        <family val="0"/>
        <charset val="1"/>
      </rPr>
      <t xml:space="preserve">0.5–1.2</t>
    </r>
    <r>
      <rPr>
        <sz val="9"/>
        <color rgb="FF595959"/>
        <rFont val="Noto Sans CJK SC"/>
        <family val="2"/>
      </rPr>
      <t xml:space="preserve">，分期至 </t>
    </r>
    <r>
      <rPr>
        <sz val="9"/>
        <color rgb="FF595959"/>
        <rFont val="Arial"/>
        <family val="0"/>
        <charset val="1"/>
      </rPr>
      <t xml:space="preserve">2028</t>
    </r>
  </si>
  <si>
    <r>
      <rPr>
        <sz val="9"/>
        <color rgb="FF595959"/>
        <rFont val="Noto Sans CJK SC"/>
        <family val="2"/>
      </rPr>
      <t xml:space="preserve">併入毛 </t>
    </r>
    <r>
      <rPr>
        <sz val="9"/>
        <color rgb="FF595959"/>
        <rFont val="Arial"/>
        <family val="0"/>
        <charset val="1"/>
      </rPr>
      <t xml:space="preserve">CapEx</t>
    </r>
  </si>
  <si>
    <r>
      <rPr>
        <sz val="10"/>
        <rFont val="Arial"/>
        <family val="0"/>
        <charset val="1"/>
      </rPr>
      <t xml:space="preserve">JV </t>
    </r>
    <r>
      <rPr>
        <sz val="10"/>
        <rFont val="Noto Sans CJK SC"/>
        <family val="2"/>
      </rPr>
      <t xml:space="preserve">出資承諾</t>
    </r>
  </si>
  <si>
    <r>
      <rPr>
        <sz val="9"/>
        <color rgb="FF595959"/>
        <rFont val="Noto Sans CJK SC"/>
        <family val="2"/>
      </rPr>
      <t xml:space="preserve">已付 </t>
    </r>
    <r>
      <rPr>
        <sz val="9"/>
        <color rgb="FF595959"/>
        <rFont val="Arial"/>
        <family val="0"/>
        <charset val="1"/>
      </rPr>
      <t xml:space="preserve">0.55</t>
    </r>
  </si>
  <si>
    <r>
      <rPr>
        <sz val="9"/>
        <color rgb="FF595959"/>
        <rFont val="Arial"/>
        <family val="0"/>
        <charset val="1"/>
      </rPr>
      <t xml:space="preserve">JV</t>
    </r>
    <r>
      <rPr>
        <sz val="9"/>
        <color rgb="FF595959"/>
        <rFont val="Noto Sans CJK SC"/>
        <family val="2"/>
      </rPr>
      <t xml:space="preserve">／策略投資出資</t>
    </r>
  </si>
  <si>
    <r>
      <rPr>
        <sz val="10"/>
        <rFont val="Arial"/>
        <family val="0"/>
        <charset val="1"/>
      </rPr>
      <t xml:space="preserve">VIE </t>
    </r>
    <r>
      <rPr>
        <sz val="10"/>
        <rFont val="Noto Sans CJK SC"/>
        <family val="2"/>
      </rPr>
      <t xml:space="preserve">最大損失暴露</t>
    </r>
  </si>
  <si>
    <t xml:space="preserve">—</t>
  </si>
  <si>
    <t xml:space="preserve">不另列</t>
  </si>
  <si>
    <r>
      <rPr>
        <sz val="10"/>
        <rFont val="Noto Sans CJK SC"/>
        <family val="2"/>
      </rPr>
      <t xml:space="preserve">可用信用額度（</t>
    </r>
    <r>
      <rPr>
        <sz val="10"/>
        <rFont val="Arial"/>
        <family val="0"/>
        <charset val="1"/>
      </rPr>
      <t xml:space="preserve">RCF</t>
    </r>
    <r>
      <rPr>
        <sz val="10"/>
        <rFont val="Noto Sans CJK SC"/>
        <family val="2"/>
      </rPr>
      <t xml:space="preserve">＋</t>
    </r>
    <r>
      <rPr>
        <sz val="10"/>
        <rFont val="Arial"/>
        <family val="0"/>
        <charset val="1"/>
      </rPr>
      <t xml:space="preserve">DDTL </t>
    </r>
    <r>
      <rPr>
        <sz val="10"/>
        <rFont val="Noto Sans CJK SC"/>
        <family val="2"/>
      </rPr>
      <t xml:space="preserve">未動用）</t>
    </r>
  </si>
  <si>
    <r>
      <rPr>
        <sz val="9"/>
        <color rgb="FF595959"/>
        <rFont val="Arial"/>
        <family val="0"/>
        <charset val="1"/>
      </rPr>
      <t xml:space="preserve">DDTL 4.0 </t>
    </r>
    <r>
      <rPr>
        <sz val="9"/>
        <color rgb="FF595959"/>
        <rFont val="Noto Sans CJK SC"/>
        <family val="2"/>
      </rPr>
      <t xml:space="preserve">可動用至 </t>
    </r>
    <r>
      <rPr>
        <sz val="9"/>
        <color rgb="FF595959"/>
        <rFont val="Arial"/>
        <family val="0"/>
        <charset val="1"/>
      </rPr>
      <t xml:space="preserve">2027-06</t>
    </r>
  </si>
  <si>
    <t xml:space="preserve">否（來源）</t>
  </si>
  <si>
    <t xml:space="preserve">選用開關</t>
  </si>
  <si>
    <t xml:space="preserve">已揭露金額之承諾合計（未起租＋單站上限）</t>
  </si>
  <si>
    <t xml:space="preserve">模型表外租金五期合計</t>
  </si>
  <si>
    <r>
      <rPr>
        <sz val="10"/>
        <rFont val="Noto Sans CJK SC"/>
        <family val="2"/>
      </rPr>
      <t xml:space="preserve">模型表外租金尾端（</t>
    </r>
    <r>
      <rPr>
        <sz val="10"/>
        <rFont val="Arial"/>
        <family val="0"/>
        <charset val="1"/>
      </rPr>
      <t xml:space="preserve">FY30×12 </t>
    </r>
    <r>
      <rPr>
        <sz val="10"/>
        <rFont val="Noto Sans CJK SC"/>
        <family val="2"/>
      </rPr>
      <t xml:space="preserve">年）</t>
    </r>
  </si>
  <si>
    <r>
      <rPr>
        <b val="true"/>
        <sz val="10"/>
        <rFont val="Noto Sans CJK SC"/>
        <family val="2"/>
      </rPr>
      <t xml:space="preserve">模型路徑合計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已承諾（≥</t>
    </r>
    <r>
      <rPr>
        <b val="true"/>
        <sz val="10"/>
        <rFont val="Arial"/>
        <family val="0"/>
        <charset val="1"/>
      </rPr>
      <t xml:space="preserve">0.8 </t>
    </r>
    <r>
      <rPr>
        <b val="true"/>
        <sz val="10"/>
        <rFont val="Noto Sans CJK SC"/>
        <family val="2"/>
      </rPr>
      <t xml:space="preserve">為合理）</t>
    </r>
  </si>
  <si>
    <r>
      <rPr>
        <sz val="9"/>
        <color rgb="FF595959"/>
        <rFont val="Arial"/>
        <family val="0"/>
        <charset val="1"/>
      </rPr>
      <t xml:space="preserve">8 GW </t>
    </r>
    <r>
      <rPr>
        <sz val="9"/>
        <color rgb="FF595959"/>
        <rFont val="Noto Sans CJK SC"/>
        <family val="2"/>
      </rPr>
      <t xml:space="preserve">路徑所需新租約多數尚未簽署，路徑高於已承諾屬假設而非錯誤</t>
    </r>
  </si>
  <si>
    <t xml:space="preserve">損益（類損益表）— 與資金模型同一組收入</t>
  </si>
  <si>
    <r>
      <rPr>
        <sz val="9"/>
        <color rgb="FF595959"/>
        <rFont val="Noto Sans CJK SC"/>
        <family val="2"/>
      </rPr>
      <t xml:space="preserve">算力收入、</t>
    </r>
    <r>
      <rPr>
        <sz val="9"/>
        <color rgb="FF595959"/>
        <rFont val="Arial"/>
        <family val="0"/>
        <charset val="1"/>
      </rPr>
      <t xml:space="preserve">Cash CapEx</t>
    </r>
    <r>
      <rPr>
        <sz val="9"/>
        <color rgb="FF595959"/>
        <rFont val="Noto Sans CJK SC"/>
        <family val="2"/>
      </rPr>
      <t xml:space="preserve">、利息皆由前面分頁連結而來；改資金假設，此頁會跟著動</t>
    </r>
  </si>
  <si>
    <t xml:space="preserve">損益表</t>
  </si>
  <si>
    <t xml:space="preserve">算力收入</t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</si>
  <si>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Noto Sans CJK SC"/>
        <family val="2"/>
      </rPr>
      <t xml:space="preserve">轉換＋新簽約</t>
    </r>
  </si>
  <si>
    <t xml:space="preserve">非算力服務</t>
  </si>
  <si>
    <t xml:space="preserve">總營收</t>
  </si>
  <si>
    <r>
      <rPr>
        <sz val="10"/>
        <rFont val="Noto Sans CJK SC"/>
        <family val="2"/>
      </rPr>
      <t xml:space="preserve">營業利益（</t>
    </r>
    <r>
      <rPr>
        <sz val="10"/>
        <rFont val="Arial"/>
        <family val="0"/>
        <charset val="1"/>
      </rPr>
      <t xml:space="preserve">EBIT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</si>
  <si>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＝營收</t>
    </r>
    <r>
      <rPr>
        <sz val="9"/>
        <color rgb="FF595959"/>
        <rFont val="Arial"/>
        <family val="0"/>
        <charset val="1"/>
      </rPr>
      <t xml:space="preserve">×EBITDA </t>
    </r>
    <r>
      <rPr>
        <sz val="9"/>
        <color rgb="FF595959"/>
        <rFont val="Noto Sans CJK SC"/>
        <family val="2"/>
      </rPr>
      <t xml:space="preserve">率 − 車隊 </t>
    </r>
    <r>
      <rPr>
        <sz val="9"/>
        <color rgb="FF595959"/>
        <rFont val="Arial"/>
        <family val="0"/>
        <charset val="1"/>
      </rPr>
      <t xml:space="preserve">D&amp;A</t>
    </r>
  </si>
  <si>
    <t xml:space="preserve">利息（含瀑布新債）</t>
  </si>
  <si>
    <t xml:space="preserve">稅前損益</t>
  </si>
  <si>
    <r>
      <rPr>
        <sz val="10"/>
        <rFont val="Arial"/>
        <family val="0"/>
        <charset val="1"/>
      </rPr>
      <t xml:space="preserve">NOL </t>
    </r>
    <r>
      <rPr>
        <sz val="10"/>
        <rFont val="Noto Sans CJK SC"/>
        <family val="2"/>
      </rPr>
      <t xml:space="preserve">期初餘額</t>
    </r>
  </si>
  <si>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Noto Sans CJK SC"/>
        <family val="2"/>
      </rPr>
      <t xml:space="preserve">累積虧損約 </t>
    </r>
    <r>
      <rPr>
        <sz val="9"/>
        <color rgb="FF595959"/>
        <rFont val="Arial"/>
        <family val="0"/>
        <charset val="1"/>
      </rPr>
      <t xml:space="preserve">4.0</t>
    </r>
  </si>
  <si>
    <r>
      <rPr>
        <sz val="10"/>
        <rFont val="Noto Sans CJK SC"/>
        <family val="2"/>
      </rPr>
      <t xml:space="preserve">　本期動用 </t>
    </r>
    <r>
      <rPr>
        <sz val="10"/>
        <rFont val="Arial"/>
        <family val="0"/>
        <charset val="1"/>
      </rPr>
      <t xml:space="preserve">NOL</t>
    </r>
  </si>
  <si>
    <r>
      <rPr>
        <sz val="9"/>
        <color rgb="FF595959"/>
        <rFont val="Noto Sans CJK SC"/>
        <family val="2"/>
      </rPr>
      <t xml:space="preserve">美國規定：抵扣上限為應稅所得 </t>
    </r>
    <r>
      <rPr>
        <sz val="9"/>
        <color rgb="FF595959"/>
        <rFont val="Arial"/>
        <family val="0"/>
        <charset val="1"/>
      </rPr>
      <t xml:space="preserve">80%</t>
    </r>
  </si>
  <si>
    <r>
      <rPr>
        <sz val="10"/>
        <rFont val="Arial"/>
        <family val="0"/>
        <charset val="1"/>
      </rPr>
      <t xml:space="preserve">NOL </t>
    </r>
    <r>
      <rPr>
        <sz val="10"/>
        <rFont val="Noto Sans CJK SC"/>
        <family val="2"/>
      </rPr>
      <t xml:space="preserve">期末餘額</t>
    </r>
  </si>
  <si>
    <t xml:space="preserve">所得稅</t>
  </si>
  <si>
    <t xml:space="preserve">虧損年不認列稅盾（與公司評價備抵一致）</t>
  </si>
  <si>
    <t xml:space="preserve">淨利</t>
  </si>
  <si>
    <t xml:space="preserve">車隊折舊，見輸入頁</t>
  </si>
  <si>
    <r>
      <rPr>
        <sz val="10"/>
        <rFont val="Noto Sans CJK SC"/>
        <family val="2"/>
      </rPr>
      <t xml:space="preserve">　基礎股數（每年 </t>
    </r>
    <r>
      <rPr>
        <sz val="10"/>
        <rFont val="Arial"/>
        <family val="0"/>
        <charset val="1"/>
      </rPr>
      <t xml:space="preserve">+SBC </t>
    </r>
    <r>
      <rPr>
        <sz val="10"/>
        <rFont val="Noto Sans CJK SC"/>
        <family val="2"/>
      </rPr>
      <t xml:space="preserve">稀釋）</t>
    </r>
  </si>
  <si>
    <r>
      <rPr>
        <sz val="9"/>
        <color rgb="FF595959"/>
        <rFont val="Arial"/>
        <family val="0"/>
        <charset val="1"/>
      </rPr>
      <t xml:space="preserve">FY26</t>
    </r>
    <r>
      <rPr>
        <sz val="9"/>
        <color rgb="FF595959"/>
        <rFont val="Noto Sans CJK SC"/>
        <family val="2"/>
      </rPr>
      <t xml:space="preserve">＝含 </t>
    </r>
    <r>
      <rPr>
        <sz val="9"/>
        <color rgb="FF595959"/>
        <rFont val="Arial"/>
        <family val="0"/>
        <charset val="1"/>
      </rPr>
      <t xml:space="preserve">ATM </t>
    </r>
    <r>
      <rPr>
        <sz val="9"/>
        <color rgb="FF595959"/>
        <rFont val="Noto Sans CJK SC"/>
        <family val="2"/>
      </rPr>
      <t xml:space="preserve">上限 </t>
    </r>
    <r>
      <rPr>
        <sz val="9"/>
        <color rgb="FF595959"/>
        <rFont val="Arial"/>
        <family val="0"/>
        <charset val="1"/>
      </rPr>
      <t xml:space="preserve">0.587</t>
    </r>
    <r>
      <rPr>
        <sz val="9"/>
        <color rgb="FF595959"/>
        <rFont val="Noto Sans CJK SC"/>
        <family val="2"/>
      </rPr>
      <t xml:space="preserve">；之後每年 </t>
    </r>
    <r>
      <rPr>
        <sz val="9"/>
        <color rgb="FF595959"/>
        <rFont val="Arial"/>
        <family val="0"/>
        <charset val="1"/>
      </rPr>
      <t xml:space="preserve">×(1</t>
    </r>
    <r>
      <rPr>
        <sz val="9"/>
        <color rgb="FF595959"/>
        <rFont val="Noto Sans CJK SC"/>
        <family val="2"/>
      </rPr>
      <t xml:space="preserve">＋股數年增</t>
    </r>
    <r>
      <rPr>
        <sz val="9"/>
        <color rgb="FF595959"/>
        <rFont val="Arial"/>
        <family val="0"/>
        <charset val="1"/>
      </rPr>
      <t xml:space="preserve">)</t>
    </r>
  </si>
  <si>
    <t xml:space="preserve">股數（含瀑布新股）</t>
  </si>
  <si>
    <t xml:space="preserve">＝基礎股數＋累計瀑布新股</t>
  </si>
  <si>
    <r>
      <rPr>
        <sz val="10"/>
        <rFont val="Noto Sans CJK SC"/>
        <family val="2"/>
      </rPr>
      <t xml:space="preserve">每股盈餘（</t>
    </r>
    <r>
      <rPr>
        <sz val="10"/>
        <rFont val="Arial"/>
        <family val="0"/>
        <charset val="1"/>
      </rPr>
      <t xml:space="preserve">EPS</t>
    </r>
    <r>
      <rPr>
        <sz val="10"/>
        <rFont val="Noto Sans CJK SC"/>
        <family val="2"/>
      </rPr>
      <t xml:space="preserve">，模型期）</t>
    </r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</si>
  <si>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欄只含下半年；全年口徑見下方</t>
    </r>
  </si>
  <si>
    <r>
      <rPr>
        <b val="true"/>
        <sz val="10"/>
        <rFont val="Noto Sans CJK SC"/>
        <family val="2"/>
      </rPr>
      <t xml:space="preserve">損益表（全年口徑；</t>
    </r>
    <r>
      <rPr>
        <b val="true"/>
        <sz val="10"/>
        <rFont val="Arial"/>
        <family val="0"/>
        <charset val="1"/>
      </rPr>
      <t xml:space="preserve">FY26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1H </t>
    </r>
    <r>
      <rPr>
        <b val="true"/>
        <sz val="10"/>
        <rFont val="Noto Sans CJK SC"/>
        <family val="2"/>
      </rPr>
      <t xml:space="preserve">實際＋下半年模型；與 </t>
    </r>
    <r>
      <rPr>
        <b val="true"/>
        <sz val="10"/>
        <rFont val="Arial"/>
        <family val="0"/>
        <charset val="1"/>
      </rPr>
      <t xml:space="preserve">HTML </t>
    </r>
    <r>
      <rPr>
        <b val="true"/>
        <sz val="10"/>
        <rFont val="Noto Sans CJK SC"/>
        <family val="2"/>
      </rPr>
      <t xml:space="preserve">損益簡表一致）</t>
    </r>
  </si>
  <si>
    <r>
      <rPr>
        <sz val="10"/>
        <rFont val="Arial"/>
        <family val="0"/>
        <charset val="1"/>
      </rPr>
      <t xml:space="preserve">1H26 </t>
    </r>
    <r>
      <rPr>
        <sz val="10"/>
        <rFont val="Noto Sans CJK SC"/>
        <family val="2"/>
      </rPr>
      <t xml:space="preserve">實際營收（已實現）</t>
    </r>
  </si>
  <si>
    <t xml:space="preserve">全年總營收</t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</si>
  <si>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可對照指引 </t>
    </r>
    <r>
      <rPr>
        <sz val="9"/>
        <color rgb="FF595959"/>
        <rFont val="Arial"/>
        <family val="0"/>
        <charset val="1"/>
      </rPr>
      <t xml:space="preserve">12.4–13.2</t>
    </r>
  </si>
  <si>
    <r>
      <rPr>
        <sz val="10"/>
        <rFont val="Noto Sans CJK SC"/>
        <family val="2"/>
      </rPr>
      <t xml:space="preserve">營收 </t>
    </r>
    <r>
      <rPr>
        <sz val="10"/>
        <rFont val="Arial"/>
        <family val="0"/>
        <charset val="1"/>
      </rPr>
      <t xml:space="preserve">YoY</t>
    </r>
  </si>
  <si>
    <r>
      <rPr>
        <sz val="9"/>
        <color rgb="FF595959"/>
        <rFont val="Arial"/>
        <family val="0"/>
        <charset val="1"/>
      </rPr>
      <t xml:space="preserve">FY25 </t>
    </r>
    <r>
      <rPr>
        <sz val="9"/>
        <color rgb="FF595959"/>
        <rFont val="Noto Sans CJK SC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5.131</t>
    </r>
  </si>
  <si>
    <r>
      <rPr>
        <sz val="10"/>
        <rFont val="Noto Sans CJK SC"/>
        <family val="2"/>
      </rPr>
      <t xml:space="preserve">全年 </t>
    </r>
    <r>
      <rPr>
        <sz val="10"/>
        <rFont val="Arial"/>
        <family val="0"/>
        <charset val="1"/>
      </rPr>
      <t xml:space="preserve">GAAP </t>
    </r>
    <r>
      <rPr>
        <sz val="10"/>
        <rFont val="Noto Sans CJK SC"/>
        <family val="2"/>
      </rPr>
      <t xml:space="preserve">營業利益</t>
    </r>
  </si>
  <si>
    <t xml:space="preserve">營利率</t>
  </si>
  <si>
    <r>
      <rPr>
        <sz val="10"/>
        <rFont val="Noto Sans CJK SC"/>
        <family val="2"/>
      </rPr>
      <t xml:space="preserve">全年 </t>
    </r>
    <r>
      <rPr>
        <sz val="10"/>
        <rFont val="Arial"/>
        <family val="0"/>
        <charset val="1"/>
      </rPr>
      <t xml:space="preserve">D&amp;A</t>
    </r>
  </si>
  <si>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2.540</t>
    </r>
  </si>
  <si>
    <r>
      <rPr>
        <b val="true"/>
        <sz val="10"/>
        <rFont val="Noto Sans CJK SC"/>
        <family val="2"/>
      </rPr>
      <t xml:space="preserve">全年 </t>
    </r>
    <r>
      <rPr>
        <b val="true"/>
        <sz val="10"/>
        <rFont val="Arial"/>
        <family val="0"/>
        <charset val="1"/>
      </rPr>
      <t xml:space="preserve">EBITDA</t>
    </r>
  </si>
  <si>
    <t xml:space="preserve">全年利息（含瀑布新債）</t>
  </si>
  <si>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起瀑布新債利息（</t>
    </r>
    <r>
      <rPr>
        <sz val="9"/>
        <color rgb="FF595959"/>
        <rFont val="Arial"/>
        <family val="0"/>
        <charset val="1"/>
      </rPr>
      <t xml:space="preserve">9%</t>
    </r>
    <r>
      <rPr>
        <sz val="9"/>
        <color rgb="FF595959"/>
        <rFont val="Noto Sans CJK SC"/>
        <family val="2"/>
      </rPr>
      <t xml:space="preserve">）與新股同時影響 </t>
    </r>
    <r>
      <rPr>
        <sz val="9"/>
        <color rgb="FF595959"/>
        <rFont val="Arial"/>
        <family val="0"/>
        <charset val="1"/>
      </rPr>
      <t xml:space="preserve">EPS</t>
    </r>
  </si>
  <si>
    <t xml:space="preserve">全年淨利</t>
  </si>
  <si>
    <t xml:space="preserve">淨利率</t>
  </si>
  <si>
    <r>
      <rPr>
        <b val="true"/>
        <sz val="10"/>
        <rFont val="Noto Sans CJK SC"/>
        <family val="2"/>
      </rPr>
      <t xml:space="preserve">全年 </t>
    </r>
    <r>
      <rPr>
        <b val="true"/>
        <sz val="10"/>
        <rFont val="Arial"/>
        <family val="0"/>
        <charset val="1"/>
      </rPr>
      <t xml:space="preserve">GAAP EPS</t>
    </r>
  </si>
  <si>
    <r>
      <rPr>
        <sz val="9"/>
        <color rgb="FF595959"/>
        <rFont val="Arial"/>
        <family val="0"/>
        <charset val="1"/>
      </rPr>
      <t xml:space="preserve">FY26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EPS −2.53</t>
    </r>
    <r>
      <rPr>
        <sz val="9"/>
        <color rgb="FF595959"/>
        <rFont val="Noto Sans CJK SC"/>
        <family val="2"/>
      </rPr>
      <t xml:space="preserve">＋下半年淨利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股數</t>
    </r>
  </si>
  <si>
    <r>
      <rPr>
        <sz val="10"/>
        <rFont val="Noto Sans CJK SC"/>
        <family val="2"/>
      </rPr>
      <t xml:space="preserve">全年 </t>
    </r>
    <r>
      <rPr>
        <sz val="10"/>
        <rFont val="Arial"/>
        <family val="0"/>
        <charset val="1"/>
      </rPr>
      <t xml:space="preserve">EPS</t>
    </r>
    <r>
      <rPr>
        <sz val="10"/>
        <rFont val="Noto Sans CJK SC"/>
        <family val="2"/>
      </rPr>
      <t xml:space="preserve">（加回 </t>
    </r>
    <r>
      <rPr>
        <sz val="10"/>
        <rFont val="Arial"/>
        <family val="0"/>
        <charset val="1"/>
      </rPr>
      <t xml:space="preserve">SBC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</si>
  <si>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淨利＋</t>
    </r>
    <r>
      <rPr>
        <sz val="9"/>
        <color rgb="FF595959"/>
        <rFont val="Arial"/>
        <family val="0"/>
        <charset val="1"/>
      </rPr>
      <t xml:space="preserve">SBC)÷</t>
    </r>
    <r>
      <rPr>
        <sz val="9"/>
        <color rgb="FF595959"/>
        <rFont val="Noto Sans CJK SC"/>
        <family val="2"/>
      </rPr>
      <t xml:space="preserve">股數；</t>
    </r>
    <r>
      <rPr>
        <sz val="9"/>
        <color rgb="FF595959"/>
        <rFont val="Arial"/>
        <family val="0"/>
        <charset val="1"/>
      </rPr>
      <t xml:space="preserve">NOL </t>
    </r>
    <r>
      <rPr>
        <sz val="9"/>
        <color rgb="FF595959"/>
        <rFont val="Noto Sans CJK SC"/>
        <family val="2"/>
      </rPr>
      <t xml:space="preserve">狀態無現金稅，</t>
    </r>
    <r>
      <rPr>
        <sz val="9"/>
        <color rgb="FF595959"/>
        <rFont val="Arial"/>
        <family val="0"/>
        <charset val="1"/>
      </rPr>
      <t xml:space="preserve">SBC </t>
    </r>
    <r>
      <rPr>
        <sz val="9"/>
        <color rgb="FF595959"/>
        <rFont val="Noto Sans CJK SC"/>
        <family val="2"/>
      </rPr>
      <t xml:space="preserve">全額加回</t>
    </r>
  </si>
  <si>
    <r>
      <rPr>
        <b val="true"/>
        <sz val="14"/>
        <rFont val="Noto Sans CJK SC"/>
        <family val="2"/>
      </rPr>
      <t xml:space="preserve">評價 — </t>
    </r>
    <r>
      <rPr>
        <b val="true"/>
        <sz val="14"/>
        <rFont val="Arial"/>
        <family val="0"/>
        <charset val="1"/>
      </rPr>
      <t xml:space="preserve">DCF</t>
    </r>
    <r>
      <rPr>
        <b val="true"/>
        <sz val="14"/>
        <rFont val="Noto Sans CJK SC"/>
        <family val="2"/>
      </rPr>
      <t xml:space="preserve">、</t>
    </r>
    <r>
      <rPr>
        <b val="true"/>
        <sz val="14"/>
        <rFont val="Arial"/>
        <family val="0"/>
        <charset val="1"/>
      </rPr>
      <t xml:space="preserve">EV/EBITDA</t>
    </r>
    <r>
      <rPr>
        <b val="true"/>
        <sz val="14"/>
        <rFont val="Noto Sans CJK SC"/>
        <family val="2"/>
      </rPr>
      <t xml:space="preserve">、加權目標價</t>
    </r>
  </si>
  <si>
    <r>
      <rPr>
        <sz val="9"/>
        <color rgb="FF595959"/>
        <rFont val="Noto Sans CJK SC"/>
        <family val="2"/>
      </rPr>
      <t xml:space="preserve">營收、營業利益、</t>
    </r>
    <r>
      <rPr>
        <sz val="9"/>
        <color rgb="FF595959"/>
        <rFont val="Arial"/>
        <family val="0"/>
        <charset val="1"/>
      </rPr>
      <t xml:space="preserve">D&amp;A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、股數引用『損益』頁；</t>
    </r>
    <r>
      <rPr>
        <sz val="9"/>
        <color rgb="FF595959"/>
        <rFont val="Arial"/>
        <family val="0"/>
        <charset val="1"/>
      </rPr>
      <t xml:space="preserve">Cash CapEx </t>
    </r>
    <r>
      <rPr>
        <sz val="9"/>
        <color rgb="FF595959"/>
        <rFont val="Noto Sans CJK SC"/>
        <family val="2"/>
      </rPr>
      <t xml:space="preserve">與融資引用『各期收支』頁</t>
    </r>
  </si>
  <si>
    <r>
      <rPr>
        <b val="true"/>
        <sz val="10"/>
        <rFont val="Arial"/>
        <family val="0"/>
        <charset val="1"/>
      </rPr>
      <t xml:space="preserve">DCF</t>
    </r>
    <r>
      <rPr>
        <b val="true"/>
        <sz val="10"/>
        <rFont val="Noto Sans CJK SC"/>
        <family val="2"/>
      </rPr>
      <t xml:space="preserve">（無槓桿自由現金流；起點為 </t>
    </r>
    <r>
      <rPr>
        <b val="true"/>
        <sz val="10"/>
        <rFont val="Arial"/>
        <family val="0"/>
        <charset val="1"/>
      </rPr>
      <t xml:space="preserve">2026-06-30</t>
    </r>
    <r>
      <rPr>
        <b val="true"/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</si>
  <si>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現金 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2026-06-30 </t>
    </r>
    <r>
      <rPr>
        <sz val="10"/>
        <rFont val="Noto Sans CJK SC"/>
        <family val="2"/>
      </rPr>
      <t xml:space="preserve">之後）</t>
    </r>
  </si>
  <si>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起點為 </t>
    </r>
    <r>
      <rPr>
        <sz val="9"/>
        <color rgb="FF595959"/>
        <rFont val="Arial"/>
        <family val="0"/>
        <charset val="1"/>
      </rPr>
      <t xml:space="preserve">6/30</t>
    </r>
    <r>
      <rPr>
        <sz val="9"/>
        <color rgb="FF595959"/>
        <rFont val="Noto Sans CJK SC"/>
        <family val="2"/>
      </rPr>
      <t xml:space="preserve">，故 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欄只含 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Noto Sans CJK SC"/>
        <family val="2"/>
      </rPr>
      <t xml:space="preserve">的建置支出，不含 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已發生的 </t>
    </r>
    <r>
      <rPr>
        <sz val="9"/>
        <color rgb="FF595959"/>
        <rFont val="Arial"/>
        <family val="0"/>
        <charset val="1"/>
      </rPr>
      <t xml:space="preserve">14.117</t>
    </r>
  </si>
  <si>
    <t xml:space="preserve">比較基期營收</t>
  </si>
  <si>
    <r>
      <rPr>
        <sz val="9"/>
        <color rgb="FF595959"/>
        <rFont val="Arial"/>
        <family val="0"/>
        <charset val="1"/>
      </rPr>
      <t xml:space="preserve">FY25 </t>
    </r>
    <r>
      <rPr>
        <sz val="9"/>
        <color rgb="FF595959"/>
        <rFont val="Noto Sans CJK SC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5.131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基期＝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4.653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模型期營收</t>
    </r>
  </si>
  <si>
    <t xml:space="preserve">營運資金變動</t>
  </si>
  <si>
    <r>
      <rPr>
        <sz val="9"/>
        <color rgb="FF595959"/>
        <rFont val="Noto Sans CJK SC"/>
        <family val="2"/>
      </rPr>
      <t xml:space="preserve">營收增量的 </t>
    </r>
    <r>
      <rPr>
        <sz val="9"/>
        <color rgb="FF595959"/>
        <rFont val="Arial"/>
        <family val="0"/>
        <charset val="1"/>
      </rPr>
      <t xml:space="preserve">2%</t>
    </r>
  </si>
  <si>
    <r>
      <rPr>
        <sz val="10"/>
        <rFont val="Noto Sans CJK SC"/>
        <family val="2"/>
      </rPr>
      <t xml:space="preserve">無槓桿 </t>
    </r>
    <r>
      <rPr>
        <sz val="10"/>
        <rFont val="Arial"/>
        <family val="0"/>
        <charset val="1"/>
      </rPr>
      <t xml:space="preserve">NOL </t>
    </r>
    <r>
      <rPr>
        <sz val="10"/>
        <rFont val="Noto Sans CJK SC"/>
        <family val="2"/>
      </rPr>
      <t xml:space="preserve">期初</t>
    </r>
  </si>
  <si>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用無槓桿稅（利息不可抵稅，否則稅盾被計兩次：一次在 </t>
    </r>
    <r>
      <rPr>
        <sz val="9"/>
        <color rgb="FF595959"/>
        <rFont val="Arial"/>
        <family val="0"/>
        <charset val="1"/>
      </rPr>
      <t xml:space="preserve">UFCF</t>
    </r>
    <r>
      <rPr>
        <sz val="9"/>
        <color rgb="FF595959"/>
        <rFont val="Noto Sans CJK SC"/>
        <family val="2"/>
      </rPr>
      <t xml:space="preserve">、一次在 </t>
    </r>
    <r>
      <rPr>
        <sz val="9"/>
        <color rgb="FF595959"/>
        <rFont val="Arial"/>
        <family val="0"/>
        <charset val="1"/>
      </rPr>
      <t xml:space="preserve">WACC</t>
    </r>
    <r>
      <rPr>
        <sz val="9"/>
        <color rgb="FF595959"/>
        <rFont val="Noto Sans CJK SC"/>
        <family val="2"/>
      </rPr>
      <t xml:space="preserve">）</t>
    </r>
  </si>
  <si>
    <t xml:space="preserve">　本期動用（無槓桿）</t>
  </si>
  <si>
    <r>
      <rPr>
        <sz val="10"/>
        <rFont val="Noto Sans CJK SC"/>
        <family val="2"/>
      </rPr>
      <t xml:space="preserve">無槓桿 </t>
    </r>
    <r>
      <rPr>
        <sz val="10"/>
        <rFont val="Arial"/>
        <family val="0"/>
        <charset val="1"/>
      </rPr>
      <t xml:space="preserve">NOL </t>
    </r>
    <r>
      <rPr>
        <sz val="10"/>
        <rFont val="Noto Sans CJK SC"/>
        <family val="2"/>
      </rPr>
      <t xml:space="preserve">期末</t>
    </r>
  </si>
  <si>
    <r>
      <rPr>
        <sz val="10"/>
        <rFont val="Noto Sans CJK SC"/>
        <family val="2"/>
      </rPr>
      <t xml:space="preserve">無槓桿所得稅（</t>
    </r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用）</t>
    </r>
  </si>
  <si>
    <r>
      <rPr>
        <sz val="9"/>
        <color rgb="FF595959"/>
        <rFont val="Noto Sans CJK SC"/>
        <family val="2"/>
      </rPr>
      <t xml:space="preserve">與損益表的所得稅不同：此處不扣利息，數字較高，這是 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的正確口徑</t>
    </r>
  </si>
  <si>
    <t xml:space="preserve">UFCF</t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</si>
  <si>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EBIT−</t>
    </r>
    <r>
      <rPr>
        <sz val="9"/>
        <color rgb="FF595959"/>
        <rFont val="Noto Sans CJK SC"/>
        <family val="2"/>
      </rPr>
      <t xml:space="preserve">無槓桿稅＋</t>
    </r>
    <r>
      <rPr>
        <sz val="9"/>
        <color rgb="FF595959"/>
        <rFont val="Arial"/>
        <family val="0"/>
        <charset val="1"/>
      </rPr>
      <t xml:space="preserve">D&amp;A−</t>
    </r>
    <r>
      <rPr>
        <sz val="9"/>
        <color rgb="FF595959"/>
        <rFont val="Noto Sans CJK SC"/>
        <family val="2"/>
      </rPr>
      <t xml:space="preserve">現金 </t>
    </r>
    <r>
      <rPr>
        <sz val="9"/>
        <color rgb="FF595959"/>
        <rFont val="Arial"/>
        <family val="0"/>
        <charset val="1"/>
      </rPr>
      <t xml:space="preserve">CapEx−</t>
    </r>
    <r>
      <rPr>
        <sz val="9"/>
        <color rgb="FF595959"/>
        <rFont val="Noto Sans CJK SC"/>
        <family val="2"/>
      </rPr>
      <t xml:space="preserve">營運資金。建置期全為負是正常的</t>
    </r>
  </si>
  <si>
    <t xml:space="preserve">折現期數</t>
  </si>
  <si>
    <r>
      <rPr>
        <sz val="9"/>
        <color rgb="FF595959"/>
        <rFont val="Noto Sans CJK SC"/>
        <family val="2"/>
      </rPr>
      <t xml:space="preserve">自 </t>
    </r>
    <r>
      <rPr>
        <sz val="9"/>
        <color rgb="FF595959"/>
        <rFont val="Arial"/>
        <family val="0"/>
        <charset val="1"/>
      </rPr>
      <t xml:space="preserve">2026-06-30 </t>
    </r>
    <r>
      <rPr>
        <sz val="9"/>
        <color rgb="FF595959"/>
        <rFont val="Noto Sans CJK SC"/>
        <family val="2"/>
      </rPr>
      <t xml:space="preserve">起算；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模型期（下半年）的現金流平均落在 </t>
    </r>
    <r>
      <rPr>
        <sz val="9"/>
        <color rgb="FF595959"/>
        <rFont val="Arial"/>
        <family val="0"/>
        <charset val="1"/>
      </rPr>
      <t xml:space="preserve">0.5 </t>
    </r>
    <r>
      <rPr>
        <sz val="9"/>
        <color rgb="FF595959"/>
        <rFont val="Noto Sans CJK SC"/>
        <family val="2"/>
      </rPr>
      <t xml:space="preserve">年</t>
    </r>
  </si>
  <si>
    <t xml:space="preserve">折現因子</t>
  </si>
  <si>
    <r>
      <rPr>
        <sz val="10"/>
        <rFont val="Arial"/>
        <family val="0"/>
        <charset val="1"/>
      </rPr>
      <t xml:space="preserve">UFCF </t>
    </r>
    <r>
      <rPr>
        <sz val="10"/>
        <rFont val="Noto Sans CJK SC"/>
        <family val="2"/>
      </rPr>
      <t xml:space="preserve">現值</t>
    </r>
  </si>
  <si>
    <r>
      <rPr>
        <sz val="10"/>
        <rFont val="Noto Sans CJK SC"/>
        <family val="2"/>
      </rPr>
      <t xml:space="preserve">五期 </t>
    </r>
    <r>
      <rPr>
        <sz val="10"/>
        <rFont val="Arial"/>
        <family val="0"/>
        <charset val="1"/>
      </rPr>
      <t xml:space="preserve">UFCF </t>
    </r>
    <r>
      <rPr>
        <sz val="10"/>
        <rFont val="Noto Sans CJK SC"/>
        <family val="2"/>
      </rPr>
      <t xml:space="preserve">現值合計</t>
    </r>
  </si>
  <si>
    <t xml:space="preserve">建置期現金流現值</t>
  </si>
  <si>
    <r>
      <rPr>
        <sz val="10"/>
        <rFont val="Noto Sans CJK SC"/>
        <family val="2"/>
      </rPr>
      <t xml:space="preserve">常態化 </t>
    </r>
    <r>
      <rPr>
        <sz val="10"/>
        <rFont val="Arial"/>
        <family val="0"/>
        <charset val="1"/>
      </rPr>
      <t xml:space="preserve">FCF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FY30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</si>
  <si>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EBIT×(1−</t>
    </r>
    <r>
      <rPr>
        <sz val="9"/>
        <color rgb="FF595959"/>
        <rFont val="Noto Sans CJK SC"/>
        <family val="2"/>
      </rPr>
      <t xml:space="preserve">稅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D&amp;A−</t>
    </r>
    <r>
      <rPr>
        <sz val="9"/>
        <color rgb="FF595959"/>
        <rFont val="Noto Sans CJK SC"/>
        <family val="2"/>
      </rPr>
      <t xml:space="preserve">維持性 </t>
    </r>
    <r>
      <rPr>
        <sz val="9"/>
        <color rgb="FF595959"/>
        <rFont val="Arial"/>
        <family val="0"/>
        <charset val="1"/>
      </rPr>
      <t xml:space="preserve">CapEx(D&amp;A×</t>
    </r>
    <r>
      <rPr>
        <sz val="9"/>
        <color rgb="FF595959"/>
        <rFont val="Noto Sans CJK SC"/>
        <family val="2"/>
      </rPr>
      <t xml:space="preserve">比率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。不讓成長性 </t>
    </r>
    <r>
      <rPr>
        <sz val="9"/>
        <color rgb="FF595959"/>
        <rFont val="Arial"/>
        <family val="0"/>
        <charset val="1"/>
      </rPr>
      <t xml:space="preserve">CapEx </t>
    </r>
    <r>
      <rPr>
        <sz val="9"/>
        <color rgb="FF595959"/>
        <rFont val="Noto Sans CJK SC"/>
        <family val="2"/>
      </rPr>
      <t xml:space="preserve">偽裝成永續 </t>
    </r>
    <r>
      <rPr>
        <sz val="9"/>
        <color rgb="FF595959"/>
        <rFont val="Arial"/>
        <family val="0"/>
        <charset val="1"/>
      </rPr>
      <t xml:space="preserve">FCF</t>
    </r>
  </si>
  <si>
    <r>
      <rPr>
        <sz val="10"/>
        <rFont val="Noto Sans CJK SC"/>
        <family val="2"/>
      </rPr>
      <t xml:space="preserve">終值（</t>
    </r>
    <r>
      <rPr>
        <sz val="10"/>
        <rFont val="Arial"/>
        <family val="0"/>
        <charset val="1"/>
      </rPr>
      <t xml:space="preserve">Gordon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</si>
  <si>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＝常態化 </t>
    </r>
    <r>
      <rPr>
        <sz val="9"/>
        <color rgb="FF595959"/>
        <rFont val="Arial"/>
        <family val="0"/>
        <charset val="1"/>
      </rPr>
      <t xml:space="preserve">FCF×(1+g)÷(WACC−g)</t>
    </r>
  </si>
  <si>
    <t xml:space="preserve">終值現值</t>
  </si>
  <si>
    <r>
      <rPr>
        <sz val="10"/>
        <rFont val="Noto Sans CJK SC"/>
        <family val="2"/>
      </rPr>
      <t xml:space="preserve">企業價值 </t>
    </r>
    <r>
      <rPr>
        <sz val="10"/>
        <rFont val="Arial"/>
        <family val="0"/>
        <charset val="1"/>
      </rPr>
      <t xml:space="preserve">EV</t>
    </r>
  </si>
  <si>
    <t xml:space="preserve">減：淨負債</t>
  </si>
  <si>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Noto Sans CJK SC"/>
        <family val="2"/>
      </rPr>
      <t xml:space="preserve">本金 </t>
    </r>
    <r>
      <rPr>
        <sz val="9"/>
        <color rgb="FF595959"/>
        <rFont val="Arial"/>
        <family val="0"/>
        <charset val="1"/>
      </rPr>
      <t xml:space="preserve">35.551 − </t>
    </r>
    <r>
      <rPr>
        <sz val="9"/>
        <color rgb="FF595959"/>
        <rFont val="Noto Sans CJK SC"/>
        <family val="2"/>
      </rPr>
      <t xml:space="preserve">現金 </t>
    </r>
    <r>
      <rPr>
        <sz val="9"/>
        <color rgb="FF595959"/>
        <rFont val="Arial"/>
        <family val="0"/>
        <charset val="1"/>
      </rPr>
      <t xml:space="preserve">5.524</t>
    </r>
  </si>
  <si>
    <t xml:space="preserve">股權價值</t>
  </si>
  <si>
    <r>
      <rPr>
        <b val="true"/>
        <sz val="10"/>
        <rFont val="Arial"/>
        <family val="0"/>
        <charset val="1"/>
      </rPr>
      <t xml:space="preserve">DCF </t>
    </r>
    <r>
      <rPr>
        <b val="true"/>
        <sz val="10"/>
        <rFont val="Noto Sans CJK SC"/>
        <family val="2"/>
      </rPr>
      <t xml:space="preserve">每股</t>
    </r>
  </si>
  <si>
    <r>
      <rPr>
        <sz val="9"/>
        <color rgb="FF595959"/>
        <rFont val="Noto Sans CJK SC"/>
        <family val="2"/>
      </rPr>
      <t xml:space="preserve">採用值：失效時為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且權重歸零；否則依「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下限方式」取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截斷或選擇權</t>
    </r>
  </si>
  <si>
    <r>
      <rPr>
        <sz val="10"/>
        <rFont val="Noto Sans CJK SC"/>
        <family val="2"/>
      </rPr>
      <t xml:space="preserve">終值占 </t>
    </r>
    <r>
      <rPr>
        <sz val="10"/>
        <rFont val="Arial"/>
        <family val="0"/>
        <charset val="1"/>
      </rPr>
      <t xml:space="preserve">EV </t>
    </r>
    <r>
      <rPr>
        <sz val="10"/>
        <rFont val="Noto Sans CJK SC"/>
        <family val="2"/>
      </rPr>
      <t xml:space="preserve">比重</t>
    </r>
  </si>
  <si>
    <t xml:space="preserve">新股募得現金（現值）</t>
  </si>
  <si>
    <r>
      <rPr>
        <sz val="9"/>
        <color rgb="FF595959"/>
        <rFont val="Noto Sans CJK SC"/>
        <family val="2"/>
      </rPr>
      <t xml:space="preserve">期初到位，折現期數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1.5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2.5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3.5 </t>
    </r>
    <r>
      <rPr>
        <sz val="9"/>
        <color rgb="FF595959"/>
        <rFont val="Noto Sans CJK SC"/>
        <family val="2"/>
      </rPr>
      <t xml:space="preserve">年</t>
    </r>
  </si>
  <si>
    <t xml:space="preserve">融資後股數（含瀑布新股）</t>
  </si>
  <si>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失效？（</t>
    </r>
    <r>
      <rPr>
        <sz val="10"/>
        <rFont val="Arial"/>
        <family val="0"/>
        <charset val="1"/>
      </rPr>
      <t xml:space="preserve">WACC ≤ g </t>
    </r>
    <r>
      <rPr>
        <sz val="10"/>
        <rFont val="Noto Sans CJK SC"/>
        <family val="2"/>
      </rPr>
      <t xml:space="preserve">或常態化 </t>
    </r>
    <r>
      <rPr>
        <sz val="10"/>
        <rFont val="Arial"/>
        <family val="0"/>
        <charset val="1"/>
      </rPr>
      <t xml:space="preserve">FCF ≤ 0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</si>
  <si>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＝失效：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權重歸零、</t>
    </r>
    <r>
      <rPr>
        <sz val="9"/>
        <color rgb="FF595959"/>
        <rFont val="Arial"/>
        <family val="0"/>
        <charset val="1"/>
      </rPr>
      <t xml:space="preserve">EV/EBITDA 100%</t>
    </r>
    <r>
      <rPr>
        <sz val="9"/>
        <color rgb="FF595959"/>
        <rFont val="Noto Sans CJK SC"/>
        <family val="2"/>
      </rPr>
      <t xml:space="preserve">。股權為負不算失效</t>
    </r>
  </si>
  <si>
    <r>
      <rPr>
        <b val="true"/>
        <sz val="10"/>
        <rFont val="Arial"/>
        <family val="0"/>
        <charset val="1"/>
      </rPr>
      <t xml:space="preserve">DCF </t>
    </r>
    <r>
      <rPr>
        <b val="true"/>
        <sz val="10"/>
        <rFont val="Noto Sans CJK SC"/>
        <family val="2"/>
      </rPr>
      <t xml:space="preserve">每股：</t>
    </r>
    <r>
      <rPr>
        <b val="true"/>
        <sz val="10"/>
        <rFont val="Arial"/>
        <family val="0"/>
        <charset val="1"/>
      </rPr>
      <t xml:space="preserve">0 </t>
    </r>
    <r>
      <rPr>
        <b val="true"/>
        <sz val="10"/>
        <rFont val="Noto Sans CJK SC"/>
        <family val="2"/>
      </rPr>
      <t xml:space="preserve">截斷</t>
    </r>
  </si>
  <si>
    <r>
      <rPr>
        <b val="true"/>
        <sz val="10"/>
        <rFont val="Arial"/>
        <family val="0"/>
        <charset val="1"/>
      </rPr>
      <t xml:space="preserve">DCF </t>
    </r>
    <r>
      <rPr>
        <b val="true"/>
        <sz val="10"/>
        <rFont val="Noto Sans CJK SC"/>
        <family val="2"/>
      </rPr>
      <t xml:space="preserve">每股：選擇權（</t>
    </r>
    <r>
      <rPr>
        <b val="true"/>
        <sz val="10"/>
        <rFont val="Arial"/>
        <family val="0"/>
        <charset val="1"/>
      </rPr>
      <t xml:space="preserve">Merton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</si>
  <si>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Black-Scholes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S</t>
    </r>
    <r>
      <rPr>
        <sz val="9"/>
        <color rgb="FF595959"/>
        <rFont val="Noto Sans CJK SC"/>
        <family val="2"/>
      </rPr>
      <t xml:space="preserve">＝企業價值＋新股現值、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＝淨負債</t>
    </r>
  </si>
  <si>
    <r>
      <rPr>
        <sz val="10"/>
        <rFont val="Noto Sans CJK SC"/>
        <family val="2"/>
      </rPr>
      <t xml:space="preserve">　</t>
    </r>
    <r>
      <rPr>
        <sz val="10"/>
        <rFont val="Arial"/>
        <family val="0"/>
        <charset val="1"/>
      </rPr>
      <t xml:space="preserve">d1</t>
    </r>
  </si>
  <si>
    <r>
      <rPr>
        <sz val="10"/>
        <rFont val="Noto Sans CJK SC"/>
        <family val="2"/>
      </rPr>
      <t xml:space="preserve">　</t>
    </r>
    <r>
      <rPr>
        <sz val="10"/>
        <rFont val="Arial"/>
        <family val="0"/>
        <charset val="1"/>
      </rPr>
      <t xml:space="preserve">d2</t>
    </r>
  </si>
  <si>
    <r>
      <rPr>
        <b val="true"/>
        <sz val="10"/>
        <rFont val="Noto Sans CJK SC"/>
        <family val="2"/>
      </rPr>
      <t xml:space="preserve">倍數法（錨定年度，預設 </t>
    </r>
    <r>
      <rPr>
        <b val="true"/>
        <sz val="10"/>
        <rFont val="Arial"/>
        <family val="0"/>
        <charset val="1"/>
      </rPr>
      <t xml:space="preserve">FY29</t>
    </r>
    <r>
      <rPr>
        <b val="true"/>
        <sz val="10"/>
        <rFont val="Noto Sans CJK SC"/>
        <family val="2"/>
      </rPr>
      <t xml:space="preserve">；折回 </t>
    </r>
    <r>
      <rPr>
        <b val="true"/>
        <sz val="10"/>
        <rFont val="Arial"/>
        <family val="0"/>
        <charset val="1"/>
      </rPr>
      <t xml:space="preserve">2027-06-30</t>
    </r>
    <r>
      <rPr>
        <b val="true"/>
        <sz val="10"/>
        <rFont val="Noto Sans CJK SC"/>
        <family val="2"/>
      </rPr>
      <t xml:space="preserve">）</t>
    </r>
  </si>
  <si>
    <t xml:space="preserve">錨定年度</t>
  </si>
  <si>
    <r>
      <rPr>
        <sz val="9"/>
        <color rgb="FF595959"/>
        <rFont val="Noto Sans CJK SC"/>
        <family val="2"/>
      </rPr>
      <t xml:space="preserve">輸入與假設 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區可改</t>
    </r>
  </si>
  <si>
    <r>
      <rPr>
        <sz val="10"/>
        <rFont val="Noto Sans CJK SC"/>
        <family val="2"/>
      </rPr>
      <t xml:space="preserve">錨定年度 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</si>
  <si>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錨定年度企業價值（倍數 </t>
    </r>
    <r>
      <rPr>
        <sz val="10"/>
        <rFont val="Arial"/>
        <family val="0"/>
        <charset val="1"/>
      </rPr>
      <t xml:space="preserve">× EBITDA</t>
    </r>
    <r>
      <rPr>
        <sz val="10"/>
        <rFont val="Noto Sans CJK SC"/>
        <family val="2"/>
      </rPr>
      <t xml:space="preserve">）</t>
    </r>
  </si>
  <si>
    <t xml:space="preserve">錨定年度末淨負債（總債務 − 現金）</t>
  </si>
  <si>
    <t xml:space="preserve">含瀑布新債</t>
  </si>
  <si>
    <t xml:space="preserve">錨定年度末股數（含瀑布新股）</t>
  </si>
  <si>
    <r>
      <rPr>
        <sz val="9"/>
        <color rgb="FF595959"/>
        <rFont val="Noto Sans CJK SC"/>
        <family val="2"/>
      </rPr>
      <t xml:space="preserve">損益股數：</t>
    </r>
    <r>
      <rPr>
        <sz val="9"/>
        <color rgb="FF595959"/>
        <rFont val="Arial"/>
        <family val="0"/>
        <charset val="1"/>
      </rPr>
      <t xml:space="preserve">SBC </t>
    </r>
    <r>
      <rPr>
        <sz val="9"/>
        <color rgb="FF595959"/>
        <rFont val="Noto Sans CJK SC"/>
        <family val="2"/>
      </rPr>
      <t xml:space="preserve">逐年稀釋＋瀑布新股</t>
    </r>
  </si>
  <si>
    <r>
      <rPr>
        <sz val="10"/>
        <rFont val="Noto Sans CJK SC"/>
        <family val="2"/>
      </rPr>
      <t xml:space="preserve">折回 </t>
    </r>
    <r>
      <rPr>
        <sz val="10"/>
        <rFont val="Arial"/>
        <family val="0"/>
        <charset val="1"/>
      </rPr>
      <t xml:space="preserve">2027-06-30 </t>
    </r>
    <r>
      <rPr>
        <sz val="10"/>
        <rFont val="Noto Sans CJK SC"/>
        <family val="2"/>
      </rPr>
      <t xml:space="preserve">的折現因子</t>
    </r>
  </si>
  <si>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WACC </t>
    </r>
    <r>
      <rPr>
        <sz val="9"/>
        <color rgb="FF595959"/>
        <rFont val="Noto Sans CJK SC"/>
        <family val="2"/>
      </rPr>
      <t xml:space="preserve">折現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</si>
  <si>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每股（融資後）</t>
    </r>
  </si>
  <si>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為下限</t>
    </r>
  </si>
  <si>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每股（推到目標價時點）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</si>
  <si>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每股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WACC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^</t>
    </r>
    <r>
      <rPr>
        <sz val="9"/>
        <color rgb="FF595959"/>
        <rFont val="Noto Sans CJK SC"/>
        <family val="2"/>
      </rPr>
      <t xml:space="preserve">（評價日至目標價時點的年數）</t>
    </r>
  </si>
  <si>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每股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有效權重</t>
    </r>
  </si>
  <si>
    <r>
      <rPr>
        <sz val="10"/>
        <rFont val="Arial"/>
        <family val="0"/>
        <charset val="1"/>
      </rPr>
      <t xml:space="preserve">EV/EBITDA</t>
    </r>
    <r>
      <rPr>
        <sz val="10"/>
        <rFont val="Noto Sans CJK SC"/>
        <family val="2"/>
      </rPr>
      <t xml:space="preserve">（融資後）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有效權重</t>
    </r>
  </si>
  <si>
    <t xml:space="preserve">期前融資瀑布：缺口先由額度與資產層新債支應，殘差以股權募足；估值不再扣缺口本金</t>
  </si>
  <si>
    <t xml:space="preserve">現價</t>
  </si>
  <si>
    <t xml:space="preserve">潛在空間</t>
  </si>
  <si>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權重說明</t>
    </r>
  </si>
  <si>
    <r>
      <rPr>
        <sz val="9"/>
        <color rgb="FF595959"/>
        <rFont val="Noto Sans CJK SC"/>
        <family val="2"/>
      </rPr>
      <t xml:space="preserve">只在 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被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截斷時顯示；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失效時改為一句；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為正時空白（與 </t>
    </r>
    <r>
      <rPr>
        <sz val="9"/>
        <color rgb="FF595959"/>
        <rFont val="Arial"/>
        <family val="0"/>
        <charset val="1"/>
      </rPr>
      <t xml:space="preserve">HTML </t>
    </r>
    <r>
      <rPr>
        <sz val="9"/>
        <color rgb="FF595959"/>
        <rFont val="Noto Sans CJK SC"/>
        <family val="2"/>
      </rPr>
      <t xml:space="preserve">同一字串）</t>
    </r>
  </si>
  <si>
    <t xml:space="preserve">目標價區間（情境區間、方法區間；評等仍依點位）</t>
  </si>
  <si>
    <t xml:space="preserve">目標價區間｜點位（目前輸入的加權目標價）</t>
  </si>
  <si>
    <r>
      <rPr>
        <sz val="10"/>
        <rFont val="Noto Sans CJK SC"/>
        <family val="2"/>
      </rPr>
      <t xml:space="preserve">目標價區間｜終值占 </t>
    </r>
    <r>
      <rPr>
        <sz val="10"/>
        <rFont val="Arial"/>
        <family val="0"/>
        <charset val="1"/>
      </rPr>
      <t xml:space="preserve">EV</t>
    </r>
    <r>
      <rPr>
        <sz val="10"/>
        <rFont val="Noto Sans CJK SC"/>
        <family val="2"/>
      </rPr>
      <t xml:space="preserve">（評等用）</t>
    </r>
  </si>
  <si>
    <r>
      <rPr>
        <sz val="10"/>
        <rFont val="Noto Sans CJK SC"/>
        <family val="2"/>
      </rPr>
      <t xml:space="preserve">目標價區間｜股權募資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現市值（評等用）</t>
    </r>
  </si>
  <si>
    <r>
      <rPr>
        <sz val="10"/>
        <rFont val="Noto Sans CJK SC"/>
        <family val="2"/>
      </rPr>
      <t xml:space="preserve">目標價區間｜點位評等代碼（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＝買進、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＝中立、−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＝賣出）</t>
    </r>
  </si>
  <si>
    <r>
      <rPr>
        <sz val="10"/>
        <rFont val="Noto Sans CJK SC"/>
        <family val="2"/>
      </rPr>
      <t xml:space="preserve">目標價區間｜賣出門檻價（現價 </t>
    </r>
    <r>
      <rPr>
        <sz val="10"/>
        <rFont val="Arial"/>
        <family val="0"/>
        <charset val="1"/>
      </rPr>
      <t xml:space="preserve">× (1 − 15%)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</si>
  <si>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目標價區間｜保守 </t>
    </r>
    <r>
      <rPr>
        <sz val="10"/>
        <rFont val="Arial"/>
        <family val="0"/>
        <charset val="1"/>
      </rPr>
      <t xml:space="preserve">4.2 GW</t>
    </r>
    <r>
      <rPr>
        <sz val="10"/>
        <rFont val="Noto Sans CJK SC"/>
        <family val="2"/>
      </rPr>
      <t xml:space="preserve">（加權目標價／評等代碼／距賣出門檻）</t>
    </r>
  </si>
  <si>
    <r>
      <rPr>
        <sz val="9"/>
        <color rgb="FF595959"/>
        <rFont val="Noto Sans CJK SC"/>
        <family val="2"/>
      </rPr>
      <t xml:space="preserve">引用『輸入與假設』底部模擬運算表（情境選擇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），保留其餘手動輸入</t>
    </r>
  </si>
  <si>
    <r>
      <rPr>
        <sz val="10"/>
        <rFont val="Noto Sans CJK SC"/>
        <family val="2"/>
      </rPr>
      <t xml:space="preserve">目標價區間｜基準 </t>
    </r>
    <r>
      <rPr>
        <sz val="10"/>
        <rFont val="Arial"/>
        <family val="0"/>
        <charset val="1"/>
      </rPr>
      <t xml:space="preserve">5.6 GW</t>
    </r>
    <r>
      <rPr>
        <sz val="10"/>
        <rFont val="Noto Sans CJK SC"/>
        <family val="2"/>
      </rPr>
      <t xml:space="preserve">（加權目標價／評等代碼／距賣出門檻）</t>
    </r>
  </si>
  <si>
    <r>
      <rPr>
        <sz val="10"/>
        <rFont val="Noto Sans CJK SC"/>
        <family val="2"/>
      </rPr>
      <t xml:space="preserve">目標價區間｜積極 </t>
    </r>
    <r>
      <rPr>
        <sz val="10"/>
        <rFont val="Arial"/>
        <family val="0"/>
        <charset val="1"/>
      </rPr>
      <t xml:space="preserve">8 GW</t>
    </r>
    <r>
      <rPr>
        <sz val="10"/>
        <rFont val="Noto Sans CJK SC"/>
        <family val="2"/>
      </rPr>
      <t xml:space="preserve">（加權目標價／評等代碼／距賣出門檻）</t>
    </r>
  </si>
  <si>
    <t xml:space="preserve">目標價區間｜情境區間（下緣／上緣）</t>
  </si>
  <si>
    <t xml:space="preserve">目標價區間｜方法區間倍數（下端／上端）</t>
  </si>
  <si>
    <t xml:space="preserve">目標價區間｜方法區間（下緣／上緣）</t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</si>
  <si>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採用值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有效權重 ＋ </t>
    </r>
    <r>
      <rPr>
        <sz val="9"/>
        <color rgb="FF595959"/>
        <rFont val="Arial"/>
        <family val="0"/>
        <charset val="1"/>
      </rPr>
      <t xml:space="preserve">EV/EBITDA </t>
    </r>
    <r>
      <rPr>
        <sz val="9"/>
        <color rgb="FF595959"/>
        <rFont val="Noto Sans CJK SC"/>
        <family val="2"/>
      </rPr>
      <t xml:space="preserve">腿（倍數換成兩端）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有效權重</t>
    </r>
  </si>
  <si>
    <r>
      <rPr>
        <sz val="10"/>
        <rFont val="Noto Sans CJK SC"/>
        <family val="2"/>
      </rPr>
      <t xml:space="preserve">目標價區間｜</t>
    </r>
    <r>
      <rPr>
        <sz val="10"/>
        <rFont val="Arial"/>
        <family val="0"/>
        <charset val="1"/>
      </rPr>
      <t xml:space="preserve">100% EV/EBITDA </t>
    </r>
    <r>
      <rPr>
        <sz val="10"/>
        <rFont val="Noto Sans CJK SC"/>
        <family val="2"/>
      </rPr>
      <t xml:space="preserve">目標價（價位／評等代碼）</t>
    </r>
  </si>
  <si>
    <r>
      <rPr>
        <sz val="10"/>
        <rFont val="Noto Sans CJK SC"/>
        <family val="2"/>
      </rPr>
      <t xml:space="preserve">目標價區間｜未截斷 </t>
    </r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每股</t>
    </r>
  </si>
  <si>
    <t xml:space="preserve">目標價區間｜點位摘要</t>
  </si>
  <si>
    <t xml:space="preserve">目標價區間｜方法區間標籤</t>
  </si>
  <si>
    <t xml:space="preserve">目標價區間｜點位位置</t>
  </si>
  <si>
    <t xml:space="preserve">目標價區間｜判斷句</t>
  </si>
  <si>
    <r>
      <rPr>
        <b val="true"/>
        <sz val="10"/>
        <rFont val="Noto Sans CJK SC"/>
        <family val="2"/>
      </rPr>
      <t xml:space="preserve">錨定年度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倍數矩陣（每股；以 </t>
    </r>
    <r>
      <rPr>
        <b val="true"/>
        <sz val="10"/>
        <rFont val="Arial"/>
        <family val="0"/>
        <charset val="1"/>
      </rPr>
      <t xml:space="preserve">WACC </t>
    </r>
    <r>
      <rPr>
        <b val="true"/>
        <sz val="10"/>
        <rFont val="Noto Sans CJK SC"/>
        <family val="2"/>
      </rPr>
      <t xml:space="preserve">折回 </t>
    </r>
    <r>
      <rPr>
        <b val="true"/>
        <sz val="10"/>
        <rFont val="Arial"/>
        <family val="0"/>
        <charset val="1"/>
      </rPr>
      <t xml:space="preserve">2027-06-30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</si>
  <si>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1"/>
        <color rgb="FFFFFFFF"/>
        <rFont val="Noto Sans CJK SC"/>
        <family val="2"/>
      </rPr>
      <t xml:space="preserve">倍數 ＼ 錨定（</t>
    </r>
    <r>
      <rPr>
        <b val="true"/>
        <sz val="11"/>
        <color rgb="FFFFFFFF"/>
        <rFont val="Arial"/>
        <family val="0"/>
        <charset val="1"/>
      </rPr>
      <t xml:space="preserve">EV/EBITDA </t>
    </r>
    <r>
      <rPr>
        <b val="true"/>
        <sz val="11"/>
        <color rgb="FFFFFFFF"/>
        <rFont val="Noto Sans CJK SC"/>
        <family val="2"/>
      </rPr>
      <t xml:space="preserve">腿）</t>
    </r>
  </si>
  <si>
    <r>
      <rPr>
        <sz val="9"/>
        <color rgb="FF595959"/>
        <rFont val="Arial"/>
        <family val="0"/>
        <charset val="1"/>
      </rPr>
      <t xml:space="preserve">EV/EBITDA </t>
    </r>
    <r>
      <rPr>
        <sz val="9"/>
        <color rgb="FF595959"/>
        <rFont val="Noto Sans CJK SC"/>
        <family val="2"/>
      </rPr>
      <t xml:space="preserve">腿＝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錨定年 </t>
    </r>
    <r>
      <rPr>
        <sz val="9"/>
        <color rgb="FF595959"/>
        <rFont val="Arial"/>
        <family val="0"/>
        <charset val="1"/>
      </rPr>
      <t xml:space="preserve">EBITDA × </t>
    </r>
    <r>
      <rPr>
        <sz val="9"/>
        <color rgb="FF595959"/>
        <rFont val="Noto Sans CJK SC"/>
        <family val="2"/>
      </rPr>
      <t xml:space="preserve">倍數 − 錨定年末淨負債</t>
    </r>
    <r>
      <rPr>
        <sz val="9"/>
        <color rgb="FF595959"/>
        <rFont val="Arial"/>
        <family val="0"/>
        <charset val="1"/>
      </rPr>
      <t xml:space="preserve">) ÷ </t>
    </r>
    <r>
      <rPr>
        <sz val="9"/>
        <color rgb="FF595959"/>
        <rFont val="Noto Sans CJK SC"/>
        <family val="2"/>
      </rPr>
      <t xml:space="preserve">錨定年末股數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折現因子；加權＝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採用值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有效權重 ＋ 腿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有效權重。綠底＝不低於現價</t>
    </r>
  </si>
  <si>
    <r>
      <rPr>
        <sz val="10"/>
        <rFont val="Noto Sans CJK SC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倍數｜</t>
    </r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腿｜</t>
    </r>
    <r>
      <rPr>
        <sz val="10"/>
        <rFont val="Arial"/>
        <family val="0"/>
        <charset val="1"/>
      </rPr>
      <t xml:space="preserve">3.4x</t>
    </r>
  </si>
  <si>
    <r>
      <rPr>
        <sz val="10"/>
        <rFont val="Noto Sans CJK SC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倍數｜</t>
    </r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腿｜</t>
    </r>
    <r>
      <rPr>
        <sz val="10"/>
        <rFont val="Arial"/>
        <family val="0"/>
        <charset val="1"/>
      </rPr>
      <t xml:space="preserve">4.5x</t>
    </r>
  </si>
  <si>
    <r>
      <rPr>
        <sz val="10"/>
        <rFont val="Noto Sans CJK SC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倍數｜</t>
    </r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腿｜</t>
    </r>
    <r>
      <rPr>
        <sz val="10"/>
        <rFont val="Arial"/>
        <family val="0"/>
        <charset val="1"/>
      </rPr>
      <t xml:space="preserve">5.0x</t>
    </r>
  </si>
  <si>
    <r>
      <rPr>
        <sz val="10"/>
        <rFont val="Noto Sans CJK SC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倍數｜</t>
    </r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腿｜</t>
    </r>
    <r>
      <rPr>
        <sz val="10"/>
        <rFont val="Arial"/>
        <family val="0"/>
        <charset val="1"/>
      </rPr>
      <t xml:space="preserve">6.0x</t>
    </r>
  </si>
  <si>
    <r>
      <rPr>
        <sz val="10"/>
        <rFont val="Noto Sans CJK SC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倍數｜</t>
    </r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腿｜</t>
    </r>
    <r>
      <rPr>
        <sz val="10"/>
        <rFont val="Arial"/>
        <family val="0"/>
        <charset val="1"/>
      </rPr>
      <t xml:space="preserve">7.0x</t>
    </r>
  </si>
  <si>
    <t xml:space="preserve">倍數 ＼ 錨定（加權目標價）</t>
  </si>
  <si>
    <r>
      <rPr>
        <sz val="10"/>
        <rFont val="Noto Sans CJK SC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倍數｜加權目標價｜</t>
    </r>
    <r>
      <rPr>
        <sz val="10"/>
        <rFont val="Arial"/>
        <family val="0"/>
        <charset val="1"/>
      </rPr>
      <t xml:space="preserve">3.4x</t>
    </r>
  </si>
  <si>
    <r>
      <rPr>
        <sz val="10"/>
        <rFont val="Noto Sans CJK SC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倍數｜加權目標價｜</t>
    </r>
    <r>
      <rPr>
        <sz val="10"/>
        <rFont val="Arial"/>
        <family val="0"/>
        <charset val="1"/>
      </rPr>
      <t xml:space="preserve">4.5x</t>
    </r>
  </si>
  <si>
    <r>
      <rPr>
        <sz val="10"/>
        <rFont val="Noto Sans CJK SC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倍數｜加權目標價｜</t>
    </r>
    <r>
      <rPr>
        <sz val="10"/>
        <rFont val="Arial"/>
        <family val="0"/>
        <charset val="1"/>
      </rPr>
      <t xml:space="preserve">5.0x</t>
    </r>
  </si>
  <si>
    <r>
      <rPr>
        <sz val="10"/>
        <rFont val="Noto Sans CJK SC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倍數｜加權目標價｜</t>
    </r>
    <r>
      <rPr>
        <sz val="10"/>
        <rFont val="Arial"/>
        <family val="0"/>
        <charset val="1"/>
      </rPr>
      <t xml:space="preserve">6.0x</t>
    </r>
  </si>
  <si>
    <r>
      <rPr>
        <sz val="10"/>
        <rFont val="Noto Sans CJK SC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倍數｜加權目標價｜</t>
    </r>
    <r>
      <rPr>
        <sz val="10"/>
        <rFont val="Arial"/>
        <family val="0"/>
        <charset val="1"/>
      </rPr>
      <t xml:space="preserve">7.0x</t>
    </r>
  </si>
  <si>
    <r>
      <rPr>
        <b val="true"/>
        <sz val="14"/>
        <rFont val="Noto Sans CJK SC"/>
        <family val="2"/>
      </rPr>
      <t xml:space="preserve">反向 </t>
    </r>
    <r>
      <rPr>
        <b val="true"/>
        <sz val="14"/>
        <rFont val="Arial"/>
        <family val="0"/>
        <charset val="1"/>
      </rPr>
      <t xml:space="preserve">DCF — </t>
    </r>
    <r>
      <rPr>
        <b val="true"/>
        <sz val="14"/>
        <rFont val="Noto Sans CJK SC"/>
        <family val="2"/>
      </rPr>
      <t xml:space="preserve">現價隱含什麼樣的收入與成本</t>
    </r>
  </si>
  <si>
    <r>
      <rPr>
        <sz val="9"/>
        <color rgb="FF595959"/>
        <rFont val="Noto Sans CJK SC"/>
        <family val="2"/>
      </rPr>
      <t xml:space="preserve">不是問「值多少」，而是問「要值現價，營運要長什麼樣」。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以『目標搜尋』反解；下方另附 </t>
    </r>
    <r>
      <rPr>
        <sz val="9"/>
        <color rgb="FF595959"/>
        <rFont val="Arial"/>
        <family val="0"/>
        <charset val="1"/>
      </rPr>
      <t xml:space="preserve">HTML </t>
    </r>
    <r>
      <rPr>
        <sz val="9"/>
        <color rgb="FF595959"/>
        <rFont val="Noto Sans CJK SC"/>
        <family val="2"/>
      </rPr>
      <t xml:space="preserve">即時計算結果的快照（</t>
    </r>
    <r>
      <rPr>
        <sz val="9"/>
        <color rgb="FF595959"/>
        <rFont val="Arial"/>
        <family val="0"/>
        <charset val="1"/>
      </rPr>
      <t xml:space="preserve">v4.0 </t>
    </r>
    <r>
      <rPr>
        <sz val="9"/>
        <color rgb="FF595959"/>
        <rFont val="Noto Sans CJK SC"/>
        <family val="2"/>
      </rPr>
      <t xml:space="preserve">預設輸入）</t>
    </r>
  </si>
  <si>
    <r>
      <rPr>
        <b val="true"/>
        <sz val="10"/>
        <rFont val="Noto Sans CJK SC"/>
        <family val="2"/>
      </rPr>
      <t xml:space="preserve">即時：目前 </t>
    </r>
    <r>
      <rPr>
        <b val="true"/>
        <sz val="10"/>
        <rFont val="Arial"/>
        <family val="0"/>
        <charset val="1"/>
      </rPr>
      <t xml:space="preserve">DCF </t>
    </r>
    <r>
      <rPr>
        <b val="true"/>
        <sz val="10"/>
        <rFont val="Noto Sans CJK SC"/>
        <family val="2"/>
      </rPr>
      <t xml:space="preserve">與現價的差距</t>
    </r>
  </si>
  <si>
    <r>
      <rPr>
        <sz val="10"/>
        <rFont val="Noto Sans CJK SC"/>
        <family val="2"/>
      </rPr>
      <t xml:space="preserve">目前 </t>
    </r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每股（依下限方式）</t>
    </r>
  </si>
  <si>
    <r>
      <rPr>
        <b val="true"/>
        <sz val="10"/>
        <rFont val="Noto Sans CJK SC"/>
        <family val="2"/>
      </rPr>
      <t xml:space="preserve">差距（</t>
    </r>
    <r>
      <rPr>
        <b val="true"/>
        <sz val="10"/>
        <rFont val="Arial"/>
        <family val="0"/>
        <charset val="1"/>
      </rPr>
      <t xml:space="preserve">DCF − </t>
    </r>
    <r>
      <rPr>
        <b val="true"/>
        <sz val="10"/>
        <rFont val="Noto Sans CJK SC"/>
        <family val="2"/>
      </rPr>
      <t xml:space="preserve">現價）＝目標搜尋的『設定儲存格』</t>
    </r>
  </si>
  <si>
    <r>
      <rPr>
        <sz val="10"/>
        <rFont val="Noto Sans CJK SC"/>
        <family val="2"/>
      </rPr>
      <t xml:space="preserve">目前每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年收入倍數／建置成本倍數</t>
    </r>
  </si>
  <si>
    <t xml:space="preserve">操作：用『目標搜尋』反解（資料 → 模擬分析 → 目標搜尋）</t>
  </si>
  <si>
    <r>
      <rPr>
        <sz val="9"/>
        <color rgb="FF595959"/>
        <rFont val="Noto Sans CJK SC"/>
        <family val="2"/>
      </rPr>
      <t xml:space="preserve">① 設定儲存格：本頁 </t>
    </r>
    <r>
      <rPr>
        <sz val="9"/>
        <color rgb="FF595959"/>
        <rFont val="Arial"/>
        <family val="0"/>
        <charset val="1"/>
      </rPr>
      <t xml:space="preserve">B7</t>
    </r>
    <r>
      <rPr>
        <sz val="9"/>
        <color rgb="FF595959"/>
        <rFont val="Noto Sans CJK SC"/>
        <family val="2"/>
      </rPr>
      <t xml:space="preserve">；目標值：</t>
    </r>
    <r>
      <rPr>
        <sz val="9"/>
        <color rgb="FF595959"/>
        <rFont val="Arial"/>
        <family val="0"/>
        <charset val="1"/>
      </rPr>
      <t xml:space="preserve">0</t>
    </r>
  </si>
  <si>
    <r>
      <rPr>
        <sz val="9"/>
        <color rgb="FF595959"/>
        <rFont val="Noto Sans CJK SC"/>
        <family val="2"/>
      </rPr>
      <t xml:space="preserve">② 變數儲存格（擇一）：輸入與假設 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Noto Sans CJK SC"/>
        <family val="2"/>
      </rPr>
      <t xml:space="preserve">區『每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年收入倍數』→ 市價隱含單價；或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區『每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建置成本倍數』→ 市價隱含建置成本；或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區『穩態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率』</t>
    </r>
  </si>
  <si>
    <r>
      <rPr>
        <sz val="9"/>
        <color rgb="FF595959"/>
        <rFont val="Noto Sans CJK SC"/>
        <family val="2"/>
      </rPr>
      <t xml:space="preserve">③ 解完請記下結果，再把倍數改回 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Noto Sans CJK SC"/>
        <family val="2"/>
      </rPr>
      <t xml:space="preserve">（或按 </t>
    </r>
    <r>
      <rPr>
        <sz val="9"/>
        <color rgb="FF595959"/>
        <rFont val="Arial"/>
        <family val="0"/>
        <charset val="1"/>
      </rPr>
      <t xml:space="preserve">Ctrl+Z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截斷時，負值區域斜率為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，請從 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以上開始搜尋</t>
    </r>
  </si>
  <si>
    <r>
      <rPr>
        <sz val="9"/>
        <color rgb="FF595959"/>
        <rFont val="Noto Sans CJK SC"/>
        <family val="2"/>
      </rPr>
      <t xml:space="preserve">④ 組合分析：先把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區建置成本倍數與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區穩態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率設為想測的值，再對『每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年收入倍數』做目標搜尋，即得下方矩陣中的一格</t>
    </r>
  </si>
  <si>
    <r>
      <rPr>
        <b val="true"/>
        <sz val="10"/>
        <rFont val="Noto Sans CJK SC"/>
        <family val="2"/>
      </rPr>
      <t xml:space="preserve">快照：單一槓桿（</t>
    </r>
    <r>
      <rPr>
        <b val="true"/>
        <sz val="10"/>
        <rFont val="Arial"/>
        <family val="0"/>
        <charset val="1"/>
      </rPr>
      <t xml:space="preserve">HTML v4.0 </t>
    </r>
    <r>
      <rPr>
        <b val="true"/>
        <sz val="10"/>
        <rFont val="Noto Sans CJK SC"/>
        <family val="2"/>
      </rPr>
      <t xml:space="preserve">預設輸入，</t>
    </r>
    <r>
      <rPr>
        <b val="true"/>
        <sz val="10"/>
        <rFont val="Arial"/>
        <family val="0"/>
        <charset val="1"/>
      </rPr>
      <t xml:space="preserve">DCF 0 </t>
    </r>
    <r>
      <rPr>
        <b val="true"/>
        <sz val="10"/>
        <rFont val="Noto Sans CJK SC"/>
        <family val="2"/>
      </rPr>
      <t xml:space="preserve">截斷）</t>
    </r>
  </si>
  <si>
    <t xml:space="preserve">單一槓桿（其他不變）</t>
  </si>
  <si>
    <t xml:space="preserve">目前</t>
  </si>
  <si>
    <t xml:space="preserve">市價隱含</t>
  </si>
  <si>
    <t xml:space="preserve">變動</t>
  </si>
  <si>
    <t xml:space="preserve">對照</t>
  </si>
  <si>
    <r>
      <rPr>
        <sz val="10"/>
        <rFont val="Arial"/>
        <family val="0"/>
        <charset val="1"/>
      </rPr>
      <t xml:space="preserve">FY30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年收入（</t>
    </r>
    <r>
      <rPr>
        <sz val="10"/>
        <rFont val="Arial"/>
        <family val="0"/>
        <charset val="1"/>
      </rPr>
      <t xml:space="preserve">US$m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</si>
  <si>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期末 </t>
    </r>
    <r>
      <rPr>
        <sz val="9"/>
        <color rgb="FF595959"/>
        <rFont val="Arial"/>
        <family val="0"/>
        <charset val="1"/>
      </rPr>
      <t xml:space="preserve">ARR </t>
    </r>
    <r>
      <rPr>
        <sz val="9"/>
        <color rgb="FF595959"/>
        <rFont val="Noto Sans CJK SC"/>
        <family val="2"/>
      </rPr>
      <t xml:space="preserve">指引隱含約 </t>
    </r>
    <r>
      <rPr>
        <sz val="9"/>
        <color rgb="FF595959"/>
        <rFont val="Arial"/>
        <family val="0"/>
        <charset val="1"/>
      </rPr>
      <t xml:space="preserve">$10.0–10.5m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7 </t>
    </r>
    <r>
      <rPr>
        <sz val="9"/>
        <color rgb="FF595959"/>
        <rFont val="Noto Sans CJK SC"/>
        <family val="2"/>
      </rPr>
      <t xml:space="preserve">月新約漲價約 </t>
    </r>
    <r>
      <rPr>
        <sz val="9"/>
        <color rgb="FF595959"/>
        <rFont val="Arial"/>
        <family val="0"/>
        <charset val="1"/>
      </rPr>
      <t xml:space="preserve">25%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</si>
  <si>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建置成本（</t>
    </r>
    <r>
      <rPr>
        <sz val="10"/>
        <rFont val="Arial"/>
        <family val="0"/>
        <charset val="1"/>
      </rPr>
      <t xml:space="preserve">US$m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</si>
  <si>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指引隱含約 </t>
    </r>
    <r>
      <rPr>
        <sz val="9"/>
        <color rgb="FF595959"/>
        <rFont val="Arial"/>
        <family val="0"/>
        <charset val="1"/>
      </rPr>
      <t xml:space="preserve">$32–37m</t>
    </r>
  </si>
  <si>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59%</t>
    </r>
    <r>
      <rPr>
        <sz val="9"/>
        <color rgb="FF595959"/>
        <rFont val="Noto Sans CJK SC"/>
        <family val="2"/>
      </rPr>
      <t xml:space="preserve">；由下而上上緣約 </t>
    </r>
    <r>
      <rPr>
        <sz val="9"/>
        <color rgb="FF595959"/>
        <rFont val="Arial"/>
        <family val="0"/>
        <charset val="1"/>
      </rPr>
      <t xml:space="preserve">67–71%</t>
    </r>
    <r>
      <rPr>
        <sz val="9"/>
        <color rgb="FF595959"/>
        <rFont val="Noto Sans CJK SC"/>
        <family val="2"/>
      </rPr>
      <t xml:space="preserve">（變動為百分點）</t>
    </r>
  </si>
  <si>
    <r>
      <rPr>
        <sz val="10"/>
        <rFont val="Noto Sans CJK SC"/>
        <family val="2"/>
      </rPr>
      <t xml:space="preserve">（對照）加權目標價＝現價所需每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</t>
    </r>
  </si>
  <si>
    <r>
      <rPr>
        <sz val="9"/>
        <color rgb="FF595959"/>
        <rFont val="Noto Sans CJK SC"/>
        <family val="2"/>
      </rPr>
      <t xml:space="preserve">含 </t>
    </r>
    <r>
      <rPr>
        <sz val="9"/>
        <color rgb="FF595959"/>
        <rFont val="Arial"/>
        <family val="0"/>
        <charset val="1"/>
      </rPr>
      <t xml:space="preserve">EV/EBITDA 6x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FY29 </t>
    </r>
    <r>
      <rPr>
        <sz val="9"/>
        <color rgb="FF595959"/>
        <rFont val="Noto Sans CJK SC"/>
        <family val="2"/>
      </rPr>
      <t xml:space="preserve">錨定） 腿；非純反向 </t>
    </r>
    <r>
      <rPr>
        <sz val="9"/>
        <color rgb="FF595959"/>
        <rFont val="Arial"/>
        <family val="0"/>
        <charset val="1"/>
      </rPr>
      <t xml:space="preserve">DCF</t>
    </r>
  </si>
  <si>
    <r>
      <rPr>
        <b val="true"/>
        <sz val="10"/>
        <rFont val="Noto Sans CJK SC"/>
        <family val="2"/>
      </rPr>
      <t xml:space="preserve">快照：收入與成本的綜合影響——要值現價，</t>
    </r>
    <r>
      <rPr>
        <b val="true"/>
        <sz val="10"/>
        <rFont val="Arial"/>
        <family val="0"/>
        <charset val="1"/>
      </rPr>
      <t xml:space="preserve">FY30 </t>
    </r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Noto Sans CJK SC"/>
        <family val="2"/>
      </rPr>
      <t xml:space="preserve">年收入需要多少（</t>
    </r>
    <r>
      <rPr>
        <b val="true"/>
        <sz val="10"/>
        <rFont val="Arial"/>
        <family val="0"/>
        <charset val="1"/>
      </rPr>
      <t xml:space="preserve">US$m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</si>
  <si>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1"/>
        <color rgb="FFFFFFFF"/>
        <rFont val="Noto Sans CJK SC"/>
        <family val="2"/>
      </rPr>
      <t xml:space="preserve">建置成本 ＼ 穩態 </t>
    </r>
    <r>
      <rPr>
        <b val="true"/>
        <sz val="11"/>
        <color rgb="FFFFFFFF"/>
        <rFont val="Arial"/>
        <family val="0"/>
        <charset val="1"/>
      </rPr>
      <t xml:space="preserve">EBITDA </t>
    </r>
    <r>
      <rPr>
        <b val="true"/>
        <sz val="11"/>
        <color rgb="FFFFFFFF"/>
        <rFont val="Noto Sans CJK SC"/>
        <family val="2"/>
      </rPr>
      <t xml:space="preserve">率</t>
    </r>
  </si>
  <si>
    <r>
      <rPr>
        <sz val="10"/>
        <rFont val="Arial"/>
        <family val="0"/>
        <charset val="1"/>
      </rPr>
      <t xml:space="preserve">$26.3m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-30%</t>
    </r>
    <r>
      <rPr>
        <sz val="10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</si>
  <si>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$30.1m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-20%</t>
    </r>
    <r>
      <rPr>
        <sz val="10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</si>
  <si>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$33.8m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-10%</t>
    </r>
    <r>
      <rPr>
        <sz val="10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</si>
  <si>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$37.6m</t>
    </r>
    <r>
      <rPr>
        <sz val="10"/>
        <rFont val="Noto Sans CJK SC"/>
        <family val="2"/>
      </rPr>
      <t xml:space="preserve">（目前）</t>
    </r>
  </si>
  <si>
    <r>
      <rPr>
        <sz val="10"/>
        <rFont val="Arial"/>
        <family val="0"/>
        <charset val="1"/>
      </rPr>
      <t xml:space="preserve">$41.3m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+10%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</si>
  <si>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快照為靜態數值（</t>
    </r>
    <r>
      <rPr>
        <sz val="9"/>
        <color rgb="FF595959"/>
        <rFont val="Arial"/>
        <family val="0"/>
        <charset val="1"/>
      </rPr>
      <t xml:space="preserve">HTML </t>
    </r>
    <r>
      <rPr>
        <sz val="9"/>
        <color rgb="FF595959"/>
        <rFont val="Noto Sans CJK SC"/>
        <family val="2"/>
      </rPr>
      <t xml:space="preserve">以同一引擎即時計算）；改變輸入後請以目標搜尋重算，或參考 </t>
    </r>
    <r>
      <rPr>
        <sz val="9"/>
        <color rgb="FF595959"/>
        <rFont val="Arial"/>
        <family val="0"/>
        <charset val="1"/>
      </rPr>
      <t xml:space="preserve">HTML</t>
    </r>
    <r>
      <rPr>
        <sz val="9"/>
        <color rgb="FF595959"/>
        <rFont val="Noto Sans CJK SC"/>
        <family val="2"/>
      </rPr>
      <t xml:space="preserve">『評價 → 反向 </t>
    </r>
    <r>
      <rPr>
        <sz val="9"/>
        <color rgb="FF595959"/>
        <rFont val="Arial"/>
        <family val="0"/>
        <charset val="1"/>
      </rPr>
      <t xml:space="preserve">DCF</t>
    </r>
    <r>
      <rPr>
        <sz val="9"/>
        <color rgb="FF595959"/>
        <rFont val="Noto Sans CJK SC"/>
        <family val="2"/>
      </rPr>
      <t xml:space="preserve">』</t>
    </r>
  </si>
  <si>
    <r>
      <rPr>
        <b val="true"/>
        <sz val="14"/>
        <rFont val="Noto Sans CJK SC"/>
        <family val="2"/>
      </rPr>
      <t xml:space="preserve">可比公司 — 以 </t>
    </r>
    <r>
      <rPr>
        <b val="true"/>
        <sz val="14"/>
        <rFont val="Arial"/>
        <family val="0"/>
        <charset val="1"/>
      </rPr>
      <t xml:space="preserve">EV/Sales </t>
    </r>
    <r>
      <rPr>
        <b val="true"/>
        <sz val="14"/>
        <rFont val="Noto Sans CJK SC"/>
        <family val="2"/>
      </rPr>
      <t xml:space="preserve">為主（市值：</t>
    </r>
    <r>
      <rPr>
        <b val="true"/>
        <sz val="14"/>
        <rFont val="Arial"/>
        <family val="0"/>
        <charset val="1"/>
      </rPr>
      <t xml:space="preserve">2026-09-21 </t>
    </r>
    <r>
      <rPr>
        <b val="true"/>
        <sz val="14"/>
        <rFont val="Noto Sans CJK SC"/>
        <family val="2"/>
      </rPr>
      <t xml:space="preserve">收盤）</t>
    </r>
  </si>
  <si>
    <r>
      <rPr>
        <sz val="9"/>
        <color rgb="FF595959"/>
        <rFont val="Arial"/>
        <family val="0"/>
        <charset val="1"/>
      </rPr>
      <t xml:space="preserve">EV</t>
    </r>
    <r>
      <rPr>
        <sz val="9"/>
        <color rgb="FF595959"/>
        <rFont val="Noto Sans CJK SC"/>
        <family val="2"/>
      </rPr>
      <t xml:space="preserve">＝市值＋（有息負債−非受限現金）；含租賃＝</t>
    </r>
    <r>
      <rPr>
        <sz val="9"/>
        <color rgb="FF595959"/>
        <rFont val="Arial"/>
        <family val="0"/>
        <charset val="1"/>
      </rPr>
      <t xml:space="preserve">EV</t>
    </r>
    <r>
      <rPr>
        <sz val="9"/>
        <color rgb="FF595959"/>
        <rFont val="Noto Sans CJK SC"/>
        <family val="2"/>
      </rPr>
      <t xml:space="preserve">＋營業租賃負債。</t>
    </r>
    <r>
      <rPr>
        <sz val="9"/>
        <color rgb="FF595959"/>
        <rFont val="Arial"/>
        <family val="0"/>
        <charset val="1"/>
      </rPr>
      <t xml:space="preserve">EV/EBITDA </t>
    </r>
    <r>
      <rPr>
        <sz val="9"/>
        <color rgb="FF595959"/>
        <rFont val="Noto Sans CJK SC"/>
        <family val="2"/>
      </rPr>
      <t xml:space="preserve">僅供參考（同業 </t>
    </r>
    <r>
      <rPr>
        <sz val="9"/>
        <color rgb="FF595959"/>
        <rFont val="Arial"/>
        <family val="0"/>
        <charset val="1"/>
      </rPr>
      <t xml:space="preserve">GAAP EBITDA </t>
    </r>
    <r>
      <rPr>
        <sz val="9"/>
        <color rgb="FF595959"/>
        <rFont val="Noto Sans CJK SC"/>
        <family val="2"/>
      </rPr>
      <t xml:space="preserve">皆為負，顯示 </t>
    </r>
    <r>
      <rPr>
        <sz val="9"/>
        <color rgb="FF595959"/>
        <rFont val="Arial"/>
        <family val="0"/>
        <charset val="1"/>
      </rPr>
      <t xml:space="preserve">n/m</t>
    </r>
    <r>
      <rPr>
        <sz val="9"/>
        <color rgb="FF595959"/>
        <rFont val="Noto Sans CJK SC"/>
        <family val="2"/>
      </rPr>
      <t xml:space="preserve">）。此表不進入目標價。與 </t>
    </r>
    <r>
      <rPr>
        <sz val="9"/>
        <color rgb="FF595959"/>
        <rFont val="Arial"/>
        <family val="0"/>
        <charset val="1"/>
      </rPr>
      <t xml:space="preserve">HTML Comps </t>
    </r>
    <r>
      <rPr>
        <sz val="9"/>
        <color rgb="FF595959"/>
        <rFont val="Noto Sans CJK SC"/>
        <family val="2"/>
      </rPr>
      <t xml:space="preserve">分頁同一組數字</t>
    </r>
  </si>
  <si>
    <t xml:space="preserve">公司</t>
  </si>
  <si>
    <t xml:space="preserve">市值</t>
  </si>
  <si>
    <t xml:space="preserve">淨負債</t>
  </si>
  <si>
    <t xml:space="preserve">EV</t>
  </si>
  <si>
    <r>
      <rPr>
        <b val="true"/>
        <sz val="11"/>
        <color rgb="FFFFFFFF"/>
        <rFont val="Arial"/>
        <family val="0"/>
        <charset val="1"/>
      </rPr>
      <t xml:space="preserve">TTM </t>
    </r>
    <r>
      <rPr>
        <b val="true"/>
        <sz val="11"/>
        <color rgb="FFFFFFFF"/>
        <rFont val="Noto Sans CJK SC"/>
        <family val="2"/>
      </rPr>
      <t xml:space="preserve">營收</t>
    </r>
  </si>
  <si>
    <r>
      <rPr>
        <b val="true"/>
        <sz val="11"/>
        <color rgb="FFFFFFFF"/>
        <rFont val="Arial"/>
        <family val="0"/>
        <charset val="1"/>
      </rPr>
      <t xml:space="preserve">EV/Sales</t>
    </r>
    <r>
      <rPr>
        <b val="true"/>
        <sz val="11"/>
        <color rgb="FFFFFFFF"/>
        <rFont val="Noto Sans CJK SC"/>
        <family val="2"/>
      </rPr>
      <t xml:space="preserve">（</t>
    </r>
    <r>
      <rPr>
        <b val="true"/>
        <sz val="11"/>
        <color rgb="FFFFFFFF"/>
        <rFont val="Arial"/>
        <family val="0"/>
        <charset val="1"/>
      </rPr>
      <t xml:space="preserve">TTM</t>
    </r>
    <r>
      <rPr>
        <b val="true"/>
        <sz val="11"/>
        <color rgb="FFFFFFFF"/>
        <rFont val="Noto Sans CJK SC"/>
        <family val="2"/>
      </rPr>
      <t xml:space="preserve">）</t>
    </r>
  </si>
  <si>
    <r>
      <rPr>
        <b val="true"/>
        <sz val="11"/>
        <color rgb="FFFFFFFF"/>
        <rFont val="Noto Sans CJK SC"/>
        <family val="2"/>
      </rPr>
      <t xml:space="preserve">含租賃 </t>
    </r>
    <r>
      <rPr>
        <b val="true"/>
        <sz val="11"/>
        <color rgb="FFFFFFFF"/>
        <rFont val="Arial"/>
        <family val="0"/>
        <charset val="1"/>
      </rPr>
      <t xml:space="preserve">EV/Sales</t>
    </r>
  </si>
  <si>
    <t xml:space="preserve">TTM EBITDA</t>
  </si>
  <si>
    <t xml:space="preserve">EV/EBITDA</t>
  </si>
  <si>
    <t xml:space="preserve">資料期</t>
  </si>
  <si>
    <t xml:space="preserve">NBIS Nebius</t>
  </si>
  <si>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FY25 20-F</t>
    </r>
  </si>
  <si>
    <r>
      <rPr>
        <sz val="9"/>
        <color rgb="FF595959"/>
        <rFont val="Noto Sans CJK SC"/>
        <family val="2"/>
      </rPr>
      <t xml:space="preserve">營業租賃負債 </t>
    </r>
    <r>
      <rPr>
        <sz val="9"/>
        <color rgb="FF595959"/>
        <rFont val="Arial"/>
        <family val="0"/>
        <charset val="1"/>
      </rPr>
      <t xml:space="preserve">0.0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GAAP </t>
    </r>
    <r>
      <rPr>
        <sz val="9"/>
        <color rgb="FF595959"/>
        <rFont val="Noto Sans CJK SC"/>
        <family val="2"/>
      </rPr>
      <t xml:space="preserve">營業損益 </t>
    </r>
    <r>
      <rPr>
        <sz val="9"/>
        <color rgb="FF595959"/>
        <rFont val="Arial"/>
        <family val="0"/>
        <charset val="1"/>
      </rPr>
      <t xml:space="preserve">-0.612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D&amp;A 0.418</t>
    </r>
    <r>
      <rPr>
        <sz val="9"/>
        <color rgb="FF595959"/>
        <rFont val="Noto Sans CJK SC"/>
        <family val="2"/>
      </rPr>
      <t xml:space="preserve">。季報未 </t>
    </r>
    <r>
      <rPr>
        <sz val="9"/>
        <color rgb="FF595959"/>
        <rFont val="Arial"/>
        <family val="0"/>
        <charset val="1"/>
      </rPr>
      <t xml:space="preserve">XBRL </t>
    </r>
    <r>
      <rPr>
        <sz val="9"/>
        <color rgb="FF595959"/>
        <rFont val="Noto Sans CJK SC"/>
        <family val="2"/>
      </rPr>
      <t xml:space="preserve">標註，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用 </t>
    </r>
    <r>
      <rPr>
        <sz val="9"/>
        <color rgb="FF595959"/>
        <rFont val="Arial"/>
        <family val="0"/>
        <charset val="1"/>
      </rPr>
      <t xml:space="preserve">FY2025</t>
    </r>
    <r>
      <rPr>
        <sz val="9"/>
        <color rgb="FF595959"/>
        <rFont val="Noto Sans CJK SC"/>
        <family val="2"/>
      </rPr>
      <t xml:space="preserve">；營收為 </t>
    </r>
    <r>
      <rPr>
        <sz val="9"/>
        <color rgb="FF595959"/>
        <rFont val="Arial"/>
        <family val="0"/>
        <charset val="1"/>
      </rPr>
      <t xml:space="preserve">TTM</t>
    </r>
    <r>
      <rPr>
        <sz val="9"/>
        <color rgb="FF595959"/>
        <rFont val="Noto Sans CJK SC"/>
        <family val="2"/>
      </rPr>
      <t xml:space="preserve">。前瞻 </t>
    </r>
    <r>
      <rPr>
        <sz val="9"/>
        <color rgb="FF595959"/>
        <rFont val="Arial"/>
        <family val="0"/>
        <charset val="1"/>
      </rPr>
      <t xml:space="preserve">EV/Sales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9.3x</t>
    </r>
    <r>
      <rPr>
        <sz val="9"/>
        <color rgb="FF595959"/>
        <rFont val="Noto Sans CJK SC"/>
        <family val="2"/>
      </rPr>
      <t xml:space="preserve">（由 </t>
    </r>
    <r>
      <rPr>
        <sz val="9"/>
        <color rgb="FF595959"/>
        <rFont val="Arial"/>
        <family val="0"/>
        <charset val="1"/>
      </rPr>
      <t xml:space="preserve">9/18 forward PS 8.46 </t>
    </r>
    <r>
      <rPr>
        <sz val="9"/>
        <color rgb="FF595959"/>
        <rFont val="Noto Sans CJK SC"/>
        <family val="2"/>
      </rPr>
      <t xml:space="preserve">推算 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Noto Sans CJK SC"/>
        <family val="2"/>
      </rPr>
      <t xml:space="preserve">）</t>
    </r>
  </si>
  <si>
    <t xml:space="preserve">IREN</t>
  </si>
  <si>
    <r>
      <rPr>
        <sz val="9"/>
        <color rgb="FF595959"/>
        <rFont val="Arial"/>
        <family val="0"/>
        <charset val="1"/>
      </rPr>
      <t xml:space="preserve">FY26 10-K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6/30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</si>
  <si>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營業租賃負債 </t>
    </r>
    <r>
      <rPr>
        <sz val="9"/>
        <color rgb="FF595959"/>
        <rFont val="Arial"/>
        <family val="0"/>
        <charset val="1"/>
      </rPr>
      <t xml:space="preserve">0.003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GAAP </t>
    </r>
    <r>
      <rPr>
        <sz val="9"/>
        <color rgb="FF595959"/>
        <rFont val="Noto Sans CJK SC"/>
        <family val="2"/>
      </rPr>
      <t xml:space="preserve">營業損益 </t>
    </r>
    <r>
      <rPr>
        <sz val="9"/>
        <color rgb="FF595959"/>
        <rFont val="Arial"/>
        <family val="0"/>
        <charset val="1"/>
      </rPr>
      <t xml:space="preserve">-1.047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D&amp;A 0.418</t>
    </r>
    <r>
      <rPr>
        <sz val="9"/>
        <color rgb="FF595959"/>
        <rFont val="Noto Sans CJK SC"/>
        <family val="2"/>
      </rPr>
      <t xml:space="preserve">。自有電廠、營業租賃負債僅 </t>
    </r>
    <r>
      <rPr>
        <sz val="9"/>
        <color rgb="FF595959"/>
        <rFont val="Arial"/>
        <family val="0"/>
        <charset val="1"/>
      </rPr>
      <t xml:space="preserve">0.003bn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合約 </t>
    </r>
    <r>
      <rPr>
        <sz val="9"/>
        <color rgb="FF595959"/>
        <rFont val="Arial"/>
        <family val="0"/>
        <charset val="1"/>
      </rPr>
      <t xml:space="preserve">ARR 4.0bn</t>
    </r>
  </si>
  <si>
    <t xml:space="preserve">APLD Applied Digital</t>
  </si>
  <si>
    <r>
      <rPr>
        <sz val="9"/>
        <color rgb="FF595959"/>
        <rFont val="Arial"/>
        <family val="0"/>
        <charset val="1"/>
      </rPr>
      <t xml:space="preserve">FY26 10-K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5/31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</si>
  <si>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營業租賃負債 </t>
    </r>
    <r>
      <rPr>
        <sz val="9"/>
        <color rgb="FF595959"/>
        <rFont val="Arial"/>
        <family val="0"/>
        <charset val="1"/>
      </rPr>
      <t xml:space="preserve">0.066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GAAP </t>
    </r>
    <r>
      <rPr>
        <sz val="9"/>
        <color rgb="FF595959"/>
        <rFont val="Noto Sans CJK SC"/>
        <family val="2"/>
      </rPr>
      <t xml:space="preserve">營業損益 </t>
    </r>
    <r>
      <rPr>
        <sz val="9"/>
        <color rgb="FF595959"/>
        <rFont val="Arial"/>
        <family val="0"/>
        <charset val="1"/>
      </rPr>
      <t xml:space="preserve">-0.236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D&amp;A 0.067</t>
    </r>
    <r>
      <rPr>
        <sz val="9"/>
        <color rgb="FF595959"/>
        <rFont val="Noto Sans CJK SC"/>
        <family val="2"/>
      </rPr>
      <t xml:space="preserve">。租約多未起租，營收尚未反映約 </t>
    </r>
    <r>
      <rPr>
        <sz val="9"/>
        <color rgb="FF595959"/>
        <rFont val="Arial"/>
        <family val="0"/>
        <charset val="1"/>
      </rPr>
      <t xml:space="preserve">36bn </t>
    </r>
    <r>
      <rPr>
        <sz val="9"/>
        <color rgb="FF595959"/>
        <rFont val="Noto Sans CJK SC"/>
        <family val="2"/>
      </rPr>
      <t xml:space="preserve">合約</t>
    </r>
  </si>
  <si>
    <t xml:space="preserve">CORZ Core Scientific</t>
  </si>
  <si>
    <r>
      <rPr>
        <sz val="9"/>
        <color rgb="FF595959"/>
        <rFont val="Arial"/>
        <family val="0"/>
        <charset val="1"/>
      </rPr>
      <t xml:space="preserve">TTM </t>
    </r>
    <r>
      <rPr>
        <sz val="9"/>
        <color rgb="FF595959"/>
        <rFont val="Noto Sans CJK SC"/>
        <family val="2"/>
      </rPr>
      <t xml:space="preserve">至 </t>
    </r>
    <r>
      <rPr>
        <sz val="9"/>
        <color rgb="FF595959"/>
        <rFont val="Arial"/>
        <family val="0"/>
        <charset val="1"/>
      </rPr>
      <t xml:space="preserve">Q2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6/30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</si>
  <si>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營業租賃負債 </t>
    </r>
    <r>
      <rPr>
        <sz val="9"/>
        <color rgb="FF595959"/>
        <rFont val="Arial"/>
        <family val="0"/>
        <charset val="1"/>
      </rPr>
      <t xml:space="preserve">0.109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GAAP </t>
    </r>
    <r>
      <rPr>
        <sz val="9"/>
        <color rgb="FF595959"/>
        <rFont val="Noto Sans CJK SC"/>
        <family val="2"/>
      </rPr>
      <t xml:space="preserve">營業損益 </t>
    </r>
    <r>
      <rPr>
        <sz val="9"/>
        <color rgb="FF595959"/>
        <rFont val="Arial"/>
        <family val="0"/>
        <charset val="1"/>
      </rPr>
      <t xml:space="preserve">-0.561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D&amp;A 0.063</t>
    </r>
    <r>
      <rPr>
        <sz val="9"/>
        <color rgb="FF595959"/>
        <rFont val="Noto Sans CJK SC"/>
        <family val="2"/>
      </rPr>
      <t xml:space="preserve">。託管轉型期</t>
    </r>
  </si>
  <si>
    <t xml:space="preserve">同業中位數</t>
  </si>
  <si>
    <r>
      <rPr>
        <b val="true"/>
        <sz val="10"/>
        <rFont val="Arial"/>
        <family val="0"/>
        <charset val="1"/>
      </rPr>
      <t xml:space="preserve">CRWV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TTM </t>
    </r>
    <r>
      <rPr>
        <b val="true"/>
        <sz val="10"/>
        <rFont val="Noto Sans CJK SC"/>
        <family val="2"/>
      </rPr>
      <t xml:space="preserve">至 </t>
    </r>
    <r>
      <rPr>
        <b val="true"/>
        <sz val="10"/>
        <rFont val="Arial"/>
        <family val="0"/>
        <charset val="1"/>
      </rPr>
      <t xml:space="preserve">Q2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</si>
  <si>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TTM </t>
    </r>
    <r>
      <rPr>
        <sz val="9"/>
        <color rgb="FF595959"/>
        <rFont val="Noto Sans CJK SC"/>
        <family val="2"/>
      </rPr>
      <t xml:space="preserve">至 </t>
    </r>
    <r>
      <rPr>
        <sz val="9"/>
        <color rgb="FF595959"/>
        <rFont val="Arial"/>
        <family val="0"/>
        <charset val="1"/>
      </rPr>
      <t xml:space="preserve">Q2</t>
    </r>
  </si>
  <si>
    <r>
      <rPr>
        <sz val="9"/>
        <color rgb="FF595959"/>
        <rFont val="Arial"/>
        <family val="0"/>
        <charset val="1"/>
      </rPr>
      <t xml:space="preserve">EV </t>
    </r>
    <r>
      <rPr>
        <sz val="9"/>
        <color rgb="FF595959"/>
        <rFont val="Noto Sans CJK SC"/>
        <family val="2"/>
      </rPr>
      <t xml:space="preserve">用 </t>
    </r>
    <r>
      <rPr>
        <sz val="9"/>
        <color rgb="FF595959"/>
        <rFont val="Arial"/>
        <family val="0"/>
        <charset val="1"/>
      </rPr>
      <t xml:space="preserve">9/21 </t>
    </r>
    <r>
      <rPr>
        <sz val="9"/>
        <color rgb="FF595959"/>
        <rFont val="Noto Sans CJK SC"/>
        <family val="2"/>
      </rPr>
      <t xml:space="preserve">市值與 </t>
    </r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Noto Sans CJK SC"/>
        <family val="2"/>
      </rPr>
      <t xml:space="preserve">淨負債；含租賃再加營業租賃負債 </t>
    </r>
    <r>
      <rPr>
        <sz val="9"/>
        <color rgb="FF595959"/>
        <rFont val="Arial"/>
        <family val="0"/>
        <charset val="1"/>
      </rPr>
      <t xml:space="preserve">16.319</t>
    </r>
  </si>
  <si>
    <r>
      <rPr>
        <sz val="10"/>
        <rFont val="Arial"/>
        <family val="0"/>
        <charset val="1"/>
      </rPr>
      <t xml:space="preserve">CRWV </t>
    </r>
    <r>
      <rPr>
        <sz val="10"/>
        <rFont val="Noto Sans CJK SC"/>
        <family val="2"/>
      </rPr>
      <t xml:space="preserve">模型 </t>
    </r>
    <r>
      <rPr>
        <sz val="10"/>
        <rFont val="Arial"/>
        <family val="0"/>
        <charset val="1"/>
      </rPr>
      <t xml:space="preserve">FY27E</t>
    </r>
  </si>
  <si>
    <r>
      <rPr>
        <sz val="9"/>
        <color rgb="FF595959"/>
        <rFont val="Noto Sans CJK SC"/>
        <family val="2"/>
      </rPr>
      <t xml:space="preserve">市值用模型股數（含 </t>
    </r>
    <r>
      <rPr>
        <sz val="9"/>
        <color rgb="FF595959"/>
        <rFont val="Arial"/>
        <family val="0"/>
        <charset val="1"/>
      </rPr>
      <t xml:space="preserve">ATM </t>
    </r>
    <r>
      <rPr>
        <sz val="9"/>
        <color rgb="FF595959"/>
        <rFont val="Noto Sans CJK SC"/>
        <family val="2"/>
      </rPr>
      <t xml:space="preserve">上限）；分母為模型 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營收</t>
    </r>
  </si>
  <si>
    <r>
      <rPr>
        <sz val="9"/>
        <color rgb="FF595959"/>
        <rFont val="Noto Sans CJK SC"/>
        <family val="2"/>
      </rPr>
      <t xml:space="preserve">讀法：</t>
    </r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TTM EV/Sales </t>
    </r>
    <r>
      <rPr>
        <sz val="9"/>
        <color rgb="FF595959"/>
        <rFont val="Noto Sans CJK SC"/>
        <family val="2"/>
      </rPr>
      <t xml:space="preserve">約為同業中位數的四成。折價來源有三，不能全部解讀為便宜：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同業仍在爬坡，</t>
    </r>
    <r>
      <rPr>
        <sz val="9"/>
        <color rgb="FF595959"/>
        <rFont val="Arial"/>
        <family val="0"/>
        <charset val="1"/>
      </rPr>
      <t xml:space="preserve">TTM </t>
    </r>
    <r>
      <rPr>
        <sz val="9"/>
        <color rgb="FF595959"/>
        <rFont val="Noto Sans CJK SC"/>
        <family val="2"/>
      </rPr>
      <t xml:space="preserve">營收遠小於已簽約規模，</t>
    </r>
    <r>
      <rPr>
        <sz val="9"/>
        <color rgb="FF595959"/>
        <rFont val="Arial"/>
        <family val="0"/>
        <charset val="1"/>
      </rPr>
      <t xml:space="preserve">TTM </t>
    </r>
    <r>
      <rPr>
        <sz val="9"/>
        <color rgb="FF595959"/>
        <rFont val="Noto Sans CJK SC"/>
        <family val="2"/>
      </rPr>
      <t xml:space="preserve">倍數偏高；</t>
    </r>
  </si>
  <si>
    <r>
      <rPr>
        <sz val="9"/>
        <color rgb="FF595959"/>
        <rFont val="Arial"/>
        <family val="0"/>
        <charset val="1"/>
      </rPr>
      <t xml:space="preserve">(2) CRWV </t>
    </r>
    <r>
      <rPr>
        <sz val="9"/>
        <color rgb="FF595959"/>
        <rFont val="Noto Sans CJK SC"/>
        <family val="2"/>
      </rPr>
      <t xml:space="preserve">用租約取得機房，加入營業租賃負債後倍數升至約 </t>
    </r>
    <r>
      <rPr>
        <sz val="9"/>
        <color rgb="FF595959"/>
        <rFont val="Arial"/>
        <family val="0"/>
        <charset val="1"/>
      </rPr>
      <t xml:space="preserve">12x</t>
    </r>
    <r>
      <rPr>
        <sz val="9"/>
        <color rgb="FF595959"/>
        <rFont val="Noto Sans CJK SC"/>
        <family val="2"/>
      </rPr>
      <t xml:space="preserve">，同業加與不加差別很小；</t>
    </r>
    <r>
      <rPr>
        <sz val="9"/>
        <color rgb="FF595959"/>
        <rFont val="Arial"/>
        <family val="0"/>
        <charset val="1"/>
      </rPr>
      <t xml:space="preserve">(3) </t>
    </r>
    <r>
      <rPr>
        <sz val="9"/>
        <color rgb="FF595959"/>
        <rFont val="Noto Sans CJK SC"/>
        <family val="2"/>
      </rPr>
      <t xml:space="preserve">客戶集中（前三大 </t>
    </r>
    <r>
      <rPr>
        <sz val="9"/>
        <color rgb="FF595959"/>
        <rFont val="Arial"/>
        <family val="0"/>
        <charset val="1"/>
      </rPr>
      <t xml:space="preserve">72%</t>
    </r>
    <r>
      <rPr>
        <sz val="9"/>
        <color rgb="FF595959"/>
        <rFont val="Noto Sans CJK SC"/>
        <family val="2"/>
      </rPr>
      <t xml:space="preserve">）與五期外部資金需求。</t>
    </r>
  </si>
  <si>
    <r>
      <rPr>
        <sz val="9"/>
        <color rgb="FF595959"/>
        <rFont val="Noto Sans CJK SC"/>
        <family val="2"/>
      </rPr>
      <t xml:space="preserve">前瞻：</t>
    </r>
    <r>
      <rPr>
        <sz val="9"/>
        <color rgb="FF595959"/>
        <rFont val="Arial"/>
        <family val="0"/>
        <charset val="1"/>
      </rPr>
      <t xml:space="preserve">NBIS </t>
    </r>
    <r>
      <rPr>
        <sz val="9"/>
        <color rgb="FF595959"/>
        <rFont val="Noto Sans CJK SC"/>
        <family val="2"/>
      </rPr>
      <t xml:space="preserve">前瞻 </t>
    </r>
    <r>
      <rPr>
        <sz val="9"/>
        <color rgb="FF595959"/>
        <rFont val="Arial"/>
        <family val="0"/>
        <charset val="1"/>
      </rPr>
      <t xml:space="preserve">EV/Sales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9.3x</t>
    </r>
    <r>
      <rPr>
        <sz val="9"/>
        <color rgb="FF595959"/>
        <rFont val="Noto Sans CJK SC"/>
        <family val="2"/>
      </rPr>
      <t xml:space="preserve">（由 </t>
    </r>
    <r>
      <rPr>
        <sz val="9"/>
        <color rgb="FF595959"/>
        <rFont val="Arial"/>
        <family val="0"/>
        <charset val="1"/>
      </rPr>
      <t xml:space="preserve">9/18 forward PS </t>
    </r>
    <r>
      <rPr>
        <sz val="9"/>
        <color rgb="FF595959"/>
        <rFont val="Noto Sans CJK SC"/>
        <family val="2"/>
      </rPr>
      <t xml:space="preserve">推算 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Noto Sans CJK SC"/>
        <family val="2"/>
      </rPr>
      <t xml:space="preserve">），</t>
    </r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FY27E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3x</t>
    </r>
    <r>
      <rPr>
        <sz val="9"/>
        <color rgb="FF595959"/>
        <rFont val="Noto Sans CJK SC"/>
        <family val="2"/>
      </rPr>
      <t xml:space="preserve">。此表為市場比較用，不進入目標價（</t>
    </r>
    <r>
      <rPr>
        <sz val="9"/>
        <color rgb="FF595959"/>
        <rFont val="Arial"/>
        <family val="0"/>
        <charset val="1"/>
      </rPr>
      <t xml:space="preserve">DCF 45%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EV/EBITDA 55%</t>
    </r>
    <r>
      <rPr>
        <sz val="9"/>
        <color rgb="FF595959"/>
        <rFont val="Noto Sans CJK SC"/>
        <family val="2"/>
      </rPr>
      <t xml:space="preserve">）。</t>
    </r>
  </si>
  <si>
    <t xml:space="preserve">連動檢查 — 恆等式與口徑</t>
  </si>
  <si>
    <t xml:space="preserve">檢查項目</t>
  </si>
  <si>
    <t xml:space="preserve">實際值</t>
  </si>
  <si>
    <t xml:space="preserve">標準</t>
  </si>
  <si>
    <t xml:space="preserve">結果</t>
  </si>
  <si>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桶 </t>
    </r>
    <r>
      <rPr>
        <sz val="9"/>
        <color rgb="FF595959"/>
        <rFont val="Arial"/>
        <family val="0"/>
        <charset val="1"/>
      </rPr>
      <t xml:space="preserve">41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39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20 </t>
    </r>
    <r>
      <rPr>
        <sz val="9"/>
        <color rgb="FF595959"/>
        <rFont val="Noto Sans CJK SC"/>
        <family val="2"/>
      </rPr>
      <t xml:space="preserve">線性分攤後應為 </t>
    </r>
    <r>
      <rPr>
        <sz val="9"/>
        <color rgb="FF595959"/>
        <rFont val="Arial"/>
        <family val="0"/>
        <charset val="1"/>
      </rPr>
      <t xml:space="preserve">84%</t>
    </r>
  </si>
  <si>
    <t xml:space="preserve">現金橋差異</t>
  </si>
  <si>
    <t xml:space="preserve">期初＋營運缺口＋股權＋額度−還本 ＝ 期末</t>
  </si>
  <si>
    <r>
      <rPr>
        <sz val="10"/>
        <rFont val="Arial"/>
        <family val="0"/>
        <charset val="1"/>
      </rPr>
      <t xml:space="preserve">Billable ≤ Accepted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FY30</t>
    </r>
    <r>
      <rPr>
        <sz val="10"/>
        <rFont val="Noto Sans CJK SC"/>
        <family val="2"/>
      </rPr>
      <t xml:space="preserve">）</t>
    </r>
  </si>
  <si>
    <t xml:space="preserve">≥0</t>
  </si>
  <si>
    <r>
      <rPr>
        <sz val="9"/>
        <color rgb="FF595959"/>
        <rFont val="Noto Sans CJK SC"/>
        <family val="2"/>
      </rPr>
      <t xml:space="preserve">引擎已以 </t>
    </r>
    <r>
      <rPr>
        <sz val="9"/>
        <color rgb="FF595959"/>
        <rFont val="Arial"/>
        <family val="0"/>
        <charset val="1"/>
      </rPr>
      <t xml:space="preserve">MIN </t>
    </r>
    <r>
      <rPr>
        <sz val="9"/>
        <color rgb="FF595959"/>
        <rFont val="Noto Sans CJK SC"/>
        <family val="2"/>
      </rPr>
      <t xml:space="preserve">截斷；此列驗證截斷有效</t>
    </r>
  </si>
  <si>
    <r>
      <rPr>
        <sz val="10"/>
        <rFont val="Arial"/>
        <family val="0"/>
        <charset val="1"/>
      </rPr>
      <t xml:space="preserve">FY26 CapEx </t>
    </r>
    <r>
      <rPr>
        <sz val="10"/>
        <rFont val="Noto Sans CJK SC"/>
        <family val="2"/>
      </rPr>
      <t xml:space="preserve">認列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</t>
    </r>
  </si>
  <si>
    <t xml:space="preserve">35–39</t>
  </si>
  <si>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實際認列 </t>
    </r>
    <r>
      <rPr>
        <sz val="9"/>
        <color rgb="FF595959"/>
        <rFont val="Arial"/>
        <family val="0"/>
        <charset val="1"/>
      </rPr>
      <t xml:space="preserve">16.139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Noto Sans CJK SC"/>
        <family val="2"/>
      </rPr>
      <t xml:space="preserve">模型；公司 </t>
    </r>
    <r>
      <rPr>
        <sz val="9"/>
        <color rgb="FF595959"/>
        <rFont val="Arial"/>
        <family val="0"/>
        <charset val="1"/>
      </rPr>
      <t xml:space="preserve">8/11 </t>
    </r>
    <r>
      <rPr>
        <sz val="9"/>
        <color rgb="FF595959"/>
        <rFont val="Noto Sans CJK SC"/>
        <family val="2"/>
      </rPr>
      <t xml:space="preserve">上修全年 </t>
    </r>
    <r>
      <rPr>
        <sz val="9"/>
        <color rgb="FF595959"/>
        <rFont val="Arial"/>
        <family val="0"/>
        <charset val="1"/>
      </rPr>
      <t xml:space="preserve">35–39</t>
    </r>
  </si>
  <si>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營收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</t>
    </r>
  </si>
  <si>
    <t xml:space="preserve">12.4–13.2</t>
  </si>
  <si>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4.653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Noto Sans CJK SC"/>
        <family val="2"/>
      </rPr>
      <t xml:space="preserve">模型（算力＋非算力服務）</t>
    </r>
  </si>
  <si>
    <r>
      <rPr>
        <sz val="10"/>
        <rFont val="Arial"/>
        <family val="0"/>
        <charset val="1"/>
      </rPr>
      <t xml:space="preserve">CapEx </t>
    </r>
    <r>
      <rPr>
        <sz val="10"/>
        <rFont val="Noto Sans CJK SC"/>
        <family val="2"/>
      </rPr>
      <t xml:space="preserve">強度（模型期合計）</t>
    </r>
  </si>
  <si>
    <t xml:space="preserve">$28–34m/MW</t>
  </si>
  <si>
    <r>
      <rPr>
        <sz val="9"/>
        <color rgb="FF595959"/>
        <rFont val="Noto Sans CJK SC"/>
        <family val="2"/>
      </rPr>
      <t xml:space="preserve">公司自身比率：</t>
    </r>
    <r>
      <rPr>
        <sz val="9"/>
        <color rgb="FF595959"/>
        <rFont val="Arial"/>
        <family val="0"/>
        <charset val="1"/>
      </rPr>
      <t xml:space="preserve">2026 CapEx 35–39bn </t>
    </r>
    <r>
      <rPr>
        <sz val="9"/>
        <color rgb="FF595959"/>
        <rFont val="Noto Sans CJK SC"/>
        <family val="2"/>
      </rPr>
      <t xml:space="preserve">對應約 </t>
    </r>
    <r>
      <rPr>
        <sz val="9"/>
        <color rgb="FF595959"/>
        <rFont val="Arial"/>
        <family val="0"/>
        <charset val="1"/>
      </rPr>
      <t xml:space="preserve">+1.25 GW </t>
    </r>
    <r>
      <rPr>
        <sz val="9"/>
        <color rgb="FF595959"/>
        <rFont val="Noto Sans CJK SC"/>
        <family val="2"/>
      </rPr>
      <t xml:space="preserve">＝ </t>
    </r>
    <r>
      <rPr>
        <sz val="9"/>
        <color rgb="FF595959"/>
        <rFont val="Arial"/>
        <family val="0"/>
        <charset val="1"/>
      </rPr>
      <t xml:space="preserve">$28–34m/MW</t>
    </r>
  </si>
  <si>
    <r>
      <rPr>
        <sz val="10"/>
        <rFont val="Noto Sans CJK SC"/>
        <family val="2"/>
      </rPr>
      <t xml:space="preserve">表外租金路徑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已承諾</t>
    </r>
  </si>
  <si>
    <t xml:space="preserve">≥0.8x</t>
  </si>
  <si>
    <r>
      <rPr>
        <sz val="9"/>
        <color rgb="FF595959"/>
        <rFont val="Arial"/>
        <family val="0"/>
        <charset val="1"/>
      </rPr>
      <t xml:space="preserve">8 GW </t>
    </r>
    <r>
      <rPr>
        <sz val="9"/>
        <color rgb="FF595959"/>
        <rFont val="Noto Sans CJK SC"/>
        <family val="2"/>
      </rPr>
      <t xml:space="preserve">路徑所需新租約多數未簽，路徑高於承諾屬假設</t>
    </r>
  </si>
  <si>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利息（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實際＋</t>
    </r>
    <r>
      <rPr>
        <sz val="10"/>
        <rFont val="Arial"/>
        <family val="0"/>
        <charset val="1"/>
      </rPr>
      <t xml:space="preserve">2H</t>
    </r>
    <r>
      <rPr>
        <sz val="10"/>
        <rFont val="Noto Sans CJK SC"/>
        <family val="2"/>
      </rPr>
      <t xml:space="preserve">）</t>
    </r>
  </si>
  <si>
    <t xml:space="preserve">≥2.9</t>
  </si>
  <si>
    <r>
      <rPr>
        <sz val="10"/>
        <rFont val="Arial"/>
        <family val="0"/>
        <charset val="1"/>
      </rPr>
      <t xml:space="preserve">FY28 </t>
    </r>
    <r>
      <rPr>
        <sz val="10"/>
        <rFont val="Noto Sans CJK SC"/>
        <family val="2"/>
      </rPr>
      <t xml:space="preserve">起收入是否依賴未簽約</t>
    </r>
  </si>
  <si>
    <r>
      <rPr>
        <sz val="9"/>
        <color rgb="FF595959"/>
        <rFont val="Arial"/>
        <family val="0"/>
        <charset val="1"/>
      </rPr>
      <t xml:space="preserve">&lt;50% </t>
    </r>
    <r>
      <rPr>
        <sz val="9"/>
        <color rgb="FF595959"/>
        <rFont val="Noto Sans CJK SC"/>
        <family val="2"/>
      </rPr>
      <t xml:space="preserve">較穩健</t>
    </r>
  </si>
  <si>
    <r>
      <rPr>
        <sz val="9"/>
        <color rgb="FF595959"/>
        <rFont val="Arial"/>
        <family val="0"/>
        <charset val="1"/>
      </rPr>
      <t xml:space="preserve">FY28–30 </t>
    </r>
    <r>
      <rPr>
        <sz val="9"/>
        <color rgb="FF595959"/>
        <rFont val="Noto Sans CJK SC"/>
        <family val="2"/>
      </rPr>
      <t xml:space="preserve">新簽約收入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同期總算力收入。高＝</t>
    </r>
    <r>
      <rPr>
        <sz val="9"/>
        <color rgb="FF595959"/>
        <rFont val="Arial"/>
        <family val="0"/>
        <charset val="1"/>
      </rPr>
      <t xml:space="preserve">8 GW </t>
    </r>
    <r>
      <rPr>
        <sz val="9"/>
        <color rgb="FF595959"/>
        <rFont val="Noto Sans CJK SC"/>
        <family val="2"/>
      </rPr>
      <t xml:space="preserve">敘事的風險集中點</t>
    </r>
  </si>
  <si>
    <t xml:space="preserve">損益營收＝資金營收</t>
  </si>
  <si>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損益算力收入 − 產能頁 </t>
    </r>
    <r>
      <rPr>
        <sz val="9"/>
        <color rgb="FF595959"/>
        <rFont val="Arial"/>
        <family val="0"/>
        <charset val="1"/>
      </rPr>
      <t xml:space="preserve">isRev</t>
    </r>
    <r>
      <rPr>
        <sz val="9"/>
        <color rgb="FF595959"/>
        <rFont val="Noto Sans CJK SC"/>
        <family val="2"/>
      </rPr>
      <t xml:space="preserve">。兩邊必須同一組數字</t>
    </r>
  </si>
  <si>
    <t xml:space="preserve">過高表示結論由終值假設決定</t>
  </si>
  <si>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單一來源（</t>
    </r>
    <r>
      <rPr>
        <sz val="10"/>
        <rFont val="Arial"/>
        <family val="0"/>
        <charset val="1"/>
      </rPr>
      <t xml:space="preserve">FY27 </t>
    </r>
    <r>
      <rPr>
        <sz val="10"/>
        <rFont val="Noto Sans CJK SC"/>
        <family val="2"/>
      </rPr>
      <t xml:space="preserve">損益 </t>
    </r>
    <r>
      <rPr>
        <sz val="10"/>
        <rFont val="Arial"/>
        <family val="0"/>
        <charset val="1"/>
      </rPr>
      <t xml:space="preserve">EBITDA÷</t>
    </r>
    <r>
      <rPr>
        <sz val="10"/>
        <rFont val="Noto Sans CJK SC"/>
        <family val="2"/>
      </rPr>
      <t xml:space="preserve">營收 − 輸入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率）</t>
    </r>
  </si>
  <si>
    <r>
      <rPr>
        <sz val="9"/>
        <color rgb="FF595959"/>
        <rFont val="Noto Sans CJK SC"/>
        <family val="2"/>
      </rPr>
      <t xml:space="preserve">損益與資金引用同一列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</t>
    </r>
  </si>
  <si>
    <r>
      <rPr>
        <sz val="10"/>
        <rFont val="Noto Sans CJK SC"/>
        <family val="2"/>
      </rPr>
      <t xml:space="preserve">現金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＋ 信用調整 − 損益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FY27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</si>
  <si>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現金 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Noto Sans CJK SC"/>
        <family val="2"/>
      </rPr>
      <t xml:space="preserve">現金＋新簽約現金＋服務現金−租金；信用調整＝信用損失</t>
    </r>
    <r>
      <rPr>
        <sz val="9"/>
        <color rgb="FF595959"/>
        <rFont val="Arial"/>
        <family val="0"/>
        <charset val="1"/>
      </rPr>
      <t xml:space="preserve">×EBITDAR </t>
    </r>
    <r>
      <rPr>
        <sz val="9"/>
        <color rgb="FF595959"/>
        <rFont val="Noto Sans CJK SC"/>
        <family val="2"/>
      </rPr>
      <t xml:space="preserve">率</t>
    </r>
  </si>
  <si>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有效性（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＝失效）</t>
    </r>
  </si>
  <si>
    <t xml:space="preserve">0</t>
  </si>
  <si>
    <r>
      <rPr>
        <sz val="9"/>
        <color rgb="FF595959"/>
        <rFont val="Noto Sans CJK SC"/>
        <family val="2"/>
      </rPr>
      <t xml:space="preserve">失效只定義為 </t>
    </r>
    <r>
      <rPr>
        <sz val="9"/>
        <color rgb="FF595959"/>
        <rFont val="Arial"/>
        <family val="0"/>
        <charset val="1"/>
      </rPr>
      <t xml:space="preserve">WACC ≤ g </t>
    </r>
    <r>
      <rPr>
        <sz val="9"/>
        <color rgb="FF595959"/>
        <rFont val="Noto Sans CJK SC"/>
        <family val="2"/>
      </rPr>
      <t xml:space="preserve">或常態化 </t>
    </r>
    <r>
      <rPr>
        <sz val="9"/>
        <color rgb="FF595959"/>
        <rFont val="Arial"/>
        <family val="0"/>
        <charset val="1"/>
      </rPr>
      <t xml:space="preserve">FCF ≤ 0</t>
    </r>
    <r>
      <rPr>
        <sz val="9"/>
        <color rgb="FF595959"/>
        <rFont val="Noto Sans CJK SC"/>
        <family val="2"/>
      </rPr>
      <t xml:space="preserve">；股權為負不算失效</t>
    </r>
  </si>
  <si>
    <t xml:space="preserve">期末現金 ≥ 最低現金（期前融資）</t>
  </si>
  <si>
    <t xml:space="preserve">≥2.0</t>
  </si>
  <si>
    <t xml:space="preserve">瀑布每期補足至最低現金；最小值應等於最低現金</t>
  </si>
  <si>
    <r>
      <rPr>
        <sz val="10"/>
        <rFont val="Noto Sans CJK SC"/>
        <family val="2"/>
      </rPr>
      <t xml:space="preserve">股權募資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現市值</t>
    </r>
  </si>
  <si>
    <r>
      <rPr>
        <sz val="10"/>
        <rFont val="Noto Sans CJK SC"/>
        <family val="2"/>
      </rPr>
      <t xml:space="preserve">債務明細合計 </t>
    </r>
    <r>
      <rPr>
        <sz val="10"/>
        <rFont val="Arial"/>
        <family val="0"/>
        <charset val="1"/>
      </rPr>
      <t xml:space="preserve">= 10-Q </t>
    </r>
    <r>
      <rPr>
        <sz val="10"/>
        <rFont val="Noto Sans CJK SC"/>
        <family val="2"/>
      </rPr>
      <t xml:space="preserve">本金 </t>
    </r>
    <r>
      <rPr>
        <sz val="10"/>
        <rFont val="Arial"/>
        <family val="0"/>
        <charset val="1"/>
      </rPr>
      <t xml:space="preserve">35.551</t>
    </r>
  </si>
  <si>
    <t xml:space="preserve">35.551</t>
  </si>
  <si>
    <r>
      <rPr>
        <sz val="9"/>
        <color rgb="FF595959"/>
        <rFont val="Arial"/>
        <family val="0"/>
        <charset val="1"/>
      </rPr>
      <t xml:space="preserve">16 </t>
    </r>
    <r>
      <rPr>
        <sz val="9"/>
        <color rgb="FF595959"/>
        <rFont val="Noto Sans CJK SC"/>
        <family val="2"/>
      </rPr>
      <t xml:space="preserve">筆工具逐筆加總</t>
    </r>
  </si>
  <si>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全年 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公式）</t>
    </r>
  </si>
  <si>
    <r>
      <rPr>
        <sz val="9"/>
        <color rgb="FF595959"/>
        <rFont val="Noto Sans CJK SC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YE25 850→YE26 1,850 MW </t>
    </r>
    <r>
      <rPr>
        <sz val="9"/>
        <color rgb="FF595959"/>
        <rFont val="Noto Sans CJK SC"/>
        <family val="2"/>
      </rPr>
      <t xml:space="preserve">與預建 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推得；應重現公司全年指引</t>
    </r>
  </si>
  <si>
    <r>
      <rPr>
        <sz val="10"/>
        <rFont val="Arial"/>
        <family val="0"/>
        <charset val="1"/>
      </rPr>
      <t xml:space="preserve">JV </t>
    </r>
    <r>
      <rPr>
        <sz val="10"/>
        <rFont val="Noto Sans CJK SC"/>
        <family val="2"/>
      </rPr>
      <t xml:space="preserve">已承諾餘額於 </t>
    </r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年內履行</t>
    </r>
  </si>
  <si>
    <r>
      <rPr>
        <sz val="9"/>
        <color rgb="FF595959"/>
        <rFont val="Arial"/>
        <family val="0"/>
        <charset val="1"/>
      </rPr>
      <t xml:space="preserve">10-Q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1.7 </t>
    </r>
    <r>
      <rPr>
        <sz val="9"/>
        <color rgb="FF595959"/>
        <rFont val="Noto Sans CJK SC"/>
        <family val="2"/>
      </rPr>
      <t xml:space="preserve">承諾預計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年內履行，</t>
    </r>
    <r>
      <rPr>
        <sz val="9"/>
        <color rgb="FF595959"/>
        <rFont val="Arial"/>
        <family val="0"/>
        <charset val="1"/>
      </rPr>
      <t xml:space="preserve">H1 </t>
    </r>
    <r>
      <rPr>
        <sz val="9"/>
        <color rgb="FF595959"/>
        <rFont val="Noto Sans CJK SC"/>
        <family val="2"/>
      </rPr>
      <t xml:space="preserve">已付 </t>
    </r>
    <r>
      <rPr>
        <sz val="9"/>
        <color rgb="FF595959"/>
        <rFont val="Arial"/>
        <family val="0"/>
        <charset val="1"/>
      </rPr>
      <t xml:space="preserve">0.55</t>
    </r>
  </si>
  <si>
    <r>
      <rPr>
        <sz val="10"/>
        <rFont val="Noto Sans CJK SC"/>
        <family val="2"/>
      </rPr>
      <t xml:space="preserve">模型每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年租金（</t>
    </r>
    <r>
      <rPr>
        <sz val="10"/>
        <rFont val="Arial"/>
        <family val="0"/>
        <charset val="1"/>
      </rPr>
      <t xml:space="preserve">FY30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</si>
  <si>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≥ 市場基準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占比</t>
    </r>
  </si>
  <si>
    <r>
      <rPr>
        <sz val="9"/>
        <color rgb="FF595959"/>
        <rFont val="Noto Sans CJK SC"/>
        <family val="2"/>
      </rPr>
      <t xml:space="preserve">低於基準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占比的八成即標示：模型租金路徑可能低估</t>
    </r>
  </si>
  <si>
    <t xml:space="preserve">站點租賃：五期租金可能低估</t>
  </si>
  <si>
    <t xml:space="preserve">&lt;10</t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</si>
  <si>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Σ(</t>
    </r>
    <r>
      <rPr>
        <sz val="9"/>
        <color rgb="FF595959"/>
        <rFont val="Noto Sans CJK SC"/>
        <family val="2"/>
      </rPr>
      <t xml:space="preserve">在役 </t>
    </r>
    <r>
      <rPr>
        <sz val="9"/>
        <color rgb="FF595959"/>
        <rFont val="Arial"/>
        <family val="0"/>
        <charset val="1"/>
      </rPr>
      <t xml:space="preserve">MW×</t>
    </r>
    <r>
      <rPr>
        <sz val="9"/>
        <color rgb="FF595959"/>
        <rFont val="Noto Sans CJK SC"/>
        <family val="2"/>
      </rPr>
      <t xml:space="preserve">市場基準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第三方占比 − 模型租金</t>
    </r>
    <r>
      <rPr>
        <sz val="9"/>
        <color rgb="FF595959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</si>
  <si>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收入上限：</t>
    </r>
    <r>
      <rPr>
        <sz val="10"/>
        <rFont val="Arial"/>
        <family val="0"/>
        <charset val="1"/>
      </rPr>
      <t xml:space="preserve">CRWV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計費收入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客戶付費 </t>
    </r>
    <r>
      <rPr>
        <sz val="10"/>
        <rFont val="Arial"/>
        <family val="0"/>
        <charset val="1"/>
      </rPr>
      <t xml:space="preserve">token </t>
    </r>
    <r>
      <rPr>
        <sz val="10"/>
        <rFont val="Noto Sans CJK SC"/>
        <family val="2"/>
      </rPr>
      <t xml:space="preserve">營收（各期最高）</t>
    </r>
  </si>
  <si>
    <t xml:space="preserve">≤50%</t>
  </si>
  <si>
    <r>
      <rPr>
        <sz val="9"/>
        <color rgb="FF595959"/>
        <rFont val="Arial"/>
        <family val="0"/>
        <charset val="1"/>
      </rPr>
      <t xml:space="preserve">neocloud </t>
    </r>
    <r>
      <rPr>
        <sz val="9"/>
        <color rgb="FF595959"/>
        <rFont val="Noto Sans CJK SC"/>
        <family val="2"/>
      </rPr>
      <t xml:space="preserve">拿走客戶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營收的比例（</t>
    </r>
    <r>
      <rPr>
        <sz val="9"/>
        <color rgb="FF595959"/>
        <rFont val="Arial"/>
        <family val="0"/>
        <charset val="1"/>
      </rPr>
      <t xml:space="preserve">Tokenomics IF_RevGWFleet</t>
    </r>
    <r>
      <rPr>
        <sz val="9"/>
        <color rgb="FF595959"/>
        <rFont val="Noto Sans CJK SC"/>
        <family val="2"/>
      </rPr>
      <t xml:space="preserve">，在役世代加權）；超過門檻＝</t>
    </r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Noto Sans CJK SC"/>
        <family val="2"/>
      </rPr>
      <t xml:space="preserve">單價相對客戶端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經濟性偏高，明細見『每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經濟性』</t>
    </r>
  </si>
  <si>
    <r>
      <rPr>
        <b val="true"/>
        <sz val="10"/>
        <rFont val="Noto Sans CJK SC"/>
        <family val="2"/>
      </rPr>
      <t xml:space="preserve">關鍵輸出（快照；「模型期」＝</t>
    </r>
    <r>
      <rPr>
        <b val="true"/>
        <sz val="10"/>
        <rFont val="Arial"/>
        <family val="0"/>
        <charset val="1"/>
      </rPr>
      <t xml:space="preserve">2026-07-01</t>
    </r>
    <r>
      <rPr>
        <b val="true"/>
        <sz val="10"/>
        <rFont val="Noto Sans CJK SC"/>
        <family val="2"/>
      </rPr>
      <t xml:space="preserve">～</t>
    </r>
    <r>
      <rPr>
        <b val="true"/>
        <sz val="10"/>
        <rFont val="Arial"/>
        <family val="0"/>
        <charset val="1"/>
      </rPr>
      <t xml:space="preserve">2030</t>
    </r>
    <r>
      <rPr>
        <b val="true"/>
        <sz val="10"/>
        <rFont val="Noto Sans CJK SC"/>
        <family val="2"/>
      </rPr>
      <t xml:space="preserve">，與 </t>
    </r>
    <r>
      <rPr>
        <b val="true"/>
        <sz val="10"/>
        <rFont val="Arial"/>
        <family val="0"/>
        <charset val="1"/>
      </rPr>
      <t xml:space="preserve">HTML </t>
    </r>
    <r>
      <rPr>
        <b val="true"/>
        <sz val="10"/>
        <rFont val="Noto Sans CJK SC"/>
        <family val="2"/>
      </rPr>
      <t xml:space="preserve">頂部 </t>
    </r>
    <r>
      <rPr>
        <b val="true"/>
        <sz val="10"/>
        <rFont val="Arial"/>
        <family val="0"/>
        <charset val="1"/>
      </rPr>
      <t xml:space="preserve">KPI </t>
    </r>
    <r>
      <rPr>
        <b val="true"/>
        <sz val="10"/>
        <rFont val="Noto Sans CJK SC"/>
        <family val="2"/>
      </rPr>
      <t xml:space="preserve">同口徑）</t>
    </r>
  </si>
  <si>
    <r>
      <rPr>
        <sz val="10"/>
        <rFont val="Noto Sans CJK SC"/>
        <family val="2"/>
      </rPr>
      <t xml:space="preserve">模型期排程 </t>
    </r>
    <r>
      <rPr>
        <sz val="10"/>
        <rFont val="Arial"/>
        <family val="0"/>
        <charset val="1"/>
      </rPr>
      <t xml:space="preserve">RPO</t>
    </r>
  </si>
  <si>
    <t xml:space="preserve">模型期產能瓶頸</t>
  </si>
  <si>
    <t xml:space="preserve">模型期新簽約收入</t>
  </si>
  <si>
    <r>
      <rPr>
        <sz val="10"/>
        <rFont val="Noto Sans CJK SC"/>
        <family val="2"/>
      </rPr>
      <t xml:space="preserve">模型期毛 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6/30 </t>
    </r>
    <r>
      <rPr>
        <sz val="10"/>
        <rFont val="Noto Sans CJK SC"/>
        <family val="2"/>
      </rPr>
      <t xml:space="preserve">起）</t>
    </r>
  </si>
  <si>
    <r>
      <rPr>
        <sz val="10"/>
        <rFont val="Noto Sans CJK SC"/>
        <family val="2"/>
      </rPr>
      <t xml:space="preserve">模型期租金（</t>
    </r>
    <r>
      <rPr>
        <sz val="10"/>
        <rFont val="Arial"/>
        <family val="0"/>
        <charset val="1"/>
      </rPr>
      <t xml:space="preserve">6/30 </t>
    </r>
    <r>
      <rPr>
        <sz val="10"/>
        <rFont val="Noto Sans CJK SC"/>
        <family val="2"/>
      </rPr>
      <t xml:space="preserve">起）</t>
    </r>
  </si>
  <si>
    <r>
      <rPr>
        <sz val="10"/>
        <rFont val="Noto Sans CJK SC"/>
        <family val="2"/>
      </rPr>
      <t xml:space="preserve">模型期利息（</t>
    </r>
    <r>
      <rPr>
        <sz val="10"/>
        <rFont val="Arial"/>
        <family val="0"/>
        <charset val="1"/>
      </rPr>
      <t xml:space="preserve">6/30 </t>
    </r>
    <r>
      <rPr>
        <sz val="10"/>
        <rFont val="Noto Sans CJK SC"/>
        <family val="2"/>
      </rPr>
      <t xml:space="preserve">起，含瀑布新債）</t>
    </r>
  </si>
  <si>
    <r>
      <rPr>
        <sz val="10"/>
        <rFont val="Noto Sans CJK SC"/>
        <family val="2"/>
      </rPr>
      <t xml:space="preserve">模型期排程還本（</t>
    </r>
    <r>
      <rPr>
        <sz val="10"/>
        <rFont val="Arial"/>
        <family val="0"/>
        <charset val="1"/>
      </rPr>
      <t xml:space="preserve">6/30 </t>
    </r>
    <r>
      <rPr>
        <sz val="10"/>
        <rFont val="Noto Sans CJK SC"/>
        <family val="2"/>
      </rPr>
      <t xml:space="preserve">起）</t>
    </r>
  </si>
  <si>
    <r>
      <rPr>
        <sz val="10"/>
        <rFont val="Noto Sans CJK SC"/>
        <family val="2"/>
      </rPr>
      <t xml:space="preserve">模型期營運缺口（</t>
    </r>
    <r>
      <rPr>
        <sz val="10"/>
        <rFont val="Arial"/>
        <family val="0"/>
        <charset val="1"/>
      </rPr>
      <t xml:space="preserve">6/30 </t>
    </r>
    <r>
      <rPr>
        <sz val="10"/>
        <rFont val="Noto Sans CJK SC"/>
        <family val="2"/>
      </rPr>
      <t xml:space="preserve">起）</t>
    </r>
  </si>
  <si>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全年口徑營運缺口（含 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實際）</t>
    </r>
  </si>
  <si>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每股</t>
    </r>
  </si>
  <si>
    <t xml:space="preserve">版本紀錄（基準情境目標價變化與原因）</t>
  </si>
  <si>
    <r>
      <rPr>
        <sz val="9"/>
        <color rgb="FF595959"/>
        <rFont val="Arial"/>
        <family val="0"/>
        <charset val="1"/>
      </rPr>
      <t xml:space="preserve">v2.9 </t>
    </r>
    <r>
      <rPr>
        <sz val="9"/>
        <color rgb="FF595959"/>
        <rFont val="Noto Sans CJK SC"/>
        <family val="2"/>
      </rPr>
      <t xml:space="preserve">以前檔名日期統一沿用 </t>
    </r>
    <r>
      <rPr>
        <sz val="9"/>
        <color rgb="FF595959"/>
        <rFont val="Arial"/>
        <family val="0"/>
        <charset val="1"/>
      </rPr>
      <t xml:space="preserve">20260918</t>
    </r>
    <r>
      <rPr>
        <sz val="9"/>
        <color rgb="FF595959"/>
        <rFont val="Noto Sans CJK SC"/>
        <family val="2"/>
      </rPr>
      <t xml:space="preserve">，此處日期為實際修改日。</t>
    </r>
    <r>
      <rPr>
        <sz val="9"/>
        <color rgb="FF595959"/>
        <rFont val="Arial"/>
        <family val="0"/>
        <charset val="1"/>
      </rPr>
      <t xml:space="preserve">v1.7 </t>
    </r>
    <r>
      <rPr>
        <sz val="9"/>
        <color rgb="FF595959"/>
        <rFont val="Noto Sans CJK SC"/>
        <family val="2"/>
      </rPr>
      <t xml:space="preserve">以前基準為 </t>
    </r>
    <r>
      <rPr>
        <sz val="9"/>
        <color rgb="FF595959"/>
        <rFont val="Arial"/>
        <family val="0"/>
        <charset val="1"/>
      </rPr>
      <t xml:space="preserve">8 GW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v1.7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5 GW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v1.8 </t>
    </r>
    <r>
      <rPr>
        <sz val="9"/>
        <color rgb="FF595959"/>
        <rFont val="Noto Sans CJK SC"/>
        <family val="2"/>
      </rPr>
      <t xml:space="preserve">起為 </t>
    </r>
    <r>
      <rPr>
        <sz val="9"/>
        <color rgb="FF595959"/>
        <rFont val="Arial"/>
        <family val="0"/>
        <charset val="1"/>
      </rPr>
      <t xml:space="preserve">5.6 GW</t>
    </r>
    <r>
      <rPr>
        <sz val="9"/>
        <color rgb="FF595959"/>
        <rFont val="Noto Sans CJK SC"/>
        <family val="2"/>
      </rPr>
      <t xml:space="preserve">；情境定義改變的版本不可直接比較。目標價以當版預設輸入計算（</t>
    </r>
    <r>
      <rPr>
        <sz val="9"/>
        <color rgb="FF595959"/>
        <rFont val="Arial"/>
        <family val="0"/>
        <charset val="1"/>
      </rPr>
      <t xml:space="preserve">DCF 0 </t>
    </r>
    <r>
      <rPr>
        <sz val="9"/>
        <color rgb="FF595959"/>
        <rFont val="Noto Sans CJK SC"/>
        <family val="2"/>
      </rPr>
      <t xml:space="preserve">截斷）</t>
    </r>
  </si>
  <si>
    <t xml:space="preserve">版本</t>
  </si>
  <si>
    <t xml:space="preserve">日期</t>
  </si>
  <si>
    <t xml:space="preserve">主要變更</t>
  </si>
  <si>
    <t xml:space="preserve">基準目標價</t>
  </si>
  <si>
    <t xml:space="preserve">變動原因</t>
  </si>
  <si>
    <t xml:space="preserve">v4.7</t>
  </si>
  <si>
    <t xml:space="preserve">10-08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</si>
  <si>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收入改以 </t>
    </r>
    <r>
      <rPr>
        <sz val="10"/>
        <rFont val="Arial"/>
        <family val="0"/>
        <charset val="1"/>
      </rPr>
      <t xml:space="preserve">Tokenomics </t>
    </r>
    <r>
      <rPr>
        <sz val="10"/>
        <rFont val="Noto Sans CJK SC"/>
        <family val="2"/>
      </rPr>
      <t xml:space="preserve">為錨（</t>
    </r>
    <r>
      <rPr>
        <sz val="10"/>
        <rFont val="Arial"/>
        <family val="0"/>
        <charset val="1"/>
      </rPr>
      <t xml:space="preserve">W4</t>
    </r>
    <r>
      <rPr>
        <sz val="10"/>
        <rFont val="Noto Sans CJK SC"/>
        <family val="2"/>
      </rPr>
      <t xml:space="preserve">，已決定事項 </t>
    </r>
    <r>
      <rPr>
        <sz val="10"/>
        <rFont val="Arial"/>
        <family val="0"/>
        <charset val="1"/>
      </rPr>
      <t xml:space="preserve">14</t>
    </r>
    <r>
      <rPr>
        <sz val="10"/>
        <rFont val="Noto Sans CJK SC"/>
        <family val="2"/>
      </rPr>
      <t xml:space="preserve">）：每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年收入（</t>
    </r>
    <r>
      <rPr>
        <sz val="10"/>
        <rFont val="Arial"/>
        <family val="0"/>
        <charset val="1"/>
      </rPr>
      <t xml:space="preserve">100% </t>
    </r>
    <r>
      <rPr>
        <sz val="10"/>
        <rFont val="Noto Sans CJK SC"/>
        <family val="2"/>
      </rPr>
      <t xml:space="preserve">計費時數）＝在役世代加權 </t>
    </r>
    <r>
      <rPr>
        <sz val="10"/>
        <rFont val="Arial"/>
        <family val="0"/>
        <charset val="1"/>
      </rPr>
      <t xml:space="preserve">IF_HoldEcon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WACC 10% </t>
    </r>
    <r>
      <rPr>
        <sz val="10"/>
        <rFont val="Noto Sans CJK SC"/>
        <family val="2"/>
      </rPr>
      <t xml:space="preserve">打平租金）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定價倍數 </t>
    </r>
    <r>
      <rPr>
        <sz val="10"/>
        <rFont val="Arial"/>
        <family val="0"/>
        <charset val="1"/>
      </rPr>
      <t xml:space="preserve">k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k</t>
    </r>
    <r>
      <rPr>
        <sz val="10"/>
        <rFont val="Noto Sans CJK SC"/>
        <family val="2"/>
      </rPr>
      <t xml:space="preserve">＝長約占比 </t>
    </r>
    <r>
      <rPr>
        <sz val="10"/>
        <rFont val="Arial"/>
        <family val="0"/>
        <charset val="1"/>
      </rPr>
      <t xml:space="preserve">× k_</t>
    </r>
    <r>
      <rPr>
        <sz val="10"/>
        <rFont val="Noto Sans CJK SC"/>
        <family val="2"/>
      </rPr>
      <t xml:space="preserve">長約 </t>
    </r>
    <r>
      <rPr>
        <sz val="10"/>
        <rFont val="Arial"/>
        <family val="0"/>
        <charset val="1"/>
      </rPr>
      <t xml:space="preserve">0.76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IREN–Microsoft GB300 </t>
    </r>
    <r>
      <rPr>
        <sz val="10"/>
        <rFont val="Noto Sans CJK SC"/>
        <family val="2"/>
      </rPr>
      <t xml:space="preserve">五年約）＋（</t>
    </r>
    <r>
      <rPr>
        <sz val="10"/>
        <rFont val="Arial"/>
        <family val="0"/>
        <charset val="1"/>
      </rPr>
      <t xml:space="preserve">1 − </t>
    </r>
    <r>
      <rPr>
        <sz val="10"/>
        <rFont val="Noto Sans CJK SC"/>
        <family val="2"/>
      </rPr>
      <t xml:space="preserve">長約占比）</t>
    </r>
    <r>
      <rPr>
        <sz val="10"/>
        <rFont val="Arial"/>
        <family val="0"/>
        <charset val="1"/>
      </rPr>
      <t xml:space="preserve">× k_</t>
    </r>
    <r>
      <rPr>
        <sz val="10"/>
        <rFont val="Noto Sans CJK SC"/>
        <family val="2"/>
      </rPr>
      <t xml:space="preserve">現貨 </t>
    </r>
    <r>
      <rPr>
        <sz val="10"/>
        <rFont val="Arial"/>
        <family val="0"/>
        <charset val="1"/>
      </rPr>
      <t xml:space="preserve">1.76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H100 </t>
    </r>
    <r>
      <rPr>
        <sz val="10"/>
        <rFont val="Noto Sans CJK SC"/>
        <family val="2"/>
      </rPr>
      <t xml:space="preserve">現貨指數），長約占比＝</t>
    </r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涵蓋的產能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在役計費產能（</t>
    </r>
    <r>
      <rPr>
        <sz val="10"/>
        <rFont val="Arial"/>
        <family val="0"/>
        <charset val="1"/>
      </rPr>
      <t xml:space="preserve">FY26–27 100%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FY30 42%</t>
    </r>
    <r>
      <rPr>
        <sz val="10"/>
        <rFont val="Noto Sans CJK SC"/>
        <family val="2"/>
      </rPr>
      <t xml:space="preserve">）；不以 </t>
    </r>
    <r>
      <rPr>
        <sz val="10"/>
        <rFont val="Arial"/>
        <family val="0"/>
        <charset val="1"/>
      </rPr>
      <t xml:space="preserve">Q2 </t>
    </r>
    <r>
      <rPr>
        <sz val="10"/>
        <rFont val="Noto Sans CJK SC"/>
        <family val="2"/>
      </rPr>
      <t xml:space="preserve">營收、</t>
    </r>
    <r>
      <rPr>
        <sz val="10"/>
        <rFont val="Arial"/>
        <family val="0"/>
        <charset val="1"/>
      </rPr>
      <t xml:space="preserve">ARR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金額反推 </t>
    </r>
    <r>
      <rPr>
        <sz val="10"/>
        <rFont val="Arial"/>
        <family val="0"/>
        <charset val="1"/>
      </rPr>
      <t xml:space="preserve">k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Q2 </t>
    </r>
    <r>
      <rPr>
        <sz val="10"/>
        <rFont val="Noto Sans CJK SC"/>
        <family val="2"/>
      </rPr>
      <t xml:space="preserve">只作驗證：模型首期 </t>
    </r>
    <r>
      <rPr>
        <sz val="10"/>
        <rFont val="Arial"/>
        <family val="0"/>
        <charset val="1"/>
      </rPr>
      <t xml:space="preserve">7.64 </t>
    </r>
    <r>
      <rPr>
        <sz val="10"/>
        <rFont val="Noto Sans CJK SC"/>
        <family val="2"/>
      </rPr>
      <t xml:space="preserve">對 </t>
    </r>
    <r>
      <rPr>
        <sz val="10"/>
        <rFont val="Arial"/>
        <family val="0"/>
        <charset val="1"/>
      </rPr>
      <t xml:space="preserve">Q2 8.24</t>
    </r>
    <r>
      <rPr>
        <sz val="10"/>
        <rFont val="Noto Sans CJK SC"/>
        <family val="2"/>
      </rPr>
      <t xml:space="preserve">，−</t>
    </r>
    <r>
      <rPr>
        <sz val="10"/>
        <rFont val="Arial"/>
        <family val="0"/>
        <charset val="1"/>
      </rPr>
      <t xml:space="preserve">7.3%</t>
    </r>
    <r>
      <rPr>
        <sz val="10"/>
        <rFont val="Noto Sans CJK SC"/>
        <family val="2"/>
      </rPr>
      <t xml:space="preserve">）；新增 </t>
    </r>
    <r>
      <rPr>
        <sz val="10"/>
        <rFont val="Arial"/>
        <family val="0"/>
        <charset val="1"/>
      </rPr>
      <t xml:space="preserve">k </t>
    </r>
    <r>
      <rPr>
        <sz val="10"/>
        <rFont val="Noto Sans CJK SC"/>
        <family val="2"/>
      </rPr>
      <t xml:space="preserve">證據表、收入上限檢查（</t>
    </r>
    <r>
      <rPr>
        <sz val="10"/>
        <rFont val="Arial"/>
        <family val="0"/>
        <charset val="1"/>
      </rPr>
      <t xml:space="preserve">÷ IF_RevGWFleet</t>
    </r>
    <r>
      <rPr>
        <sz val="10"/>
        <rFont val="Noto Sans CJK SC"/>
        <family val="2"/>
      </rPr>
      <t xml:space="preserve">，最高 </t>
    </r>
    <r>
      <rPr>
        <sz val="10"/>
        <rFont val="Arial"/>
        <family val="0"/>
        <charset val="1"/>
      </rPr>
      <t xml:space="preserve">42%</t>
    </r>
    <r>
      <rPr>
        <sz val="10"/>
        <rFont val="Noto Sans CJK SC"/>
        <family val="2"/>
      </rPr>
      <t xml:space="preserve">）；</t>
    </r>
    <r>
      <rPr>
        <sz val="10"/>
        <rFont val="Arial"/>
        <family val="0"/>
        <charset val="1"/>
      </rPr>
      <t xml:space="preserve">Tokenomics </t>
    </r>
    <r>
      <rPr>
        <sz val="10"/>
        <rFont val="Noto Sans CJK SC"/>
        <family val="2"/>
      </rPr>
      <t xml:space="preserve">快照 </t>
    </r>
    <r>
      <rPr>
        <sz val="10"/>
        <rFont val="Arial"/>
        <family val="0"/>
        <charset val="1"/>
      </rPr>
      <t xml:space="preserve">v5.27</t>
    </r>
    <r>
      <rPr>
        <sz val="10"/>
        <rFont val="Noto Sans CJK SC"/>
        <family val="2"/>
      </rPr>
      <t xml:space="preserve">（引用值不變）；舊輸入 </t>
    </r>
    <r>
      <rPr>
        <sz val="10"/>
        <rFont val="Arial"/>
        <family val="0"/>
        <charset val="1"/>
      </rPr>
      <t xml:space="preserve">m.revMW </t>
    </r>
    <r>
      <rPr>
        <sz val="10"/>
        <rFont val="Noto Sans CJK SC"/>
        <family val="2"/>
      </rPr>
      <t xml:space="preserve">降為對照</t>
    </r>
  </si>
  <si>
    <t xml:space="preserve">$98.0</t>
  </si>
  <si>
    <r>
      <rPr>
        <sz val="10"/>
        <rFont val="Noto Sans CJK SC"/>
        <family val="2"/>
      </rPr>
      <t xml:space="preserve">基準 </t>
    </r>
    <r>
      <rPr>
        <sz val="10"/>
        <rFont val="Arial"/>
        <family val="0"/>
        <charset val="1"/>
      </rPr>
      <t xml:space="preserve">$29.7→$98.0</t>
    </r>
    <r>
      <rPr>
        <sz val="10"/>
        <rFont val="Noto Sans CJK SC"/>
        <family val="2"/>
      </rPr>
      <t xml:space="preserve">、保守 </t>
    </r>
    <r>
      <rPr>
        <sz val="10"/>
        <rFont val="Arial"/>
        <family val="0"/>
        <charset val="1"/>
      </rPr>
      <t xml:space="preserve">$44.0→$91.2</t>
    </r>
    <r>
      <rPr>
        <sz val="10"/>
        <rFont val="Noto Sans CJK SC"/>
        <family val="2"/>
      </rPr>
      <t xml:space="preserve">、積極 </t>
    </r>
    <r>
      <rPr>
        <sz val="10"/>
        <rFont val="Arial"/>
        <family val="0"/>
        <charset val="1"/>
      </rPr>
      <t xml:space="preserve">$19.9→$131.9</t>
    </r>
    <r>
      <rPr>
        <sz val="10"/>
        <rFont val="Noto Sans CJK SC"/>
        <family val="2"/>
      </rPr>
      <t xml:space="preserve">，三者由賣出轉為中立。拆解：</t>
    </r>
    <r>
      <rPr>
        <sz val="10"/>
        <rFont val="Arial"/>
        <family val="0"/>
        <charset val="1"/>
      </rPr>
      <t xml:space="preserve">(a) </t>
    </r>
    <r>
      <rPr>
        <sz val="10"/>
        <rFont val="Noto Sans CJK SC"/>
        <family val="2"/>
      </rPr>
      <t xml:space="preserve">時間推移 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(b) </t>
    </r>
    <r>
      <rPr>
        <sz val="10"/>
        <rFont val="Noto Sans CJK SC"/>
        <family val="2"/>
      </rPr>
      <t xml:space="preserve">實際數更新 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(c) </t>
    </r>
    <r>
      <rPr>
        <sz val="10"/>
        <rFont val="Noto Sans CJK SC"/>
        <family val="2"/>
      </rPr>
      <t xml:space="preserve">假設變更 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Tokenomics v5.27 </t>
    </r>
    <r>
      <rPr>
        <sz val="10"/>
        <rFont val="Noto Sans CJK SC"/>
        <family val="2"/>
      </rPr>
      <t xml:space="preserve">引用值與 </t>
    </r>
    <r>
      <rPr>
        <sz val="10"/>
        <rFont val="Arial"/>
        <family val="0"/>
        <charset val="1"/>
      </rPr>
      <t xml:space="preserve">v5.26 </t>
    </r>
    <r>
      <rPr>
        <sz val="10"/>
        <rFont val="Noto Sans CJK SC"/>
        <family val="2"/>
      </rPr>
      <t xml:space="preserve">相同）、</t>
    </r>
    <r>
      <rPr>
        <sz val="10"/>
        <rFont val="Arial"/>
        <family val="0"/>
        <charset val="1"/>
      </rPr>
      <t xml:space="preserve">(d) </t>
    </r>
    <r>
      <rPr>
        <sz val="10"/>
        <rFont val="Noto Sans CJK SC"/>
        <family val="2"/>
      </rPr>
      <t xml:space="preserve">方法變更 </t>
    </r>
    <r>
      <rPr>
        <sz val="10"/>
        <rFont val="Arial"/>
        <family val="0"/>
        <charset val="1"/>
      </rPr>
      <t xml:space="preserve">+$68.3</t>
    </r>
    <r>
      <rPr>
        <sz val="10"/>
        <rFont val="Noto Sans CJK SC"/>
        <family val="2"/>
      </rPr>
      <t xml:space="preserve">（① 錨取代舊輸入〔</t>
    </r>
    <r>
      <rPr>
        <sz val="10"/>
        <rFont val="Arial"/>
        <family val="0"/>
        <charset val="1"/>
      </rPr>
      <t xml:space="preserve">k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〕</t>
    </r>
    <r>
      <rPr>
        <sz val="10"/>
        <rFont val="Arial"/>
        <family val="0"/>
        <charset val="1"/>
      </rPr>
      <t xml:space="preserve">+$15.5</t>
    </r>
    <r>
      <rPr>
        <sz val="10"/>
        <rFont val="Noto Sans CJK SC"/>
        <family val="2"/>
      </rPr>
      <t xml:space="preserve">、② 套用 </t>
    </r>
    <r>
      <rPr>
        <sz val="10"/>
        <rFont val="Arial"/>
        <family val="0"/>
        <charset val="1"/>
      </rPr>
      <t xml:space="preserve">k +$52.9</t>
    </r>
    <r>
      <rPr>
        <sz val="10"/>
        <rFont val="Noto Sans CJK SC"/>
        <family val="2"/>
      </rPr>
      <t xml:space="preserve">、③ 上限檢查 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）；保守 </t>
    </r>
    <r>
      <rPr>
        <sz val="10"/>
        <rFont val="Arial"/>
        <family val="0"/>
        <charset val="1"/>
      </rPr>
      <t xml:space="preserve">+$47.2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+$30.2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+$17.1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）、積極 </t>
    </r>
    <r>
      <rPr>
        <sz val="10"/>
        <rFont val="Arial"/>
        <family val="0"/>
        <charset val="1"/>
      </rPr>
      <t xml:space="preserve">+$111.9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+$8.8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+$103.1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）。結果由長約占比主導：新簽約全視為長約（</t>
    </r>
    <r>
      <rPr>
        <sz val="10"/>
        <rFont val="Arial"/>
        <family val="0"/>
        <charset val="1"/>
      </rPr>
      <t xml:space="preserve">k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0.76</t>
    </r>
    <r>
      <rPr>
        <sz val="10"/>
        <rFont val="Noto Sans CJK SC"/>
        <family val="2"/>
      </rPr>
      <t xml:space="preserve">）時基準 </t>
    </r>
    <r>
      <rPr>
        <sz val="10"/>
        <rFont val="Arial"/>
        <family val="0"/>
        <charset val="1"/>
      </rPr>
      <t xml:space="preserve">$5.2</t>
    </r>
  </si>
  <si>
    <t xml:space="preserve">v4.6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</si>
  <si>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經濟性改接 </t>
    </r>
    <r>
      <rPr>
        <sz val="10"/>
        <rFont val="Arial"/>
        <family val="0"/>
        <charset val="1"/>
      </rPr>
      <t xml:space="preserve">Tokenomics v5.26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YinchenChang/Tokenomics</t>
    </r>
    <r>
      <rPr>
        <sz val="10"/>
        <rFont val="Noto Sans CJK SC"/>
        <family val="2"/>
      </rPr>
      <t xml:space="preserve">，快照版本固定）：每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資本支出＝新增世代占比 </t>
    </r>
    <r>
      <rPr>
        <sz val="10"/>
        <rFont val="Arial"/>
        <family val="0"/>
        <charset val="1"/>
      </rPr>
      <t xml:space="preserve">× IF_CapexIT</t>
    </r>
    <r>
      <rPr>
        <sz val="10"/>
        <rFont val="Noto Sans CJK SC"/>
        <family val="2"/>
      </rPr>
      <t xml:space="preserve">（不含廠房，廠房在租金）、營運成本改由下而上（電費、</t>
    </r>
    <r>
      <rPr>
        <sz val="10"/>
        <rFont val="Arial"/>
        <family val="0"/>
        <charset val="1"/>
      </rPr>
      <t xml:space="preserve">IT </t>
    </r>
    <r>
      <rPr>
        <sz val="10"/>
        <rFont val="Noto Sans CJK SC"/>
        <family val="2"/>
      </rPr>
      <t xml:space="preserve">維護、人員軟體、稅險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平均在役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＋管銷率 </t>
    </r>
    <r>
      <rPr>
        <sz val="10"/>
        <rFont val="Arial"/>
        <family val="0"/>
        <charset val="1"/>
      </rPr>
      <t xml:space="preserve">5.5%</t>
    </r>
    <r>
      <rPr>
        <sz val="10"/>
        <rFont val="Noto Sans CJK SC"/>
        <family val="2"/>
      </rPr>
      <t xml:space="preserve">）、折舊年限 </t>
    </r>
    <r>
      <rPr>
        <sz val="10"/>
        <rFont val="Arial"/>
        <family val="0"/>
        <charset val="1"/>
      </rPr>
      <t xml:space="preserve">IF_DeprLifeIT</t>
    </r>
    <r>
      <rPr>
        <sz val="10"/>
        <rFont val="Noto Sans CJK SC"/>
        <family val="2"/>
      </rPr>
      <t xml:space="preserve">；收入採備案（每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年收入仍為輸入，另列隱含 </t>
    </r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小時價格與 </t>
    </r>
    <r>
      <rPr>
        <sz val="10"/>
        <rFont val="Arial"/>
        <family val="0"/>
        <charset val="1"/>
      </rPr>
      <t xml:space="preserve">Tokenomics </t>
    </r>
    <r>
      <rPr>
        <sz val="10"/>
        <rFont val="Noto Sans CJK SC"/>
        <family val="2"/>
      </rPr>
      <t xml:space="preserve">持有成本對照）；世代組合（期初 </t>
    </r>
    <r>
      <rPr>
        <sz val="10"/>
        <rFont val="Arial"/>
        <family val="0"/>
        <charset val="1"/>
      </rPr>
      <t xml:space="preserve">1.5 GW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Hopper 27%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GB200 29%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GB300 43%</t>
    </r>
    <r>
      <rPr>
        <sz val="10"/>
        <rFont val="Noto Sans CJK SC"/>
        <family val="2"/>
      </rPr>
      <t xml:space="preserve">；新增 </t>
    </r>
    <r>
      <rPr>
        <sz val="10"/>
        <rFont val="Arial"/>
        <family val="0"/>
        <charset val="1"/>
      </rPr>
      <t xml:space="preserve">GB300 → VR200</t>
    </r>
    <r>
      <rPr>
        <sz val="10"/>
        <rFont val="Noto Sans CJK SC"/>
        <family val="2"/>
      </rPr>
      <t xml:space="preserve">）；方法開關 </t>
    </r>
    <r>
      <rPr>
        <sz val="10"/>
        <rFont val="Arial"/>
        <family val="0"/>
        <charset val="1"/>
      </rPr>
      <t xml:space="preserve">methodology.perMw</t>
    </r>
    <r>
      <rPr>
        <sz val="10"/>
        <rFont val="Noto Sans CJK SC"/>
        <family val="2"/>
      </rPr>
      <t xml:space="preserve">（全設舊方法＝</t>
    </r>
    <r>
      <rPr>
        <sz val="10"/>
        <rFont val="Arial"/>
        <family val="0"/>
        <charset val="1"/>
      </rPr>
      <t xml:space="preserve">v4.5</t>
    </r>
    <r>
      <rPr>
        <sz val="10"/>
        <rFont val="Noto Sans CJK SC"/>
        <family val="2"/>
      </rPr>
      <t xml:space="preserve">）；新增「每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經濟性」頁、一頁摘要每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一句</t>
    </r>
  </si>
  <si>
    <t xml:space="preserve">$29.7</t>
  </si>
  <si>
    <r>
      <rPr>
        <sz val="10"/>
        <rFont val="Noto Sans CJK SC"/>
        <family val="2"/>
      </rPr>
      <t xml:space="preserve">基準 </t>
    </r>
    <r>
      <rPr>
        <sz val="10"/>
        <rFont val="Arial"/>
        <family val="0"/>
        <charset val="1"/>
      </rPr>
      <t xml:space="preserve">$45.5→$29.7</t>
    </r>
    <r>
      <rPr>
        <sz val="10"/>
        <rFont val="Noto Sans CJK SC"/>
        <family val="2"/>
      </rPr>
      <t xml:space="preserve">、保守 </t>
    </r>
    <r>
      <rPr>
        <sz val="10"/>
        <rFont val="Arial"/>
        <family val="0"/>
        <charset val="1"/>
      </rPr>
      <t xml:space="preserve">$69.7→$44.0</t>
    </r>
    <r>
      <rPr>
        <sz val="10"/>
        <rFont val="Noto Sans CJK SC"/>
        <family val="2"/>
      </rPr>
      <t xml:space="preserve">、積極 </t>
    </r>
    <r>
      <rPr>
        <sz val="10"/>
        <rFont val="Arial"/>
        <family val="0"/>
        <charset val="1"/>
      </rPr>
      <t xml:space="preserve">$31.0→$19.9</t>
    </r>
    <r>
      <rPr>
        <sz val="10"/>
        <rFont val="Noto Sans CJK SC"/>
        <family val="2"/>
      </rPr>
      <t xml:space="preserve">，三者皆賣出。拆解：</t>
    </r>
    <r>
      <rPr>
        <sz val="10"/>
        <rFont val="Arial"/>
        <family val="0"/>
        <charset val="1"/>
      </rPr>
      <t xml:space="preserve">(a) </t>
    </r>
    <r>
      <rPr>
        <sz val="10"/>
        <rFont val="Noto Sans CJK SC"/>
        <family val="2"/>
      </rPr>
      <t xml:space="preserve">時間推移 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(b) </t>
    </r>
    <r>
      <rPr>
        <sz val="10"/>
        <rFont val="Noto Sans CJK SC"/>
        <family val="2"/>
      </rPr>
      <t xml:space="preserve">實際數更新 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(c) </t>
    </r>
    <r>
      <rPr>
        <sz val="10"/>
        <rFont val="Noto Sans CJK SC"/>
        <family val="2"/>
      </rPr>
      <t xml:space="preserve">假設變更 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(d) </t>
    </r>
    <r>
      <rPr>
        <sz val="10"/>
        <rFont val="Noto Sans CJK SC"/>
        <family val="2"/>
      </rPr>
      <t xml:space="preserve">方法變更 −</t>
    </r>
    <r>
      <rPr>
        <sz val="10"/>
        <rFont val="Arial"/>
        <family val="0"/>
        <charset val="1"/>
      </rPr>
      <t xml:space="preserve">$15.8</t>
    </r>
    <r>
      <rPr>
        <sz val="10"/>
        <rFont val="Noto Sans CJK SC"/>
        <family val="2"/>
      </rPr>
      <t xml:space="preserve">（① 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資本支出 −</t>
    </r>
    <r>
      <rPr>
        <sz val="10"/>
        <rFont val="Arial"/>
        <family val="0"/>
        <charset val="1"/>
      </rPr>
      <t xml:space="preserve">$7.6</t>
    </r>
    <r>
      <rPr>
        <sz val="10"/>
        <rFont val="Noto Sans CJK SC"/>
        <family val="2"/>
      </rPr>
      <t xml:space="preserve">、② 折舊年限 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、③ 營運成本由下而上 −</t>
    </r>
    <r>
      <rPr>
        <sz val="10"/>
        <rFont val="Arial"/>
        <family val="0"/>
        <charset val="1"/>
      </rPr>
      <t xml:space="preserve">$8.2</t>
    </r>
    <r>
      <rPr>
        <sz val="10"/>
        <rFont val="Noto Sans CJK SC"/>
        <family val="2"/>
      </rPr>
      <t xml:space="preserve">、④ 收入 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（備案）、⑤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口徑 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）；保守 −</t>
    </r>
    <r>
      <rPr>
        <sz val="10"/>
        <rFont val="Arial"/>
        <family val="0"/>
        <charset val="1"/>
      </rPr>
      <t xml:space="preserve">$25.7</t>
    </r>
    <r>
      <rPr>
        <sz val="10"/>
        <rFont val="Noto Sans CJK SC"/>
        <family val="2"/>
      </rPr>
      <t xml:space="preserve">（−</t>
    </r>
    <r>
      <rPr>
        <sz val="10"/>
        <rFont val="Arial"/>
        <family val="0"/>
        <charset val="1"/>
      </rPr>
      <t xml:space="preserve">$16.6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／−</t>
    </r>
    <r>
      <rPr>
        <sz val="10"/>
        <rFont val="Arial"/>
        <family val="0"/>
        <charset val="1"/>
      </rPr>
      <t xml:space="preserve">$9.2</t>
    </r>
    <r>
      <rPr>
        <sz val="10"/>
        <rFont val="Noto Sans CJK SC"/>
        <family val="2"/>
      </rPr>
      <t xml:space="preserve">）、積極 −</t>
    </r>
    <r>
      <rPr>
        <sz val="10"/>
        <rFont val="Arial"/>
        <family val="0"/>
        <charset val="1"/>
      </rPr>
      <t xml:space="preserve">$11.0</t>
    </r>
    <r>
      <rPr>
        <sz val="10"/>
        <rFont val="Noto Sans CJK SC"/>
        <family val="2"/>
      </rPr>
      <t xml:space="preserve">（−</t>
    </r>
    <r>
      <rPr>
        <sz val="10"/>
        <rFont val="Arial"/>
        <family val="0"/>
        <charset val="1"/>
      </rPr>
      <t xml:space="preserve">$9.1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／−</t>
    </r>
    <r>
      <rPr>
        <sz val="10"/>
        <rFont val="Arial"/>
        <family val="0"/>
        <charset val="1"/>
      </rPr>
      <t xml:space="preserve">$1.9</t>
    </r>
    <r>
      <rPr>
        <sz val="10"/>
        <rFont val="Noto Sans CJK SC"/>
        <family val="2"/>
      </rPr>
      <t xml:space="preserve">）</t>
    </r>
  </si>
  <si>
    <t xml:space="preserve">v4.5</t>
  </si>
  <si>
    <t xml:space="preserve">09-26</t>
  </si>
  <si>
    <r>
      <rPr>
        <sz val="10"/>
        <rFont val="Noto Sans CJK SC"/>
        <family val="2"/>
      </rPr>
      <t xml:space="preserve">期間滾動＋反向 </t>
    </r>
    <r>
      <rPr>
        <sz val="10"/>
        <rFont val="Arial"/>
        <family val="0"/>
        <charset val="1"/>
      </rPr>
      <t xml:space="preserve">DCF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company.json </t>
    </r>
    <r>
      <rPr>
        <sz val="10"/>
        <rFont val="Noto Sans CJK SC"/>
        <family val="2"/>
      </rPr>
      <t xml:space="preserve">新增 </t>
    </r>
    <r>
      <rPr>
        <sz val="10"/>
        <rFont val="Arial"/>
        <family val="0"/>
        <charset val="1"/>
      </rPr>
      <t xml:space="preserve">calendar</t>
    </r>
    <r>
      <rPr>
        <sz val="10"/>
        <rFont val="Noto Sans CJK SC"/>
        <family val="2"/>
      </rPr>
      <t xml:space="preserve">（財年結束月份、最新已申報／已公布季度），期間、評價日（最新已申報季末）與折現年數由日曆推算（首期 </t>
    </r>
    <r>
      <rPr>
        <sz val="10"/>
        <rFont val="Arial"/>
        <family val="0"/>
        <charset val="1"/>
      </rPr>
      <t xml:space="preserve">0.25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0.5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0.75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1 </t>
    </r>
    <r>
      <rPr>
        <sz val="10"/>
        <rFont val="Noto Sans CJK SC"/>
        <family val="2"/>
      </rPr>
      <t xml:space="preserve">年、</t>
    </r>
    <r>
      <rPr>
        <sz val="10"/>
        <rFont val="Arial"/>
        <family val="0"/>
        <charset val="1"/>
      </rPr>
      <t xml:space="preserve">5 </t>
    </r>
    <r>
      <rPr>
        <sz val="10"/>
        <rFont val="Noto Sans CJK SC"/>
        <family val="2"/>
      </rPr>
      <t xml:space="preserve">月財年、無實際數皆可）；</t>
    </r>
    <r>
      <rPr>
        <sz val="10"/>
        <rFont val="Arial"/>
        <family val="0"/>
        <charset val="1"/>
      </rPr>
      <t xml:space="preserve">actual1H </t>
    </r>
    <r>
      <rPr>
        <sz val="10"/>
        <rFont val="Noto Sans CJK SC"/>
        <family val="2"/>
      </rPr>
      <t xml:space="preserve">改為 </t>
    </r>
    <r>
      <rPr>
        <sz val="10"/>
        <rFont val="Arial"/>
        <family val="0"/>
        <charset val="1"/>
      </rPr>
      <t xml:space="preserve">ytdActual</t>
    </r>
    <r>
      <rPr>
        <sz val="10"/>
        <rFont val="Noto Sans CJK SC"/>
        <family val="2"/>
      </rPr>
      <t xml:space="preserve">；目標價時點改為「評價日＋</t>
    </r>
    <r>
      <rPr>
        <sz val="10"/>
        <rFont val="Arial"/>
        <family val="0"/>
        <charset val="1"/>
      </rPr>
      <t xml:space="preserve">12 </t>
    </r>
    <r>
      <rPr>
        <sz val="10"/>
        <rFont val="Noto Sans CJK SC"/>
        <family val="2"/>
      </rPr>
      <t xml:space="preserve">個月」（</t>
    </r>
    <r>
      <rPr>
        <sz val="10"/>
        <rFont val="Arial"/>
        <family val="0"/>
        <charset val="1"/>
      </rPr>
      <t xml:space="preserve">2027-06-30</t>
    </r>
    <r>
      <rPr>
        <sz val="10"/>
        <rFont val="Noto Sans CJK SC"/>
        <family val="2"/>
      </rPr>
      <t xml:space="preserve">），</t>
    </r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腿折回、</t>
    </r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腿（</t>
    </r>
    <r>
      <rPr>
        <sz val="10"/>
        <rFont val="Arial"/>
        <family val="0"/>
        <charset val="1"/>
      </rPr>
      <t xml:space="preserve">0 </t>
    </r>
    <r>
      <rPr>
        <sz val="10"/>
        <rFont val="Noto Sans CJK SC"/>
        <family val="2"/>
      </rPr>
      <t xml:space="preserve">截斷與選擇權）以 </t>
    </r>
    <r>
      <rPr>
        <sz val="10"/>
        <rFont val="Arial"/>
        <family val="0"/>
        <charset val="1"/>
      </rPr>
      <t xml:space="preserve">WACC </t>
    </r>
    <r>
      <rPr>
        <sz val="10"/>
        <rFont val="Noto Sans CJK SC"/>
        <family val="2"/>
      </rPr>
      <t xml:space="preserve">推到同一時點；反向 </t>
    </r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改由 </t>
    </r>
    <r>
      <rPr>
        <sz val="10"/>
        <rFont val="Arial"/>
        <family val="0"/>
        <charset val="1"/>
      </rPr>
      <t xml:space="preserve">Excel </t>
    </r>
    <r>
      <rPr>
        <sz val="10"/>
        <rFont val="Noto Sans CJK SC"/>
        <family val="2"/>
      </rPr>
      <t xml:space="preserve">求解；一頁摘要與各分頁第一屏的日期與期間文字依日曆產生</t>
    </r>
  </si>
  <si>
    <t xml:space="preserve">$45.5</t>
  </si>
  <si>
    <r>
      <rPr>
        <sz val="10"/>
        <rFont val="Noto Sans CJK SC"/>
        <family val="2"/>
      </rPr>
      <t xml:space="preserve">基準 </t>
    </r>
    <r>
      <rPr>
        <sz val="10"/>
        <rFont val="Arial"/>
        <family val="0"/>
        <charset val="1"/>
      </rPr>
      <t xml:space="preserve">$47.9→$45.5</t>
    </r>
    <r>
      <rPr>
        <sz val="10"/>
        <rFont val="Noto Sans CJK SC"/>
        <family val="2"/>
      </rPr>
      <t xml:space="preserve">、保守 </t>
    </r>
    <r>
      <rPr>
        <sz val="10"/>
        <rFont val="Arial"/>
        <family val="0"/>
        <charset val="1"/>
      </rPr>
      <t xml:space="preserve">$71.7→$69.7</t>
    </r>
    <r>
      <rPr>
        <sz val="10"/>
        <rFont val="Noto Sans CJK SC"/>
        <family val="2"/>
      </rPr>
      <t xml:space="preserve">、積極 </t>
    </r>
    <r>
      <rPr>
        <sz val="10"/>
        <rFont val="Arial"/>
        <family val="0"/>
        <charset val="1"/>
      </rPr>
      <t xml:space="preserve">$32.6→$31.0</t>
    </r>
    <r>
      <rPr>
        <sz val="10"/>
        <rFont val="Noto Sans CJK SC"/>
        <family val="2"/>
      </rPr>
      <t xml:space="preserve">，三者皆賣出。拆解：</t>
    </r>
    <r>
      <rPr>
        <sz val="10"/>
        <rFont val="Arial"/>
        <family val="0"/>
        <charset val="1"/>
      </rPr>
      <t xml:space="preserve">(a) </t>
    </r>
    <r>
      <rPr>
        <sz val="10"/>
        <rFont val="Noto Sans CJK SC"/>
        <family val="2"/>
      </rPr>
      <t xml:space="preserve">時間推移 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（評價日仍為 </t>
    </r>
    <r>
      <rPr>
        <sz val="10"/>
        <rFont val="Arial"/>
        <family val="0"/>
        <charset val="1"/>
      </rPr>
      <t xml:space="preserve">6/30</t>
    </r>
    <r>
      <rPr>
        <sz val="10"/>
        <rFont val="Noto Sans CJK SC"/>
        <family val="2"/>
      </rPr>
      <t xml:space="preserve">）、</t>
    </r>
    <r>
      <rPr>
        <sz val="10"/>
        <rFont val="Arial"/>
        <family val="0"/>
        <charset val="1"/>
      </rPr>
      <t xml:space="preserve">(b) </t>
    </r>
    <r>
      <rPr>
        <sz val="10"/>
        <rFont val="Noto Sans CJK SC"/>
        <family val="2"/>
      </rPr>
      <t xml:space="preserve">實際數更新 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(c) </t>
    </r>
    <r>
      <rPr>
        <sz val="10"/>
        <rFont val="Noto Sans CJK SC"/>
        <family val="2"/>
      </rPr>
      <t xml:space="preserve">假設變更 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(d) </t>
    </r>
    <r>
      <rPr>
        <sz val="10"/>
        <rFont val="Noto Sans CJK SC"/>
        <family val="2"/>
      </rPr>
      <t xml:space="preserve">方法變更（目標價時點改為評價日＋</t>
    </r>
    <r>
      <rPr>
        <sz val="10"/>
        <rFont val="Arial"/>
        <family val="0"/>
        <charset val="1"/>
      </rPr>
      <t xml:space="preserve">12 </t>
    </r>
    <r>
      <rPr>
        <sz val="10"/>
        <rFont val="Noto Sans CJK SC"/>
        <family val="2"/>
      </rPr>
      <t xml:space="preserve">個月、</t>
    </r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腿推到同一時點）−</t>
    </r>
    <r>
      <rPr>
        <sz val="10"/>
        <rFont val="Arial"/>
        <family val="0"/>
        <charset val="1"/>
      </rPr>
      <t xml:space="preserve">$2.4</t>
    </r>
    <r>
      <rPr>
        <sz val="10"/>
        <rFont val="Noto Sans CJK SC"/>
        <family val="2"/>
      </rPr>
      <t xml:space="preserve">（保守 −</t>
    </r>
    <r>
      <rPr>
        <sz val="10"/>
        <rFont val="Arial"/>
        <family val="0"/>
        <charset val="1"/>
      </rPr>
      <t xml:space="preserve">$1.9</t>
    </r>
    <r>
      <rPr>
        <sz val="10"/>
        <rFont val="Noto Sans CJK SC"/>
        <family val="2"/>
      </rPr>
      <t xml:space="preserve">、積極 −</t>
    </r>
    <r>
      <rPr>
        <sz val="10"/>
        <rFont val="Arial"/>
        <family val="0"/>
        <charset val="1"/>
      </rPr>
      <t xml:space="preserve">$1.7</t>
    </r>
    <r>
      <rPr>
        <sz val="10"/>
        <rFont val="Noto Sans CJK SC"/>
        <family val="2"/>
      </rPr>
      <t xml:space="preserve">）</t>
    </r>
  </si>
  <si>
    <t xml:space="preserve">v4.4</t>
  </si>
  <si>
    <r>
      <rPr>
        <sz val="10"/>
        <rFont val="Noto Sans CJK SC"/>
        <family val="2"/>
      </rPr>
      <t xml:space="preserve">季度層：資金模型新增「季度追蹤」分頁，</t>
    </r>
    <r>
      <rPr>
        <sz val="10"/>
        <rFont val="Arial"/>
        <family val="0"/>
        <charset val="1"/>
      </rPr>
      <t xml:space="preserve">Excel </t>
    </r>
    <r>
      <rPr>
        <sz val="10"/>
        <rFont val="Noto Sans CJK SC"/>
        <family val="2"/>
      </rPr>
      <t xml:space="preserve">新增「季度追蹤」分頁與「輸入與假設」</t>
    </r>
    <r>
      <rPr>
        <sz val="10"/>
        <rFont val="Arial"/>
        <family val="0"/>
        <charset val="1"/>
      </rPr>
      <t xml:space="preserve">J </t>
    </r>
    <r>
      <rPr>
        <sz val="10"/>
        <rFont val="Noto Sans CJK SC"/>
        <family val="2"/>
      </rPr>
      <t xml:space="preserve">區（</t>
    </r>
    <r>
      <rPr>
        <sz val="10"/>
        <rFont val="Arial"/>
        <family val="0"/>
        <charset val="1"/>
      </rPr>
      <t xml:space="preserve">2026 Q3–2027 Q4</t>
    </r>
    <r>
      <rPr>
        <sz val="10"/>
        <rFont val="Noto Sans CJK SC"/>
        <family val="2"/>
      </rPr>
      <t xml:space="preserve">，由年度模型拆分、只用於追蹤；實際數輸入格預設空白）；差距超過門檻（營收等 </t>
    </r>
    <r>
      <rPr>
        <sz val="10"/>
        <rFont val="Arial"/>
        <family val="0"/>
        <charset val="1"/>
      </rPr>
      <t xml:space="preserve">5%</t>
    </r>
    <r>
      <rPr>
        <sz val="10"/>
        <rFont val="Noto Sans CJK SC"/>
        <family val="2"/>
      </rPr>
      <t xml:space="preserve">、利潤類利潤率 </t>
    </r>
    <r>
      <rPr>
        <sz val="10"/>
        <rFont val="Arial"/>
        <family val="0"/>
        <charset val="1"/>
      </rPr>
      <t xml:space="preserve">2pt</t>
    </r>
    <r>
      <rPr>
        <sz val="10"/>
        <rFont val="Noto Sans CJK SC"/>
        <family val="2"/>
      </rPr>
      <t xml:space="preserve">）或落在指引區間外的項目附差異原因（觀點／拆法／已知限制；拆法以水準／分配拆解判定）；差距寫法：營收、</t>
    </r>
    <r>
      <rPr>
        <sz val="10"/>
        <rFont val="Arial"/>
        <family val="0"/>
        <charset val="1"/>
      </rPr>
      <t xml:space="preserve">CapEx </t>
    </r>
    <r>
      <rPr>
        <sz val="10"/>
        <rFont val="Noto Sans CJK SC"/>
        <family val="2"/>
      </rPr>
      <t xml:space="preserve">為比例，利潤類為金額差＋利潤率百分點；一頁摘要驗證點改為焦點季 </t>
    </r>
    <r>
      <rPr>
        <sz val="10"/>
        <rFont val="Arial"/>
        <family val="0"/>
        <charset val="1"/>
      </rPr>
      <t xml:space="preserve">3 </t>
    </r>
    <r>
      <rPr>
        <sz val="10"/>
        <rFont val="Noto Sans CJK SC"/>
        <family val="2"/>
      </rPr>
      <t xml:space="preserve">個指標，方法註腳與最新分析師動作移至市場共識分頁</t>
    </r>
  </si>
  <si>
    <t xml:space="preserve">$47.9</t>
  </si>
  <si>
    <t xml:space="preserve">無變動（季度層不影響年度數字與目標價）</t>
  </si>
  <si>
    <t xml:space="preserve">v4.3</t>
  </si>
  <si>
    <t xml:space="preserve">09-25</t>
  </si>
  <si>
    <r>
      <rPr>
        <sz val="10"/>
        <rFont val="Noto Sans CJK SC"/>
        <family val="2"/>
      </rPr>
      <t xml:space="preserve">一頁摘要＋市場共識對照：總結頁新增一頁摘要（原 </t>
    </r>
    <r>
      <rPr>
        <sz val="10"/>
        <rFont val="Arial"/>
        <family val="0"/>
        <charset val="1"/>
      </rPr>
      <t xml:space="preserve">9 </t>
    </r>
    <r>
      <rPr>
        <sz val="10"/>
        <rFont val="Noto Sans CJK SC"/>
        <family val="2"/>
      </rPr>
      <t xml:space="preserve">頁改為附錄，共 </t>
    </r>
    <r>
      <rPr>
        <sz val="10"/>
        <rFont val="Arial"/>
        <family val="0"/>
        <charset val="1"/>
      </rPr>
      <t xml:space="preserve">10 </t>
    </r>
    <r>
      <rPr>
        <sz val="10"/>
        <rFont val="Noto Sans CJK SC"/>
        <family val="2"/>
      </rPr>
      <t xml:space="preserve">頁）；損益與評價新增「市場共識」分頁，</t>
    </r>
    <r>
      <rPr>
        <sz val="10"/>
        <rFont val="Arial"/>
        <family val="0"/>
        <charset val="1"/>
      </rPr>
      <t xml:space="preserve">Excel </t>
    </r>
    <r>
      <rPr>
        <sz val="10"/>
        <rFont val="Noto Sans CJK SC"/>
        <family val="2"/>
      </rPr>
      <t xml:space="preserve">新增「摘要」分頁與「輸入與假設」</t>
    </r>
    <r>
      <rPr>
        <sz val="10"/>
        <rFont val="Arial"/>
        <family val="0"/>
        <charset val="1"/>
      </rPr>
      <t xml:space="preserve">I </t>
    </r>
    <r>
      <rPr>
        <sz val="10"/>
        <rFont val="Noto Sans CJK SC"/>
        <family val="2"/>
      </rPr>
      <t xml:space="preserve">區（逐筆附來源、擷取日期、標記）；移除 </t>
    </r>
    <r>
      <rPr>
        <sz val="10"/>
        <rFont val="Arial"/>
        <family val="0"/>
        <charset val="1"/>
      </rPr>
      <t xml:space="preserve">Street </t>
    </r>
    <r>
      <rPr>
        <sz val="10"/>
        <rFont val="Noto Sans CJK SC"/>
        <family val="2"/>
      </rPr>
      <t xml:space="preserve">參考欄位；現價更新至 </t>
    </r>
    <r>
      <rPr>
        <sz val="10"/>
        <rFont val="Arial"/>
        <family val="0"/>
        <charset val="1"/>
      </rPr>
      <t xml:space="preserve">9/24 </t>
    </r>
    <r>
      <rPr>
        <sz val="10"/>
        <rFont val="Noto Sans CJK SC"/>
        <family val="2"/>
      </rPr>
      <t xml:space="preserve">收盤 </t>
    </r>
    <r>
      <rPr>
        <sz val="10"/>
        <rFont val="Arial"/>
        <family val="0"/>
        <charset val="1"/>
      </rPr>
      <t xml:space="preserve">$90.13</t>
    </r>
    <r>
      <rPr>
        <sz val="10"/>
        <rFont val="Noto Sans CJK SC"/>
        <family val="2"/>
      </rPr>
      <t xml:space="preserve">（股權發行價同步）</t>
    </r>
  </si>
  <si>
    <r>
      <rPr>
        <sz val="10"/>
        <rFont val="Noto Sans CJK SC"/>
        <family val="2"/>
      </rPr>
      <t xml:space="preserve">現價 </t>
    </r>
    <r>
      <rPr>
        <sz val="10"/>
        <rFont val="Arial"/>
        <family val="0"/>
        <charset val="1"/>
      </rPr>
      <t xml:space="preserve">$85.43→$90.13</t>
    </r>
    <r>
      <rPr>
        <sz val="10"/>
        <rFont val="Noto Sans CJK SC"/>
        <family val="2"/>
      </rPr>
      <t xml:space="preserve">：發行價提高、新股減少，基準 </t>
    </r>
    <r>
      <rPr>
        <sz val="10"/>
        <rFont val="Arial"/>
        <family val="0"/>
        <charset val="1"/>
      </rPr>
      <t xml:space="preserve">$47.5→$47.9</t>
    </r>
    <r>
      <rPr>
        <sz val="10"/>
        <rFont val="Noto Sans CJK SC"/>
        <family val="2"/>
      </rPr>
      <t xml:space="preserve">；保守 −</t>
    </r>
    <r>
      <rPr>
        <sz val="10"/>
        <rFont val="Arial"/>
        <family val="0"/>
        <charset val="1"/>
      </rPr>
      <t xml:space="preserve">16%→−20%</t>
    </r>
    <r>
      <rPr>
        <sz val="10"/>
        <rFont val="Noto Sans CJK SC"/>
        <family val="2"/>
      </rPr>
      <t xml:space="preserve">，距賣出門檻 </t>
    </r>
    <r>
      <rPr>
        <sz val="10"/>
        <rFont val="Arial"/>
        <family val="0"/>
        <charset val="1"/>
      </rPr>
      <t xml:space="preserve">$0.9→$4.9</t>
    </r>
  </si>
  <si>
    <t xml:space="preserve">v4.2</t>
  </si>
  <si>
    <r>
      <rPr>
        <sz val="10"/>
        <rFont val="Noto Sans CJK SC"/>
        <family val="2"/>
      </rPr>
      <t xml:space="preserve">設定集中：同業 </t>
    </r>
    <r>
      <rPr>
        <sz val="10"/>
        <rFont val="Arial"/>
        <family val="0"/>
        <charset val="1"/>
      </rPr>
      <t xml:space="preserve">Comps</t>
    </r>
    <r>
      <rPr>
        <sz val="10"/>
        <rFont val="Noto Sans CJK SC"/>
        <family val="2"/>
      </rPr>
      <t xml:space="preserve">（數字、名稱、備註、說明文字）與評等門檻移入 </t>
    </r>
    <r>
      <rPr>
        <sz val="10"/>
        <rFont val="Arial"/>
        <family val="0"/>
        <charset val="1"/>
      </rPr>
      <t xml:space="preserve">company.json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peers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methodology.rating</t>
    </r>
    <r>
      <rPr>
        <sz val="10"/>
        <rFont val="Noto Sans CJK SC"/>
        <family val="2"/>
      </rPr>
      <t xml:space="preserve">）；</t>
    </r>
    <r>
      <rPr>
        <sz val="10"/>
        <rFont val="Arial"/>
        <family val="0"/>
        <charset val="1"/>
      </rPr>
      <t xml:space="preserve">Excel</t>
    </r>
    <r>
      <rPr>
        <sz val="10"/>
        <rFont val="Noto Sans CJK SC"/>
        <family val="2"/>
      </rPr>
      <t xml:space="preserve">「輸入與假設」</t>
    </r>
    <r>
      <rPr>
        <sz val="10"/>
        <rFont val="Arial"/>
        <family val="0"/>
        <charset val="1"/>
      </rPr>
      <t xml:space="preserve">F </t>
    </r>
    <r>
      <rPr>
        <sz val="10"/>
        <rFont val="Noto Sans CJK SC"/>
        <family val="2"/>
      </rPr>
      <t xml:space="preserve">區新增「評等門檻」</t>
    </r>
    <r>
      <rPr>
        <sz val="10"/>
        <rFont val="Arial"/>
        <family val="0"/>
        <charset val="1"/>
      </rPr>
      <t xml:space="preserve">7 </t>
    </r>
    <r>
      <rPr>
        <sz val="10"/>
        <rFont val="Noto Sans CJK SC"/>
        <family val="2"/>
      </rPr>
      <t xml:space="preserve">格，評等代碼、賣出門檻價、判斷句與檢查頁改為引用；評等規則說明改為活公式；數字與畫面與 </t>
    </r>
    <r>
      <rPr>
        <sz val="10"/>
        <rFont val="Arial"/>
        <family val="0"/>
        <charset val="1"/>
      </rPr>
      <t xml:space="preserve">v4.1 </t>
    </r>
    <r>
      <rPr>
        <sz val="10"/>
        <rFont val="Noto Sans CJK SC"/>
        <family val="2"/>
      </rPr>
      <t xml:space="preserve">相同</t>
    </r>
  </si>
  <si>
    <t xml:space="preserve">$47.5</t>
  </si>
  <si>
    <t xml:space="preserve">無變動（純結構）</t>
  </si>
  <si>
    <t xml:space="preserve">v4.1</t>
  </si>
  <si>
    <r>
      <rPr>
        <sz val="10"/>
        <rFont val="Noto Sans CJK SC"/>
        <family val="2"/>
      </rPr>
      <t xml:space="preserve">目標價改為區間呈現：情境區間（保守與積極情境，保留手動調整）與方法區間（目前情境，</t>
    </r>
    <r>
      <rPr>
        <sz val="10"/>
        <rFont val="Arial"/>
        <family val="0"/>
        <charset val="1"/>
      </rPr>
      <t xml:space="preserve">EV/EBITDA 5–6x</t>
    </r>
    <r>
      <rPr>
        <sz val="10"/>
        <rFont val="Noto Sans CJK SC"/>
        <family val="2"/>
      </rPr>
      <t xml:space="preserve">）；判斷句揭露與賣出門檻的餘裕；</t>
    </r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權重說明；刪除評價頁舊的下檔／上檔與操作區間；</t>
    </r>
    <r>
      <rPr>
        <sz val="10"/>
        <rFont val="Arial"/>
        <family val="0"/>
        <charset val="1"/>
      </rPr>
      <t xml:space="preserve">Excel </t>
    </r>
    <r>
      <rPr>
        <sz val="10"/>
        <rFont val="Noto Sans CJK SC"/>
        <family val="2"/>
      </rPr>
      <t xml:space="preserve">情境區間以模擬運算表計算（活公式）</t>
    </r>
  </si>
  <si>
    <r>
      <rPr>
        <sz val="10"/>
        <rFont val="Noto Sans CJK SC"/>
        <family val="2"/>
      </rPr>
      <t xml:space="preserve">點位無變動；情境區間 </t>
    </r>
    <r>
      <rPr>
        <sz val="10"/>
        <rFont val="Arial"/>
        <family val="0"/>
        <charset val="1"/>
      </rPr>
      <t xml:space="preserve">$32.1–$71.7</t>
    </r>
    <r>
      <rPr>
        <sz val="10"/>
        <rFont val="Noto Sans CJK SC"/>
        <family val="2"/>
      </rPr>
      <t xml:space="preserve">、方法區間 </t>
    </r>
    <r>
      <rPr>
        <sz val="10"/>
        <rFont val="Arial"/>
        <family val="0"/>
        <charset val="1"/>
      </rPr>
      <t xml:space="preserve">$30.8–$47.5</t>
    </r>
  </si>
  <si>
    <t xml:space="preserve">v4.0</t>
  </si>
  <si>
    <t xml:space="preserve">09-24</t>
  </si>
  <si>
    <r>
      <rPr>
        <sz val="10"/>
        <rFont val="Noto Sans CJK SC"/>
        <family val="2"/>
      </rPr>
      <t xml:space="preserve">結構重整：公司資料集中到 </t>
    </r>
    <r>
      <rPr>
        <sz val="10"/>
        <rFont val="Arial"/>
        <family val="0"/>
        <charset val="1"/>
      </rPr>
      <t xml:space="preserve">company.json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HTML </t>
    </r>
    <r>
      <rPr>
        <sz val="10"/>
        <rFont val="Noto Sans CJK SC"/>
        <family val="2"/>
      </rPr>
      <t xml:space="preserve">與 </t>
    </r>
    <r>
      <rPr>
        <sz val="10"/>
        <rFont val="Arial"/>
        <family val="0"/>
        <charset val="1"/>
      </rPr>
      <t xml:space="preserve">Excel </t>
    </r>
    <r>
      <rPr>
        <sz val="10"/>
        <rFont val="Noto Sans CJK SC"/>
        <family val="2"/>
      </rPr>
      <t xml:space="preserve">共用，</t>
    </r>
    <r>
      <rPr>
        <sz val="10"/>
        <rFont val="Arial"/>
        <family val="0"/>
        <charset val="1"/>
      </rPr>
      <t xml:space="preserve">Excel 75 </t>
    </r>
    <r>
      <rPr>
        <sz val="10"/>
        <rFont val="Noto Sans CJK SC"/>
        <family val="2"/>
      </rPr>
      <t xml:space="preserve">項輸入改讀此檔）；資料常數與引擎主函式改為可讀名稱；數字與畫面與 </t>
    </r>
    <r>
      <rPr>
        <sz val="10"/>
        <rFont val="Arial"/>
        <family val="0"/>
        <charset val="1"/>
      </rPr>
      <t xml:space="preserve">v3.6 </t>
    </r>
    <r>
      <rPr>
        <sz val="10"/>
        <rFont val="Noto Sans CJK SC"/>
        <family val="2"/>
      </rPr>
      <t xml:space="preserve">完全相同</t>
    </r>
  </si>
  <si>
    <t xml:space="preserve">v3.6</t>
  </si>
  <si>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錨定年度預設改為 </t>
    </r>
    <r>
      <rPr>
        <sz val="10"/>
        <rFont val="Arial"/>
        <family val="0"/>
        <charset val="1"/>
      </rPr>
      <t xml:space="preserve">FY29</t>
    </r>
    <r>
      <rPr>
        <sz val="10"/>
        <rFont val="Noto Sans CJK SC"/>
        <family val="2"/>
      </rPr>
      <t xml:space="preserve">（接近穩態利潤率，與 </t>
    </r>
    <r>
      <rPr>
        <sz val="10"/>
        <rFont val="Arial"/>
        <family val="0"/>
        <charset val="1"/>
      </rPr>
      <t xml:space="preserve">6x </t>
    </r>
    <r>
      <rPr>
        <sz val="10"/>
        <rFont val="Noto Sans CJK SC"/>
        <family val="2"/>
      </rPr>
      <t xml:space="preserve">穩態倍數一致）</t>
    </r>
  </si>
  <si>
    <r>
      <rPr>
        <sz val="10"/>
        <rFont val="Noto Sans CJK SC"/>
        <family val="2"/>
      </rPr>
      <t xml:space="preserve">錨定 </t>
    </r>
    <r>
      <rPr>
        <sz val="10"/>
        <rFont val="Arial"/>
        <family val="0"/>
        <charset val="1"/>
      </rPr>
      <t xml:space="preserve">FY27→FY29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腿 </t>
    </r>
    <r>
      <rPr>
        <sz val="10"/>
        <rFont val="Arial"/>
        <family val="0"/>
        <charset val="1"/>
      </rPr>
      <t xml:space="preserve">$38.7→$86.4</t>
    </r>
    <r>
      <rPr>
        <sz val="10"/>
        <rFont val="Noto Sans CJK SC"/>
        <family val="2"/>
      </rPr>
      <t xml:space="preserve">；保守情境 </t>
    </r>
    <r>
      <rPr>
        <sz val="10"/>
        <rFont val="Arial"/>
        <family val="0"/>
        <charset val="1"/>
      </rPr>
      <t xml:space="preserve">$71.7</t>
    </r>
    <r>
      <rPr>
        <sz val="10"/>
        <rFont val="Noto Sans CJK SC"/>
        <family val="2"/>
      </rPr>
      <t xml:space="preserve">（−</t>
    </r>
    <r>
      <rPr>
        <sz val="10"/>
        <rFont val="Arial"/>
        <family val="0"/>
        <charset val="1"/>
      </rPr>
      <t xml:space="preserve">16%</t>
    </r>
    <r>
      <rPr>
        <sz val="10"/>
        <rFont val="Noto Sans CJK SC"/>
        <family val="2"/>
      </rPr>
      <t xml:space="preserve">）接近賣出門檻</t>
    </r>
  </si>
  <si>
    <t xml:space="preserve">v3.5</t>
  </si>
  <si>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錨定年度可選（</t>
    </r>
    <r>
      <rPr>
        <sz val="10"/>
        <rFont val="Arial"/>
        <family val="0"/>
        <charset val="1"/>
      </rPr>
      <t xml:space="preserve">FY27–FY30</t>
    </r>
    <r>
      <rPr>
        <sz val="10"/>
        <rFont val="Noto Sans CJK SC"/>
        <family val="2"/>
      </rPr>
      <t xml:space="preserve">，</t>
    </r>
    <r>
      <rPr>
        <sz val="10"/>
        <rFont val="Arial"/>
        <family val="0"/>
        <charset val="1"/>
      </rPr>
      <t xml:space="preserve">FY28 </t>
    </r>
    <r>
      <rPr>
        <sz val="10"/>
        <rFont val="Noto Sans CJK SC"/>
        <family val="2"/>
      </rPr>
      <t xml:space="preserve">起以 </t>
    </r>
    <r>
      <rPr>
        <sz val="10"/>
        <rFont val="Arial"/>
        <family val="0"/>
        <charset val="1"/>
      </rPr>
      <t xml:space="preserve">WACC </t>
    </r>
    <r>
      <rPr>
        <sz val="10"/>
        <rFont val="Noto Sans CJK SC"/>
        <family val="2"/>
      </rPr>
      <t xml:space="preserve">折回 </t>
    </r>
    <r>
      <rPr>
        <sz val="10"/>
        <rFont val="Arial"/>
        <family val="0"/>
        <charset val="1"/>
      </rPr>
      <t xml:space="preserve">FY27 </t>
    </r>
    <r>
      <rPr>
        <sz val="10"/>
        <rFont val="Noto Sans CJK SC"/>
        <family val="2"/>
      </rPr>
      <t xml:space="preserve">末）；評價頁與總結頁新增「錨定年度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倍數」矩陣；總結頁新增評價方法頁（</t>
    </r>
    <r>
      <rPr>
        <sz val="10"/>
        <rFont val="Arial"/>
        <family val="0"/>
        <charset val="1"/>
      </rPr>
      <t xml:space="preserve">9 </t>
    </r>
    <r>
      <rPr>
        <sz val="10"/>
        <rFont val="Noto Sans CJK SC"/>
        <family val="2"/>
      </rPr>
      <t xml:space="preserve">頁）</t>
    </r>
  </si>
  <si>
    <t xml:space="preserve">$21.3</t>
  </si>
  <si>
    <r>
      <rPr>
        <sz val="10"/>
        <rFont val="Noto Sans CJK SC"/>
        <family val="2"/>
      </rPr>
      <t xml:space="preserve">預設仍錨定 </t>
    </r>
    <r>
      <rPr>
        <sz val="10"/>
        <rFont val="Arial"/>
        <family val="0"/>
        <charset val="1"/>
      </rPr>
      <t xml:space="preserve">FY27</t>
    </r>
    <r>
      <rPr>
        <sz val="10"/>
        <rFont val="Noto Sans CJK SC"/>
        <family val="2"/>
      </rPr>
      <t xml:space="preserve">，無變動；</t>
    </r>
    <r>
      <rPr>
        <sz val="10"/>
        <rFont val="Arial"/>
        <family val="0"/>
        <charset val="1"/>
      </rPr>
      <t xml:space="preserve">FY29 × 6x </t>
    </r>
    <r>
      <rPr>
        <sz val="10"/>
        <rFont val="Noto Sans CJK SC"/>
        <family val="2"/>
      </rPr>
      <t xml:space="preserve">為 </t>
    </r>
    <r>
      <rPr>
        <sz val="10"/>
        <rFont val="Arial"/>
        <family val="0"/>
        <charset val="1"/>
      </rPr>
      <t xml:space="preserve">$47.5</t>
    </r>
  </si>
  <si>
    <t xml:space="preserve">v3.4</t>
  </si>
  <si>
    <r>
      <rPr>
        <sz val="10"/>
        <rFont val="Noto Sans CJK SC"/>
        <family val="2"/>
      </rPr>
      <t xml:space="preserve">新增「總結」簡報頁（</t>
    </r>
    <r>
      <rPr>
        <sz val="10"/>
        <rFont val="Arial"/>
        <family val="0"/>
        <charset val="1"/>
      </rPr>
      <t xml:space="preserve">8 </t>
    </r>
    <r>
      <rPr>
        <sz val="10"/>
        <rFont val="Noto Sans CJK SC"/>
        <family val="2"/>
      </rPr>
      <t xml:space="preserve">頁、即時連動、簡報模式、列印 </t>
    </r>
    <r>
      <rPr>
        <sz val="10"/>
        <rFont val="Arial"/>
        <family val="0"/>
        <charset val="1"/>
      </rPr>
      <t xml:space="preserve">16:9</t>
    </r>
    <r>
      <rPr>
        <sz val="10"/>
        <rFont val="Noto Sans CJK SC"/>
        <family val="2"/>
      </rPr>
      <t xml:space="preserve">）；股權敏感度表加註融資組合與自動說明；更正融資瀑布說明的股權年度；修正 </t>
    </r>
    <r>
      <rPr>
        <sz val="10"/>
        <rFont val="Arial"/>
        <family val="0"/>
        <charset val="1"/>
      </rPr>
      <t xml:space="preserve">Excel </t>
    </r>
    <r>
      <rPr>
        <sz val="10"/>
        <rFont val="Noto Sans CJK SC"/>
        <family val="2"/>
      </rPr>
      <t xml:space="preserve">無法開啟（</t>
    </r>
    <r>
      <rPr>
        <sz val="10"/>
        <rFont val="Arial"/>
        <family val="0"/>
        <charset val="1"/>
      </rPr>
      <t xml:space="preserve">sheetPr </t>
    </r>
    <r>
      <rPr>
        <sz val="10"/>
        <rFont val="Noto Sans CJK SC"/>
        <family val="2"/>
      </rPr>
      <t xml:space="preserve">子元素順序，</t>
    </r>
    <r>
      <rPr>
        <sz val="10"/>
        <rFont val="Arial"/>
        <family val="0"/>
        <charset val="1"/>
      </rPr>
      <t xml:space="preserve">v3.3 </t>
    </r>
    <r>
      <rPr>
        <sz val="10"/>
        <rFont val="Noto Sans CJK SC"/>
        <family val="2"/>
      </rPr>
      <t xml:space="preserve">起即存在）</t>
    </r>
  </si>
  <si>
    <t xml:space="preserve">無變動</t>
  </si>
  <si>
    <t xml:space="preserve">v3.3</t>
  </si>
  <si>
    <t xml:space="preserve">09-23</t>
  </si>
  <si>
    <r>
      <rPr>
        <sz val="10"/>
        <rFont val="Noto Sans CJK SC"/>
        <family val="2"/>
      </rPr>
      <t xml:space="preserve">反向 </t>
    </r>
    <r>
      <rPr>
        <sz val="10"/>
        <rFont val="Arial"/>
        <family val="0"/>
        <charset val="1"/>
      </rPr>
      <t xml:space="preserve">DCF</t>
    </r>
    <r>
      <rPr>
        <sz val="10"/>
        <rFont val="Noto Sans CJK SC"/>
        <family val="2"/>
      </rPr>
      <t xml:space="preserve">（收入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成本組合）；版本變更紀錄；每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年收入／建置成本倍數</t>
    </r>
  </si>
  <si>
    <r>
      <rPr>
        <sz val="10"/>
        <rFont val="Noto Sans CJK SC"/>
        <family val="2"/>
      </rPr>
      <t xml:space="preserve">倍數預設 </t>
    </r>
    <r>
      <rPr>
        <sz val="10"/>
        <rFont val="Arial"/>
        <family val="0"/>
        <charset val="1"/>
      </rPr>
      <t xml:space="preserve">100%</t>
    </r>
    <r>
      <rPr>
        <sz val="10"/>
        <rFont val="Noto Sans CJK SC"/>
        <family val="2"/>
      </rPr>
      <t xml:space="preserve">，無變動</t>
    </r>
  </si>
  <si>
    <t xml:space="preserve">v3.2</t>
  </si>
  <si>
    <t xml:space="preserve">切換情境時保留手動調整的數字</t>
  </si>
  <si>
    <t xml:space="preserve">v3.1</t>
  </si>
  <si>
    <r>
      <rPr>
        <sz val="10"/>
        <rFont val="Noto Sans CJK SC"/>
        <family val="2"/>
      </rPr>
      <t xml:space="preserve">模組化（輸入與假設／各期收支／運營活動／資產與負債／損益／評價）；新債與新股；</t>
    </r>
    <r>
      <rPr>
        <sz val="10"/>
        <rFont val="Arial"/>
        <family val="0"/>
        <charset val="1"/>
      </rPr>
      <t xml:space="preserve">Excel </t>
    </r>
    <r>
      <rPr>
        <sz val="10"/>
        <rFont val="Noto Sans CJK SC"/>
        <family val="2"/>
      </rPr>
      <t xml:space="preserve">分頁改名與拆分</t>
    </r>
  </si>
  <si>
    <t xml:space="preserve">v3.0</t>
  </si>
  <si>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失效條件；</t>
    </r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下限方式切換（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／選擇權）；</t>
    </r>
    <r>
      <rPr>
        <sz val="10"/>
        <rFont val="Arial"/>
        <family val="0"/>
        <charset val="1"/>
      </rPr>
      <t xml:space="preserve">HTML </t>
    </r>
    <r>
      <rPr>
        <sz val="10"/>
        <rFont val="Noto Sans CJK SC"/>
        <family val="2"/>
      </rPr>
      <t xml:space="preserve">左欄分類選單；日期與版本同步</t>
    </r>
  </si>
  <si>
    <r>
      <rPr>
        <sz val="10"/>
        <rFont val="Noto Sans CJK SC"/>
        <family val="2"/>
      </rPr>
      <t xml:space="preserve">選擇權模式為 </t>
    </r>
    <r>
      <rPr>
        <sz val="10"/>
        <rFont val="Arial"/>
        <family val="0"/>
        <charset val="1"/>
      </rPr>
      <t xml:space="preserve">$26.3</t>
    </r>
  </si>
  <si>
    <t xml:space="preserve">v2.9</t>
  </si>
  <si>
    <r>
      <rPr>
        <sz val="10"/>
        <rFont val="Arial"/>
        <family val="0"/>
        <charset val="1"/>
      </rPr>
      <t xml:space="preserve">Excel </t>
    </r>
    <r>
      <rPr>
        <sz val="10"/>
        <rFont val="Noto Sans CJK SC"/>
        <family val="2"/>
      </rPr>
      <t xml:space="preserve">依類別排序並可收合；原生併入 </t>
    </r>
    <r>
      <rPr>
        <sz val="10"/>
        <rFont val="Arial"/>
        <family val="0"/>
        <charset val="1"/>
      </rPr>
      <t xml:space="preserve">Copilot </t>
    </r>
    <r>
      <rPr>
        <sz val="10"/>
        <rFont val="Noto Sans CJK SC"/>
        <family val="2"/>
      </rPr>
      <t xml:space="preserve">改動</t>
    </r>
  </si>
  <si>
    <t xml:space="preserve">v2.6–2.8</t>
  </si>
  <si>
    <r>
      <rPr>
        <sz val="10"/>
        <rFont val="Noto Sans CJK SC"/>
        <family val="2"/>
      </rPr>
      <t xml:space="preserve">外部（</t>
    </r>
    <r>
      <rPr>
        <sz val="10"/>
        <rFont val="Arial"/>
        <family val="0"/>
        <charset val="1"/>
      </rPr>
      <t xml:space="preserve">Copilot</t>
    </r>
    <r>
      <rPr>
        <sz val="10"/>
        <rFont val="Noto Sans CJK SC"/>
        <family val="2"/>
      </rPr>
      <t xml:space="preserve">）版面調整與每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年收入敏感性</t>
    </r>
  </si>
  <si>
    <r>
      <rPr>
        <sz val="10"/>
        <rFont val="Noto Sans CJK SC"/>
        <family val="2"/>
      </rPr>
      <t xml:space="preserve">於 </t>
    </r>
    <r>
      <rPr>
        <sz val="10"/>
        <rFont val="Arial"/>
        <family val="0"/>
        <charset val="1"/>
      </rPr>
      <t xml:space="preserve">v2.9 </t>
    </r>
    <r>
      <rPr>
        <sz val="10"/>
        <rFont val="Noto Sans CJK SC"/>
        <family val="2"/>
      </rPr>
      <t xml:space="preserve">併入</t>
    </r>
  </si>
  <si>
    <t xml:space="preserve">v2.5</t>
  </si>
  <si>
    <t xml:space="preserve">09-22</t>
  </si>
  <si>
    <t xml:space="preserve">敏感性改以目標價為指標；附錄移至結論下方</t>
  </si>
  <si>
    <t xml:space="preserve">v2.4</t>
  </si>
  <si>
    <r>
      <rPr>
        <sz val="10"/>
        <rFont val="Noto Sans CJK SC"/>
        <family val="2"/>
      </rPr>
      <t xml:space="preserve">股權吸收上限 </t>
    </r>
    <r>
      <rPr>
        <sz val="10"/>
        <rFont val="Arial"/>
        <family val="0"/>
        <charset val="1"/>
      </rPr>
      <t xml:space="preserve">20%</t>
    </r>
    <r>
      <rPr>
        <sz val="10"/>
        <rFont val="Noto Sans CJK SC"/>
        <family val="2"/>
      </rPr>
      <t xml:space="preserve">＋高息債 </t>
    </r>
    <r>
      <rPr>
        <sz val="10"/>
        <rFont val="Arial"/>
        <family val="0"/>
        <charset val="1"/>
      </rPr>
      <t xml:space="preserve">12%</t>
    </r>
    <r>
      <rPr>
        <sz val="10"/>
        <rFont val="Noto Sans CJK SC"/>
        <family val="2"/>
      </rPr>
      <t xml:space="preserve">；融資前缺口圖；</t>
    </r>
    <r>
      <rPr>
        <sz val="10"/>
        <rFont val="Arial"/>
        <family val="0"/>
        <charset val="1"/>
      </rPr>
      <t xml:space="preserve">EBITDAR </t>
    </r>
    <r>
      <rPr>
        <sz val="10"/>
        <rFont val="Noto Sans CJK SC"/>
        <family val="2"/>
      </rPr>
      <t xml:space="preserve">更名；標題與摘要改寫</t>
    </r>
  </si>
  <si>
    <t xml:space="preserve">v2.3</t>
  </si>
  <si>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率單一來源（</t>
    </r>
    <r>
      <rPr>
        <sz val="10"/>
        <rFont val="Arial"/>
        <family val="0"/>
        <charset val="1"/>
      </rPr>
      <t xml:space="preserve">59%→65%</t>
    </r>
    <r>
      <rPr>
        <sz val="10"/>
        <rFont val="Noto Sans CJK SC"/>
        <family val="2"/>
      </rPr>
      <t xml:space="preserve">）；資金端現金與損益連動；服務營收統一；債務上限 </t>
    </r>
    <r>
      <rPr>
        <sz val="10"/>
        <rFont val="Arial"/>
        <family val="0"/>
        <charset val="1"/>
      </rPr>
      <t xml:space="preserve">1.0x</t>
    </r>
  </si>
  <si>
    <r>
      <rPr>
        <sz val="10"/>
        <rFont val="Noto Sans CJK SC"/>
        <family val="2"/>
      </rPr>
      <t xml:space="preserve">債務上限依 </t>
    </r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年實際融資組合校準為主因</t>
    </r>
  </si>
  <si>
    <t xml:space="preserve">v2.2</t>
  </si>
  <si>
    <r>
      <rPr>
        <sz val="10"/>
        <rFont val="Arial"/>
        <family val="0"/>
        <charset val="1"/>
      </rPr>
      <t xml:space="preserve">Comps </t>
    </r>
    <r>
      <rPr>
        <sz val="10"/>
        <rFont val="Noto Sans CJK SC"/>
        <family val="2"/>
      </rPr>
      <t xml:space="preserve">改以 </t>
    </r>
    <r>
      <rPr>
        <sz val="10"/>
        <rFont val="Arial"/>
        <family val="0"/>
        <charset val="1"/>
      </rPr>
      <t xml:space="preserve">EV/Sales </t>
    </r>
    <r>
      <rPr>
        <sz val="10"/>
        <rFont val="Noto Sans CJK SC"/>
        <family val="2"/>
      </rPr>
      <t xml:space="preserve">為主，</t>
    </r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列為參考</t>
    </r>
  </si>
  <si>
    <t xml:space="preserve">$32.4</t>
  </si>
  <si>
    <t xml:space="preserve">v2.1</t>
  </si>
  <si>
    <t xml:space="preserve">更正先前「重複計費」的說法（僅文字）</t>
  </si>
  <si>
    <t xml:space="preserve">v2.0</t>
  </si>
  <si>
    <r>
      <rPr>
        <sz val="10"/>
        <rFont val="Noto Sans CJK SC"/>
        <family val="2"/>
      </rPr>
      <t xml:space="preserve">期前融資瀑布＋稀釋取代透支利息＋扣缺口（債務上限 </t>
    </r>
    <r>
      <rPr>
        <sz val="10"/>
        <rFont val="Arial"/>
        <family val="0"/>
        <charset val="1"/>
      </rPr>
      <t xml:space="preserve">0.4× backlog</t>
    </r>
    <r>
      <rPr>
        <sz val="10"/>
        <rFont val="Noto Sans CJK SC"/>
        <family val="2"/>
      </rPr>
      <t xml:space="preserve">）</t>
    </r>
  </si>
  <si>
    <t xml:space="preserve">股權以高於模型內在價值的價格發行</t>
  </si>
  <si>
    <t xml:space="preserve">v1.9</t>
  </si>
  <si>
    <t xml:space="preserve">09-21</t>
  </si>
  <si>
    <r>
      <rPr>
        <sz val="10"/>
        <rFont val="Noto Sans CJK SC"/>
        <family val="2"/>
      </rPr>
      <t xml:space="preserve">移除 </t>
    </r>
    <r>
      <rPr>
        <sz val="10"/>
        <rFont val="Arial"/>
        <family val="0"/>
        <charset val="1"/>
      </rPr>
      <t xml:space="preserve">EV/Sales</t>
    </r>
    <r>
      <rPr>
        <sz val="10"/>
        <rFont val="Noto Sans CJK SC"/>
        <family val="2"/>
      </rPr>
      <t xml:space="preserve">；現價更新至 </t>
    </r>
    <r>
      <rPr>
        <sz val="10"/>
        <rFont val="Arial"/>
        <family val="0"/>
        <charset val="1"/>
      </rPr>
      <t xml:space="preserve">9/21 </t>
    </r>
    <r>
      <rPr>
        <sz val="10"/>
        <rFont val="Noto Sans CJK SC"/>
        <family val="2"/>
      </rPr>
      <t xml:space="preserve">收盤 </t>
    </r>
    <r>
      <rPr>
        <sz val="10"/>
        <rFont val="Arial"/>
        <family val="0"/>
        <charset val="1"/>
      </rPr>
      <t xml:space="preserve">$85.43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ATM </t>
    </r>
    <r>
      <rPr>
        <sz val="10"/>
        <rFont val="Noto Sans CJK SC"/>
        <family val="2"/>
      </rPr>
      <t xml:space="preserve">價值 </t>
    </r>
    <r>
      <rPr>
        <sz val="10"/>
        <rFont val="Arial"/>
        <family val="0"/>
        <charset val="1"/>
      </rPr>
      <t xml:space="preserve">6.2</t>
    </r>
  </si>
  <si>
    <t xml:space="preserve">$19.5</t>
  </si>
  <si>
    <t xml:space="preserve">股價更新</t>
  </si>
  <si>
    <t xml:space="preserve">v1.8</t>
  </si>
  <si>
    <t xml:space="preserve">09-18</t>
  </si>
  <si>
    <r>
      <rPr>
        <sz val="10"/>
        <rFont val="Noto Sans CJK SC"/>
        <family val="2"/>
      </rPr>
      <t xml:space="preserve">情境改為 </t>
    </r>
    <r>
      <rPr>
        <sz val="10"/>
        <rFont val="Arial"/>
        <family val="0"/>
        <charset val="1"/>
      </rPr>
      <t xml:space="preserve">4.2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5.6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8 GW</t>
    </r>
  </si>
  <si>
    <t xml:space="preserve">$19.3</t>
  </si>
  <si>
    <r>
      <rPr>
        <sz val="10"/>
        <rFont val="Noto Sans CJK SC"/>
        <family val="2"/>
      </rPr>
      <t xml:space="preserve">基準改為 </t>
    </r>
    <r>
      <rPr>
        <sz val="10"/>
        <rFont val="Arial"/>
        <family val="0"/>
        <charset val="1"/>
      </rPr>
      <t xml:space="preserve">5.6 GW</t>
    </r>
  </si>
  <si>
    <t xml:space="preserve">v1.7</t>
  </si>
  <si>
    <r>
      <rPr>
        <sz val="10"/>
        <rFont val="Noto Sans CJK SC"/>
        <family val="2"/>
      </rPr>
      <t xml:space="preserve">權重移至 </t>
    </r>
    <r>
      <rPr>
        <sz val="10"/>
        <rFont val="Arial"/>
        <family val="0"/>
        <charset val="1"/>
      </rPr>
      <t xml:space="preserve">EV/EBITDA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45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55</t>
    </r>
    <r>
      <rPr>
        <sz val="10"/>
        <rFont val="Noto Sans CJK SC"/>
        <family val="2"/>
      </rPr>
      <t xml:space="preserve">）；情境改為擴張力道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8 GW</t>
    </r>
    <r>
      <rPr>
        <sz val="10"/>
        <rFont val="Noto Sans CJK SC"/>
        <family val="2"/>
      </rPr>
      <t xml:space="preserve">；車隊折舊；</t>
    </r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汰換</t>
    </r>
  </si>
  <si>
    <r>
      <rPr>
        <sz val="10"/>
        <rFont val="Noto Sans CJK SC"/>
        <family val="2"/>
      </rPr>
      <t xml:space="preserve">基準改為 </t>
    </r>
    <r>
      <rPr>
        <sz val="10"/>
        <rFont val="Arial"/>
        <family val="0"/>
        <charset val="1"/>
      </rPr>
      <t xml:space="preserve">5 GW</t>
    </r>
    <r>
      <rPr>
        <sz val="10"/>
        <rFont val="Noto Sans CJK SC"/>
        <family val="2"/>
      </rPr>
      <t xml:space="preserve">；情境定義改變，與前版不可直接比較</t>
    </r>
  </si>
  <si>
    <t xml:space="preserve">v1.6</t>
  </si>
  <si>
    <r>
      <rPr>
        <sz val="10"/>
        <rFont val="Arial"/>
        <family val="0"/>
        <charset val="1"/>
      </rPr>
      <t xml:space="preserve">HTML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Excel </t>
    </r>
    <r>
      <rPr>
        <sz val="10"/>
        <rFont val="Noto Sans CJK SC"/>
        <family val="2"/>
      </rPr>
      <t xml:space="preserve">一致性修正 </t>
    </r>
    <r>
      <rPr>
        <sz val="10"/>
        <rFont val="Arial"/>
        <family val="0"/>
        <charset val="1"/>
      </rPr>
      <t xml:space="preserve">7 </t>
    </r>
    <r>
      <rPr>
        <sz val="10"/>
        <rFont val="Noto Sans CJK SC"/>
        <family val="2"/>
      </rPr>
      <t xml:space="preserve">處；</t>
    </r>
    <r>
      <rPr>
        <sz val="10"/>
        <rFont val="Arial"/>
        <family val="0"/>
        <charset val="1"/>
      </rPr>
      <t xml:space="preserve">Comps </t>
    </r>
    <r>
      <rPr>
        <sz val="10"/>
        <rFont val="Noto Sans CJK SC"/>
        <family val="2"/>
      </rPr>
      <t xml:space="preserve">改 </t>
    </r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與 </t>
    </r>
    <r>
      <rPr>
        <sz val="10"/>
        <rFont val="Arial"/>
        <family val="0"/>
        <charset val="1"/>
      </rPr>
      <t xml:space="preserve">P/S</t>
    </r>
  </si>
  <si>
    <t xml:space="preserve">$7.7</t>
  </si>
  <si>
    <t xml:space="preserve">v1.5</t>
  </si>
  <si>
    <r>
      <rPr>
        <sz val="10"/>
        <rFont val="Noto Sans CJK SC"/>
        <family val="2"/>
      </rPr>
      <t xml:space="preserve">回應 </t>
    </r>
    <r>
      <rPr>
        <sz val="10"/>
        <rFont val="Arial"/>
        <family val="0"/>
        <charset val="1"/>
      </rPr>
      <t xml:space="preserve">Andy </t>
    </r>
    <r>
      <rPr>
        <sz val="10"/>
        <rFont val="Noto Sans CJK SC"/>
        <family val="2"/>
      </rPr>
      <t xml:space="preserve">反饋：站點租賃對帳、債務明細、</t>
    </r>
    <r>
      <rPr>
        <sz val="10"/>
        <rFont val="Arial"/>
        <family val="0"/>
        <charset val="1"/>
      </rPr>
      <t xml:space="preserve">JV </t>
    </r>
    <r>
      <rPr>
        <sz val="10"/>
        <rFont val="Noto Sans CJK SC"/>
        <family val="2"/>
      </rPr>
      <t xml:space="preserve">拆分、</t>
    </r>
    <r>
      <rPr>
        <sz val="10"/>
        <rFont val="Arial"/>
        <family val="0"/>
        <charset val="1"/>
      </rPr>
      <t xml:space="preserve">CapEx </t>
    </r>
    <r>
      <rPr>
        <sz val="10"/>
        <rFont val="Noto Sans CJK SC"/>
        <family val="2"/>
      </rPr>
      <t xml:space="preserve">與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連動、刪除受產能約束列</t>
    </r>
  </si>
  <si>
    <r>
      <rPr>
        <sz val="10"/>
        <rFont val="Arial"/>
        <family val="0"/>
        <charset val="1"/>
      </rPr>
      <t xml:space="preserve">CapEx </t>
    </r>
    <r>
      <rPr>
        <sz val="10"/>
        <rFont val="Noto Sans CJK SC"/>
        <family val="2"/>
      </rPr>
      <t xml:space="preserve">連動使模型期 </t>
    </r>
    <r>
      <rPr>
        <sz val="10"/>
        <rFont val="Arial"/>
        <family val="0"/>
        <charset val="1"/>
      </rPr>
      <t xml:space="preserve">CapEx +15.6bn</t>
    </r>
  </si>
  <si>
    <t xml:space="preserve">v1.4</t>
  </si>
  <si>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改完整年度（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實際＋下半年模型）；</t>
    </r>
    <r>
      <rPr>
        <sz val="10"/>
        <rFont val="Arial"/>
        <family val="0"/>
        <charset val="1"/>
      </rPr>
      <t xml:space="preserve">Excel </t>
    </r>
    <r>
      <rPr>
        <sz val="10"/>
        <rFont val="Noto Sans CJK SC"/>
        <family val="2"/>
      </rPr>
      <t xml:space="preserve">式排版；浮動說明；扣缺口列以 </t>
    </r>
    <r>
      <rPr>
        <sz val="10"/>
        <rFont val="Arial"/>
        <family val="0"/>
        <charset val="1"/>
      </rPr>
      <t xml:space="preserve">0 </t>
    </r>
    <r>
      <rPr>
        <sz val="10"/>
        <rFont val="Noto Sans CJK SC"/>
        <family val="2"/>
      </rPr>
      <t xml:space="preserve">為下限</t>
    </r>
  </si>
  <si>
    <t xml:space="preserve">$16</t>
  </si>
  <si>
    <t xml:space="preserve">v1.3</t>
  </si>
  <si>
    <r>
      <rPr>
        <sz val="10"/>
        <rFont val="Noto Sans CJK SC"/>
        <family val="2"/>
      </rPr>
      <t xml:space="preserve">回應 </t>
    </r>
    <r>
      <rPr>
        <sz val="10"/>
        <rFont val="Arial"/>
        <family val="0"/>
        <charset val="1"/>
      </rPr>
      <t xml:space="preserve">Grok </t>
    </r>
    <r>
      <rPr>
        <sz val="10"/>
        <rFont val="Noto Sans CJK SC"/>
        <family val="2"/>
      </rPr>
      <t xml:space="preserve">比較：</t>
    </r>
    <r>
      <rPr>
        <sz val="10"/>
        <rFont val="Arial"/>
        <family val="0"/>
        <charset val="1"/>
      </rPr>
      <t xml:space="preserve">Helios 526 MW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NOL </t>
    </r>
    <r>
      <rPr>
        <sz val="10"/>
        <rFont val="Noto Sans CJK SC"/>
        <family val="2"/>
      </rPr>
      <t xml:space="preserve">遞延稅、服務營收下修、</t>
    </r>
    <r>
      <rPr>
        <sz val="10"/>
        <rFont val="Arial"/>
        <family val="0"/>
        <charset val="1"/>
      </rPr>
      <t xml:space="preserve">2H26 </t>
    </r>
    <r>
      <rPr>
        <sz val="10"/>
        <rFont val="Noto Sans CJK SC"/>
        <family val="2"/>
      </rPr>
      <t xml:space="preserve">利息 </t>
    </r>
    <r>
      <rPr>
        <sz val="10"/>
        <rFont val="Arial"/>
        <family val="0"/>
        <charset val="1"/>
      </rPr>
      <t xml:space="preserve">1.8</t>
    </r>
    <r>
      <rPr>
        <sz val="10"/>
        <rFont val="Noto Sans CJK SC"/>
        <family val="2"/>
      </rPr>
      <t xml:space="preserve">、可轉債淨額 </t>
    </r>
    <r>
      <rPr>
        <sz val="10"/>
        <rFont val="Arial"/>
        <family val="0"/>
        <charset val="1"/>
      </rPr>
      <t xml:space="preserve">3.2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Excel </t>
    </r>
    <r>
      <rPr>
        <sz val="10"/>
        <rFont val="Noto Sans CJK SC"/>
        <family val="2"/>
      </rPr>
      <t xml:space="preserve">版</t>
    </r>
  </si>
  <si>
    <r>
      <rPr>
        <sz val="10"/>
        <rFont val="Arial"/>
        <family val="0"/>
        <charset val="1"/>
      </rPr>
      <t xml:space="preserve">NOL </t>
    </r>
    <r>
      <rPr>
        <sz val="10"/>
        <rFont val="Noto Sans CJK SC"/>
        <family val="2"/>
      </rPr>
      <t xml:space="preserve">與服務營收下修</t>
    </r>
  </si>
  <si>
    <t xml:space="preserve">v1.2</t>
  </si>
  <si>
    <r>
      <rPr>
        <sz val="10"/>
        <rFont val="Noto Sans CJK SC"/>
        <family val="2"/>
      </rPr>
      <t xml:space="preserve">同業 </t>
    </r>
    <r>
      <rPr>
        <sz val="10"/>
        <rFont val="Arial"/>
        <family val="0"/>
        <charset val="1"/>
      </rPr>
      <t xml:space="preserve">EV </t>
    </r>
    <r>
      <rPr>
        <sz val="10"/>
        <rFont val="Noto Sans CJK SC"/>
        <family val="2"/>
      </rPr>
      <t xml:space="preserve">改由 </t>
    </r>
    <r>
      <rPr>
        <sz val="10"/>
        <rFont val="Arial"/>
        <family val="0"/>
        <charset val="1"/>
      </rPr>
      <t xml:space="preserve">SEC </t>
    </r>
    <r>
      <rPr>
        <sz val="10"/>
        <rFont val="Noto Sans CJK SC"/>
        <family val="2"/>
      </rPr>
      <t xml:space="preserve">申報自行計算；新增含租賃 </t>
    </r>
    <r>
      <rPr>
        <sz val="10"/>
        <rFont val="Arial"/>
        <family val="0"/>
        <charset val="1"/>
      </rPr>
      <t xml:space="preserve">EV</t>
    </r>
  </si>
  <si>
    <t xml:space="preserve">$19</t>
  </si>
  <si>
    <t xml:space="preserve">v1.1</t>
  </si>
  <si>
    <r>
      <rPr>
        <sz val="10"/>
        <rFont val="Arial"/>
        <family val="0"/>
        <charset val="1"/>
      </rPr>
      <t xml:space="preserve">Comps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NBIS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IREN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APLD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CORZ</t>
    </r>
    <r>
      <rPr>
        <sz val="10"/>
        <rFont val="Noto Sans CJK SC"/>
        <family val="2"/>
      </rPr>
      <t xml:space="preserve">）、</t>
    </r>
    <r>
      <rPr>
        <sz val="10"/>
        <rFont val="Arial"/>
        <family val="0"/>
        <charset val="1"/>
      </rPr>
      <t xml:space="preserve">CDS 720bps</t>
    </r>
    <r>
      <rPr>
        <sz val="10"/>
        <rFont val="Noto Sans CJK SC"/>
        <family val="2"/>
      </rPr>
      <t xml:space="preserve">、未動用額度開關</t>
    </r>
  </si>
  <si>
    <t xml:space="preserve">v1.0</t>
  </si>
  <si>
    <r>
      <rPr>
        <sz val="10"/>
        <rFont val="Arial"/>
        <family val="0"/>
        <charset val="1"/>
      </rPr>
      <t xml:space="preserve">Oracle </t>
    </r>
    <r>
      <rPr>
        <sz val="10"/>
        <rFont val="Noto Sans CJK SC"/>
        <family val="2"/>
      </rPr>
      <t xml:space="preserve">模板改寫為 </t>
    </r>
    <r>
      <rPr>
        <sz val="10"/>
        <rFont val="Arial"/>
        <family val="0"/>
        <charset val="1"/>
      </rPr>
      <t xml:space="preserve">CoreWeave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2H26–FY30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10-Q</t>
    </r>
    <r>
      <rPr>
        <sz val="10"/>
        <rFont val="Noto Sans CJK SC"/>
        <family val="2"/>
      </rPr>
      <t xml:space="preserve">／法說／</t>
    </r>
    <r>
      <rPr>
        <sz val="10"/>
        <rFont val="Arial"/>
        <family val="0"/>
        <charset val="1"/>
      </rPr>
      <t xml:space="preserve">8-K </t>
    </r>
    <r>
      <rPr>
        <sz val="10"/>
        <rFont val="Noto Sans CJK SC"/>
        <family val="2"/>
      </rPr>
      <t xml:space="preserve">數據</t>
    </r>
  </si>
  <si>
    <r>
      <rPr>
        <sz val="10"/>
        <rFont val="Noto Sans CJK SC"/>
        <family val="2"/>
      </rPr>
      <t xml:space="preserve">基準當時為 </t>
    </r>
    <r>
      <rPr>
        <sz val="10"/>
        <rFont val="Arial"/>
        <family val="0"/>
        <charset val="1"/>
      </rPr>
      <t xml:space="preserve">8 GW</t>
    </r>
  </si>
  <si>
    <t xml:space="preserve">來源與標籤</t>
  </si>
  <si>
    <t xml:space="preserve">標籤</t>
  </si>
  <si>
    <t xml:space="preserve">內容</t>
  </si>
  <si>
    <r>
      <rPr>
        <sz val="10"/>
        <rFont val="Arial"/>
        <family val="0"/>
        <charset val="1"/>
      </rPr>
      <t xml:space="preserve">Q2 2026 10-Q</t>
    </r>
    <r>
      <rPr>
        <sz val="10"/>
        <rFont val="Noto Sans CJK SC"/>
        <family val="2"/>
      </rPr>
      <t xml:space="preserve">（期末 </t>
    </r>
    <r>
      <rPr>
        <sz val="10"/>
        <rFont val="Arial"/>
        <family val="0"/>
        <charset val="1"/>
      </rPr>
      <t xml:space="preserve">2026-06-30</t>
    </r>
    <r>
      <rPr>
        <sz val="10"/>
        <rFont val="Noto Sans CJK SC"/>
        <family val="2"/>
      </rPr>
      <t xml:space="preserve">，</t>
    </r>
    <r>
      <rPr>
        <sz val="10"/>
        <rFont val="Arial"/>
        <family val="0"/>
        <charset val="1"/>
      </rPr>
      <t xml:space="preserve">2026-08-12 </t>
    </r>
    <r>
      <rPr>
        <sz val="10"/>
        <rFont val="Noto Sans CJK SC"/>
        <family val="2"/>
      </rPr>
      <t xml:space="preserve">申報，</t>
    </r>
    <r>
      <rPr>
        <sz val="10"/>
        <rFont val="Arial"/>
        <family val="0"/>
        <charset val="1"/>
      </rPr>
      <t xml:space="preserve">Non-accelerated filer</t>
    </r>
    <r>
      <rPr>
        <sz val="10"/>
        <rFont val="Noto Sans CJK SC"/>
        <family val="2"/>
      </rPr>
      <t xml:space="preserve">，</t>
    </r>
    <r>
      <rPr>
        <sz val="10"/>
        <rFont val="Arial"/>
        <family val="0"/>
        <charset val="1"/>
      </rPr>
      <t xml:space="preserve">Q3 </t>
    </r>
    <r>
      <rPr>
        <sz val="10"/>
        <rFont val="Noto Sans CJK SC"/>
        <family val="2"/>
      </rPr>
      <t xml:space="preserve">期限 </t>
    </r>
    <r>
      <rPr>
        <sz val="10"/>
        <rFont val="Arial"/>
        <family val="0"/>
        <charset val="1"/>
      </rPr>
      <t xml:space="preserve">11/16</t>
    </r>
    <r>
      <rPr>
        <sz val="10"/>
        <rFont val="Noto Sans CJK SC"/>
        <family val="2"/>
      </rPr>
      <t xml:space="preserve">）：營收 </t>
    </r>
    <r>
      <rPr>
        <sz val="10"/>
        <rFont val="Arial"/>
        <family val="0"/>
        <charset val="1"/>
      </rPr>
      <t xml:space="preserve">2.575bn +112%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H1 4.653</t>
    </r>
    <r>
      <rPr>
        <sz val="10"/>
        <rFont val="Noto Sans CJK SC"/>
        <family val="2"/>
      </rPr>
      <t xml:space="preserve">）；</t>
    </r>
    <r>
      <rPr>
        <sz val="10"/>
        <rFont val="Arial"/>
        <family val="0"/>
        <charset val="1"/>
      </rPr>
      <t xml:space="preserve">GAAP </t>
    </r>
    <r>
      <rPr>
        <sz val="10"/>
        <rFont val="Noto Sans CJK SC"/>
        <family val="2"/>
      </rPr>
      <t xml:space="preserve">營損 −</t>
    </r>
    <r>
      <rPr>
        <sz val="10"/>
        <rFont val="Arial"/>
        <family val="0"/>
        <charset val="1"/>
      </rPr>
      <t xml:space="preserve">0.049</t>
    </r>
    <r>
      <rPr>
        <sz val="10"/>
        <rFont val="Noto Sans CJK SC"/>
        <family val="2"/>
      </rPr>
      <t xml:space="preserve">；利息費用 </t>
    </r>
    <r>
      <rPr>
        <sz val="10"/>
        <rFont val="Arial"/>
        <family val="0"/>
        <charset val="1"/>
      </rPr>
      <t xml:space="preserve">0.640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H1 1.176</t>
    </r>
    <r>
      <rPr>
        <sz val="10"/>
        <rFont val="Noto Sans CJK SC"/>
        <family val="2"/>
      </rPr>
      <t xml:space="preserve">，現金 </t>
    </r>
    <r>
      <rPr>
        <sz val="10"/>
        <rFont val="Arial"/>
        <family val="0"/>
        <charset val="1"/>
      </rPr>
      <t xml:space="preserve">0.806</t>
    </r>
    <r>
      <rPr>
        <sz val="10"/>
        <rFont val="Noto Sans CJK SC"/>
        <family val="2"/>
      </rPr>
      <t xml:space="preserve">、資本化 </t>
    </r>
    <r>
      <rPr>
        <sz val="10"/>
        <rFont val="Arial"/>
        <family val="0"/>
        <charset val="1"/>
      </rPr>
      <t xml:space="preserve">0.176</t>
    </r>
    <r>
      <rPr>
        <sz val="10"/>
        <rFont val="Noto Sans CJK SC"/>
        <family val="2"/>
      </rPr>
      <t xml:space="preserve">）；淨損 −</t>
    </r>
    <r>
      <rPr>
        <sz val="10"/>
        <rFont val="Arial"/>
        <family val="0"/>
        <charset val="1"/>
      </rPr>
      <t xml:space="preserve">0.626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Adj. EBITDA 1.510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59%</t>
    </r>
    <r>
      <rPr>
        <sz val="10"/>
        <rFont val="Noto Sans CJK SC"/>
        <family val="2"/>
      </rPr>
      <t xml:space="preserve">）；</t>
    </r>
    <r>
      <rPr>
        <sz val="10"/>
        <rFont val="Arial"/>
        <family val="0"/>
        <charset val="1"/>
      </rPr>
      <t xml:space="preserve">SBC 0.165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D&amp;A 1.393</t>
    </r>
    <r>
      <rPr>
        <sz val="10"/>
        <rFont val="Noto Sans CJK SC"/>
        <family val="2"/>
      </rPr>
      <t xml:space="preserve">；營業租賃成本 </t>
    </r>
    <r>
      <rPr>
        <sz val="10"/>
        <rFont val="Arial"/>
        <family val="0"/>
        <charset val="1"/>
      </rPr>
      <t xml:space="preserve">0.500</t>
    </r>
    <r>
      <rPr>
        <sz val="10"/>
        <rFont val="Noto Sans CJK SC"/>
        <family val="2"/>
      </rPr>
      <t xml:space="preserve">、變動租賃 </t>
    </r>
    <r>
      <rPr>
        <sz val="10"/>
        <rFont val="Arial"/>
        <family val="0"/>
        <charset val="1"/>
      </rPr>
      <t xml:space="preserve">0.150</t>
    </r>
    <r>
      <rPr>
        <sz val="10"/>
        <rFont val="Noto Sans CJK SC"/>
        <family val="2"/>
      </rPr>
      <t xml:space="preserve">。</t>
    </r>
  </si>
  <si>
    <r>
      <rPr>
        <sz val="10"/>
        <rFont val="Noto Sans CJK SC"/>
        <family val="2"/>
      </rPr>
      <t xml:space="preserve">資產負債：現金 </t>
    </r>
    <r>
      <rPr>
        <sz val="10"/>
        <rFont val="Arial"/>
        <family val="0"/>
        <charset val="1"/>
      </rPr>
      <t xml:space="preserve">5.524</t>
    </r>
    <r>
      <rPr>
        <sz val="10"/>
        <rFont val="Noto Sans CJK SC"/>
        <family val="2"/>
      </rPr>
      <t xml:space="preserve">、受限 </t>
    </r>
    <r>
      <rPr>
        <sz val="10"/>
        <rFont val="Arial"/>
        <family val="0"/>
        <charset val="1"/>
      </rPr>
      <t xml:space="preserve">1.380</t>
    </r>
    <r>
      <rPr>
        <sz val="10"/>
        <rFont val="Noto Sans CJK SC"/>
        <family val="2"/>
      </rPr>
      <t xml:space="preserve">、有價證券 </t>
    </r>
    <r>
      <rPr>
        <sz val="10"/>
        <rFont val="Arial"/>
        <family val="0"/>
        <charset val="1"/>
      </rPr>
      <t xml:space="preserve">0.015</t>
    </r>
    <r>
      <rPr>
        <sz val="10"/>
        <rFont val="Noto Sans CJK SC"/>
        <family val="2"/>
      </rPr>
      <t xml:space="preserve">、可用額度 </t>
    </r>
    <r>
      <rPr>
        <sz val="10"/>
        <rFont val="Arial"/>
        <family val="0"/>
        <charset val="1"/>
      </rPr>
      <t xml:space="preserve">10.014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PP&amp;E 46.736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CIP 11.9</t>
    </r>
    <r>
      <rPr>
        <sz val="10"/>
        <rFont val="Noto Sans CJK SC"/>
        <family val="2"/>
      </rPr>
      <t xml:space="preserve">）；營業 </t>
    </r>
    <r>
      <rPr>
        <sz val="10"/>
        <rFont val="Arial"/>
        <family val="0"/>
        <charset val="1"/>
      </rPr>
      <t xml:space="preserve">ROU 16.595</t>
    </r>
    <r>
      <rPr>
        <sz val="10"/>
        <rFont val="Noto Sans CJK SC"/>
        <family val="2"/>
      </rPr>
      <t xml:space="preserve">；遞延收入 </t>
    </r>
    <r>
      <rPr>
        <sz val="10"/>
        <rFont val="Arial"/>
        <family val="0"/>
        <charset val="1"/>
      </rPr>
      <t xml:space="preserve">9.692</t>
    </r>
    <r>
      <rPr>
        <sz val="10"/>
        <rFont val="Noto Sans CJK SC"/>
        <family val="2"/>
      </rPr>
      <t xml:space="preserve">；債務本金 </t>
    </r>
    <r>
      <rPr>
        <sz val="10"/>
        <rFont val="Arial"/>
        <family val="0"/>
        <charset val="1"/>
      </rPr>
      <t xml:space="preserve">35.551</t>
    </r>
    <r>
      <rPr>
        <sz val="10"/>
        <rFont val="Noto Sans CJK SC"/>
        <family val="2"/>
      </rPr>
      <t xml:space="preserve">（追索淨 </t>
    </r>
    <r>
      <rPr>
        <sz val="10"/>
        <rFont val="Arial"/>
        <family val="0"/>
        <charset val="1"/>
      </rPr>
      <t xml:space="preserve">31.405</t>
    </r>
    <r>
      <rPr>
        <sz val="10"/>
        <rFont val="Noto Sans CJK SC"/>
        <family val="2"/>
      </rPr>
      <t xml:space="preserve">／非追索 </t>
    </r>
    <r>
      <rPr>
        <sz val="10"/>
        <rFont val="Arial"/>
        <family val="0"/>
        <charset val="1"/>
      </rPr>
      <t xml:space="preserve">3.663</t>
    </r>
    <r>
      <rPr>
        <sz val="10"/>
        <rFont val="Noto Sans CJK SC"/>
        <family val="2"/>
      </rPr>
      <t xml:space="preserve">）；股東權益 </t>
    </r>
    <r>
      <rPr>
        <sz val="10"/>
        <rFont val="Arial"/>
        <family val="0"/>
        <charset val="1"/>
      </rPr>
      <t xml:space="preserve">5.024</t>
    </r>
    <r>
      <rPr>
        <sz val="10"/>
        <rFont val="Noto Sans CJK SC"/>
        <family val="2"/>
      </rPr>
      <t xml:space="preserve">。</t>
    </r>
  </si>
  <si>
    <r>
      <rPr>
        <sz val="10"/>
        <rFont val="Arial"/>
        <family val="0"/>
        <charset val="1"/>
      </rPr>
      <t xml:space="preserve">RPO 103.7bn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backlog 104.2</t>
    </r>
    <r>
      <rPr>
        <sz val="10"/>
        <rFont val="Noto Sans CJK SC"/>
        <family val="2"/>
      </rPr>
      <t xml:space="preserve">）：</t>
    </r>
    <r>
      <rPr>
        <sz val="10"/>
        <rFont val="Arial"/>
        <family val="0"/>
        <charset val="1"/>
      </rPr>
      <t xml:space="preserve">41% </t>
    </r>
    <r>
      <rPr>
        <sz val="10"/>
        <rFont val="Noto Sans CJK SC"/>
        <family val="2"/>
      </rPr>
      <t xml:space="preserve">於 </t>
    </r>
    <r>
      <rPr>
        <sz val="10"/>
        <rFont val="Arial"/>
        <family val="0"/>
        <charset val="1"/>
      </rPr>
      <t xml:space="preserve">2028-06 </t>
    </r>
    <r>
      <rPr>
        <sz val="10"/>
        <rFont val="Noto Sans CJK SC"/>
        <family val="2"/>
      </rPr>
      <t xml:space="preserve">前、</t>
    </r>
    <r>
      <rPr>
        <sz val="10"/>
        <rFont val="Arial"/>
        <family val="0"/>
        <charset val="1"/>
      </rPr>
      <t xml:space="preserve">39% </t>
    </r>
    <r>
      <rPr>
        <sz val="10"/>
        <rFont val="Noto Sans CJK SC"/>
        <family val="2"/>
      </rPr>
      <t xml:space="preserve">於 </t>
    </r>
    <r>
      <rPr>
        <sz val="10"/>
        <rFont val="Arial"/>
        <family val="0"/>
        <charset val="1"/>
      </rPr>
      <t xml:space="preserve">25–48 </t>
    </r>
    <r>
      <rPr>
        <sz val="10"/>
        <rFont val="Noto Sans CJK SC"/>
        <family val="2"/>
      </rPr>
      <t xml:space="preserve">月、</t>
    </r>
    <r>
      <rPr>
        <sz val="10"/>
        <rFont val="Arial"/>
        <family val="0"/>
        <charset val="1"/>
      </rPr>
      <t xml:space="preserve">20% </t>
    </r>
    <r>
      <rPr>
        <sz val="10"/>
        <rFont val="Noto Sans CJK SC"/>
        <family val="2"/>
      </rPr>
      <t xml:space="preserve">於 </t>
    </r>
    <r>
      <rPr>
        <sz val="10"/>
        <rFont val="Arial"/>
        <family val="0"/>
        <charset val="1"/>
      </rPr>
      <t xml:space="preserve">49–78 </t>
    </r>
    <r>
      <rPr>
        <sz val="10"/>
        <rFont val="Noto Sans CJK SC"/>
        <family val="2"/>
      </rPr>
      <t xml:space="preserve">月。客戶集中：</t>
    </r>
    <r>
      <rPr>
        <sz val="10"/>
        <rFont val="Arial"/>
        <family val="0"/>
        <charset val="1"/>
      </rPr>
      <t xml:space="preserve">A 36%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B 26%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C 10%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OpenAI </t>
    </r>
    <r>
      <rPr>
        <sz val="10"/>
        <rFont val="Noto Sans CJK SC"/>
        <family val="2"/>
      </rPr>
      <t xml:space="preserve">最高 </t>
    </r>
    <r>
      <rPr>
        <sz val="10"/>
        <rFont val="Arial"/>
        <family val="0"/>
        <charset val="1"/>
      </rPr>
      <t xml:space="preserve">6.5bn </t>
    </r>
    <r>
      <rPr>
        <sz val="10"/>
        <rFont val="Noto Sans CJK SC"/>
        <family val="2"/>
      </rPr>
      <t xml:space="preserve">至 </t>
    </r>
    <r>
      <rPr>
        <sz val="10"/>
        <rFont val="Arial"/>
        <family val="0"/>
        <charset val="1"/>
      </rPr>
      <t xml:space="preserve">2031-05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Meta </t>
    </r>
    <r>
      <rPr>
        <sz val="10"/>
        <rFont val="Noto Sans CJK SC"/>
        <family val="2"/>
      </rPr>
      <t xml:space="preserve">最高 </t>
    </r>
    <r>
      <rPr>
        <sz val="10"/>
        <rFont val="Arial"/>
        <family val="0"/>
        <charset val="1"/>
      </rPr>
      <t xml:space="preserve">21.0bn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Jane Street </t>
    </r>
    <r>
      <rPr>
        <sz val="10"/>
        <rFont val="Noto Sans CJK SC"/>
        <family val="2"/>
      </rPr>
      <t xml:space="preserve">約 </t>
    </r>
    <r>
      <rPr>
        <sz val="10"/>
        <rFont val="Arial"/>
        <family val="0"/>
        <charset val="1"/>
      </rPr>
      <t xml:space="preserve">6.0bn</t>
    </r>
    <r>
      <rPr>
        <sz val="10"/>
        <rFont val="Noto Sans CJK SC"/>
        <family val="2"/>
      </rPr>
      <t xml:space="preserve">。</t>
    </r>
  </si>
  <si>
    <r>
      <rPr>
        <sz val="10"/>
        <rFont val="Noto Sans CJK SC"/>
        <family val="2"/>
      </rPr>
      <t xml:space="preserve">租賃與承諾：在帳未折現 </t>
    </r>
    <r>
      <rPr>
        <sz val="10"/>
        <rFont val="Arial"/>
        <family val="0"/>
        <charset val="1"/>
      </rPr>
      <t xml:space="preserve">29.135</t>
    </r>
    <r>
      <rPr>
        <sz val="10"/>
        <rFont val="Noto Sans CJK SC"/>
        <family val="2"/>
      </rPr>
      <t xml:space="preserve">（營業）＋</t>
    </r>
    <r>
      <rPr>
        <sz val="10"/>
        <rFont val="Arial"/>
        <family val="0"/>
        <charset val="1"/>
      </rPr>
      <t xml:space="preserve">0.235</t>
    </r>
    <r>
      <rPr>
        <sz val="10"/>
        <rFont val="Noto Sans CJK SC"/>
        <family val="2"/>
      </rPr>
      <t xml:space="preserve">（融資），</t>
    </r>
    <r>
      <rPr>
        <sz val="10"/>
        <rFont val="Arial"/>
        <family val="0"/>
        <charset val="1"/>
      </rPr>
      <t xml:space="preserve">2030 </t>
    </r>
    <r>
      <rPr>
        <sz val="10"/>
        <rFont val="Noto Sans CJK SC"/>
        <family val="2"/>
      </rPr>
      <t xml:space="preserve">後 </t>
    </r>
    <r>
      <rPr>
        <sz val="10"/>
        <rFont val="Arial"/>
        <family val="0"/>
        <charset val="1"/>
      </rPr>
      <t xml:space="preserve">19.023</t>
    </r>
    <r>
      <rPr>
        <sz val="10"/>
        <rFont val="Noto Sans CJK SC"/>
        <family val="2"/>
      </rPr>
      <t xml:space="preserve">；未起租租賃 </t>
    </r>
    <r>
      <rPr>
        <sz val="10"/>
        <rFont val="Arial"/>
        <family val="0"/>
        <charset val="1"/>
      </rPr>
      <t xml:space="preserve">35.5</t>
    </r>
    <r>
      <rPr>
        <sz val="10"/>
        <rFont val="Noto Sans CJK SC"/>
        <family val="2"/>
      </rPr>
      <t xml:space="preserve">；單站 </t>
    </r>
    <r>
      <rPr>
        <sz val="10"/>
        <rFont val="Arial"/>
        <family val="0"/>
        <charset val="1"/>
      </rPr>
      <t xml:space="preserve">393 MW </t>
    </r>
    <r>
      <rPr>
        <sz val="10"/>
        <rFont val="Noto Sans CJK SC"/>
        <family val="2"/>
      </rPr>
      <t xml:space="preserve">按造價計租上限 </t>
    </r>
    <r>
      <rPr>
        <sz val="10"/>
        <rFont val="Arial"/>
        <family val="0"/>
        <charset val="1"/>
      </rPr>
      <t xml:space="preserve">14.7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16 </t>
    </r>
    <r>
      <rPr>
        <sz val="10"/>
        <rFont val="Noto Sans CJK SC"/>
        <family val="2"/>
      </rPr>
      <t xml:space="preserve">年；</t>
    </r>
    <r>
      <rPr>
        <sz val="10"/>
        <rFont val="Arial"/>
        <family val="0"/>
        <charset val="1"/>
      </rPr>
      <t xml:space="preserve">355 MW </t>
    </r>
    <r>
      <rPr>
        <sz val="10"/>
        <rFont val="Noto Sans CJK SC"/>
        <family val="2"/>
      </rPr>
      <t xml:space="preserve">按造價計租（未定）；自備設備 </t>
    </r>
    <r>
      <rPr>
        <sz val="10"/>
        <rFont val="Arial"/>
        <family val="0"/>
        <charset val="1"/>
      </rPr>
      <t xml:space="preserve">0.5–1.2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JV </t>
    </r>
    <r>
      <rPr>
        <sz val="10"/>
        <rFont val="Noto Sans CJK SC"/>
        <family val="2"/>
      </rPr>
      <t xml:space="preserve">承諾 </t>
    </r>
    <r>
      <rPr>
        <sz val="10"/>
        <rFont val="Arial"/>
        <family val="0"/>
        <charset val="1"/>
      </rPr>
      <t xml:space="preserve">1.7</t>
    </r>
    <r>
      <rPr>
        <sz val="10"/>
        <rFont val="Noto Sans CJK SC"/>
        <family val="2"/>
      </rPr>
      <t xml:space="preserve">（已付 </t>
    </r>
    <r>
      <rPr>
        <sz val="10"/>
        <rFont val="Arial"/>
        <family val="0"/>
        <charset val="1"/>
      </rPr>
      <t xml:space="preserve">0.55</t>
    </r>
    <r>
      <rPr>
        <sz val="10"/>
        <rFont val="Noto Sans CJK SC"/>
        <family val="2"/>
      </rPr>
      <t xml:space="preserve">）；</t>
    </r>
    <r>
      <rPr>
        <sz val="10"/>
        <rFont val="Arial"/>
        <family val="0"/>
        <charset val="1"/>
      </rPr>
      <t xml:space="preserve">VIE 0.108</t>
    </r>
    <r>
      <rPr>
        <sz val="10"/>
        <rFont val="Noto Sans CJK SC"/>
        <family val="2"/>
      </rPr>
      <t xml:space="preserve">。</t>
    </r>
  </si>
  <si>
    <r>
      <rPr>
        <sz val="10"/>
        <rFont val="Noto Sans CJK SC"/>
        <family val="2"/>
      </rPr>
      <t xml:space="preserve">現金流（</t>
    </r>
    <r>
      <rPr>
        <sz val="10"/>
        <rFont val="Arial"/>
        <family val="0"/>
        <charset val="1"/>
      </rPr>
      <t xml:space="preserve">H1</t>
    </r>
    <r>
      <rPr>
        <sz val="10"/>
        <rFont val="Noto Sans CJK SC"/>
        <family val="2"/>
      </rPr>
      <t xml:space="preserve">）：</t>
    </r>
    <r>
      <rPr>
        <sz val="10"/>
        <rFont val="Arial"/>
        <family val="0"/>
        <charset val="1"/>
      </rPr>
      <t xml:space="preserve">CFO 3.663</t>
    </r>
    <r>
      <rPr>
        <sz val="10"/>
        <rFont val="Noto Sans CJK SC"/>
        <family val="2"/>
      </rPr>
      <t xml:space="preserve">；現金購置 </t>
    </r>
    <r>
      <rPr>
        <sz val="10"/>
        <rFont val="Arial"/>
        <family val="0"/>
        <charset val="1"/>
      </rPr>
      <t xml:space="preserve">PP&amp;E 14.117</t>
    </r>
    <r>
      <rPr>
        <sz val="10"/>
        <rFont val="Noto Sans CJK SC"/>
        <family val="2"/>
      </rPr>
      <t xml:space="preserve">；借款 </t>
    </r>
    <r>
      <rPr>
        <sz val="10"/>
        <rFont val="Arial"/>
        <family val="0"/>
        <charset val="1"/>
      </rPr>
      <t xml:space="preserve">16.747</t>
    </r>
    <r>
      <rPr>
        <sz val="10"/>
        <rFont val="Noto Sans CJK SC"/>
        <family val="2"/>
      </rPr>
      <t xml:space="preserve">、還款 </t>
    </r>
    <r>
      <rPr>
        <sz val="10"/>
        <rFont val="Arial"/>
        <family val="0"/>
        <charset val="1"/>
      </rPr>
      <t xml:space="preserve">5.219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capped call 0.492</t>
    </r>
    <r>
      <rPr>
        <sz val="10"/>
        <rFont val="Noto Sans CJK SC"/>
        <family val="2"/>
      </rPr>
      <t xml:space="preserve">；私募股權 </t>
    </r>
    <r>
      <rPr>
        <sz val="10"/>
        <rFont val="Arial"/>
        <family val="0"/>
        <charset val="1"/>
      </rPr>
      <t xml:space="preserve">2.982</t>
    </r>
    <r>
      <rPr>
        <sz val="10"/>
        <rFont val="Noto Sans CJK SC"/>
        <family val="2"/>
      </rPr>
      <t xml:space="preserve">。</t>
    </r>
    <r>
      <rPr>
        <sz val="10"/>
        <rFont val="Arial"/>
        <family val="0"/>
        <charset val="1"/>
      </rPr>
      <t xml:space="preserve">CapEx </t>
    </r>
    <r>
      <rPr>
        <sz val="10"/>
        <rFont val="Noto Sans CJK SC"/>
        <family val="2"/>
      </rPr>
      <t xml:space="preserve">認列口徑 </t>
    </r>
    <r>
      <rPr>
        <sz val="10"/>
        <rFont val="Arial"/>
        <family val="0"/>
        <charset val="1"/>
      </rPr>
      <t xml:space="preserve">Q2 9.352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H1 16.139</t>
    </r>
    <r>
      <rPr>
        <sz val="10"/>
        <rFont val="Noto Sans CJK SC"/>
        <family val="2"/>
      </rPr>
      <t xml:space="preserve">。</t>
    </r>
  </si>
  <si>
    <r>
      <rPr>
        <sz val="10"/>
        <rFont val="Arial"/>
        <family val="0"/>
        <charset val="1"/>
      </rPr>
      <t xml:space="preserve">9/17 8-K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2033 </t>
    </r>
    <r>
      <rPr>
        <sz val="10"/>
        <rFont val="Noto Sans CJK SC"/>
        <family val="2"/>
      </rPr>
      <t xml:space="preserve">可轉債 </t>
    </r>
    <r>
      <rPr>
        <sz val="10"/>
        <rFont val="Arial"/>
        <family val="0"/>
        <charset val="1"/>
      </rPr>
      <t xml:space="preserve">3.7bn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2.875%</t>
    </r>
    <r>
      <rPr>
        <sz val="10"/>
        <rFont val="Noto Sans CJK SC"/>
        <family val="2"/>
      </rPr>
      <t xml:space="preserve">、轉換價 </t>
    </r>
    <r>
      <rPr>
        <sz val="10"/>
        <rFont val="Arial"/>
        <family val="0"/>
        <charset val="1"/>
      </rPr>
      <t xml:space="preserve">$97.85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capped call </t>
    </r>
    <r>
      <rPr>
        <sz val="10"/>
        <rFont val="Noto Sans CJK SC"/>
        <family val="2"/>
      </rPr>
      <t xml:space="preserve">上限 </t>
    </r>
    <r>
      <rPr>
        <sz val="10"/>
        <rFont val="Arial"/>
        <family val="0"/>
        <charset val="1"/>
      </rPr>
      <t xml:space="preserve">$199.70</t>
    </r>
    <r>
      <rPr>
        <sz val="10"/>
        <rFont val="Noto Sans CJK SC"/>
        <family val="2"/>
      </rPr>
      <t xml:space="preserve">；股權分銷最多 </t>
    </r>
    <r>
      <rPr>
        <sz val="10"/>
        <rFont val="Arial"/>
        <family val="0"/>
        <charset val="1"/>
      </rPr>
      <t xml:space="preserve">35m </t>
    </r>
    <r>
      <rPr>
        <sz val="10"/>
        <rFont val="Noto Sans CJK SC"/>
        <family val="2"/>
      </rPr>
      <t xml:space="preserve">股；</t>
    </r>
    <r>
      <rPr>
        <sz val="10"/>
        <rFont val="Arial"/>
        <family val="0"/>
        <charset val="1"/>
      </rPr>
      <t xml:space="preserve">9/17 </t>
    </r>
    <r>
      <rPr>
        <sz val="10"/>
        <rFont val="Noto Sans CJK SC"/>
        <family val="2"/>
      </rPr>
      <t xml:space="preserve">收盤 </t>
    </r>
    <r>
      <rPr>
        <sz val="10"/>
        <rFont val="Arial"/>
        <family val="0"/>
        <charset val="1"/>
      </rPr>
      <t xml:space="preserve">$79.88</t>
    </r>
    <r>
      <rPr>
        <sz val="10"/>
        <rFont val="Noto Sans CJK SC"/>
        <family val="2"/>
      </rPr>
      <t xml:space="preserve">。</t>
    </r>
  </si>
  <si>
    <r>
      <rPr>
        <sz val="10"/>
        <rFont val="Noto Sans CJK SC"/>
        <family val="2"/>
      </rPr>
      <t xml:space="preserve">市值（</t>
    </r>
    <r>
      <rPr>
        <sz val="10"/>
        <rFont val="Arial"/>
        <family val="0"/>
        <charset val="1"/>
      </rPr>
      <t xml:space="preserve">2026-09-21 </t>
    </r>
    <r>
      <rPr>
        <sz val="10"/>
        <rFont val="Noto Sans CJK SC"/>
        <family val="2"/>
      </rPr>
      <t xml:space="preserve">收盤，</t>
    </r>
    <r>
      <rPr>
        <sz val="10"/>
        <rFont val="Arial"/>
        <family val="0"/>
        <charset val="1"/>
      </rPr>
      <t xml:space="preserve">S&amp;P Global via stockanalysis.com</t>
    </r>
    <r>
      <rPr>
        <sz val="10"/>
        <rFont val="Noto Sans CJK SC"/>
        <family val="2"/>
      </rPr>
      <t xml:space="preserve">）：</t>
    </r>
    <r>
      <rPr>
        <sz val="10"/>
        <rFont val="Arial"/>
        <family val="0"/>
        <charset val="1"/>
      </rPr>
      <t xml:space="preserve">CRWV </t>
    </r>
    <r>
      <rPr>
        <sz val="10"/>
        <rFont val="Noto Sans CJK SC"/>
        <family val="2"/>
      </rPr>
      <t xml:space="preserve">現價 </t>
    </r>
    <r>
      <rPr>
        <sz val="10"/>
        <rFont val="Arial"/>
        <family val="0"/>
        <charset val="1"/>
      </rPr>
      <t xml:space="preserve">$90.13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2026-09-24 </t>
    </r>
    <r>
      <rPr>
        <sz val="10"/>
        <rFont val="Noto Sans CJK SC"/>
        <family val="2"/>
      </rPr>
      <t xml:space="preserve">收盤）、市值 </t>
    </r>
    <r>
      <rPr>
        <sz val="10"/>
        <rFont val="Arial"/>
        <family val="0"/>
        <charset val="1"/>
      </rPr>
      <t xml:space="preserve">47.12bn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2026-09-21</t>
    </r>
    <r>
      <rPr>
        <sz val="10"/>
        <rFont val="Noto Sans CJK SC"/>
        <family val="2"/>
      </rPr>
      <t xml:space="preserve">）、流通 </t>
    </r>
    <r>
      <rPr>
        <sz val="10"/>
        <rFont val="Arial"/>
        <family val="0"/>
        <charset val="1"/>
      </rPr>
      <t xml:space="preserve">551.54m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NBIS 63.81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IREN 18.61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APLD 8.22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CORZ 5.90</t>
    </r>
    <r>
      <rPr>
        <sz val="10"/>
        <rFont val="Noto Sans CJK SC"/>
        <family val="2"/>
      </rPr>
      <t xml:space="preserve">。淨負債取各公司最新申報：</t>
    </r>
    <r>
      <rPr>
        <sz val="10"/>
        <rFont val="Arial"/>
        <family val="0"/>
        <charset val="1"/>
      </rPr>
      <t xml:space="preserve">NBIS 2.16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IREN 1.70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APLD 3.37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CORZ 2.53</t>
    </r>
    <r>
      <rPr>
        <sz val="10"/>
        <rFont val="Noto Sans CJK SC"/>
        <family val="2"/>
      </rPr>
      <t xml:space="preserve">。</t>
    </r>
  </si>
  <si>
    <r>
      <rPr>
        <sz val="10"/>
        <rFont val="Noto Sans CJK SC"/>
        <family val="2"/>
      </rPr>
      <t xml:space="preserve">賣方目標價（</t>
    </r>
    <r>
      <rPr>
        <sz val="10"/>
        <rFont val="Arial"/>
        <family val="0"/>
        <charset val="1"/>
      </rPr>
      <t xml:space="preserve">S&amp;P Global Market Intelligence</t>
    </r>
    <r>
      <rPr>
        <sz val="10"/>
        <rFont val="Noto Sans CJK SC"/>
        <family val="2"/>
      </rPr>
      <t xml:space="preserve">（經 </t>
    </r>
    <r>
      <rPr>
        <sz val="10"/>
        <rFont val="Arial"/>
        <family val="0"/>
        <charset val="1"/>
      </rPr>
      <t xml:space="preserve">StockAnalysis.com</t>
    </r>
    <r>
      <rPr>
        <sz val="10"/>
        <rFont val="Noto Sans CJK SC"/>
        <family val="2"/>
      </rPr>
      <t xml:space="preserve">），擷取 </t>
    </r>
    <r>
      <rPr>
        <sz val="10"/>
        <rFont val="Arial"/>
        <family val="0"/>
        <charset val="1"/>
      </rPr>
      <t xml:space="preserve">2026-09-25</t>
    </r>
    <r>
      <rPr>
        <sz val="10"/>
        <rFont val="Noto Sans CJK SC"/>
        <family val="2"/>
      </rPr>
      <t xml:space="preserve">）：平均 </t>
    </r>
    <r>
      <rPr>
        <sz val="10"/>
        <rFont val="Arial"/>
        <family val="0"/>
        <charset val="1"/>
      </rPr>
      <t xml:space="preserve">$140.81</t>
    </r>
    <r>
      <rPr>
        <sz val="10"/>
        <rFont val="Noto Sans CJK SC"/>
        <family val="2"/>
      </rPr>
      <t xml:space="preserve">、中位數 </t>
    </r>
    <r>
      <rPr>
        <sz val="10"/>
        <rFont val="Arial"/>
        <family val="0"/>
        <charset val="1"/>
      </rPr>
      <t xml:space="preserve">$140.00</t>
    </r>
    <r>
      <rPr>
        <sz val="10"/>
        <rFont val="Noto Sans CJK SC"/>
        <family val="2"/>
      </rPr>
      <t xml:space="preserve">、區間 </t>
    </r>
    <r>
      <rPr>
        <sz val="10"/>
        <rFont val="Arial"/>
        <family val="0"/>
        <charset val="1"/>
      </rPr>
      <t xml:space="preserve">$39.00–$317.00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40 </t>
    </r>
    <r>
      <rPr>
        <sz val="10"/>
        <rFont val="Noto Sans CJK SC"/>
        <family val="2"/>
      </rPr>
      <t xml:space="preserve">家）；共識評等 </t>
    </r>
    <r>
      <rPr>
        <sz val="10"/>
        <rFont val="Arial"/>
        <family val="0"/>
        <charset val="1"/>
      </rPr>
      <t xml:space="preserve">Buy</t>
    </r>
    <r>
      <rPr>
        <sz val="10"/>
        <rFont val="Noto Sans CJK SC"/>
        <family val="2"/>
      </rPr>
      <t xml:space="preserve">。對照 </t>
    </r>
    <r>
      <rPr>
        <sz val="10"/>
        <rFont val="Arial"/>
        <family val="0"/>
        <charset val="1"/>
      </rPr>
      <t xml:space="preserve">MarketScreener</t>
    </r>
    <r>
      <rPr>
        <sz val="10"/>
        <rFont val="Noto Sans CJK SC"/>
        <family val="2"/>
      </rPr>
      <t xml:space="preserve">（同為 </t>
    </r>
    <r>
      <rPr>
        <sz val="10"/>
        <rFont val="Arial"/>
        <family val="0"/>
        <charset val="1"/>
      </rPr>
      <t xml:space="preserve">S&amp;P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FactSet </t>
    </r>
    <r>
      <rPr>
        <sz val="10"/>
        <rFont val="Noto Sans CJK SC"/>
        <family val="2"/>
      </rPr>
      <t xml:space="preserve">資料，非獨立）：平均 </t>
    </r>
    <r>
      <rPr>
        <sz val="10"/>
        <rFont val="Arial"/>
        <family val="0"/>
        <charset val="1"/>
      </rPr>
      <t xml:space="preserve">$140.95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40 </t>
    </r>
    <r>
      <rPr>
        <sz val="10"/>
        <rFont val="Noto Sans CJK SC"/>
        <family val="2"/>
      </rPr>
      <t xml:space="preserve">家，</t>
    </r>
    <r>
      <rPr>
        <sz val="10"/>
        <rFont val="Arial"/>
        <family val="0"/>
        <charset val="1"/>
      </rPr>
      <t xml:space="preserve">Outperform</t>
    </r>
    <r>
      <rPr>
        <sz val="10"/>
        <rFont val="Noto Sans CJK SC"/>
        <family val="2"/>
      </rPr>
      <t xml:space="preserve">）。數字為賣方意見；逐筆來源與日期見『輸入與假設』</t>
    </r>
    <r>
      <rPr>
        <sz val="10"/>
        <rFont val="Arial"/>
        <family val="0"/>
        <charset val="1"/>
      </rPr>
      <t xml:space="preserve">I </t>
    </r>
    <r>
      <rPr>
        <sz val="10"/>
        <rFont val="Noto Sans CJK SC"/>
        <family val="2"/>
      </rPr>
      <t xml:space="preserve">區。</t>
    </r>
  </si>
  <si>
    <r>
      <rPr>
        <sz val="10"/>
        <rFont val="Noto Sans CJK SC"/>
        <family val="2"/>
      </rPr>
      <t xml:space="preserve">法說（</t>
    </r>
    <r>
      <rPr>
        <sz val="10"/>
        <rFont val="Arial"/>
        <family val="0"/>
        <charset val="1"/>
      </rPr>
      <t xml:space="preserve">8/11</t>
    </r>
    <r>
      <rPr>
        <sz val="10"/>
        <rFont val="Noto Sans CJK SC"/>
        <family val="2"/>
      </rPr>
      <t xml:space="preserve">）：主動電力 </t>
    </r>
    <r>
      <rPr>
        <sz val="10"/>
        <rFont val="Arial"/>
        <family val="0"/>
        <charset val="1"/>
      </rPr>
      <t xml:space="preserve">1.5 GW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Q2 +</t>
    </r>
    <r>
      <rPr>
        <sz val="10"/>
        <rFont val="Noto Sans CJK SC"/>
        <family val="2"/>
      </rPr>
      <t xml:space="preserve">近 </t>
    </r>
    <r>
      <rPr>
        <sz val="10"/>
        <rFont val="Arial"/>
        <family val="0"/>
        <charset val="1"/>
      </rPr>
      <t xml:space="preserve">500 MW</t>
    </r>
    <r>
      <rPr>
        <sz val="10"/>
        <rFont val="Noto Sans CJK SC"/>
        <family val="2"/>
      </rPr>
      <t xml:space="preserve">，</t>
    </r>
    <r>
      <rPr>
        <sz val="10"/>
        <rFont val="Arial"/>
        <family val="0"/>
        <charset val="1"/>
      </rPr>
      <t xml:space="preserve">6 </t>
    </r>
    <r>
      <rPr>
        <sz val="10"/>
        <rFont val="Noto Sans CJK SC"/>
        <family val="2"/>
      </rPr>
      <t xml:space="preserve">月 </t>
    </r>
    <r>
      <rPr>
        <sz val="10"/>
        <rFont val="Arial"/>
        <family val="0"/>
        <charset val="1"/>
      </rPr>
      <t xml:space="preserve">+300 MW</t>
    </r>
    <r>
      <rPr>
        <sz val="10"/>
        <rFont val="Noto Sans CJK SC"/>
        <family val="2"/>
      </rPr>
      <t xml:space="preserve">）；簽約 </t>
    </r>
    <r>
      <rPr>
        <sz val="10"/>
        <rFont val="Arial"/>
        <family val="0"/>
        <charset val="1"/>
      </rPr>
      <t xml:space="preserve">4.2 GW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2030 ≥8 GW</t>
    </r>
    <r>
      <rPr>
        <sz val="10"/>
        <rFont val="Noto Sans CJK SC"/>
        <family val="2"/>
      </rPr>
      <t xml:space="preserve">；近期產能實質售罄；</t>
    </r>
    <r>
      <rPr>
        <sz val="10"/>
        <rFont val="Arial"/>
        <family val="0"/>
        <charset val="1"/>
      </rPr>
      <t xml:space="preserve">7 </t>
    </r>
    <r>
      <rPr>
        <sz val="10"/>
        <rFont val="Noto Sans CJK SC"/>
        <family val="2"/>
      </rPr>
      <t xml:space="preserve">月 </t>
    </r>
    <r>
      <rPr>
        <sz val="10"/>
        <rFont val="Arial"/>
        <family val="0"/>
        <charset val="1"/>
      </rPr>
      <t xml:space="preserve">SKU </t>
    </r>
    <r>
      <rPr>
        <sz val="10"/>
        <rFont val="Noto Sans CJK SC"/>
        <family val="2"/>
      </rPr>
      <t xml:space="preserve">漲價約 </t>
    </r>
    <r>
      <rPr>
        <sz val="10"/>
        <rFont val="Arial"/>
        <family val="0"/>
        <charset val="1"/>
      </rPr>
      <t xml:space="preserve">25%</t>
    </r>
    <r>
      <rPr>
        <sz val="10"/>
        <rFont val="Noto Sans CJK SC"/>
        <family val="2"/>
      </rPr>
      <t xml:space="preserve">；全年營收 </t>
    </r>
    <r>
      <rPr>
        <sz val="10"/>
        <rFont val="Arial"/>
        <family val="0"/>
        <charset val="1"/>
      </rPr>
      <t xml:space="preserve">12.4–13.2</t>
    </r>
    <r>
      <rPr>
        <sz val="10"/>
        <rFont val="Noto Sans CJK SC"/>
        <family val="2"/>
      </rPr>
      <t xml:space="preserve">、調整後營益 </t>
    </r>
    <r>
      <rPr>
        <sz val="10"/>
        <rFont val="Arial"/>
        <family val="0"/>
        <charset val="1"/>
      </rPr>
      <t xml:space="preserve">0.96–1.15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CapEx 35–39</t>
    </r>
    <r>
      <rPr>
        <sz val="10"/>
        <rFont val="Noto Sans CJK SC"/>
        <family val="2"/>
      </rPr>
      <t xml:space="preserve">、期末 </t>
    </r>
    <r>
      <rPr>
        <sz val="10"/>
        <rFont val="Arial"/>
        <family val="0"/>
        <charset val="1"/>
      </rPr>
      <t xml:space="preserve">ARR 18.5–19.5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Q3 </t>
    </r>
    <r>
      <rPr>
        <sz val="10"/>
        <rFont val="Noto Sans CJK SC"/>
        <family val="2"/>
      </rPr>
      <t xml:space="preserve">營收 </t>
    </r>
    <r>
      <rPr>
        <sz val="10"/>
        <rFont val="Arial"/>
        <family val="0"/>
        <charset val="1"/>
      </rPr>
      <t xml:space="preserve">3.45–3.6</t>
    </r>
    <r>
      <rPr>
        <sz val="10"/>
        <rFont val="Noto Sans CJK SC"/>
        <family val="2"/>
      </rPr>
      <t xml:space="preserve">、利息 </t>
    </r>
    <r>
      <rPr>
        <sz val="10"/>
        <rFont val="Arial"/>
        <family val="0"/>
        <charset val="1"/>
      </rPr>
      <t xml:space="preserve">0.86–0.94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CapEx 11.5–13.5</t>
    </r>
    <r>
      <rPr>
        <sz val="10"/>
        <rFont val="Noto Sans CJK SC"/>
        <family val="2"/>
      </rPr>
      <t xml:space="preserve">。</t>
    </r>
  </si>
  <si>
    <r>
      <rPr>
        <sz val="10"/>
        <rFont val="Arial"/>
        <family val="0"/>
        <charset val="1"/>
      </rPr>
      <t xml:space="preserve">9/17 </t>
    </r>
    <r>
      <rPr>
        <sz val="10"/>
        <rFont val="Noto Sans CJK SC"/>
        <family val="2"/>
      </rPr>
      <t xml:space="preserve">投資人簡報：</t>
    </r>
    <r>
      <rPr>
        <sz val="10"/>
        <rFont val="Arial"/>
        <family val="0"/>
        <charset val="1"/>
      </rPr>
      <t xml:space="preserve">Q2 pro forma </t>
    </r>
    <r>
      <rPr>
        <sz val="10"/>
        <rFont val="Noto Sans CJK SC"/>
        <family val="2"/>
      </rPr>
      <t xml:space="preserve">總債務 </t>
    </r>
    <r>
      <rPr>
        <sz val="10"/>
        <rFont val="Arial"/>
        <family val="0"/>
        <charset val="1"/>
      </rPr>
      <t xml:space="preserve">38.6bn</t>
    </r>
    <r>
      <rPr>
        <sz val="10"/>
        <rFont val="Noto Sans CJK SC"/>
        <family val="2"/>
      </rPr>
      <t xml:space="preserve">；加權利率 </t>
    </r>
    <r>
      <rPr>
        <sz val="10"/>
        <rFont val="Arial"/>
        <family val="0"/>
        <charset val="1"/>
      </rPr>
      <t xml:space="preserve">FY23 14.9% → Q2 8.3% → pro forma 7.8%</t>
    </r>
    <r>
      <rPr>
        <sz val="10"/>
        <rFont val="Noto Sans CJK SC"/>
        <family val="2"/>
      </rPr>
      <t xml:space="preserve">；總債務／</t>
    </r>
    <r>
      <rPr>
        <sz val="10"/>
        <rFont val="Arial"/>
        <family val="0"/>
        <charset val="1"/>
      </rPr>
      <t xml:space="preserve">backlog 0.4x</t>
    </r>
    <r>
      <rPr>
        <sz val="10"/>
        <rFont val="Noto Sans CJK SC"/>
        <family val="2"/>
      </rPr>
      <t xml:space="preserve">；歷年 </t>
    </r>
    <r>
      <rPr>
        <sz val="10"/>
        <rFont val="Arial"/>
        <family val="0"/>
        <charset val="1"/>
      </rPr>
      <t xml:space="preserve">backlog 9.9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15.1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66.8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104.2</t>
    </r>
    <r>
      <rPr>
        <sz val="10"/>
        <rFont val="Noto Sans CJK SC"/>
        <family val="2"/>
      </rPr>
      <t xml:space="preserve">。</t>
    </r>
  </si>
  <si>
    <t xml:space="preserve">User-provided</t>
  </si>
  <si>
    <r>
      <rPr>
        <sz val="10"/>
        <rFont val="Arial"/>
        <family val="0"/>
        <charset val="1"/>
      </rPr>
      <t xml:space="preserve">5Y CDS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2026-09</t>
    </r>
    <r>
      <rPr>
        <sz val="10"/>
        <rFont val="Noto Sans CJK SC"/>
        <family val="2"/>
      </rPr>
      <t xml:space="preserve">）：中價 </t>
    </r>
    <r>
      <rPr>
        <sz val="10"/>
        <rFont val="Arial"/>
        <family val="0"/>
        <charset val="1"/>
      </rPr>
      <t xml:space="preserve">720bps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Bid/Ask 690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750</t>
    </r>
    <r>
      <rPr>
        <sz val="10"/>
        <rFont val="Noto Sans CJK SC"/>
        <family val="2"/>
      </rPr>
      <t xml:space="preserve">、近期區間 </t>
    </r>
    <r>
      <rPr>
        <sz val="10"/>
        <rFont val="Arial"/>
        <family val="0"/>
        <charset val="1"/>
      </rPr>
      <t xml:space="preserve">680–855</t>
    </r>
    <r>
      <rPr>
        <sz val="10"/>
        <rFont val="Noto Sans CJK SC"/>
        <family val="2"/>
      </rPr>
      <t xml:space="preserve">（對照 </t>
    </r>
    <r>
      <rPr>
        <sz val="10"/>
        <rFont val="Arial"/>
        <family val="0"/>
        <charset val="1"/>
      </rPr>
      <t xml:space="preserve">7/28 </t>
    </r>
    <r>
      <rPr>
        <sz val="10"/>
        <rFont val="Noto Sans CJK SC"/>
        <family val="2"/>
      </rPr>
      <t xml:space="preserve">峰值 </t>
    </r>
    <r>
      <rPr>
        <sz val="10"/>
        <rFont val="Arial"/>
        <family val="0"/>
        <charset val="1"/>
      </rPr>
      <t xml:space="preserve">855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6 </t>
    </r>
    <r>
      <rPr>
        <sz val="10"/>
        <rFont val="Noto Sans CJK SC"/>
        <family val="2"/>
      </rPr>
      <t xml:space="preserve">月低點 </t>
    </r>
    <r>
      <rPr>
        <sz val="10"/>
        <rFont val="Arial"/>
        <family val="0"/>
        <charset val="1"/>
      </rPr>
      <t xml:space="preserve">452</t>
    </r>
    <r>
      <rPr>
        <sz val="10"/>
        <rFont val="Noto Sans CJK SC"/>
        <family val="2"/>
      </rPr>
      <t xml:space="preserve">）。</t>
    </r>
  </si>
  <si>
    <t xml:space="preserve">Derived</t>
  </si>
  <si>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桶內線性分攤（</t>
    </r>
    <r>
      <rPr>
        <sz val="10"/>
        <rFont val="Arial"/>
        <family val="0"/>
        <charset val="1"/>
      </rPr>
      <t xml:space="preserve">41/39/20 → </t>
    </r>
    <r>
      <rPr>
        <sz val="10"/>
        <rFont val="Noto Sans CJK SC"/>
        <family val="2"/>
      </rPr>
      <t xml:space="preserve">五期 </t>
    </r>
    <r>
      <rPr>
        <sz val="10"/>
        <rFont val="Arial"/>
        <family val="0"/>
        <charset val="1"/>
      </rPr>
      <t xml:space="preserve">10.25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20.5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20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19.5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13.75%</t>
    </r>
    <r>
      <rPr>
        <sz val="10"/>
        <rFont val="Noto Sans CJK SC"/>
        <family val="2"/>
      </rPr>
      <t xml:space="preserve">）；</t>
    </r>
    <r>
      <rPr>
        <sz val="10"/>
        <rFont val="Arial"/>
        <family val="0"/>
        <charset val="1"/>
      </rPr>
      <t xml:space="preserve">EBITDAR </t>
    </r>
    <r>
      <rPr>
        <sz val="10"/>
        <rFont val="Noto Sans CJK SC"/>
        <family val="2"/>
      </rPr>
      <t xml:space="preserve">率＝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率＋租金</t>
    </r>
    <r>
      <rPr>
        <sz val="10"/>
        <rFont val="Arial"/>
        <family val="0"/>
        <charset val="1"/>
      </rPr>
      <t xml:space="preserve">÷</t>
    </r>
    <r>
      <rPr>
        <sz val="10"/>
        <rFont val="Noto Sans CJK SC"/>
        <family val="2"/>
      </rPr>
      <t xml:space="preserve">營收（</t>
    </r>
    <r>
      <rPr>
        <sz val="10"/>
        <rFont val="Arial"/>
        <family val="0"/>
        <charset val="1"/>
      </rPr>
      <t xml:space="preserve">v2.3 </t>
    </r>
    <r>
      <rPr>
        <sz val="10"/>
        <rFont val="Noto Sans CJK SC"/>
        <family val="2"/>
      </rPr>
      <t xml:space="preserve">起與損益連動）；客戶預付率 </t>
    </r>
    <r>
      <rPr>
        <sz val="10"/>
        <rFont val="Arial"/>
        <family val="0"/>
        <charset val="1"/>
      </rPr>
      <t xml:space="preserve">8.5%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rev/MW </t>
    </r>
    <r>
      <rPr>
        <sz val="10"/>
        <rFont val="Noto Sans CJK SC"/>
        <family val="2"/>
      </rPr>
      <t xml:space="preserve">錨 </t>
    </r>
    <r>
      <rPr>
        <sz val="10"/>
        <rFont val="Arial"/>
        <family val="0"/>
        <charset val="1"/>
      </rPr>
      <t xml:space="preserve">10.0–10.5M/MW</t>
    </r>
    <r>
      <rPr>
        <sz val="10"/>
        <rFont val="Noto Sans CJK SC"/>
        <family val="2"/>
      </rPr>
      <t xml:space="preserve">。</t>
    </r>
  </si>
  <si>
    <t xml:space="preserve">Assumed</t>
  </si>
  <si>
    <r>
      <rPr>
        <sz val="10"/>
        <rFont val="Arial"/>
        <family val="0"/>
        <charset val="1"/>
      </rPr>
      <t xml:space="preserve">FY27–30 </t>
    </r>
    <r>
      <rPr>
        <sz val="10"/>
        <rFont val="Noto Sans CJK SC"/>
        <family val="2"/>
      </rPr>
      <t xml:space="preserve">毛 </t>
    </r>
    <r>
      <rPr>
        <sz val="10"/>
        <rFont val="Arial"/>
        <family val="0"/>
        <charset val="1"/>
      </rPr>
      <t xml:space="preserve">CapEx 45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50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50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45</t>
    </r>
    <r>
      <rPr>
        <sz val="10"/>
        <rFont val="Noto Sans CJK SC"/>
        <family val="2"/>
      </rPr>
      <t xml:space="preserve">；新產能簽約率 </t>
    </r>
    <r>
      <rPr>
        <sz val="10"/>
        <rFont val="Arial"/>
        <family val="0"/>
        <charset val="1"/>
      </rPr>
      <t xml:space="preserve">100→80%</t>
    </r>
    <r>
      <rPr>
        <sz val="10"/>
        <rFont val="Noto Sans CJK SC"/>
        <family val="2"/>
      </rPr>
      <t xml:space="preserve">；表外現金租金 </t>
    </r>
    <r>
      <rPr>
        <sz val="10"/>
        <rFont val="Arial"/>
        <family val="0"/>
        <charset val="1"/>
      </rPr>
      <t xml:space="preserve">0.3→4.6</t>
    </r>
    <r>
      <rPr>
        <sz val="10"/>
        <rFont val="Noto Sans CJK SC"/>
        <family val="2"/>
      </rPr>
      <t xml:space="preserve">；違約率 </t>
    </r>
    <r>
      <rPr>
        <sz val="10"/>
        <rFont val="Arial"/>
        <family val="0"/>
        <charset val="1"/>
      </rPr>
      <t xml:space="preserve">0.5→2.5%</t>
    </r>
    <r>
      <rPr>
        <sz val="10"/>
        <rFont val="Noto Sans CJK SC"/>
        <family val="2"/>
      </rPr>
      <t xml:space="preserve">；瀑布新債利率 </t>
    </r>
    <r>
      <rPr>
        <sz val="10"/>
        <rFont val="Arial"/>
        <family val="0"/>
        <charset val="1"/>
      </rPr>
      <t xml:space="preserve">9%</t>
    </r>
    <r>
      <rPr>
        <sz val="10"/>
        <rFont val="Noto Sans CJK SC"/>
        <family val="2"/>
      </rPr>
      <t xml:space="preserve">；債務／</t>
    </r>
    <r>
      <rPr>
        <sz val="10"/>
        <rFont val="Arial"/>
        <family val="0"/>
        <charset val="1"/>
      </rPr>
      <t xml:space="preserve">backlog 1.0x</t>
    </r>
    <r>
      <rPr>
        <sz val="10"/>
        <rFont val="Noto Sans CJK SC"/>
        <family val="2"/>
      </rPr>
      <t xml:space="preserve">（敏感度 </t>
    </r>
    <r>
      <rPr>
        <sz val="10"/>
        <rFont val="Arial"/>
        <family val="0"/>
        <charset val="1"/>
      </rPr>
      <t xml:space="preserve">0.4x</t>
    </r>
    <r>
      <rPr>
        <sz val="10"/>
        <rFont val="Noto Sans CJK SC"/>
        <family val="2"/>
      </rPr>
      <t xml:space="preserve">）；起始／穩態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 </t>
    </r>
    <r>
      <rPr>
        <sz val="10"/>
        <rFont val="Arial"/>
        <family val="0"/>
        <charset val="1"/>
      </rPr>
      <t xml:space="preserve">59%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65%</t>
    </r>
    <r>
      <rPr>
        <sz val="10"/>
        <rFont val="Noto Sans CJK SC"/>
        <family val="2"/>
      </rPr>
      <t xml:space="preserve">（敏感度 </t>
    </r>
    <r>
      <rPr>
        <sz val="10"/>
        <rFont val="Arial"/>
        <family val="0"/>
        <charset val="1"/>
      </rPr>
      <t xml:space="preserve">59%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70%</t>
    </r>
    <r>
      <rPr>
        <sz val="10"/>
        <rFont val="Noto Sans CJK SC"/>
        <family val="2"/>
      </rPr>
      <t xml:space="preserve">）；最低現金 </t>
    </r>
    <r>
      <rPr>
        <sz val="10"/>
        <rFont val="Arial"/>
        <family val="0"/>
        <charset val="1"/>
      </rPr>
      <t xml:space="preserve">2.0</t>
    </r>
    <r>
      <rPr>
        <sz val="10"/>
        <rFont val="Noto Sans CJK SC"/>
        <family val="2"/>
      </rPr>
      <t xml:space="preserve">；股權折價 </t>
    </r>
    <r>
      <rPr>
        <sz val="10"/>
        <rFont val="Arial"/>
        <family val="0"/>
        <charset val="1"/>
      </rPr>
      <t xml:space="preserve">10%</t>
    </r>
    <r>
      <rPr>
        <sz val="10"/>
        <rFont val="Noto Sans CJK SC"/>
        <family val="2"/>
      </rPr>
      <t xml:space="preserve">；非算力服務營收 </t>
    </r>
    <r>
      <rPr>
        <sz val="10"/>
        <rFont val="Arial"/>
        <family val="0"/>
        <charset val="1"/>
      </rPr>
      <t xml:space="preserve">0.3→3.8</t>
    </r>
    <r>
      <rPr>
        <sz val="10"/>
        <rFont val="Noto Sans CJK SC"/>
        <family val="2"/>
      </rPr>
      <t xml:space="preserve">；終值維持性 </t>
    </r>
    <r>
      <rPr>
        <sz val="10"/>
        <rFont val="Arial"/>
        <family val="0"/>
        <charset val="1"/>
      </rPr>
      <t xml:space="preserve">CapEx </t>
    </r>
    <r>
      <rPr>
        <sz val="10"/>
        <rFont val="Noto Sans CJK SC"/>
        <family val="2"/>
      </rPr>
      <t xml:space="preserve">占 </t>
    </r>
    <r>
      <rPr>
        <sz val="10"/>
        <rFont val="Arial"/>
        <family val="0"/>
        <charset val="1"/>
      </rPr>
      <t xml:space="preserve">D&amp;A 80%</t>
    </r>
    <r>
      <rPr>
        <sz val="10"/>
        <rFont val="Noto Sans CJK SC"/>
        <family val="2"/>
      </rPr>
      <t xml:space="preserve">。</t>
    </r>
  </si>
  <si>
    <r>
      <rPr>
        <sz val="10"/>
        <rFont val="Noto Sans CJK SC"/>
        <family val="2"/>
      </rPr>
      <t xml:space="preserve">房東揭露：</t>
    </r>
    <r>
      <rPr>
        <sz val="10"/>
        <rFont val="Arial"/>
        <family val="0"/>
        <charset val="1"/>
      </rPr>
      <t xml:space="preserve">Galaxy Helios 526 MW</t>
    </r>
    <r>
      <rPr>
        <sz val="10"/>
        <rFont val="Noto Sans CJK SC"/>
        <family val="2"/>
      </rPr>
      <t xml:space="preserve">、年均 </t>
    </r>
    <r>
      <rPr>
        <sz val="10"/>
        <rFont val="Arial"/>
        <family val="0"/>
        <charset val="1"/>
      </rPr>
      <t xml:space="preserve">&gt;$1bn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15 </t>
    </r>
    <r>
      <rPr>
        <sz val="10"/>
        <rFont val="Noto Sans CJK SC"/>
        <family val="2"/>
      </rPr>
      <t xml:space="preserve">年（</t>
    </r>
    <r>
      <rPr>
        <sz val="10"/>
        <rFont val="Arial"/>
        <family val="0"/>
        <charset val="1"/>
      </rPr>
      <t xml:space="preserve">2026-07-06</t>
    </r>
    <r>
      <rPr>
        <sz val="10"/>
        <rFont val="Noto Sans CJK SC"/>
        <family val="2"/>
      </rPr>
      <t xml:space="preserve">）；</t>
    </r>
    <r>
      <rPr>
        <sz val="10"/>
        <rFont val="Arial"/>
        <family val="0"/>
        <charset val="1"/>
      </rPr>
      <t xml:space="preserve">Applied Digital Polaris Forge 1 400 MW</t>
    </r>
    <r>
      <rPr>
        <sz val="10"/>
        <rFont val="Noto Sans CJK SC"/>
        <family val="2"/>
      </rPr>
      <t xml:space="preserve">、約 </t>
    </r>
    <r>
      <rPr>
        <sz val="10"/>
        <rFont val="Arial"/>
        <family val="0"/>
        <charset val="1"/>
      </rPr>
      <t xml:space="preserve">$11bn</t>
    </r>
    <r>
      <rPr>
        <sz val="10"/>
        <rFont val="Noto Sans CJK SC"/>
        <family val="2"/>
      </rPr>
      <t xml:space="preserve">、約 </t>
    </r>
    <r>
      <rPr>
        <sz val="10"/>
        <rFont val="Arial"/>
        <family val="0"/>
        <charset val="1"/>
      </rPr>
      <t xml:space="preserve">15 </t>
    </r>
    <r>
      <rPr>
        <sz val="10"/>
        <rFont val="Noto Sans CJK SC"/>
        <family val="2"/>
      </rPr>
      <t xml:space="preserve">年（</t>
    </r>
    <r>
      <rPr>
        <sz val="10"/>
        <rFont val="Arial"/>
        <family val="0"/>
        <charset val="1"/>
      </rPr>
      <t xml:space="preserve">2025-08-29</t>
    </r>
    <r>
      <rPr>
        <sz val="10"/>
        <rFont val="Noto Sans CJK SC"/>
        <family val="2"/>
      </rPr>
      <t xml:space="preserve">）；</t>
    </r>
    <r>
      <rPr>
        <sz val="10"/>
        <rFont val="Arial"/>
        <family val="0"/>
        <charset val="1"/>
      </rPr>
      <t xml:space="preserve">Core Scientific </t>
    </r>
    <r>
      <rPr>
        <sz val="10"/>
        <rFont val="Noto Sans CJK SC"/>
        <family val="2"/>
      </rPr>
      <t xml:space="preserve">約 </t>
    </r>
    <r>
      <rPr>
        <sz val="10"/>
        <rFont val="Arial"/>
        <family val="0"/>
        <charset val="1"/>
      </rPr>
      <t xml:space="preserve">590 MW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$10.2bn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12 </t>
    </r>
    <r>
      <rPr>
        <sz val="10"/>
        <rFont val="Noto Sans CJK SC"/>
        <family val="2"/>
      </rPr>
      <t xml:space="preserve">年（</t>
    </r>
    <r>
      <rPr>
        <sz val="10"/>
        <rFont val="Arial"/>
        <family val="0"/>
        <charset val="1"/>
      </rPr>
      <t xml:space="preserve">2025-02-26</t>
    </r>
    <r>
      <rPr>
        <sz val="10"/>
        <rFont val="Noto Sans CJK SC"/>
        <family val="2"/>
      </rPr>
      <t xml:space="preserve">）。</t>
    </r>
    <r>
      <rPr>
        <sz val="10"/>
        <rFont val="Arial"/>
        <family val="0"/>
        <charset val="1"/>
      </rPr>
      <t xml:space="preserve">Q4 2025 </t>
    </r>
    <r>
      <rPr>
        <sz val="10"/>
        <rFont val="Noto Sans CJK SC"/>
        <family val="2"/>
      </rPr>
      <t xml:space="preserve">法說：年底主動電力 </t>
    </r>
    <r>
      <rPr>
        <sz val="10"/>
        <rFont val="Arial"/>
        <family val="0"/>
        <charset val="1"/>
      </rPr>
      <t xml:space="preserve">&gt;850 MW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2025 CapEx 14.9bn</t>
    </r>
    <r>
      <rPr>
        <sz val="10"/>
        <rFont val="Noto Sans CJK SC"/>
        <family val="2"/>
      </rPr>
      <t xml:space="preserve">。</t>
    </r>
  </si>
  <si>
    <r>
      <rPr>
        <sz val="10"/>
        <rFont val="Arial"/>
        <family val="0"/>
        <charset val="1"/>
      </rPr>
      <t xml:space="preserve">10-Q Note 10 </t>
    </r>
    <r>
      <rPr>
        <sz val="10"/>
        <rFont val="Noto Sans CJK SC"/>
        <family val="2"/>
      </rPr>
      <t xml:space="preserve">債務逐筆（有效利率）：</t>
    </r>
    <r>
      <rPr>
        <sz val="10"/>
        <rFont val="Arial"/>
        <family val="0"/>
        <charset val="1"/>
      </rPr>
      <t xml:space="preserve">DDTL 1.0 1.300@15%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2.0 3.190@11%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2.1 3.000@9%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3.0 2.215@9%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5.0 1.101@9%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4.0 2.837@7%</t>
    </r>
    <r>
      <rPr>
        <sz val="10"/>
        <rFont val="Noto Sans CJK SC"/>
        <family val="2"/>
      </rPr>
      <t xml:space="preserve">（非追索）；票據 </t>
    </r>
    <r>
      <rPr>
        <sz val="10"/>
        <rFont val="Arial"/>
        <family val="0"/>
        <charset val="1"/>
      </rPr>
      <t xml:space="preserve">2030 2.000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2031 1.750</t>
    </r>
    <r>
      <rPr>
        <sz val="10"/>
        <rFont val="Noto Sans CJK SC"/>
        <family val="2"/>
      </rPr>
      <t xml:space="preserve">＋</t>
    </r>
    <r>
      <rPr>
        <sz val="10"/>
        <rFont val="Arial"/>
        <family val="0"/>
        <charset val="1"/>
      </rPr>
      <t xml:space="preserve">2.750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2032 1.250@10%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EUR 2.279@9%</t>
    </r>
    <r>
      <rPr>
        <sz val="10"/>
        <rFont val="Noto Sans CJK SC"/>
        <family val="2"/>
      </rPr>
      <t xml:space="preserve">；可轉債 </t>
    </r>
    <r>
      <rPr>
        <sz val="10"/>
        <rFont val="Arial"/>
        <family val="0"/>
        <charset val="1"/>
      </rPr>
      <t xml:space="preserve">2.588</t>
    </r>
    <r>
      <rPr>
        <sz val="10"/>
        <rFont val="Noto Sans CJK SC"/>
        <family val="2"/>
      </rPr>
      <t xml:space="preserve">＋</t>
    </r>
    <r>
      <rPr>
        <sz val="10"/>
        <rFont val="Arial"/>
        <family val="0"/>
        <charset val="1"/>
      </rPr>
      <t xml:space="preserve">4.000@2%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OEM 4.220@11%</t>
    </r>
    <r>
      <rPr>
        <sz val="10"/>
        <rFont val="Noto Sans CJK SC"/>
        <family val="2"/>
      </rPr>
      <t xml:space="preserve">＋</t>
    </r>
    <r>
      <rPr>
        <sz val="10"/>
        <rFont val="Arial"/>
        <family val="0"/>
        <charset val="1"/>
      </rPr>
      <t xml:space="preserve">0.882@9%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Magnetar 0.189@12%</t>
    </r>
    <r>
      <rPr>
        <sz val="10"/>
        <rFont val="Noto Sans CJK SC"/>
        <family val="2"/>
      </rPr>
      <t xml:space="preserve">。</t>
    </r>
    <r>
      <rPr>
        <sz val="10"/>
        <rFont val="Arial"/>
        <family val="0"/>
        <charset val="1"/>
      </rPr>
      <t xml:space="preserve">Note 3</t>
    </r>
    <r>
      <rPr>
        <sz val="10"/>
        <rFont val="Noto Sans CJK SC"/>
        <family val="2"/>
      </rPr>
      <t xml:space="preserve">：兩個 </t>
    </r>
    <r>
      <rPr>
        <sz val="10"/>
        <rFont val="Arial"/>
        <family val="0"/>
        <charset val="1"/>
      </rPr>
      <t xml:space="preserve">JV </t>
    </r>
    <r>
      <rPr>
        <sz val="10"/>
        <rFont val="Noto Sans CJK SC"/>
        <family val="2"/>
      </rPr>
      <t xml:space="preserve">承諾最高 </t>
    </r>
    <r>
      <rPr>
        <sz val="10"/>
        <rFont val="Arial"/>
        <family val="0"/>
        <charset val="1"/>
      </rPr>
      <t xml:space="preserve">1.7</t>
    </r>
    <r>
      <rPr>
        <sz val="10"/>
        <rFont val="Noto Sans CJK SC"/>
        <family val="2"/>
      </rPr>
      <t xml:space="preserve">，預計 </t>
    </r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年內履行，之後須追加出資；新澤西 </t>
    </r>
    <r>
      <rPr>
        <sz val="10"/>
        <rFont val="Arial"/>
        <family val="0"/>
        <charset val="1"/>
      </rPr>
      <t xml:space="preserve">JV </t>
    </r>
    <r>
      <rPr>
        <sz val="10"/>
        <rFont val="Noto Sans CJK SC"/>
        <family val="2"/>
      </rPr>
      <t xml:space="preserve">持股 </t>
    </r>
    <r>
      <rPr>
        <sz val="10"/>
        <rFont val="Arial"/>
        <family val="0"/>
        <charset val="1"/>
      </rPr>
      <t xml:space="preserve">35%</t>
    </r>
    <r>
      <rPr>
        <sz val="10"/>
        <rFont val="Noto Sans CJK SC"/>
        <family val="2"/>
      </rPr>
      <t xml:space="preserve">，租金依建造成本計。</t>
    </r>
  </si>
  <si>
    <t xml:space="preserve">方法</t>
  </si>
  <si>
    <r>
      <rPr>
        <sz val="10"/>
        <rFont val="Arial"/>
        <family val="0"/>
        <charset val="1"/>
      </rPr>
      <t xml:space="preserve">v2.0 </t>
    </r>
    <r>
      <rPr>
        <sz val="10"/>
        <rFont val="Noto Sans CJK SC"/>
        <family val="2"/>
      </rPr>
      <t xml:space="preserve">期前融資瀑布：額度→資產層新債（總債務 ≤ 債務</t>
    </r>
    <r>
      <rPr>
        <sz val="10"/>
        <rFont val="Arial"/>
        <family val="0"/>
        <charset val="1"/>
      </rPr>
      <t xml:space="preserve">/backlog </t>
    </r>
    <r>
      <rPr>
        <sz val="10"/>
        <rFont val="Noto Sans CJK SC"/>
        <family val="2"/>
      </rPr>
      <t xml:space="preserve">上限）→股權殘差；舊版假設缺口全額舉債且無上限（透支利息＝利息、扣缺口＝本金），</t>
    </r>
    <r>
      <rPr>
        <sz val="10"/>
        <rFont val="Arial"/>
        <family val="0"/>
        <charset val="1"/>
      </rPr>
      <t xml:space="preserve">v2.0 </t>
    </r>
    <r>
      <rPr>
        <sz val="10"/>
        <rFont val="Noto Sans CJK SC"/>
        <family val="2"/>
      </rPr>
      <t xml:space="preserve">改為債務設上限、殘差以股權支應。</t>
    </r>
  </si>
  <si>
    <r>
      <rPr>
        <b val="true"/>
        <sz val="14"/>
        <rFont val="Arial"/>
        <family val="0"/>
        <charset val="1"/>
      </rPr>
      <t xml:space="preserve">Tokenomics </t>
    </r>
    <r>
      <rPr>
        <b val="true"/>
        <sz val="14"/>
        <rFont val="Noto Sans CJK SC"/>
        <family val="2"/>
      </rPr>
      <t xml:space="preserve">取數（算力相關的產業與物理層資料）</t>
    </r>
  </si>
  <si>
    <r>
      <rPr>
        <sz val="9"/>
        <color rgb="FF595959"/>
        <rFont val="Noto Sans CJK SC"/>
        <family val="2"/>
      </rPr>
      <t xml:space="preserve">來源：</t>
    </r>
    <r>
      <rPr>
        <sz val="9"/>
        <color rgb="FF595959"/>
        <rFont val="Arial"/>
        <family val="0"/>
        <charset val="1"/>
      </rPr>
      <t xml:space="preserve">YinchenChang/Tokenomics 20261008_Tokenomics_v5.27.xlsx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v5.27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commit 862bdd4</t>
    </r>
    <r>
      <rPr>
        <sz val="9"/>
        <color rgb="FF595959"/>
        <rFont val="Noto Sans CJK SC"/>
        <family val="2"/>
      </rPr>
      <t xml:space="preserve">，擷取 </t>
    </r>
    <r>
      <rPr>
        <sz val="9"/>
        <color rgb="FF595959"/>
        <rFont val="Arial"/>
        <family val="0"/>
        <charset val="1"/>
      </rPr>
      <t xml:space="preserve">2026-10-08</t>
    </r>
    <r>
      <rPr>
        <sz val="9"/>
        <color rgb="FF595959"/>
        <rFont val="Noto Sans CJK SC"/>
        <family val="2"/>
      </rPr>
      <t xml:space="preserve">）。只引用 </t>
    </r>
    <r>
      <rPr>
        <sz val="9"/>
        <color rgb="FF595959"/>
        <rFont val="Arial"/>
        <family val="0"/>
        <charset val="1"/>
      </rPr>
      <t xml:space="preserve">IF_</t>
    </r>
    <r>
      <rPr>
        <sz val="9"/>
        <color rgb="FF595959"/>
        <rFont val="Noto Sans CJK SC"/>
        <family val="2"/>
      </rPr>
      <t xml:space="preserve">（不含 </t>
    </r>
    <r>
      <rPr>
        <sz val="9"/>
        <color rgb="FF595959"/>
        <rFont val="Arial"/>
        <family val="0"/>
        <charset val="1"/>
      </rPr>
      <t xml:space="preserve">IF_Hdr*</t>
    </r>
    <r>
      <rPr>
        <sz val="9"/>
        <color rgb="FF595959"/>
        <rFont val="Noto Sans CJK SC"/>
        <family val="2"/>
      </rPr>
      <t xml:space="preserve">）與 </t>
    </r>
    <r>
      <rPr>
        <sz val="9"/>
        <color rgb="FF595959"/>
        <rFont val="Arial"/>
        <family val="0"/>
        <charset val="1"/>
      </rPr>
      <t xml:space="preserve">L1_ </t>
    </r>
    <r>
      <rPr>
        <sz val="9"/>
        <color rgb="FF595959"/>
        <rFont val="Noto Sans CJK SC"/>
        <family val="2"/>
      </rPr>
      <t xml:space="preserve">名稱；模型主值取「基準」，低／高只作敏感度；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IT </t>
    </r>
    <r>
      <rPr>
        <sz val="9"/>
        <color rgb="FF595959"/>
        <rFont val="Noto Sans CJK SC"/>
        <family val="2"/>
      </rPr>
      <t xml:space="preserve">關鍵電力。</t>
    </r>
  </si>
  <si>
    <r>
      <rPr>
        <sz val="9"/>
        <color rgb="FF595959"/>
        <rFont val="Noto Sans CJK SC"/>
        <family val="2"/>
      </rPr>
      <t xml:space="preserve">本分頁目前只顯示、尚未被任何公式引用（</t>
    </r>
    <r>
      <rPr>
        <sz val="9"/>
        <color rgb="FF595959"/>
        <rFont val="Arial"/>
        <family val="0"/>
        <charset val="1"/>
      </rPr>
      <t xml:space="preserve">W1</t>
    </r>
    <r>
      <rPr>
        <sz val="9"/>
        <color rgb="FF595959"/>
        <rFont val="Noto Sans CJK SC"/>
        <family val="2"/>
      </rPr>
      <t xml:space="preserve">）；值為快照的藍字輸入格，更新方式見 </t>
    </r>
    <r>
      <rPr>
        <sz val="9"/>
        <color rgb="FF595959"/>
        <rFont val="Arial"/>
        <family val="0"/>
        <charset val="1"/>
      </rPr>
      <t xml:space="preserve">repo </t>
    </r>
    <r>
      <rPr>
        <sz val="9"/>
        <color rgb="FF595959"/>
        <rFont val="Noto Sans CJK SC"/>
        <family val="2"/>
      </rPr>
      <t xml:space="preserve">根目錄 </t>
    </r>
    <r>
      <rPr>
        <sz val="9"/>
        <color rgb="FF595959"/>
        <rFont val="Arial"/>
        <family val="0"/>
        <charset val="1"/>
      </rPr>
      <t xml:space="preserve">README</t>
    </r>
    <r>
      <rPr>
        <sz val="9"/>
        <color rgb="FF595959"/>
        <rFont val="Noto Sans CJK SC"/>
        <family val="2"/>
      </rPr>
      <t xml:space="preserve">「共用工具：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取數」。</t>
    </r>
  </si>
  <si>
    <t xml:space="preserve">具名範圍（基準）</t>
  </si>
  <si>
    <t xml:space="preserve">名稱</t>
  </si>
  <si>
    <t xml:space="preserve">中文標籤</t>
  </si>
  <si>
    <t xml:space="preserve">低成本</t>
  </si>
  <si>
    <t xml:space="preserve">基準</t>
  </si>
  <si>
    <t xml:space="preserve">高成本</t>
  </si>
  <si>
    <r>
      <rPr>
        <b val="true"/>
        <sz val="11"/>
        <color rgb="FFFFFFFF"/>
        <rFont val="Arial"/>
        <family val="0"/>
        <charset val="1"/>
      </rPr>
      <t xml:space="preserve">Tokenomics </t>
    </r>
    <r>
      <rPr>
        <b val="true"/>
        <sz val="11"/>
        <color rgb="FFFFFFFF"/>
        <rFont val="Noto Sans CJK SC"/>
        <family val="2"/>
      </rPr>
      <t xml:space="preserve">位置</t>
    </r>
  </si>
  <si>
    <r>
      <rPr>
        <b val="true"/>
        <sz val="11"/>
        <color rgb="FFFFFFFF"/>
        <rFont val="Noto Sans CJK SC"/>
        <family val="2"/>
      </rPr>
      <t xml:space="preserve">版本與 </t>
    </r>
    <r>
      <rPr>
        <b val="true"/>
        <sz val="11"/>
        <color rgb="FFFFFFFF"/>
        <rFont val="Arial"/>
        <family val="0"/>
        <charset val="1"/>
      </rPr>
      <t xml:space="preserve">commit</t>
    </r>
  </si>
  <si>
    <t xml:space="preserve">TK_RacksPerGW_H100</t>
  </si>
  <si>
    <t xml:space="preserve">IF_RacksPerGW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</si>
  <si>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機架數</t>
    </r>
  </si>
  <si>
    <t xml:space="preserve">架</t>
  </si>
  <si>
    <t xml:space="preserve">Hopper H100</t>
  </si>
  <si>
    <t xml:space="preserve">Interface!C6:E6</t>
  </si>
  <si>
    <t xml:space="preserve">v5.27 · 862bdd4</t>
  </si>
  <si>
    <t xml:space="preserve">TK_RacksPerGW_GB200</t>
  </si>
  <si>
    <t xml:space="preserve">GB200 NVL72</t>
  </si>
  <si>
    <t xml:space="preserve">Interface!F6:H6</t>
  </si>
  <si>
    <t xml:space="preserve">TK_RacksPerGW_GB300</t>
  </si>
  <si>
    <t xml:space="preserve">GB300 NVL72</t>
  </si>
  <si>
    <t xml:space="preserve">Interface!I6:K6</t>
  </si>
  <si>
    <t xml:space="preserve">TK_RacksPerGW_VR200</t>
  </si>
  <si>
    <t xml:space="preserve">VR200 NVL72</t>
  </si>
  <si>
    <t xml:space="preserve">Interface!L6:N6</t>
  </si>
  <si>
    <t xml:space="preserve">TK_RacksPerGW_RU</t>
  </si>
  <si>
    <r>
      <rPr>
        <sz val="10"/>
        <rFont val="Arial"/>
        <family val="0"/>
        <charset val="1"/>
      </rPr>
      <t xml:space="preserve">Rubin Ultra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MGX NVL </t>
    </r>
    <r>
      <rPr>
        <sz val="10"/>
        <rFont val="Noto Sans CJK SC"/>
        <family val="2"/>
      </rPr>
      <t xml:space="preserve">單架，</t>
    </r>
    <r>
      <rPr>
        <sz val="10"/>
        <rFont val="Arial"/>
        <family val="0"/>
        <charset val="1"/>
      </rPr>
      <t xml:space="preserve">72 GPU</t>
    </r>
    <r>
      <rPr>
        <sz val="10"/>
        <rFont val="Noto Sans CJK SC"/>
        <family val="2"/>
      </rPr>
      <t xml:space="preserve">）</t>
    </r>
  </si>
  <si>
    <t xml:space="preserve">Interface!O6:Q6</t>
  </si>
  <si>
    <t xml:space="preserve">TK_GPUsPerGW_H100</t>
  </si>
  <si>
    <t xml:space="preserve">IF_GPUsPerGW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</si>
  <si>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GPU </t>
    </r>
    <r>
      <rPr>
        <sz val="10"/>
        <rFont val="Noto Sans CJK SC"/>
        <family val="2"/>
      </rPr>
      <t xml:space="preserve">數</t>
    </r>
  </si>
  <si>
    <t xml:space="preserve">顆</t>
  </si>
  <si>
    <t xml:space="preserve">Interface!C7:E7</t>
  </si>
  <si>
    <t xml:space="preserve">TK_GPUsPerGW_GB200</t>
  </si>
  <si>
    <t xml:space="preserve">Interface!F7:H7</t>
  </si>
  <si>
    <t xml:space="preserve">TK_GPUsPerGW_GB300</t>
  </si>
  <si>
    <t xml:space="preserve">Interface!I7:K7</t>
  </si>
  <si>
    <t xml:space="preserve">TK_GPUsPerGW_VR200</t>
  </si>
  <si>
    <t xml:space="preserve">Interface!L7:N7</t>
  </si>
  <si>
    <t xml:space="preserve">TK_GPUsPerGW_RU</t>
  </si>
  <si>
    <t xml:space="preserve">Interface!O7:Q7</t>
  </si>
  <si>
    <t xml:space="preserve">TK_FacilityGW_H100</t>
  </si>
  <si>
    <t xml:space="preserve">IF_FacilityGW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</si>
  <si>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IT GW </t>
    </r>
    <r>
      <rPr>
        <sz val="10"/>
        <rFont val="Noto Sans CJK SC"/>
        <family val="2"/>
      </rPr>
      <t xml:space="preserve">對應設施電力</t>
    </r>
  </si>
  <si>
    <t xml:space="preserve">GW</t>
  </si>
  <si>
    <t xml:space="preserve">Interface!C8:E8</t>
  </si>
  <si>
    <t xml:space="preserve">TK_FacilityGW_GB200</t>
  </si>
  <si>
    <t xml:space="preserve">Interface!F8:H8</t>
  </si>
  <si>
    <t xml:space="preserve">TK_FacilityGW_GB300</t>
  </si>
  <si>
    <t xml:space="preserve">Interface!I8:K8</t>
  </si>
  <si>
    <t xml:space="preserve">TK_FacilityGW_VR200</t>
  </si>
  <si>
    <t xml:space="preserve">Interface!L8:N8</t>
  </si>
  <si>
    <t xml:space="preserve">TK_FacilityGW_RU</t>
  </si>
  <si>
    <t xml:space="preserve">Interface!O8:Q8</t>
  </si>
  <si>
    <t xml:space="preserve">TK_CapexIT_H100</t>
  </si>
  <si>
    <t xml:space="preserve">IF_CapexIT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</si>
  <si>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資本支出 — </t>
    </r>
    <r>
      <rPr>
        <sz val="10"/>
        <rFont val="Arial"/>
        <family val="0"/>
        <charset val="1"/>
      </rPr>
      <t xml:space="preserve">IT </t>
    </r>
    <r>
      <rPr>
        <sz val="10"/>
        <rFont val="Noto Sans CJK SC"/>
        <family val="2"/>
      </rPr>
      <t xml:space="preserve">設備</t>
    </r>
  </si>
  <si>
    <t xml:space="preserve">$B</t>
  </si>
  <si>
    <t xml:space="preserve">Interface!C9:E9</t>
  </si>
  <si>
    <t xml:space="preserve">TK_CapexIT_GB200</t>
  </si>
  <si>
    <t xml:space="preserve">Interface!F9:H9</t>
  </si>
  <si>
    <t xml:space="preserve">TK_CapexIT_GB300</t>
  </si>
  <si>
    <t xml:space="preserve">Interface!I9:K9</t>
  </si>
  <si>
    <t xml:space="preserve">TK_CapexIT_VR200</t>
  </si>
  <si>
    <t xml:space="preserve">Interface!L9:N9</t>
  </si>
  <si>
    <t xml:space="preserve">TK_CapexIT_RU</t>
  </si>
  <si>
    <t xml:space="preserve">Interface!O9:Q9</t>
  </si>
  <si>
    <t xml:space="preserve">TK_CapexFacility_H100</t>
  </si>
  <si>
    <t xml:space="preserve">IF_CapexFacility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</si>
  <si>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資本支出 — 廠房</t>
    </r>
  </si>
  <si>
    <t xml:space="preserve">Interface!C10:E10</t>
  </si>
  <si>
    <t xml:space="preserve">TK_CapexFacility_GB200</t>
  </si>
  <si>
    <t xml:space="preserve">Interface!F10:H10</t>
  </si>
  <si>
    <t xml:space="preserve">TK_CapexFacility_GB300</t>
  </si>
  <si>
    <t xml:space="preserve">Interface!I10:K10</t>
  </si>
  <si>
    <t xml:space="preserve">TK_CapexFacility_VR200</t>
  </si>
  <si>
    <t xml:space="preserve">Interface!L10:N10</t>
  </si>
  <si>
    <t xml:space="preserve">TK_CapexFacility_RU</t>
  </si>
  <si>
    <t xml:space="preserve">Interface!O10:Q10</t>
  </si>
  <si>
    <t xml:space="preserve">TK_CapexTotal_H100</t>
  </si>
  <si>
    <t xml:space="preserve">IF_CapexTotal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</si>
  <si>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資本支出 — 合計</t>
    </r>
  </si>
  <si>
    <t xml:space="preserve">Interface!C11:E11</t>
  </si>
  <si>
    <t xml:space="preserve">TK_CapexTotal_GB200</t>
  </si>
  <si>
    <t xml:space="preserve">Interface!F11:H11</t>
  </si>
  <si>
    <t xml:space="preserve">TK_CapexTotal_GB300</t>
  </si>
  <si>
    <t xml:space="preserve">Interface!I11:K11</t>
  </si>
  <si>
    <t xml:space="preserve">TK_CapexTotal_VR200</t>
  </si>
  <si>
    <t xml:space="preserve">Interface!L11:N11</t>
  </si>
  <si>
    <t xml:space="preserve">TK_CapexTotal_RU</t>
  </si>
  <si>
    <t xml:space="preserve">Interface!O11:Q11</t>
  </si>
  <si>
    <t xml:space="preserve">TK_HoldAcct_H100</t>
  </si>
  <si>
    <t xml:space="preserve">IF_HoldAcct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</si>
  <si>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年持有成本 — 會計口徑</t>
    </r>
  </si>
  <si>
    <r>
      <rPr>
        <sz val="9"/>
        <color rgb="FF595959"/>
        <rFont val="Arial"/>
        <family val="0"/>
        <charset val="1"/>
      </rPr>
      <t xml:space="preserve">$B/</t>
    </r>
    <r>
      <rPr>
        <sz val="9"/>
        <color rgb="FF595959"/>
        <rFont val="Noto Sans CJK SC"/>
        <family val="2"/>
      </rPr>
      <t xml:space="preserve">年</t>
    </r>
  </si>
  <si>
    <t xml:space="preserve">Interface!C12:E12</t>
  </si>
  <si>
    <t xml:space="preserve">TK_HoldAcct_GB200</t>
  </si>
  <si>
    <t xml:space="preserve">Interface!F12:H12</t>
  </si>
  <si>
    <t xml:space="preserve">TK_HoldAcct_GB300</t>
  </si>
  <si>
    <t xml:space="preserve">Interface!I12:K12</t>
  </si>
  <si>
    <t xml:space="preserve">TK_HoldAcct_VR200</t>
  </si>
  <si>
    <t xml:space="preserve">Interface!L12:N12</t>
  </si>
  <si>
    <t xml:space="preserve">TK_HoldAcct_RU</t>
  </si>
  <si>
    <t xml:space="preserve">Interface!O12:Q12</t>
  </si>
  <si>
    <t xml:space="preserve">TK_HoldEcon_H100</t>
  </si>
  <si>
    <t xml:space="preserve">IF_HoldEcon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</si>
  <si>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年持有成本 — 經濟口徑</t>
    </r>
  </si>
  <si>
    <t xml:space="preserve">Interface!C13:E13</t>
  </si>
  <si>
    <t xml:space="preserve">TK_HoldEcon_GB200</t>
  </si>
  <si>
    <t xml:space="preserve">Interface!F13:H13</t>
  </si>
  <si>
    <t xml:space="preserve">TK_HoldEcon_GB300</t>
  </si>
  <si>
    <t xml:space="preserve">Interface!I13:K13</t>
  </si>
  <si>
    <t xml:space="preserve">TK_HoldEcon_VR200</t>
  </si>
  <si>
    <t xml:space="preserve">Interface!L13:N13</t>
  </si>
  <si>
    <t xml:space="preserve">TK_HoldEcon_RU</t>
  </si>
  <si>
    <t xml:space="preserve">Interface!O13:Q13</t>
  </si>
  <si>
    <t xml:space="preserve">TK_GPUhrEcon_H100</t>
  </si>
  <si>
    <t xml:space="preserve">IF_GPUhrEcon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</si>
  <si>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小時持有成本 — 經濟</t>
    </r>
  </si>
  <si>
    <t xml:space="preserve">$/GPU-hr</t>
  </si>
  <si>
    <t xml:space="preserve">Interface!C14:E14</t>
  </si>
  <si>
    <t xml:space="preserve">TK_GPUhrEcon_GB200</t>
  </si>
  <si>
    <t xml:space="preserve">Interface!F14:H14</t>
  </si>
  <si>
    <t xml:space="preserve">TK_GPUhrEcon_GB300</t>
  </si>
  <si>
    <t xml:space="preserve">Interface!I14:K14</t>
  </si>
  <si>
    <t xml:space="preserve">TK_GPUhrEcon_VR200</t>
  </si>
  <si>
    <t xml:space="preserve">Interface!L14:N14</t>
  </si>
  <si>
    <t xml:space="preserve">TK_GPUhrEcon_RU</t>
  </si>
  <si>
    <t xml:space="preserve">Interface!O14:Q14</t>
  </si>
  <si>
    <t xml:space="preserve">TK_PowerCost_H100</t>
  </si>
  <si>
    <t xml:space="preserve">IF_PowerCost</t>
  </si>
  <si>
    <r>
      <rPr>
        <sz val="10"/>
        <rFont val="Noto Sans CJK SC"/>
        <family val="2"/>
      </rPr>
      <t xml:space="preserve">其中：每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年電費</t>
    </r>
  </si>
  <si>
    <t xml:space="preserve">Interface!C15:E15</t>
  </si>
  <si>
    <t xml:space="preserve">TK_PowerCost_GB200</t>
  </si>
  <si>
    <t xml:space="preserve">Interface!F15:H15</t>
  </si>
  <si>
    <t xml:space="preserve">TK_PowerCost_GB300</t>
  </si>
  <si>
    <t xml:space="preserve">Interface!I15:K15</t>
  </si>
  <si>
    <t xml:space="preserve">TK_PowerCost_VR200</t>
  </si>
  <si>
    <t xml:space="preserve">Interface!L15:N15</t>
  </si>
  <si>
    <t xml:space="preserve">TK_PowerCost_RU</t>
  </si>
  <si>
    <t xml:space="preserve">Interface!O15:Q15</t>
  </si>
  <si>
    <t xml:space="preserve">TK_Util</t>
  </si>
  <si>
    <t xml:space="preserve">IF_Util</t>
  </si>
  <si>
    <r>
      <rPr>
        <sz val="10"/>
        <rFont val="Noto Sans CJK SC"/>
        <family val="2"/>
      </rPr>
      <t xml:space="preserve">基準利用率（第 </t>
    </r>
    <r>
      <rPr>
        <sz val="10"/>
        <rFont val="Arial"/>
        <family val="0"/>
        <charset val="1"/>
      </rPr>
      <t xml:space="preserve">0 </t>
    </r>
    <r>
      <rPr>
        <sz val="10"/>
        <rFont val="Noto Sans CJK SC"/>
        <family val="2"/>
      </rPr>
      <t xml:space="preserve">層；下游可覆寫）</t>
    </r>
  </si>
  <si>
    <t xml:space="preserve">Interface!C48</t>
  </si>
  <si>
    <t xml:space="preserve">TK_FacCapexMW</t>
  </si>
  <si>
    <t xml:space="preserve">L1_FacCapexMW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</si>
  <si>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IT </t>
    </r>
    <r>
      <rPr>
        <sz val="10"/>
        <rFont val="Noto Sans CJK SC"/>
        <family val="2"/>
      </rPr>
      <t xml:space="preserve">廠房資本支出</t>
    </r>
  </si>
  <si>
    <t xml:space="preserve">$M/MW</t>
  </si>
  <si>
    <r>
      <rPr>
        <sz val="9"/>
        <color rgb="FF595959"/>
        <rFont val="Arial"/>
        <family val="0"/>
        <charset val="1"/>
      </rPr>
      <t xml:space="preserve">L1!D10</t>
    </r>
    <r>
      <rPr>
        <sz val="9"/>
        <color rgb="FF595959"/>
        <rFont val="Noto Sans CJK SC"/>
        <family val="2"/>
      </rPr>
      <t xml:space="preserve">（低／高＝</t>
    </r>
    <r>
      <rPr>
        <sz val="9"/>
        <color rgb="FF595959"/>
        <rFont val="Arial"/>
        <family val="0"/>
        <charset val="1"/>
      </rPr>
      <t xml:space="preserve">E10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F10</t>
    </r>
    <r>
      <rPr>
        <sz val="9"/>
        <color rgb="FF595959"/>
        <rFont val="Noto Sans CJK SC"/>
        <family val="2"/>
      </rPr>
      <t xml:space="preserve">；成本角落情境（低成本／高成本欄））</t>
    </r>
  </si>
  <si>
    <t xml:space="preserve">TK_GPUhr_GB200_vsCW</t>
  </si>
  <si>
    <t xml:space="preserve">L1_GPUhr_GB200_vsCW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</si>
  <si>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小時持有成本 — 經濟（</t>
    </r>
    <r>
      <rPr>
        <sz val="10"/>
        <rFont val="Arial"/>
        <family val="0"/>
        <charset val="1"/>
      </rPr>
      <t xml:space="preserve">GB200</t>
    </r>
    <r>
      <rPr>
        <sz val="10"/>
        <rFont val="Noto Sans CJK SC"/>
        <family val="2"/>
      </rPr>
      <t xml:space="preserve">）對 </t>
    </r>
    <r>
      <rPr>
        <sz val="10"/>
        <rFont val="Arial"/>
        <family val="0"/>
        <charset val="1"/>
      </rPr>
      <t xml:space="preserve">CoreWeave </t>
    </r>
    <r>
      <rPr>
        <sz val="10"/>
        <rFont val="Noto Sans CJK SC"/>
        <family val="2"/>
      </rPr>
      <t xml:space="preserve">隨需牌價</t>
    </r>
  </si>
  <si>
    <r>
      <rPr>
        <sz val="9"/>
        <color rgb="FF595959"/>
        <rFont val="Arial"/>
        <family val="0"/>
        <charset val="1"/>
      </rPr>
      <t xml:space="preserve">L1!D30</t>
    </r>
    <r>
      <rPr>
        <sz val="9"/>
        <color rgb="FF595959"/>
        <rFont val="Noto Sans CJK SC"/>
        <family val="2"/>
      </rPr>
      <t xml:space="preserve">（低／高＝</t>
    </r>
    <r>
      <rPr>
        <sz val="9"/>
        <color rgb="FF595959"/>
        <rFont val="Arial"/>
        <family val="0"/>
        <charset val="1"/>
      </rPr>
      <t xml:space="preserve">E30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F30</t>
    </r>
    <r>
      <rPr>
        <sz val="9"/>
        <color rgb="FF595959"/>
        <rFont val="Noto Sans CJK SC"/>
        <family val="2"/>
      </rPr>
      <t xml:space="preserve">；成本角落情境（低成本／高成本欄））</t>
    </r>
  </si>
  <si>
    <t xml:space="preserve">TK_GPUhr_GB300_vsBE</t>
  </si>
  <si>
    <t xml:space="preserve">L1_GPUhr_GB300_vsBE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</si>
  <si>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小時持有成本 — 經濟（</t>
    </r>
    <r>
      <rPr>
        <sz val="10"/>
        <rFont val="Arial"/>
        <family val="0"/>
        <charset val="1"/>
      </rPr>
      <t xml:space="preserve">GB300</t>
    </r>
    <r>
      <rPr>
        <sz val="10"/>
        <rFont val="Noto Sans CJK SC"/>
        <family val="2"/>
      </rPr>
      <t xml:space="preserve">）對新雲損益兩平租金</t>
    </r>
  </si>
  <si>
    <r>
      <rPr>
        <sz val="9"/>
        <color rgb="FF595959"/>
        <rFont val="Arial"/>
        <family val="0"/>
        <charset val="1"/>
      </rPr>
      <t xml:space="preserve">L1!D31</t>
    </r>
    <r>
      <rPr>
        <sz val="9"/>
        <color rgb="FF595959"/>
        <rFont val="Noto Sans CJK SC"/>
        <family val="2"/>
      </rPr>
      <t xml:space="preserve">（低／高＝</t>
    </r>
    <r>
      <rPr>
        <sz val="9"/>
        <color rgb="FF595959"/>
        <rFont val="Arial"/>
        <family val="0"/>
        <charset val="1"/>
      </rPr>
      <t xml:space="preserve">E31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F31</t>
    </r>
    <r>
      <rPr>
        <sz val="9"/>
        <color rgb="FF595959"/>
        <rFont val="Noto Sans CJK SC"/>
        <family val="2"/>
      </rPr>
      <t xml:space="preserve">；成本角落情境（低成本／高成本欄））</t>
    </r>
  </si>
  <si>
    <t xml:space="preserve">TK_RevGW_Fleet_VR200</t>
  </si>
  <si>
    <t xml:space="preserve">L1_RevGW_Fleet_VR200</t>
  </si>
  <si>
    <r>
      <rPr>
        <sz val="10"/>
        <rFont val="Arial"/>
        <family val="0"/>
        <charset val="1"/>
      </rPr>
      <t xml:space="preserve">1 GW </t>
    </r>
    <r>
      <rPr>
        <sz val="10"/>
        <rFont val="Noto Sans CJK SC"/>
        <family val="2"/>
      </rPr>
      <t xml:space="preserve">參考機隊付費營收（理想上限，</t>
    </r>
    <r>
      <rPr>
        <sz val="10"/>
        <rFont val="Arial"/>
        <family val="0"/>
        <charset val="1"/>
      </rPr>
      <t xml:space="preserve">VR200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</si>
  <si>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$B/GW/</t>
    </r>
    <r>
      <rPr>
        <sz val="9"/>
        <color rgb="FF595959"/>
        <rFont val="Noto Sans CJK SC"/>
        <family val="2"/>
      </rPr>
      <t xml:space="preserve">年</t>
    </r>
  </si>
  <si>
    <r>
      <rPr>
        <sz val="9"/>
        <color rgb="FF595959"/>
        <rFont val="Arial"/>
        <family val="0"/>
        <charset val="1"/>
      </rPr>
      <t xml:space="preserve">L1!D29</t>
    </r>
    <r>
      <rPr>
        <sz val="9"/>
        <color rgb="FF595959"/>
        <rFont val="Noto Sans CJK SC"/>
        <family val="2"/>
      </rPr>
      <t xml:space="preserve">（低／高＝</t>
    </r>
    <r>
      <rPr>
        <sz val="9"/>
        <color rgb="FF595959"/>
        <rFont val="Arial"/>
        <family val="0"/>
        <charset val="1"/>
      </rPr>
      <t xml:space="preserve">E29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F29</t>
    </r>
    <r>
      <rPr>
        <sz val="9"/>
        <color rgb="FF595959"/>
        <rFont val="Noto Sans CJK SC"/>
        <family val="2"/>
      </rPr>
      <t xml:space="preserve">；利用率 </t>
    </r>
    <r>
      <rPr>
        <sz val="9"/>
        <color rgb="FF595959"/>
        <rFont val="Arial"/>
        <family val="0"/>
        <charset val="1"/>
      </rPr>
      <t xml:space="preserve">40–80%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Sens_Rev </t>
    </r>
    <r>
      <rPr>
        <sz val="9"/>
        <color rgb="FF595959"/>
        <rFont val="Noto Sans CJK SC"/>
        <family val="2"/>
      </rPr>
      <t xml:space="preserve">情境值；</t>
    </r>
    <r>
      <rPr>
        <sz val="9"/>
        <color rgb="FF595959"/>
        <rFont val="Arial"/>
        <family val="0"/>
        <charset val="1"/>
      </rPr>
      <t xml:space="preserve">J6 </t>
    </r>
    <r>
      <rPr>
        <sz val="9"/>
        <color rgb="FF595959"/>
        <rFont val="Noto Sans CJK SC"/>
        <family val="2"/>
      </rPr>
      <t xml:space="preserve">區間））</t>
    </r>
  </si>
  <si>
    <t xml:space="preserve">TK_DeprLifeIT_H100</t>
  </si>
  <si>
    <t xml:space="preserve">IF_DeprLifeIT</t>
  </si>
  <si>
    <r>
      <rPr>
        <sz val="10"/>
        <rFont val="Arial"/>
        <family val="0"/>
        <charset val="1"/>
      </rPr>
      <t xml:space="preserve">IT </t>
    </r>
    <r>
      <rPr>
        <sz val="10"/>
        <rFont val="Noto Sans CJK SC"/>
        <family val="2"/>
      </rPr>
      <t xml:space="preserve">折舊年限</t>
    </r>
  </si>
  <si>
    <t xml:space="preserve">Interface!C219:E219</t>
  </si>
  <si>
    <t xml:space="preserve">TK_DeprLifeIT_GB200</t>
  </si>
  <si>
    <t xml:space="preserve">Interface!F219:H219</t>
  </si>
  <si>
    <t xml:space="preserve">TK_DeprLifeIT_GB300</t>
  </si>
  <si>
    <t xml:space="preserve">Interface!I219:K219</t>
  </si>
  <si>
    <t xml:space="preserve">TK_DeprLifeIT_VR200</t>
  </si>
  <si>
    <t xml:space="preserve">Interface!L219:N219</t>
  </si>
  <si>
    <t xml:space="preserve">TK_DeprLifeIT_RU</t>
  </si>
  <si>
    <t xml:space="preserve">Interface!O219:Q219</t>
  </si>
  <si>
    <t xml:space="preserve">TK_DeprIT_H100</t>
  </si>
  <si>
    <t xml:space="preserve">IF_DeprIT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</si>
  <si>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IT </t>
    </r>
    <r>
      <rPr>
        <sz val="10"/>
        <rFont val="Noto Sans CJK SC"/>
        <family val="2"/>
      </rPr>
      <t xml:space="preserve">折舊</t>
    </r>
  </si>
  <si>
    <t xml:space="preserve">Interface!C220:E220</t>
  </si>
  <si>
    <t xml:space="preserve">TK_DeprIT_GB200</t>
  </si>
  <si>
    <t xml:space="preserve">Interface!F220:H220</t>
  </si>
  <si>
    <t xml:space="preserve">TK_DeprIT_GB300</t>
  </si>
  <si>
    <t xml:space="preserve">Interface!I220:K220</t>
  </si>
  <si>
    <t xml:space="preserve">TK_DeprIT_VR200</t>
  </si>
  <si>
    <t xml:space="preserve">Interface!L220:N220</t>
  </si>
  <si>
    <t xml:space="preserve">TK_DeprIT_RU</t>
  </si>
  <si>
    <t xml:space="preserve">Interface!O220:Q220</t>
  </si>
  <si>
    <t xml:space="preserve">TK_DeprFac_H100</t>
  </si>
  <si>
    <t xml:space="preserve">IF_DeprFac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</si>
  <si>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廠房折舊（土地不折舊）</t>
    </r>
  </si>
  <si>
    <t xml:space="preserve">Interface!C221:E221</t>
  </si>
  <si>
    <t xml:space="preserve">TK_DeprFac_GB200</t>
  </si>
  <si>
    <t xml:space="preserve">Interface!F221:H221</t>
  </si>
  <si>
    <t xml:space="preserve">TK_DeprFac_GB300</t>
  </si>
  <si>
    <t xml:space="preserve">Interface!I221:K221</t>
  </si>
  <si>
    <t xml:space="preserve">TK_DeprFac_VR200</t>
  </si>
  <si>
    <t xml:space="preserve">Interface!L221:N221</t>
  </si>
  <si>
    <t xml:space="preserve">TK_DeprFac_RU</t>
  </si>
  <si>
    <t xml:space="preserve">Interface!O221:Q221</t>
  </si>
  <si>
    <t xml:space="preserve">TK_AvgDraw_H100</t>
  </si>
  <si>
    <t xml:space="preserve">IF_AvgDraw</t>
  </si>
  <si>
    <r>
      <rPr>
        <sz val="10"/>
        <rFont val="Noto Sans CJK SC"/>
        <family val="2"/>
      </rPr>
      <t xml:space="preserve">平均用電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配電設計功率</t>
    </r>
  </si>
  <si>
    <t xml:space="preserve">Interface!C222:E222</t>
  </si>
  <si>
    <t xml:space="preserve">TK_AvgDraw_GB200</t>
  </si>
  <si>
    <t xml:space="preserve">Interface!F222:H222</t>
  </si>
  <si>
    <t xml:space="preserve">TK_AvgDraw_GB300</t>
  </si>
  <si>
    <t xml:space="preserve">Interface!I222:K222</t>
  </si>
  <si>
    <t xml:space="preserve">TK_AvgDraw_VR200</t>
  </si>
  <si>
    <t xml:space="preserve">Interface!L222:N222</t>
  </si>
  <si>
    <t xml:space="preserve">TK_AvgDraw_RU</t>
  </si>
  <si>
    <t xml:space="preserve">Interface!O222:Q222</t>
  </si>
  <si>
    <t xml:space="preserve">TK_PowerPrice_H100</t>
  </si>
  <si>
    <t xml:space="preserve">IF_PowerPrice</t>
  </si>
  <si>
    <t xml:space="preserve">$/kWh</t>
  </si>
  <si>
    <t xml:space="preserve">Interface!C223:E223</t>
  </si>
  <si>
    <t xml:space="preserve">TK_PowerPrice_GB200</t>
  </si>
  <si>
    <t xml:space="preserve">Interface!F223:H223</t>
  </si>
  <si>
    <t xml:space="preserve">TK_PowerPrice_GB300</t>
  </si>
  <si>
    <t xml:space="preserve">Interface!I223:K223</t>
  </si>
  <si>
    <t xml:space="preserve">TK_PowerPrice_VR200</t>
  </si>
  <si>
    <t xml:space="preserve">Interface!L223:N223</t>
  </si>
  <si>
    <t xml:space="preserve">TK_PowerPrice_RU</t>
  </si>
  <si>
    <t xml:space="preserve">Interface!O223:Q223</t>
  </si>
  <si>
    <t xml:space="preserve">TK_MaintIT_H100</t>
  </si>
  <si>
    <t xml:space="preserve">IF_MaintIT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</si>
  <si>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IT </t>
    </r>
    <r>
      <rPr>
        <sz val="10"/>
        <rFont val="Noto Sans CJK SC"/>
        <family val="2"/>
      </rPr>
      <t xml:space="preserve">維護</t>
    </r>
  </si>
  <si>
    <t xml:space="preserve">Interface!C224:E224</t>
  </si>
  <si>
    <t xml:space="preserve">TK_MaintIT_GB200</t>
  </si>
  <si>
    <t xml:space="preserve">Interface!F224:H224</t>
  </si>
  <si>
    <t xml:space="preserve">TK_MaintIT_GB300</t>
  </si>
  <si>
    <t xml:space="preserve">Interface!I224:K224</t>
  </si>
  <si>
    <t xml:space="preserve">TK_MaintIT_VR200</t>
  </si>
  <si>
    <t xml:space="preserve">Interface!L224:N224</t>
  </si>
  <si>
    <t xml:space="preserve">TK_MaintIT_RU</t>
  </si>
  <si>
    <t xml:space="preserve">Interface!O224:Q224</t>
  </si>
  <si>
    <t xml:space="preserve">TK_MaintFac_H100</t>
  </si>
  <si>
    <t xml:space="preserve">IF_MaintFac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</si>
  <si>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廠房維護</t>
    </r>
  </si>
  <si>
    <t xml:space="preserve">Interface!C225:E225</t>
  </si>
  <si>
    <t xml:space="preserve">TK_MaintFac_GB200</t>
  </si>
  <si>
    <t xml:space="preserve">Interface!F225:H225</t>
  </si>
  <si>
    <t xml:space="preserve">TK_MaintFac_GB300</t>
  </si>
  <si>
    <t xml:space="preserve">Interface!I225:K225</t>
  </si>
  <si>
    <t xml:space="preserve">TK_MaintFac_VR200</t>
  </si>
  <si>
    <t xml:space="preserve">Interface!L225:N225</t>
  </si>
  <si>
    <t xml:space="preserve">TK_MaintFac_RU</t>
  </si>
  <si>
    <t xml:space="preserve">Interface!O225:Q225</t>
  </si>
  <si>
    <t xml:space="preserve">TK_StaffSW_H100</t>
  </si>
  <si>
    <t xml:space="preserve">IF_StaffSW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</si>
  <si>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人員、軟體、水與耗材</t>
    </r>
  </si>
  <si>
    <t xml:space="preserve">Interface!C226:E226</t>
  </si>
  <si>
    <t xml:space="preserve">TK_StaffSW_GB200</t>
  </si>
  <si>
    <t xml:space="preserve">Interface!F226:H226</t>
  </si>
  <si>
    <t xml:space="preserve">TK_StaffSW_GB300</t>
  </si>
  <si>
    <t xml:space="preserve">Interface!I226:K226</t>
  </si>
  <si>
    <t xml:space="preserve">TK_StaffSW_VR200</t>
  </si>
  <si>
    <t xml:space="preserve">Interface!L226:N226</t>
  </si>
  <si>
    <t xml:space="preserve">TK_StaffSW_RU</t>
  </si>
  <si>
    <t xml:space="preserve">Interface!O226:Q226</t>
  </si>
  <si>
    <t xml:space="preserve">TK_TaxIns_H100</t>
  </si>
  <si>
    <t xml:space="preserve">IF_TaxIns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</si>
  <si>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財產稅與保險</t>
    </r>
  </si>
  <si>
    <t xml:space="preserve">Interface!C227:E227</t>
  </si>
  <si>
    <t xml:space="preserve">TK_TaxIns_GB200</t>
  </si>
  <si>
    <t xml:space="preserve">Interface!F227:H227</t>
  </si>
  <si>
    <t xml:space="preserve">TK_TaxIns_GB300</t>
  </si>
  <si>
    <t xml:space="preserve">Interface!I227:K227</t>
  </si>
  <si>
    <t xml:space="preserve">TK_TaxIns_VR200</t>
  </si>
  <si>
    <t xml:space="preserve">Interface!L227:N227</t>
  </si>
  <si>
    <t xml:space="preserve">TK_TaxIns_RU</t>
  </si>
  <si>
    <t xml:space="preserve">Interface!O227:Q227</t>
  </si>
  <si>
    <t xml:space="preserve">TK_OpexGW_H100</t>
  </si>
  <si>
    <t xml:space="preserve">IF_OpexGW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</si>
  <si>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營運費用小計（不含折舊；含電費）</t>
    </r>
  </si>
  <si>
    <t xml:space="preserve">Interface!C228:E228</t>
  </si>
  <si>
    <t xml:space="preserve">TK_OpexGW_GB200</t>
  </si>
  <si>
    <t xml:space="preserve">Interface!F228:H228</t>
  </si>
  <si>
    <t xml:space="preserve">TK_OpexGW_GB300</t>
  </si>
  <si>
    <t xml:space="preserve">Interface!I228:K228</t>
  </si>
  <si>
    <t xml:space="preserve">TK_OpexGW_VR200</t>
  </si>
  <si>
    <t xml:space="preserve">Interface!L228:N228</t>
  </si>
  <si>
    <t xml:space="preserve">TK_OpexGW_RU</t>
  </si>
  <si>
    <t xml:space="preserve">Interface!O228:Q228</t>
  </si>
  <si>
    <t xml:space="preserve">TK_RevGWFleet_H100</t>
  </si>
  <si>
    <t xml:space="preserve">IF_RevGWFleet</t>
  </si>
  <si>
    <r>
      <rPr>
        <sz val="10"/>
        <rFont val="Noto Sans CJK SC"/>
        <family val="2"/>
      </rPr>
      <t xml:space="preserve">付費服務營收合計（層級組合）— </t>
    </r>
    <r>
      <rPr>
        <sz val="10"/>
        <rFont val="Arial"/>
        <family val="0"/>
        <charset val="1"/>
      </rPr>
      <t xml:space="preserve">OpenAI </t>
    </r>
    <r>
      <rPr>
        <sz val="10"/>
        <rFont val="Noto Sans CJK SC"/>
        <family val="2"/>
      </rPr>
      <t xml:space="preserve">有效單價（理想上限）</t>
    </r>
  </si>
  <si>
    <t xml:space="preserve">Interface!C143:E143</t>
  </si>
  <si>
    <t xml:space="preserve">TK_RevGWFleet_GB200</t>
  </si>
  <si>
    <t xml:space="preserve">Interface!F143:H143</t>
  </si>
  <si>
    <t xml:space="preserve">TK_RevGWFleet_GB300</t>
  </si>
  <si>
    <t xml:space="preserve">Interface!I143:K143</t>
  </si>
  <si>
    <t xml:space="preserve">TK_RevGWFleet_VR200</t>
  </si>
  <si>
    <t xml:space="preserve">Interface!L143:N143</t>
  </si>
  <si>
    <t xml:space="preserve">TK_RevGWFleet_RU</t>
  </si>
  <si>
    <t xml:space="preserve">Interface!O143:Q143</t>
  </si>
</sst>
</file>

<file path=xl/styles.xml><?xml version="1.0" encoding="utf-8"?>
<styleSheet xmlns="http://schemas.openxmlformats.org/spreadsheetml/2006/main">
  <numFmts count="21">
    <numFmt numFmtId="164" formatCode="General"/>
    <numFmt numFmtId="165" formatCode="#,##0;\(#,##0\);\-"/>
    <numFmt numFmtId="166" formatCode="#,##0.00;\(#,##0.00\);\-"/>
    <numFmt numFmtId="167" formatCode="\$#,##0.00;&quot;($&quot;#,##0.00\);\-"/>
    <numFmt numFmtId="168" formatCode="0.0%"/>
    <numFmt numFmtId="169" formatCode="0.0\x"/>
    <numFmt numFmtId="170" formatCode="#,##0.0;\(#,##0.0\);\-"/>
    <numFmt numFmtId="171" formatCode="0.0000"/>
    <numFmt numFmtId="172" formatCode="#,##0.000;\(#,##0.000\);\-"/>
    <numFmt numFmtId="173" formatCode="0.00"/>
    <numFmt numFmtId="174" formatCode="0.000"/>
    <numFmt numFmtId="175" formatCode="@"/>
    <numFmt numFmtId="176" formatCode="#,##0.000"/>
    <numFmt numFmtId="177" formatCode="0.00%"/>
    <numFmt numFmtId="178" formatCode="0.0000%"/>
    <numFmt numFmtId="179" formatCode="0.000000"/>
    <numFmt numFmtId="180" formatCode="0.000%"/>
    <numFmt numFmtId="181" formatCode="0.00\x"/>
    <numFmt numFmtId="182" formatCode="0.0"/>
    <numFmt numFmtId="183" formatCode="0%"/>
    <numFmt numFmtId="184" formatCode="#,##0.0000;\(#,##0.0000\);\-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4"/>
      <name val="Noto Sans CJK SC"/>
      <family val="2"/>
    </font>
    <font>
      <b val="true"/>
      <sz val="10"/>
      <name val="Noto Sans CJK SC"/>
      <family val="2"/>
    </font>
    <font>
      <sz val="10"/>
      <name val="Noto Sans CJK SC"/>
      <family val="2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9"/>
      <color rgb="FF595959"/>
      <name val="Noto Sans CJK SC"/>
      <family val="2"/>
    </font>
    <font>
      <sz val="9"/>
      <color rgb="FF595959"/>
      <name val="Arial"/>
      <family val="0"/>
      <charset val="1"/>
    </font>
    <font>
      <b val="true"/>
      <sz val="11"/>
      <color rgb="FFFFFFFF"/>
      <name val="Noto Sans CJK SC"/>
      <family val="2"/>
    </font>
    <font>
      <b val="true"/>
      <sz val="11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1F3864"/>
      <name val="Noto Sans CJK SC"/>
      <family val="2"/>
    </font>
    <font>
      <b val="true"/>
      <sz val="10"/>
      <color rgb="FF1F3864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0000FF"/>
      <name val="Noto Sans CJK SC"/>
      <family val="2"/>
    </font>
    <font>
      <sz val="11"/>
      <color theme="1"/>
      <name val="Noto Sans CJK SC"/>
      <family val="2"/>
    </font>
  </fonts>
  <fills count="7">
    <fill>
      <patternFill patternType="none"/>
    </fill>
    <fill>
      <patternFill patternType="gray125"/>
    </fill>
    <fill>
      <patternFill patternType="solid">
        <fgColor rgb="FFD9E2F3"/>
        <bgColor rgb="FFE3F1E8"/>
      </patternFill>
    </fill>
    <fill>
      <patternFill patternType="solid">
        <fgColor rgb="FF1F3864"/>
        <bgColor rgb="FF333399"/>
      </patternFill>
    </fill>
    <fill>
      <patternFill patternType="solid">
        <fgColor rgb="FFFFFF00"/>
        <bgColor rgb="FFFFFF00"/>
      </patternFill>
    </fill>
    <fill>
      <patternFill patternType="solid">
        <fgColor rgb="FFEEF2F7"/>
        <bgColor rgb="FFE3F1E8"/>
      </patternFill>
    </fill>
    <fill>
      <patternFill patternType="solid">
        <fgColor rgb="FF0F5C61"/>
        <bgColor rgb="FF0F6B4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1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2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83" fontId="13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8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E3F1E8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F1239"/>
      <rgbColor rgb="FF008000"/>
      <rgbColor rgb="FF000080"/>
      <rgbColor rgb="FF808000"/>
      <rgbColor rgb="FF800080"/>
      <rgbColor rgb="FF0F6B4C"/>
      <rgbColor rgb="FFBFBFBF"/>
      <rgbColor rgb="FF808080"/>
      <rgbColor rgb="FF9999FF"/>
      <rgbColor rgb="FF993366"/>
      <rgbColor rgb="FFEEF2F7"/>
      <rgbColor rgb="FFE3F1E8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F5C61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B5778"/>
      <rgbColor rgb="FFC4A35A"/>
      <rgbColor rgb="FF1F3864"/>
      <rgbColor rgb="FF339966"/>
      <rgbColor rgb="FF003300"/>
      <rgbColor rgb="FF333300"/>
      <rgbColor rgb="FF993300"/>
      <rgbColor rgb="FF993366"/>
      <rgbColor rgb="FF333399"/>
      <rgbColor rgb="FF5959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8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8"/>
  </cols>
  <sheetData>
    <row r="1" customFormat="false" ht="21.6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/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3" t="s">
        <v>5</v>
      </c>
    </row>
    <row r="9" customFormat="false" ht="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3" t="s">
        <v>7</v>
      </c>
    </row>
    <row r="11" customFormat="false" ht="15" hidden="false" customHeight="false" outlineLevel="0" collapsed="false">
      <c r="A11" s="3" t="s">
        <v>8</v>
      </c>
    </row>
    <row r="12" customFormat="false" ht="15" hidden="false" customHeight="false" outlineLevel="0" collapsed="false">
      <c r="A12" s="3" t="s">
        <v>9</v>
      </c>
    </row>
    <row r="13" customFormat="false" ht="15" hidden="false" customHeight="false" outlineLevel="0" collapsed="false">
      <c r="A13" s="3" t="s">
        <v>10</v>
      </c>
    </row>
    <row r="14" customFormat="false" ht="15" hidden="false" customHeight="false" outlineLevel="0" collapsed="false">
      <c r="A14" s="3" t="s">
        <v>11</v>
      </c>
    </row>
    <row r="15" customFormat="false" ht="15" hidden="false" customHeight="false" outlineLevel="0" collapsed="false">
      <c r="A15" s="3" t="s">
        <v>12</v>
      </c>
    </row>
    <row r="16" customFormat="false" ht="15" hidden="false" customHeight="false" outlineLevel="0" collapsed="false">
      <c r="A16" s="3" t="s">
        <v>13</v>
      </c>
    </row>
    <row r="17" customFormat="false" ht="15" hidden="false" customHeight="false" outlineLevel="0" collapsed="false">
      <c r="A17" s="3" t="s">
        <v>14</v>
      </c>
    </row>
    <row r="18" customFormat="false" ht="15" hidden="false" customHeight="false" outlineLevel="0" collapsed="false">
      <c r="A18" s="3" t="s">
        <v>15</v>
      </c>
    </row>
    <row r="19" customFormat="false" ht="15" hidden="false" customHeight="false" outlineLevel="0" collapsed="false">
      <c r="A19" s="3"/>
    </row>
    <row r="20" customFormat="false" ht="15" hidden="false" customHeight="false" outlineLevel="0" collapsed="false">
      <c r="A20" s="2" t="s">
        <v>16</v>
      </c>
    </row>
    <row r="21" customFormat="false" ht="15" hidden="false" customHeight="false" outlineLevel="0" collapsed="false">
      <c r="A21" s="3" t="s">
        <v>17</v>
      </c>
    </row>
    <row r="22" customFormat="false" ht="15" hidden="false" customHeight="false" outlineLevel="0" collapsed="false">
      <c r="A22" s="3"/>
    </row>
    <row r="23" customFormat="false" ht="15" hidden="false" customHeight="false" outlineLevel="0" collapsed="false">
      <c r="A23" s="2" t="s">
        <v>18</v>
      </c>
    </row>
    <row r="24" customFormat="false" ht="15" hidden="false" customHeight="false" outlineLevel="0" collapsed="false">
      <c r="A24" s="3" t="s">
        <v>19</v>
      </c>
    </row>
    <row r="25" customFormat="false" ht="15" hidden="false" customHeight="false" outlineLevel="0" collapsed="false">
      <c r="A25" s="3"/>
    </row>
    <row r="26" customFormat="false" ht="15" hidden="false" customHeight="false" outlineLevel="0" collapsed="false">
      <c r="A26" s="3" t="s">
        <v>20</v>
      </c>
    </row>
    <row r="27" customFormat="false" ht="15" hidden="false" customHeight="false" outlineLevel="0" collapsed="false">
      <c r="A27" s="4" t="s">
        <v>21</v>
      </c>
    </row>
    <row r="28" customFormat="false" ht="15" hidden="false" customHeight="false" outlineLevel="0" collapsed="false">
      <c r="A28" s="3" t="s">
        <v>22</v>
      </c>
    </row>
    <row r="29" customFormat="false" ht="15" hidden="false" customHeight="false" outlineLevel="0" collapsed="false">
      <c r="A29" s="3" t="s">
        <v>23</v>
      </c>
    </row>
    <row r="30" customFormat="false" ht="15" hidden="false" customHeight="false" outlineLevel="0" collapsed="false">
      <c r="A30" s="4" t="s">
        <v>24</v>
      </c>
    </row>
    <row r="31" customFormat="false" ht="15" hidden="false" customHeight="false" outlineLevel="0" collapsed="false">
      <c r="A31" s="3" t="s">
        <v>25</v>
      </c>
    </row>
    <row r="32" customFormat="false" ht="15" hidden="false" customHeight="false" outlineLevel="0" collapsed="false">
      <c r="A32" s="3"/>
    </row>
    <row r="33" customFormat="false" ht="15" hidden="false" customHeight="false" outlineLevel="0" collapsed="false">
      <c r="A33" s="3" t="s">
        <v>26</v>
      </c>
    </row>
    <row r="34" customFormat="false" ht="15" hidden="false" customHeight="false" outlineLevel="0" collapsed="false">
      <c r="A34" s="3" t="s">
        <v>27</v>
      </c>
    </row>
    <row r="35" customFormat="false" ht="15" hidden="false" customHeight="false" outlineLevel="0" collapsed="false">
      <c r="A35" s="3" t="s">
        <v>28</v>
      </c>
    </row>
    <row r="36" customFormat="false" ht="15" hidden="false" customHeight="false" outlineLevel="0" collapsed="false">
      <c r="A36" s="3" t="s">
        <v>29</v>
      </c>
    </row>
    <row r="37" customFormat="false" ht="15" hidden="false" customHeight="false" outlineLevel="0" collapsed="false">
      <c r="A37" s="3" t="s">
        <v>30</v>
      </c>
    </row>
    <row r="38" customFormat="false" ht="15" hidden="false" customHeight="false" outlineLevel="0" collapsed="false">
      <c r="A38" s="3"/>
    </row>
    <row r="39" customFormat="false" ht="15" hidden="false" customHeight="false" outlineLevel="0" collapsed="false">
      <c r="A39" s="3" t="s">
        <v>31</v>
      </c>
    </row>
    <row r="40" customFormat="false" ht="15" hidden="false" customHeight="false" outlineLevel="0" collapsed="false">
      <c r="A40" s="3" t="s">
        <v>32</v>
      </c>
    </row>
    <row r="41" customFormat="false" ht="15" hidden="false" customHeight="false" outlineLevel="0" collapsed="false">
      <c r="A41" s="3" t="s">
        <v>33</v>
      </c>
    </row>
    <row r="42" customFormat="false" ht="15" hidden="false" customHeight="false" outlineLevel="0" collapsed="false">
      <c r="A42" s="3"/>
    </row>
    <row r="43" customFormat="false" ht="15" hidden="false" customHeight="false" outlineLevel="0" collapsed="false">
      <c r="A43" s="2" t="s">
        <v>34</v>
      </c>
    </row>
    <row r="44" customFormat="false" ht="15" hidden="false" customHeight="false" outlineLevel="0" collapsed="false">
      <c r="A44" s="3" t="s">
        <v>35</v>
      </c>
    </row>
    <row r="45" customFormat="false" ht="15" hidden="false" customHeight="false" outlineLevel="0" collapsed="false">
      <c r="A45" s="3" t="s">
        <v>36</v>
      </c>
    </row>
    <row r="46" customFormat="false" ht="15" hidden="false" customHeight="false" outlineLevel="0" collapsed="false">
      <c r="A46" s="4" t="s">
        <v>37</v>
      </c>
    </row>
    <row r="47" customFormat="false" ht="15" hidden="false" customHeight="false" outlineLevel="0" collapsed="false">
      <c r="A47" s="3"/>
    </row>
    <row r="48" customFormat="false" ht="15" hidden="false" customHeight="false" outlineLevel="0" collapsed="false">
      <c r="A48" s="2" t="s">
        <v>38</v>
      </c>
    </row>
    <row r="49" customFormat="false" ht="15" hidden="false" customHeight="false" outlineLevel="0" collapsed="false">
      <c r="A49" s="3" t="s">
        <v>39</v>
      </c>
    </row>
    <row r="50" customFormat="false" ht="15" hidden="false" customHeight="false" outlineLevel="0" collapsed="false">
      <c r="A50" s="4" t="s">
        <v>40</v>
      </c>
    </row>
    <row r="51" customFormat="false" ht="15" hidden="false" customHeight="false" outlineLevel="0" collapsed="false">
      <c r="A51" s="3" t="s">
        <v>41</v>
      </c>
    </row>
    <row r="52" customFormat="false" ht="15" hidden="false" customHeight="false" outlineLevel="0" collapsed="false">
      <c r="A52" s="3" t="s">
        <v>42</v>
      </c>
    </row>
    <row r="53" customFormat="false" ht="15" hidden="false" customHeight="false" outlineLevel="0" collapsed="false">
      <c r="A53" s="4" t="s">
        <v>43</v>
      </c>
    </row>
    <row r="54" customFormat="false" ht="15" hidden="false" customHeight="false" outlineLevel="0" collapsed="false">
      <c r="A54" s="4" t="s">
        <v>44</v>
      </c>
    </row>
    <row r="55" customFormat="false" ht="15" hidden="false" customHeight="false" outlineLevel="0" collapsed="false">
      <c r="A55" s="3"/>
    </row>
    <row r="56" customFormat="false" ht="15" hidden="false" customHeight="false" outlineLevel="0" collapsed="false">
      <c r="A56" s="2" t="s">
        <v>45</v>
      </c>
    </row>
    <row r="57" customFormat="false" ht="15" hidden="false" customHeight="false" outlineLevel="0" collapsed="false">
      <c r="A57" s="4" t="s">
        <v>46</v>
      </c>
    </row>
    <row r="58" customFormat="false" ht="15" hidden="false" customHeight="false" outlineLevel="0" collapsed="false">
      <c r="A58" s="3" t="s">
        <v>47</v>
      </c>
    </row>
    <row r="59" customFormat="false" ht="15" hidden="false" customHeight="false" outlineLevel="0" collapsed="false">
      <c r="A59" s="3" t="s">
        <v>48</v>
      </c>
    </row>
    <row r="60" customFormat="false" ht="15" hidden="false" customHeight="false" outlineLevel="0" collapsed="false">
      <c r="A60" s="3"/>
    </row>
    <row r="61" customFormat="false" ht="15" hidden="false" customHeight="false" outlineLevel="0" collapsed="false">
      <c r="A61" s="5" t="s">
        <v>49</v>
      </c>
    </row>
    <row r="62" customFormat="false" ht="15" hidden="false" customHeight="false" outlineLevel="0" collapsed="false">
      <c r="A62" s="4" t="s">
        <v>50</v>
      </c>
    </row>
    <row r="63" customFormat="false" ht="15" hidden="false" customHeight="false" outlineLevel="0" collapsed="false">
      <c r="A63" s="3" t="s">
        <v>51</v>
      </c>
    </row>
    <row r="64" customFormat="false" ht="15" hidden="false" customHeight="false" outlineLevel="0" collapsed="false">
      <c r="A64" s="4" t="s">
        <v>52</v>
      </c>
    </row>
    <row r="65" customFormat="false" ht="15" hidden="false" customHeight="false" outlineLevel="0" collapsed="false">
      <c r="A65" s="4" t="s">
        <v>53</v>
      </c>
    </row>
    <row r="66" customFormat="false" ht="15" hidden="false" customHeight="false" outlineLevel="0" collapsed="false">
      <c r="A66" s="4" t="s">
        <v>54</v>
      </c>
    </row>
    <row r="67" customFormat="false" ht="15" hidden="false" customHeight="false" outlineLevel="0" collapsed="false">
      <c r="A67" s="4" t="s">
        <v>55</v>
      </c>
    </row>
    <row r="68" customFormat="false" ht="15" hidden="false" customHeight="false" outlineLevel="0" collapsed="false">
      <c r="A68" s="3"/>
    </row>
    <row r="69" customFormat="false" ht="15" hidden="false" customHeight="false" outlineLevel="0" collapsed="false">
      <c r="A69" s="5" t="s">
        <v>56</v>
      </c>
    </row>
    <row r="70" customFormat="false" ht="15" hidden="false" customHeight="false" outlineLevel="0" collapsed="false">
      <c r="A70" s="3" t="s">
        <v>57</v>
      </c>
    </row>
    <row r="71" customFormat="false" ht="15" hidden="false" customHeight="false" outlineLevel="0" collapsed="false">
      <c r="A71" s="3" t="s">
        <v>58</v>
      </c>
    </row>
    <row r="72" customFormat="false" ht="15" hidden="false" customHeight="false" outlineLevel="0" collapsed="false">
      <c r="A72" s="3" t="s">
        <v>59</v>
      </c>
    </row>
    <row r="73" customFormat="false" ht="15" hidden="false" customHeight="false" outlineLevel="0" collapsed="false">
      <c r="A73" s="3"/>
    </row>
    <row r="74" customFormat="false" ht="15" hidden="false" customHeight="false" outlineLevel="0" collapsed="false">
      <c r="A74" s="5" t="s">
        <v>60</v>
      </c>
    </row>
    <row r="75" customFormat="false" ht="15" hidden="false" customHeight="false" outlineLevel="0" collapsed="false">
      <c r="A75" s="4" t="s">
        <v>61</v>
      </c>
    </row>
    <row r="76" customFormat="false" ht="15" hidden="false" customHeight="false" outlineLevel="0" collapsed="false">
      <c r="A76" s="3" t="s">
        <v>62</v>
      </c>
    </row>
    <row r="77" customFormat="false" ht="15" hidden="false" customHeight="false" outlineLevel="0" collapsed="false">
      <c r="A77" s="3" t="s">
        <v>63</v>
      </c>
    </row>
    <row r="78" customFormat="false" ht="15" hidden="false" customHeight="false" outlineLevel="0" collapsed="false">
      <c r="A78" s="3"/>
    </row>
    <row r="79" customFormat="false" ht="15" hidden="false" customHeight="false" outlineLevel="0" collapsed="false">
      <c r="A79" s="5" t="s">
        <v>64</v>
      </c>
    </row>
    <row r="80" customFormat="false" ht="15" hidden="false" customHeight="false" outlineLevel="0" collapsed="false">
      <c r="A80" s="3" t="s">
        <v>65</v>
      </c>
    </row>
    <row r="81" customFormat="false" ht="15" hidden="false" customHeight="false" outlineLevel="0" collapsed="false">
      <c r="A81" s="3" t="s">
        <v>66</v>
      </c>
    </row>
    <row r="82" customFormat="false" ht="15" hidden="false" customHeight="false" outlineLevel="0" collapsed="false">
      <c r="A82" s="4" t="s">
        <v>67</v>
      </c>
    </row>
    <row r="83" customFormat="false" ht="15" hidden="false" customHeight="false" outlineLevel="0" collapsed="false">
      <c r="A83" s="3" t="s">
        <v>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outlinePr summaryBelow="0" summaryRight="1"/>
    <pageSetUpPr fitToPage="false"/>
  </sheetPr>
  <dimension ref="A1:I7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40"/>
    <col collapsed="false" customWidth="true" hidden="false" outlineLevel="0" max="2" min="2" style="0" width="10"/>
    <col collapsed="false" customWidth="true" hidden="false" outlineLevel="0" max="7" min="3" style="0" width="13"/>
    <col collapsed="false" customWidth="true" hidden="false" outlineLevel="0" max="9" min="9" style="0" width="70"/>
  </cols>
  <sheetData>
    <row r="1" customFormat="false" ht="17.35" hidden="false" customHeight="false" outlineLevel="0" collapsed="false">
      <c r="A1" s="6" t="s">
        <v>69</v>
      </c>
    </row>
    <row r="2" customFormat="false" ht="15" hidden="false" customHeight="false" outlineLevel="0" collapsed="false">
      <c r="A2" s="7" t="str">
        <f aca="false">"模型端＝目前情境：" &amp; CHOOSE(輸入與假設!$C$5,"保守 4.2 GW","基準 5.6 GW","積極 8 GW") &amp; "（預設＝基準）；共識＝data/consensus_crwv_20260925.json（2026-09-25）"</f>
        <v>模型端＝目前情境：基準 5.6 GW（預設＝基準）；共識＝data/consensus_crwv_20260925.json（2026-09-25）</v>
      </c>
    </row>
    <row r="4" customFormat="false" ht="15" hidden="false" customHeight="false" outlineLevel="0" collapsed="false">
      <c r="A4" s="8" t="s">
        <v>70</v>
      </c>
      <c r="B4" s="9"/>
      <c r="C4" s="9"/>
      <c r="D4" s="9"/>
      <c r="E4" s="9"/>
      <c r="F4" s="9"/>
      <c r="G4" s="9"/>
      <c r="H4" s="9"/>
    </row>
    <row r="5" customFormat="false" ht="15" hidden="false" customHeight="false" outlineLevel="1" collapsed="false">
      <c r="A5" s="3" t="s">
        <v>71</v>
      </c>
      <c r="C5" s="10" t="n">
        <f aca="false">評價_DCF與目標價!C57</f>
        <v>0</v>
      </c>
    </row>
    <row r="6" customFormat="false" ht="15" hidden="false" customHeight="false" outlineLevel="1" collapsed="false">
      <c r="A6" s="3" t="s">
        <v>72</v>
      </c>
      <c r="C6" s="11" t="str">
        <f aca="false">CHOOSE(C5+2,"賣出","中立","買進")</f>
        <v>中立</v>
      </c>
    </row>
    <row r="7" customFormat="false" ht="15" hidden="false" customHeight="false" outlineLevel="1" collapsed="false">
      <c r="A7" s="2" t="s">
        <v>73</v>
      </c>
      <c r="B7" s="12" t="s">
        <v>74</v>
      </c>
      <c r="C7" s="13" t="n">
        <f aca="false">評價_DCF與目標價!C48</f>
        <v>98.0184876310382</v>
      </c>
    </row>
    <row r="8" customFormat="false" ht="15" hidden="false" customHeight="false" outlineLevel="1" collapsed="false">
      <c r="A8" s="3" t="s">
        <v>75</v>
      </c>
      <c r="B8" s="12" t="s">
        <v>74</v>
      </c>
      <c r="C8" s="13" t="n">
        <f aca="false">輸入與假設!$C$175</f>
        <v>90.13</v>
      </c>
    </row>
    <row r="9" customFormat="false" ht="15" hidden="false" customHeight="false" outlineLevel="1" collapsed="false">
      <c r="A9" s="3" t="s">
        <v>76</v>
      </c>
      <c r="B9" s="12" t="s">
        <v>77</v>
      </c>
      <c r="C9" s="14" t="n">
        <f aca="false">C7/C8-1</f>
        <v>0.0875234398206832</v>
      </c>
    </row>
    <row r="10" customFormat="false" ht="15" hidden="false" customHeight="false" outlineLevel="1" collapsed="false">
      <c r="A10" s="3" t="s">
        <v>78</v>
      </c>
      <c r="B10" s="12" t="s">
        <v>74</v>
      </c>
      <c r="C10" s="13" t="n">
        <f aca="false">評價_DCF與目標價!C62</f>
        <v>91.2392623465329</v>
      </c>
      <c r="D10" s="13" t="n">
        <f aca="false">評價_DCF與目標價!D62</f>
        <v>131.856409498704</v>
      </c>
    </row>
    <row r="11" customFormat="false" ht="15" hidden="false" customHeight="false" outlineLevel="1" collapsed="false">
      <c r="A11" s="3" t="s">
        <v>79</v>
      </c>
      <c r="B11" s="12" t="s">
        <v>74</v>
      </c>
      <c r="C11" s="13" t="n">
        <f aca="false">評價_DCF與目標價!C64</f>
        <v>80.5419370850709</v>
      </c>
      <c r="D11" s="13" t="n">
        <f aca="false">評價_DCF與目標價!D64</f>
        <v>98.0184876310382</v>
      </c>
    </row>
    <row r="12" customFormat="false" ht="15" hidden="false" customHeight="false" outlineLevel="1" collapsed="false">
      <c r="A12" s="3" t="s">
        <v>80</v>
      </c>
      <c r="B12" s="12" t="s">
        <v>74</v>
      </c>
      <c r="C12" s="13" t="n">
        <f aca="false">評價_DCF與目標價!$C$58</f>
        <v>76.6105</v>
      </c>
    </row>
    <row r="13" customFormat="false" ht="15" hidden="false" customHeight="false" outlineLevel="1" collapsed="false">
      <c r="A13" s="3" t="s">
        <v>81</v>
      </c>
      <c r="B13" s="12" t="s">
        <v>74</v>
      </c>
      <c r="C13" s="13" t="n">
        <f aca="false">C7-C12</f>
        <v>21.4079876310382</v>
      </c>
    </row>
    <row r="14" customFormat="false" ht="15" hidden="false" customHeight="false" outlineLevel="1" collapsed="false">
      <c r="A14" s="2" t="s">
        <v>82</v>
      </c>
      <c r="C14" s="11" t="str">
        <f aca="false">C6&amp;"：點位 $"&amp;TEXT(C7,"0.0")&amp;"，較現價 $"&amp;TEXT(C8,"0.00")&amp;" "&amp;IF(C9&gt;=0,"高","低")&amp;" "&amp;TEXT(ABS(C9)*100,"0")&amp;"%；情境區間 $"&amp;TEXT(C10,"0.0")&amp;"–$"&amp;TEXT(D10,"0.0")&amp;"，方法區間 $"&amp;TEXT(C11,"0.0")&amp;"–$"&amp;TEXT(D11,"0.0")&amp;"；點位"&amp;IF(C13&lt;0,"低於","高於")&amp;"賣出門檻 $"&amp;TEXT(C12,"0.0")&amp;" 達 $"&amp;TEXT(ABS(C13),"0.0")&amp;"。"</f>
        <v>中立：點位 $98.0，較現價 $90.13 高 9%；情境區間 $91.2–$131.9，方法區間 $80.5–$98.0；點位高於賣出門檻 $76.6 達 $21.4。</v>
      </c>
    </row>
    <row r="15" customFormat="false" ht="15" hidden="false" customHeight="false" outlineLevel="1" collapsed="false">
      <c r="A15" s="3" t="s">
        <v>83</v>
      </c>
      <c r="C15" s="11" t="str">
        <f aca="false">評價_DCF與目標價!C70</f>
        <v>情境區間上緣 $131.9 不低於現價 $90.13：賣出並非在三個擴張情境下都成立。</v>
      </c>
    </row>
    <row r="16" customFormat="false" ht="15" hidden="false" customHeight="false" outlineLevel="1" collapsed="false">
      <c r="A16" s="3" t="s">
        <v>84</v>
      </c>
      <c r="C16" s="11" t="str">
        <f aca="false">"每 MW（FY27）：年收入 $"&amp;TEXT(每MW經濟性!D8,"0.0")&amp;"m、現金成本 $"&amp;TEXT(每MW經濟性!D16,"0.0")&amp;"m（含租金 $"&amp;TEXT(每MW經濟性!D15,"0.0")&amp;"m）、EBITDA $"&amp;TEXT(每MW經濟性!D17,"0.0")&amp;"m；計費單價為 Tokenomics 經濟持有成本（含廠房資本回收的打平線）$"&amp;TEXT(每MW經濟性!D83,"0.0")&amp;"m 的 "&amp;TEXT(每MW經濟性!D84,"0.00")&amp;" 倍"&amp;IF(每MW經濟性!D84&lt;1,"，未回收全部持有成本","")&amp;"。"</f>
        <v>每 MW（FY27）：年收入 $8.2m、現金成本 $4.2m（含租金 $1.6m）、EBITDA $4.0m；計費單價為 Tokenomics 經濟持有成本（含廠房資本回收的打平線）$11.6m 的 0.76 倍，未回收全部持有成本。</v>
      </c>
      <c r="I16" s="7" t="s">
        <v>85</v>
      </c>
    </row>
    <row r="18" customFormat="false" ht="15" hidden="false" customHeight="false" outlineLevel="0" collapsed="false">
      <c r="A18" s="8" t="s">
        <v>86</v>
      </c>
      <c r="B18" s="9"/>
      <c r="C18" s="9"/>
      <c r="D18" s="9"/>
      <c r="E18" s="9"/>
      <c r="F18" s="9"/>
      <c r="G18" s="9"/>
      <c r="H18" s="9"/>
    </row>
    <row r="19" customFormat="false" ht="15" hidden="false" customHeight="false" outlineLevel="1" collapsed="false">
      <c r="A19" s="15" t="s">
        <v>87</v>
      </c>
      <c r="B19" s="15" t="s">
        <v>88</v>
      </c>
      <c r="C19" s="16" t="s">
        <v>89</v>
      </c>
      <c r="D19" s="16" t="s">
        <v>90</v>
      </c>
      <c r="E19" s="16" t="s">
        <v>91</v>
      </c>
    </row>
    <row r="20" customFormat="false" ht="15" hidden="false" customHeight="false" outlineLevel="1" collapsed="false">
      <c r="A20" s="3" t="s">
        <v>92</v>
      </c>
      <c r="B20" s="12" t="s">
        <v>93</v>
      </c>
      <c r="C20" s="11" t="n">
        <f aca="false">損益!C26</f>
        <v>11.0494944849016</v>
      </c>
      <c r="D20" s="11" t="n">
        <f aca="false">損益!D26</f>
        <v>20.1998592826102</v>
      </c>
      <c r="E20" s="11" t="n">
        <f aca="false">損益!E26</f>
        <v>32.8186505164409</v>
      </c>
    </row>
    <row r="21" customFormat="false" ht="15" hidden="false" customHeight="false" outlineLevel="1" collapsed="false">
      <c r="A21" s="3" t="s">
        <v>94</v>
      </c>
      <c r="B21" s="12" t="s">
        <v>93</v>
      </c>
      <c r="C21" s="11" t="n">
        <f aca="false">輸入與假設!$C$269</f>
        <v>12.882</v>
      </c>
      <c r="D21" s="11" t="n">
        <f aca="false">輸入與假設!$D$269</f>
        <v>26.376</v>
      </c>
      <c r="E21" s="11" t="n">
        <f aca="false">輸入與假設!$E$269</f>
        <v>42.55</v>
      </c>
    </row>
    <row r="22" customFormat="false" ht="15" hidden="false" customHeight="false" outlineLevel="1" collapsed="false">
      <c r="A22" s="3" t="s">
        <v>95</v>
      </c>
      <c r="B22" s="12" t="s">
        <v>77</v>
      </c>
      <c r="C22" s="14" t="n">
        <f aca="false">C20/C21-1</f>
        <v>-0.142253183907658</v>
      </c>
      <c r="D22" s="14" t="n">
        <f aca="false">D20/D21-1</f>
        <v>-0.234157594684175</v>
      </c>
      <c r="E22" s="14" t="n">
        <f aca="false">E20/E21-1</f>
        <v>-0.228703865653563</v>
      </c>
    </row>
    <row r="23" customFormat="false" ht="15" hidden="false" customHeight="false" outlineLevel="1" collapsed="false">
      <c r="A23" s="3" t="s">
        <v>96</v>
      </c>
      <c r="B23" s="12" t="s">
        <v>93</v>
      </c>
      <c r="C23" s="11" t="n">
        <f aca="false">輸入與假設!$C$241+損益!C19</f>
        <v>5.6203729000456</v>
      </c>
      <c r="D23" s="11" t="n">
        <f aca="false">損益!D31</f>
        <v>9.81438269251001</v>
      </c>
      <c r="E23" s="11" t="n">
        <f aca="false">損益!E31</f>
        <v>18.4657013127266</v>
      </c>
    </row>
    <row r="24" customFormat="false" ht="15" hidden="false" customHeight="false" outlineLevel="1" collapsed="false">
      <c r="A24" s="3" t="s">
        <v>97</v>
      </c>
      <c r="B24" s="12" t="s">
        <v>93</v>
      </c>
      <c r="C24" s="11" t="n">
        <f aca="false">輸入與假設!$C$270</f>
        <v>7.574</v>
      </c>
      <c r="D24" s="11" t="n">
        <f aca="false">輸入與假設!$D$270</f>
        <v>16.656</v>
      </c>
      <c r="E24" s="11" t="n">
        <f aca="false">輸入與假設!$E$270</f>
        <v>28.857</v>
      </c>
    </row>
    <row r="25" customFormat="false" ht="15" hidden="false" customHeight="false" outlineLevel="1" collapsed="false">
      <c r="A25" s="3" t="s">
        <v>98</v>
      </c>
      <c r="B25" s="12" t="s">
        <v>77</v>
      </c>
      <c r="C25" s="14" t="n">
        <f aca="false">C23/C24-1</f>
        <v>-0.257938618953578</v>
      </c>
      <c r="D25" s="14" t="n">
        <f aca="false">D23/D24-1</f>
        <v>-0.410759924801272</v>
      </c>
      <c r="E25" s="14" t="n">
        <f aca="false">E23/E24-1</f>
        <v>-0.360096291619829</v>
      </c>
      <c r="I25" s="12" t="s">
        <v>99</v>
      </c>
    </row>
    <row r="26" customFormat="false" ht="15" hidden="false" customHeight="false" outlineLevel="1" collapsed="false">
      <c r="A26" s="3" t="s">
        <v>100</v>
      </c>
      <c r="B26" s="12" t="s">
        <v>93</v>
      </c>
      <c r="C26" s="11" t="n">
        <f aca="false">C23-C24</f>
        <v>-1.9536270999544</v>
      </c>
      <c r="D26" s="11" t="n">
        <f aca="false">D23-D24</f>
        <v>-6.84161730748999</v>
      </c>
      <c r="E26" s="11" t="n">
        <f aca="false">E23-E24</f>
        <v>-10.3912986872734</v>
      </c>
      <c r="I26" s="7" t="s">
        <v>101</v>
      </c>
    </row>
    <row r="27" customFormat="false" ht="15" hidden="false" customHeight="false" outlineLevel="1" collapsed="false">
      <c r="A27" s="3" t="s">
        <v>102</v>
      </c>
      <c r="B27" s="12" t="s">
        <v>77</v>
      </c>
      <c r="C27" s="14" t="n">
        <f aca="false">C23/C20</f>
        <v>0.508654301581442</v>
      </c>
      <c r="D27" s="14" t="n">
        <f aca="false">D23/D20</f>
        <v>0.485863913960979</v>
      </c>
      <c r="E27" s="14" t="n">
        <f aca="false">E23/E20</f>
        <v>0.562658763299117</v>
      </c>
    </row>
    <row r="28" customFormat="false" ht="15" hidden="false" customHeight="false" outlineLevel="1" collapsed="false">
      <c r="A28" s="3" t="s">
        <v>103</v>
      </c>
      <c r="B28" s="12" t="s">
        <v>77</v>
      </c>
      <c r="C28" s="14" t="n">
        <f aca="false">輸入與假設!$C$271</f>
        <v>0.588</v>
      </c>
      <c r="D28" s="14" t="n">
        <f aca="false">輸入與假設!$D$271</f>
        <v>0.632</v>
      </c>
      <c r="E28" s="14" t="n">
        <f aca="false">輸入與假設!$E$271</f>
        <v>0.678</v>
      </c>
    </row>
    <row r="29" customFormat="false" ht="15" hidden="false" customHeight="false" outlineLevel="1" collapsed="false">
      <c r="A29" s="3" t="s">
        <v>104</v>
      </c>
      <c r="B29" s="12" t="s">
        <v>105</v>
      </c>
      <c r="C29" s="14" t="n">
        <f aca="false">C27-C28</f>
        <v>-0.0793456984185577</v>
      </c>
      <c r="D29" s="14" t="n">
        <f aca="false">D27-D28</f>
        <v>-0.146136086039021</v>
      </c>
      <c r="E29" s="14" t="n">
        <f aca="false">E27-E28</f>
        <v>-0.115341236700883</v>
      </c>
      <c r="I29" s="12" t="s">
        <v>106</v>
      </c>
    </row>
    <row r="30" customFormat="false" ht="15" hidden="false" customHeight="false" outlineLevel="1" collapsed="false">
      <c r="A30" s="3" t="s">
        <v>107</v>
      </c>
      <c r="B30" s="12" t="s">
        <v>93</v>
      </c>
      <c r="C30" s="11" t="n">
        <f aca="false">輸入與假設!$C$225+輸入與假設!C$147</f>
        <v>37.800888825</v>
      </c>
      <c r="D30" s="11" t="n">
        <f aca="false">輸入與假設!D$147</f>
        <v>42.29920882</v>
      </c>
      <c r="E30" s="11" t="n">
        <f aca="false">輸入與假設!E$147</f>
        <v>32.51219448</v>
      </c>
    </row>
    <row r="31" customFormat="false" ht="15" hidden="false" customHeight="false" outlineLevel="1" collapsed="false">
      <c r="A31" s="3" t="s">
        <v>108</v>
      </c>
      <c r="B31" s="12" t="s">
        <v>93</v>
      </c>
      <c r="C31" s="11" t="n">
        <f aca="false">輸入與假設!$C$276</f>
        <v>35.953</v>
      </c>
      <c r="D31" s="11" t="n">
        <f aca="false">輸入與假設!$D$276</f>
        <v>46.476</v>
      </c>
      <c r="E31" s="11" t="n">
        <f aca="false">輸入與假設!$E$276</f>
        <v>50.129</v>
      </c>
    </row>
    <row r="32" customFormat="false" ht="15" hidden="false" customHeight="false" outlineLevel="1" collapsed="false">
      <c r="A32" s="3" t="s">
        <v>109</v>
      </c>
      <c r="B32" s="12" t="s">
        <v>77</v>
      </c>
      <c r="C32" s="14" t="n">
        <f aca="false">C30/C31-1</f>
        <v>0.0513973472311073</v>
      </c>
      <c r="D32" s="14" t="n">
        <f aca="false">D30/D31-1</f>
        <v>-0.0898698506756176</v>
      </c>
      <c r="E32" s="14" t="n">
        <f aca="false">E30/E31-1</f>
        <v>-0.351429422489976</v>
      </c>
      <c r="I32" s="7" t="s">
        <v>110</v>
      </c>
    </row>
    <row r="33" customFormat="false" ht="15" hidden="false" customHeight="false" outlineLevel="1" collapsed="false">
      <c r="A33" s="3" t="s">
        <v>111</v>
      </c>
      <c r="B33" s="12" t="s">
        <v>93</v>
      </c>
      <c r="C33" s="11" t="n">
        <f aca="false">資產負債_新債與新股!C22</f>
        <v>48.2879383589405</v>
      </c>
      <c r="D33" s="11" t="n">
        <f aca="false">資產負債_新債與新股!D22</f>
        <v>85.6278429995885</v>
      </c>
      <c r="E33" s="11" t="n">
        <f aca="false">資產負債_新債與新股!E22</f>
        <v>96.0331807280091</v>
      </c>
    </row>
    <row r="34" customFormat="false" ht="15" hidden="false" customHeight="false" outlineLevel="1" collapsed="false">
      <c r="A34" s="3" t="s">
        <v>112</v>
      </c>
      <c r="B34" s="12" t="s">
        <v>93</v>
      </c>
      <c r="C34" s="11" t="n">
        <f aca="false">輸入與假設!$C$278</f>
        <v>46.442</v>
      </c>
      <c r="D34" s="11" t="n">
        <f aca="false">輸入與假設!$D$278</f>
        <v>74.707</v>
      </c>
      <c r="E34" s="11" t="n">
        <f aca="false">輸入與假設!$E$278</f>
        <v>96.039</v>
      </c>
    </row>
    <row r="35" customFormat="false" ht="15" hidden="false" customHeight="false" outlineLevel="1" collapsed="false">
      <c r="A35" s="3" t="s">
        <v>113</v>
      </c>
      <c r="B35" s="12" t="s">
        <v>77</v>
      </c>
      <c r="C35" s="14" t="n">
        <f aca="false">C33/C34-1</f>
        <v>0.039747176240051</v>
      </c>
      <c r="D35" s="14" t="n">
        <f aca="false">D33/D34-1</f>
        <v>0.146182325613243</v>
      </c>
      <c r="E35" s="14" t="n">
        <f aca="false">E33/E34-1</f>
        <v>-6.05928007467726E-005</v>
      </c>
      <c r="I35" s="7" t="s">
        <v>114</v>
      </c>
    </row>
    <row r="36" customFormat="false" ht="15" hidden="false" customHeight="false" outlineLevel="1" collapsed="false">
      <c r="A36" s="3" t="s">
        <v>115</v>
      </c>
      <c r="B36" s="12" t="s">
        <v>93</v>
      </c>
      <c r="C36" s="11" t="n">
        <f aca="false">C33-C34</f>
        <v>1.84593835894045</v>
      </c>
      <c r="D36" s="11" t="n">
        <f aca="false">D33-D34</f>
        <v>10.9208429995885</v>
      </c>
      <c r="E36" s="11" t="n">
        <f aca="false">E33-E34</f>
        <v>-0.00581927199091581</v>
      </c>
      <c r="I36" s="7" t="s">
        <v>101</v>
      </c>
    </row>
    <row r="37" customFormat="false" ht="15" hidden="false" customHeight="false" outlineLevel="1" collapsed="false">
      <c r="A37" s="3" t="s">
        <v>116</v>
      </c>
      <c r="C37" s="11" t="str">
        <f aca="false">MID(IF(ABS(C22)&gt;輸入與假設!$C$311,"、營收 "&amp;IF(C22&lt;0,"−","+")&amp;TEXT(ABS(C22)*100,"0.0")&amp;"%","")&amp;IF(ABS(C25)&gt;輸入與假設!$C$311,"、EBITDA "&amp;IF(C26&lt;0,"−","+")&amp;"$"&amp;TEXT(ABS(C26),"#,##0.00")&amp;"bn"&amp;"／"&amp;IF(C29&lt;0,"−","+")&amp;TEXT(ABS(C29)*100,"0.0")&amp;"pt","")&amp;IF(ABS(C32)&gt;輸入與假設!$C$311,"、CapEx "&amp;IF(C32&lt;0,"−","+")&amp;TEXT(ABS(C32)*100,"0.0")&amp;"%",""),2,999)</f>
        <v>營收 −14.2%、EBITDA −$1.95bn／−7.9pt、CapEx +5.1%</v>
      </c>
      <c r="D37" s="11" t="str">
        <f aca="false">MID(IF(ABS(D22)&gt;輸入與假設!$C$311,"、營收 "&amp;IF(D22&lt;0,"−","+")&amp;TEXT(ABS(D22)*100,"0.0")&amp;"%","")&amp;IF(ABS(D25)&gt;輸入與假設!$C$311,"、EBITDA "&amp;IF(D26&lt;0,"−","+")&amp;"$"&amp;TEXT(ABS(D26),"#,##0.00")&amp;"bn"&amp;"／"&amp;IF(D29&lt;0,"−","+")&amp;TEXT(ABS(D29)*100,"0.0")&amp;"pt","")&amp;IF(ABS(D32)&gt;輸入與假設!$C$311,"、CapEx "&amp;IF(D32&lt;0,"−","+")&amp;TEXT(ABS(D32)*100,"0.0")&amp;"%",""),2,999)</f>
        <v>營收 −23.4%、EBITDA −$6.84bn／−14.6pt、CapEx −9.0%</v>
      </c>
      <c r="E37" s="11" t="str">
        <f aca="false">MID(IF(ABS(E22)&gt;輸入與假設!$C$311,"、營收 "&amp;IF(E22&lt;0,"−","+")&amp;TEXT(ABS(E22)*100,"0.0")&amp;"%","")&amp;IF(ABS(E25)&gt;輸入與假設!$C$311,"、EBITDA "&amp;IF(E26&lt;0,"−","+")&amp;"$"&amp;TEXT(ABS(E26),"#,##0.00")&amp;"bn"&amp;"／"&amp;IF(E29&lt;0,"−","+")&amp;TEXT(ABS(E29)*100,"0.0")&amp;"pt","")&amp;IF(ABS(E32)&gt;輸入與假設!$C$311,"、CapEx "&amp;IF(E32&lt;0,"−","+")&amp;TEXT(ABS(E32)*100,"0.0")&amp;"%",""),2,999)</f>
        <v>營收 −22.9%、EBITDA −$10.39bn／−11.5pt、CapEx −35.1%</v>
      </c>
      <c r="I37" s="7" t="s">
        <v>117</v>
      </c>
    </row>
    <row r="38" customFormat="false" ht="15" hidden="false" customHeight="false" outlineLevel="1" collapsed="false">
      <c r="A38" s="3" t="s">
        <v>118</v>
      </c>
      <c r="C38" s="10" t="n">
        <f aca="false">IF(C37&lt;&gt;"",1,IF(D37&lt;&gt;"",2,IF(E37&lt;&gt;"",3,0)))</f>
        <v>1</v>
      </c>
    </row>
    <row r="39" customFormat="false" ht="15" hidden="false" customHeight="false" outlineLevel="1" collapsed="false">
      <c r="A39" s="2" t="s">
        <v>119</v>
      </c>
      <c r="C39" s="11" t="str">
        <f aca="false">CHOOSE(C38+1,"FY26–FY28 營收、EBITDA、CapEx 與共識差距皆在 "&amp;IF(ROUND(ABS(輸入與假設!$C$311)*100,4)=INT(ROUND(ABS(輸入與假設!$C$311)*100,4)),TEXT(ROUND(ABS(輸入與假設!$C$311)*100,4),"0"),TEXT(ROUND(ABS(輸入與假設!$C$311)*100,4),"0.0"))&amp;"%"&amp;" 以內。","分歧始於 FY26（"&amp;C37&amp;"）"&amp;"；FY27 "&amp;IF(D37="","回到 "&amp;IF(ROUND(ABS(輸入與假設!$C$311)*100,4)=INT(ROUND(ABS(輸入與假設!$C$311)*100,4)),TEXT(ROUND(ABS(輸入與假設!$C$311)*100,4),"0"),TEXT(ROUND(ABS(輸入與假設!$C$311)*100,4),"0.0"))&amp;"%"&amp;" 以內",D37)&amp;"；FY28 "&amp;IF(E37="","回到 "&amp;IF(ROUND(ABS(輸入與假設!$C$311)*100,4)=INT(ROUND(ABS(輸入與假設!$C$311)*100,4)),TEXT(ROUND(ABS(輸入與假設!$C$311)*100,4),"0"),TEXT(ROUND(ABS(輸入與假設!$C$311)*100,4),"0.0"))&amp;"%"&amp;" 以內",E37)&amp;"。","FY26 營收、EBITDA、CapEx 與共識差距在 "&amp;IF(ROUND(ABS(輸入與假設!$C$311)*100,4)=INT(ROUND(ABS(輸入與假設!$C$311)*100,4)),TEXT(ROUND(ABS(輸入與假設!$C$311)*100,4),"0"),TEXT(ROUND(ABS(輸入與假設!$C$311)*100,4),"0.0"))&amp;"%"&amp;" 以內；分歧始於 FY27（"&amp;D37&amp;"）"&amp;"；FY28 "&amp;IF(E37="","回到 "&amp;IF(ROUND(ABS(輸入與假設!$C$311)*100,4)=INT(ROUND(ABS(輸入與假設!$C$311)*100,4)),TEXT(ROUND(ABS(輸入與假設!$C$311)*100,4),"0"),TEXT(ROUND(ABS(輸入與假設!$C$311)*100,4),"0.0"))&amp;"%"&amp;" 以內",E37)&amp;"。","FY26–FY27 營收、EBITDA、CapEx 與共識差距在 "&amp;IF(ROUND(ABS(輸入與假設!$C$311)*100,4)=INT(ROUND(ABS(輸入與假設!$C$311)*100,4)),TEXT(ROUND(ABS(輸入與假設!$C$311)*100,4),"0"),TEXT(ROUND(ABS(輸入與假設!$C$311)*100,4),"0.0"))&amp;"%"&amp;" 以內；分歧始於 FY28（"&amp;E37&amp;"）。")</f>
        <v>分歧始於 FY26（營收 −14.2%、EBITDA −$1.95bn／−7.9pt、CapEx +5.1%）；FY27 營收 −23.4%、EBITDA −$6.84bn／−14.6pt、CapEx −9.0%；FY28 營收 −22.9%、EBITDA −$10.39bn／−11.5pt、CapEx −35.1%。</v>
      </c>
    </row>
    <row r="40" customFormat="false" ht="15" hidden="false" customHeight="false" outlineLevel="1" collapsed="false">
      <c r="A40" s="3" t="s">
        <v>120</v>
      </c>
      <c r="C40" s="11" t="str">
        <f aca="false">IF(ABS(C22)&gt;輸入與假設!$C$311,"觀點","")</f>
        <v>觀點</v>
      </c>
      <c r="D40" s="11" t="str">
        <f aca="false">IF(ABS(C22)&gt;輸入與假設!$C$311,"營收依 Tokenomics 錨推導：在役世代 IF_HoldEcon（WACC 10% 打平租金）× 定價倍數 k（長約／現貨依 RPO 涵蓋的產能加權，證據為市場長約價與現貨指數），不以公司 ARR 指引或 Q2 營收校準；營收差距 "&amp;IF((C22)&lt;0,"−","+")&amp;TEXT(ABS((C22))*100,"#,##0.0")&amp;"%","")</f>
        <v>營收依 Tokenomics 錨推導：在役世代 IF_HoldEcon（WACC 10% 打平租金）× 定價倍數 k（長約／現貨依 RPO 涵蓋的產能加權，證據為市場長約價與現貨指數），不以公司 ARR 指引或 Q2 營收校準；營收差距 −14.2%</v>
      </c>
      <c r="I40" s="12" t="s">
        <v>121</v>
      </c>
    </row>
    <row r="41" customFormat="false" ht="15" hidden="false" customHeight="false" outlineLevel="1" collapsed="false">
      <c r="A41" s="3" t="s">
        <v>122</v>
      </c>
      <c r="C41" s="11" t="str">
        <f aca="false">IF(ABS(C29)&gt;輸入與假設!$C$312,"觀點","")</f>
        <v>觀點</v>
      </c>
      <c r="D41" s="11" t="str">
        <f aca="false">IF(ABS(C29)&gt;輸入與假設!$C$312,"EBITDA 率 "&amp;IF((C27)&lt;0,"−","")&amp;TEXT(ABS((C27))*100,"#,##0.0")&amp;"%"&amp;" 對共識 "&amp;IF((C28)&lt;0,"−","")&amp;TEXT(ABS((C28))*100,"#,##0.0")&amp;"%"&amp;"：模型改為由下而上（Tokenomics 電費與維護 × 平均在役 MW＋管銷率，再扣租金），不含爬坡期閒置產能與未揭露成本；營收差距 "&amp;IF((C22)&lt;0,"−","+")&amp;TEXT(ABS((C22))*100,"#,##0.0")&amp;"%","")</f>
        <v>EBITDA 率 50.9% 對共識 58.8%：模型改為由下而上（Tokenomics 電費與維護 × 平均在役 MW＋管銷率，再扣租金），不含爬坡期閒置產能與未揭露成本；營收差距 −14.2%</v>
      </c>
    </row>
    <row r="42" customFormat="false" ht="15" hidden="false" customHeight="false" outlineLevel="1" collapsed="false">
      <c r="A42" s="3" t="s">
        <v>123</v>
      </c>
      <c r="C42" s="11" t="str">
        <f aca="false">IF(ABS(C32)&gt;輸入與假設!$C$311,"觀點","")</f>
        <v>觀點</v>
      </c>
      <c r="D42" s="11" t="str">
        <f aca="false">IF(ABS(C32)&gt;輸入與假設!$C$311,"CapEx 依新增 MW 計算：新增 "&amp;IF((輸入與假設!C$140)&lt;0,"−","")&amp;TEXT(ABS((輸入與假設!C$140)),"#,##0")&amp;" MW × Tokenomics 每 MW $"&amp;IF((輸入與假設!C$130)&lt;0,"−","")&amp;TEXT(ABS((輸入與假設!C$130)),"#,##0")&amp;"m（IF_CapexIT × 新增世代，含次年預建）；共識口徑未揭露","")</f>
        <v>CapEx 依新增 MW 計算：新增 1,000 MW × Tokenomics 每 MW $35m（IF_CapexIT × 新增世代，含次年預建）；共識口徑未揭露</v>
      </c>
    </row>
    <row r="43" customFormat="false" ht="15" hidden="false" customHeight="false" outlineLevel="1" collapsed="false">
      <c r="A43" s="3" t="s">
        <v>124</v>
      </c>
      <c r="C43" s="11" t="str">
        <f aca="false">IF(ABS(C35)&gt;輸入與假設!$C$311,"觀點","")</f>
        <v/>
      </c>
      <c r="D43" s="11" t="str">
        <f aca="false">IF(ABS(C35)&gt;輸入與假設!$C$311,"淨負債隨 CapEx 與融資需求而定（模型 CapEx 差距 "&amp;IF((C32)&lt;0,"−","+")&amp;TEXT(ABS((C32))*100,"#,##0.0")&amp;"%"&amp;"）；共識淨負債不含租賃、口徑未揭露","")</f>
        <v/>
      </c>
    </row>
    <row r="44" customFormat="false" ht="15" hidden="false" customHeight="false" outlineLevel="1" collapsed="false">
      <c r="A44" s="3" t="s">
        <v>125</v>
      </c>
      <c r="C44" s="11" t="str">
        <f aca="false">IF(ABS(D22)&gt;輸入與假設!$C$311,"觀點","")</f>
        <v>觀點</v>
      </c>
      <c r="D44" s="11" t="str">
        <f aca="false">IF(ABS(D22)&gt;輸入與假設!$C$311,"營收依 Tokenomics 錨推導：在役世代 IF_HoldEcon（WACC 10% 打平租金）× 定價倍數 k（長約／現貨依 RPO 涵蓋的產能加權，證據為市場長約價與現貨指數），不以公司 ARR 指引或 Q2 營收校準；營收差距 "&amp;IF((D22)&lt;0,"−","+")&amp;TEXT(ABS((D22))*100,"#,##0.0")&amp;"%","")</f>
        <v>營收依 Tokenomics 錨推導：在役世代 IF_HoldEcon（WACC 10% 打平租金）× 定價倍數 k（長約／現貨依 RPO 涵蓋的產能加權，證據為市場長約價與現貨指數），不以公司 ARR 指引或 Q2 營收校準；營收差距 −23.4%</v>
      </c>
    </row>
    <row r="45" customFormat="false" ht="15" hidden="false" customHeight="false" outlineLevel="1" collapsed="false">
      <c r="A45" s="3" t="s">
        <v>126</v>
      </c>
      <c r="C45" s="11" t="str">
        <f aca="false">IF(ABS(D29)&gt;輸入與假設!$C$312,"觀點","")</f>
        <v>觀點</v>
      </c>
      <c r="D45" s="11" t="str">
        <f aca="false">IF(ABS(D29)&gt;輸入與假設!$C$312,"EBITDA 率 "&amp;IF((D27)&lt;0,"−","")&amp;TEXT(ABS((D27))*100,"#,##0.0")&amp;"%"&amp;" 對共識 "&amp;IF((D28)&lt;0,"−","")&amp;TEXT(ABS((D28))*100,"#,##0.0")&amp;"%"&amp;"：模型改為由下而上（Tokenomics 電費與維護 × 平均在役 MW＋管銷率，再扣租金），不含爬坡期閒置產能與未揭露成本；營收差距 "&amp;IF((D22)&lt;0,"−","+")&amp;TEXT(ABS((D22))*100,"#,##0.0")&amp;"%","")</f>
        <v>EBITDA 率 48.6% 對共識 63.2%：模型改為由下而上（Tokenomics 電費與維護 × 平均在役 MW＋管銷率，再扣租金），不含爬坡期閒置產能與未揭露成本；營收差距 −23.4%</v>
      </c>
    </row>
    <row r="46" customFormat="false" ht="15" hidden="false" customHeight="false" outlineLevel="1" collapsed="false">
      <c r="A46" s="3" t="s">
        <v>127</v>
      </c>
      <c r="C46" s="11" t="str">
        <f aca="false">IF(ABS(D32)&gt;輸入與假設!$C$311,"觀點","")</f>
        <v>觀點</v>
      </c>
      <c r="D46" s="11" t="str">
        <f aca="false">IF(ABS(D32)&gt;輸入與假設!$C$311,"CapEx 依新增 MW 計算：新增 "&amp;IF((輸入與假設!D$140)&lt;0,"−","")&amp;TEXT(ABS((輸入與假設!D$140)),"#,##0")&amp;" MW × 每 MW $"&amp;IF((輸入與假設!D$130)&lt;0,"−","")&amp;TEXT(ABS((輸入與假設!D$130)),"#,##0")&amp;"m（含次年預建）；共識口徑未揭露","")</f>
        <v>CapEx 依新增 MW 計算：新增 1,250 MW × 每 MW $38m（含次年預建）；共識口徑未揭露</v>
      </c>
    </row>
    <row r="47" customFormat="false" ht="15" hidden="false" customHeight="false" outlineLevel="1" collapsed="false">
      <c r="A47" s="3" t="s">
        <v>128</v>
      </c>
      <c r="C47" s="11" t="str">
        <f aca="false">IF(ABS(D35)&gt;輸入與假設!$C$311,"觀點","")</f>
        <v>觀點</v>
      </c>
      <c r="D47" s="11" t="str">
        <f aca="false">IF(ABS(D35)&gt;輸入與假設!$C$311,"淨負債隨 CapEx 與融資需求而定（模型 CapEx 差距 "&amp;IF((D32)&lt;0,"−","+")&amp;TEXT(ABS((D32))*100,"#,##0.0")&amp;"%"&amp;"）；共識淨負債不含租賃、口徑未揭露","")</f>
        <v>淨負債隨 CapEx 與融資需求而定（模型 CapEx 差距 −9.0%）；共識淨負債不含租賃、口徑未揭露</v>
      </c>
    </row>
    <row r="48" customFormat="false" ht="15" hidden="false" customHeight="false" outlineLevel="1" collapsed="false">
      <c r="A48" s="3" t="s">
        <v>129</v>
      </c>
      <c r="C48" s="11" t="str">
        <f aca="false">IF(ABS(E22)&gt;輸入與假設!$C$311,"觀點","")</f>
        <v>觀點</v>
      </c>
      <c r="D48" s="11" t="str">
        <f aca="false">IF(ABS(E22)&gt;輸入與假設!$C$311,"營收依 Tokenomics 錨推導：在役世代 IF_HoldEcon（WACC 10% 打平租金）× 定價倍數 k（長約／現貨依 RPO 涵蓋的產能加權，證據為市場長約價與現貨指數），不以公司 ARR 指引或 Q2 營收校準；營收差距 "&amp;IF((E22)&lt;0,"−","+")&amp;TEXT(ABS((E22))*100,"#,##0.0")&amp;"%","")</f>
        <v>營收依 Tokenomics 錨推導：在役世代 IF_HoldEcon（WACC 10% 打平租金）× 定價倍數 k（長約／現貨依 RPO 涵蓋的產能加權，證據為市場長約價與現貨指數），不以公司 ARR 指引或 Q2 營收校準；營收差距 −22.9%</v>
      </c>
    </row>
    <row r="49" customFormat="false" ht="15" hidden="false" customHeight="false" outlineLevel="1" collapsed="false">
      <c r="A49" s="3" t="s">
        <v>130</v>
      </c>
      <c r="C49" s="11" t="str">
        <f aca="false">IF(ABS(E29)&gt;輸入與假設!$C$312,"觀點","")</f>
        <v>觀點</v>
      </c>
      <c r="D49" s="11" t="str">
        <f aca="false">IF(ABS(E29)&gt;輸入與假設!$C$312,"EBITDA 率 "&amp;IF((E27)&lt;0,"−","")&amp;TEXT(ABS((E27))*100,"#,##0.0")&amp;"%"&amp;" 對共識 "&amp;IF((E28)&lt;0,"−","")&amp;TEXT(ABS((E28))*100,"#,##0.0")&amp;"%"&amp;"：模型改為由下而上（Tokenomics 電費與維護 × 平均在役 MW＋管銷率，再扣租金），不含爬坡期閒置產能與未揭露成本；營收差距 "&amp;IF((E22)&lt;0,"−","+")&amp;TEXT(ABS((E22))*100,"#,##0.0")&amp;"%","")</f>
        <v>EBITDA 率 56.3% 對共識 67.8%：模型改為由下而上（Tokenomics 電費與維護 × 平均在役 MW＋管銷率，再扣租金），不含爬坡期閒置產能與未揭露成本；營收差距 −22.9%</v>
      </c>
    </row>
    <row r="50" customFormat="false" ht="15" hidden="false" customHeight="false" outlineLevel="1" collapsed="false">
      <c r="A50" s="3" t="s">
        <v>131</v>
      </c>
      <c r="C50" s="11" t="str">
        <f aca="false">IF(ABS(E32)&gt;輸入與假設!$C$311,"觀點","")</f>
        <v>觀點</v>
      </c>
      <c r="D50" s="11" t="str">
        <f aca="false">IF(ABS(E32)&gt;輸入與假設!$C$311,"CapEx 依新增 MW 計算：新增 "&amp;IF((輸入與假設!E$140)&lt;0,"−","")&amp;TEXT(ABS((輸入與假設!E$140)),"#,##0")&amp;" MW × 每 MW $"&amp;IF((輸入與假設!E$130)&lt;0,"−","")&amp;TEXT(ABS((輸入與假設!E$130)),"#,##0")&amp;"m（含次年預建）；共識口徑未揭露","")</f>
        <v>CapEx 依新增 MW 計算：新增 900 MW × 每 MW $38m（含次年預建）；共識口徑未揭露</v>
      </c>
    </row>
    <row r="51" customFormat="false" ht="15" hidden="false" customHeight="false" outlineLevel="1" collapsed="false">
      <c r="A51" s="3" t="s">
        <v>132</v>
      </c>
      <c r="C51" s="11" t="str">
        <f aca="false">IF(ABS(E35)&gt;輸入與假設!$C$311,"觀點","")</f>
        <v/>
      </c>
      <c r="D51" s="11" t="str">
        <f aca="false">IF(ABS(E35)&gt;輸入與假設!$C$311,"淨負債隨 CapEx 與融資需求而定（模型 CapEx 差距 "&amp;IF((E32)&lt;0,"−","+")&amp;TEXT(ABS((E32))*100,"#,##0.0")&amp;"%"&amp;"）；共識淨負債不含租賃、口徑未揭露","")</f>
        <v/>
      </c>
    </row>
    <row r="52" customFormat="false" ht="15" hidden="false" customHeight="false" outlineLevel="1" collapsed="false">
      <c r="A52" s="3" t="s">
        <v>133</v>
      </c>
      <c r="C52" s="10" t="n">
        <f aca="false">SUMPRODUCT(--(ABS(C22:E22)&gt;輸入與假設!$C$311))+SUMPRODUCT(--(ABS(C29:E29)&gt;輸入與假設!$C$312))+SUMPRODUCT(--(ABS(C32:E32)&gt;輸入與假設!$C$311))+SUMPRODUCT(--(ABS(C35:E35)&gt;輸入與假設!$C$311))</f>
        <v>10</v>
      </c>
      <c r="I52" s="7" t="s">
        <v>134</v>
      </c>
    </row>
    <row r="53" customFormat="false" ht="15" hidden="false" customHeight="false" outlineLevel="1" collapsed="false">
      <c r="A53" s="3" t="s">
        <v>135</v>
      </c>
      <c r="C53" s="11" t="str">
        <f aca="false">IF(C52=0,"","需附原因的 "&amp;C52&amp;" 項差距："&amp;MID(IF((COUNTIF(C40,"觀點")+COUNTIF(C41,"觀點")+COUNTIF(C42,"觀點")+COUNTIF(C43,"觀點")+COUNTIF(C44,"觀點")+COUNTIF(C45,"觀點")+COUNTIF(C46,"觀點")+COUNTIF(C47,"觀點")+COUNTIF(C48,"觀點")+COUNTIF(C49,"觀點")+COUNTIF(C50,"觀點")+COUNTIF(C51,"觀點"))&gt;0,"、觀點 "&amp;(COUNTIF(C40,"觀點")+COUNTIF(C41,"觀點")+COUNTIF(C42,"觀點")+COUNTIF(C43,"觀點")+COUNTIF(C44,"觀點")+COUNTIF(C45,"觀點")+COUNTIF(C46,"觀點")+COUNTIF(C47,"觀點")+COUNTIF(C48,"觀點")+COUNTIF(C49,"觀點")+COUNTIF(C50,"觀點")+COUNTIF(C51,"觀點"))&amp;" 項","")&amp;IF((COUNTIF(C40,"拆法")+COUNTIF(C41,"拆法")+COUNTIF(C42,"拆法")+COUNTIF(C43,"拆法")+COUNTIF(C44,"拆法")+COUNTIF(C45,"拆法")+COUNTIF(C46,"拆法")+COUNTIF(C47,"拆法")+COUNTIF(C48,"拆法")+COUNTIF(C49,"拆法")+COUNTIF(C50,"拆法")+COUNTIF(C51,"拆法"))&gt;0,"、拆法 "&amp;(COUNTIF(C40,"拆法")+COUNTIF(C41,"拆法")+COUNTIF(C42,"拆法")+COUNTIF(C43,"拆法")+COUNTIF(C44,"拆法")+COUNTIF(C45,"拆法")+COUNTIF(C46,"拆法")+COUNTIF(C47,"拆法")+COUNTIF(C48,"拆法")+COUNTIF(C49,"拆法")+COUNTIF(C50,"拆法")+COUNTIF(C51,"拆法"))&amp;" 項","")&amp;IF((COUNTIF(C40,"已知限制")+COUNTIF(C41,"已知限制")+COUNTIF(C42,"已知限制")+COUNTIF(C43,"已知限制")+COUNTIF(C44,"已知限制")+COUNTIF(C45,"已知限制")+COUNTIF(C46,"已知限制")+COUNTIF(C47,"已知限制")+COUNTIF(C48,"已知限制")+COUNTIF(C49,"已知限制")+COUNTIF(C50,"已知限制")+COUNTIF(C51,"已知限制"))&gt;0,"、已知限制 "&amp;(COUNTIF(C40,"已知限制")+COUNTIF(C41,"已知限制")+COUNTIF(C42,"已知限制")+COUNTIF(C43,"已知限制")+COUNTIF(C44,"已知限制")+COUNTIF(C45,"已知限制")+COUNTIF(C46,"已知限制")+COUNTIF(C47,"已知限制")+COUNTIF(C48,"已知限制")+COUNTIF(C49,"已知限制")+COUNTIF(C50,"已知限制")+COUNTIF(C51,"已知限制"))&amp;" 項","")&amp;IF((C52-((COUNTIF(C40,"觀點")+COUNTIF(C41,"觀點")+COUNTIF(C42,"觀點")+COUNTIF(C43,"觀點")+COUNTIF(C44,"觀點")+COUNTIF(C45,"觀點")+COUNTIF(C46,"觀點")+COUNTIF(C47,"觀點")+COUNTIF(C48,"觀點")+COUNTIF(C49,"觀點")+COUNTIF(C50,"觀點")+COUNTIF(C51,"觀點"))+(COUNTIF(C40,"拆法")+COUNTIF(C41,"拆法")+COUNTIF(C42,"拆法")+COUNTIF(C43,"拆法")+COUNTIF(C44,"拆法")+COUNTIF(C45,"拆法")+COUNTIF(C46,"拆法")+COUNTIF(C47,"拆法")+COUNTIF(C48,"拆法")+COUNTIF(C49,"拆法")+COUNTIF(C50,"拆法")+COUNTIF(C51,"拆法"))+(COUNTIF(C40,"已知限制")+COUNTIF(C41,"已知限制")+COUNTIF(C42,"已知限制")+COUNTIF(C43,"已知限制")+COUNTIF(C44,"已知限制")+COUNTIF(C45,"已知限制")+COUNTIF(C46,"已知限制")+COUNTIF(C47,"已知限制")+COUNTIF(C48,"已知限制")+COUNTIF(C49,"已知限制")+COUNTIF(C50,"已知限制")+COUNTIF(C51,"已知限制"))))&gt;0,"、未歸類 "&amp;(C52-((COUNTIF(C40,"觀點")+COUNTIF(C41,"觀點")+COUNTIF(C42,"觀點")+COUNTIF(C43,"觀點")+COUNTIF(C44,"觀點")+COUNTIF(C45,"觀點")+COUNTIF(C46,"觀點")+COUNTIF(C47,"觀點")+COUNTIF(C48,"觀點")+COUNTIF(C49,"觀點")+COUNTIF(C50,"觀點")+COUNTIF(C51,"觀點"))+(COUNTIF(C40,"拆法")+COUNTIF(C41,"拆法")+COUNTIF(C42,"拆法")+COUNTIF(C43,"拆法")+COUNTIF(C44,"拆法")+COUNTIF(C45,"拆法")+COUNTIF(C46,"拆法")+COUNTIF(C47,"拆法")+COUNTIF(C48,"拆法")+COUNTIF(C49,"拆法")+COUNTIF(C50,"拆法")+COUNTIF(C51,"拆法"))+(COUNTIF(C40,"已知限制")+COUNTIF(C41,"已知限制")+COUNTIF(C42,"已知限制")+COUNTIF(C43,"已知限制")+COUNTIF(C44,"已知限制")+COUNTIF(C45,"已知限制")+COUNTIF(C46,"已知限制")+COUNTIF(C47,"已知限制")+COUNTIF(C48,"已知限制")+COUNTIF(C49,"已知限制")+COUNTIF(C50,"已知限制")+COUNTIF(C51,"已知限制"))))&amp;" 項",""),2,999)&amp;"；原因見「損益與評價 → 市場共識」。")</f>
        <v>需附原因的 10 項差距：觀點 10 項；原因見「損益與評價 → 市場共識」。</v>
      </c>
      <c r="I53" s="7" t="s">
        <v>136</v>
      </c>
    </row>
    <row r="55" customFormat="false" ht="15" hidden="false" customHeight="false" outlineLevel="0" collapsed="false">
      <c r="A55" s="8" t="s">
        <v>137</v>
      </c>
      <c r="B55" s="9"/>
      <c r="C55" s="9"/>
      <c r="D55" s="9"/>
      <c r="E55" s="9"/>
      <c r="F55" s="9"/>
      <c r="G55" s="9"/>
      <c r="H55" s="9"/>
    </row>
    <row r="56" customFormat="false" ht="15" hidden="false" customHeight="false" outlineLevel="1" collapsed="false">
      <c r="A56" s="3" t="s">
        <v>138</v>
      </c>
      <c r="B56" s="12" t="s">
        <v>139</v>
      </c>
      <c r="C56" s="17" t="n">
        <f aca="false">(輸入與假設!$C$252*輸入與假設!$C$176+輸入與假設!$E$278)/輸入與假設!$E$270</f>
        <v>6.19241327927366</v>
      </c>
      <c r="I56" s="7" t="s">
        <v>140</v>
      </c>
    </row>
    <row r="57" customFormat="false" ht="15" hidden="false" customHeight="false" outlineLevel="1" collapsed="false">
      <c r="A57" s="3" t="s">
        <v>141</v>
      </c>
      <c r="B57" s="12" t="s">
        <v>139</v>
      </c>
      <c r="C57" s="17" t="n">
        <f aca="false">(輸入與假設!$C$175*輸入與假設!$C$176+輸入與假設!$E$278)/輸入與假設!$E$270</f>
        <v>5.16149669057768</v>
      </c>
      <c r="I57" s="7" t="s">
        <v>142</v>
      </c>
    </row>
    <row r="58" customFormat="false" ht="15" hidden="false" customHeight="false" outlineLevel="1" collapsed="false">
      <c r="A58" s="3" t="s">
        <v>143</v>
      </c>
      <c r="B58" s="12" t="s">
        <v>139</v>
      </c>
      <c r="C58" s="17" t="n">
        <f aca="false">MAX(輸入與假設!$C$189,輸入與假設!$C$190)</f>
        <v>6</v>
      </c>
      <c r="I58" s="7" t="s">
        <v>144</v>
      </c>
    </row>
    <row r="59" customFormat="false" ht="15" hidden="false" customHeight="false" outlineLevel="1" collapsed="false">
      <c r="A59" s="2" t="s">
        <v>145</v>
      </c>
      <c r="C59" s="11" t="str">
        <f aca="false">"共識平均目標價 $"&amp;TEXT(輸入與假設!$C$252,"0.00")&amp;" 隱含 FY28 EV/EBITDA "&amp;TEXT(C56,"0.0")&amp;"x，"&amp;IF(ROUND(C56,1)&gt;C58,"高於",IF(ROUND(C56,1)&lt;C58,"低於","等於"))&amp;"模型方法區間上緣 "&amp;IF(C58=INT(C58),TEXT(C58,"0"),TEXT(C58,"0.0"))&amp;"x；現價 $"&amp;TEXT(輸入與假設!$C$175,"0.00")&amp;" 隱含 "&amp;TEXT(C57,"0.0")&amp;"x。"</f>
        <v>共識平均目標價 $140.81 隱含 FY28 EV/EBITDA 6.2x，高於模型方法區間上緣 6x；現價 $90.13 隱含 5.2x。</v>
      </c>
    </row>
    <row r="60" customFormat="false" ht="15" hidden="false" customHeight="false" outlineLevel="1" collapsed="false">
      <c r="A60" s="3" t="s">
        <v>146</v>
      </c>
      <c r="C60" s="18" t="n">
        <f aca="false">評價_反向DCF!B18</f>
        <v>16.4652</v>
      </c>
      <c r="D60" s="18" t="n">
        <f aca="false">評價_反向DCF!C18</f>
        <v>15.7613</v>
      </c>
      <c r="E60" s="14" t="n">
        <f aca="false">評價_反向DCF!D18</f>
        <v>-0.0428</v>
      </c>
      <c r="I60" s="7" t="s">
        <v>147</v>
      </c>
    </row>
    <row r="61" customFormat="false" ht="15" hidden="false" customHeight="false" outlineLevel="1" collapsed="false">
      <c r="A61" s="3" t="s">
        <v>148</v>
      </c>
      <c r="C61" s="18" t="n">
        <f aca="false">評價_反向DCF!B19</f>
        <v>37.5864</v>
      </c>
      <c r="D61" s="18" t="n">
        <f aca="false">評價_反向DCF!C19</f>
        <v>39.6798</v>
      </c>
      <c r="E61" s="14" t="n">
        <f aca="false">評價_反向DCF!D19</f>
        <v>0.0557</v>
      </c>
    </row>
    <row r="62" customFormat="false" ht="15" hidden="false" customHeight="false" outlineLevel="1" collapsed="false">
      <c r="A62" s="3" t="s">
        <v>149</v>
      </c>
      <c r="C62" s="14" t="n">
        <f aca="false">評價_反向DCF!B20</f>
        <v>0.6902</v>
      </c>
      <c r="D62" s="14" t="n">
        <f aca="false">評價_反向DCF!C20</f>
        <v>0.6612</v>
      </c>
      <c r="E62" s="14" t="n">
        <f aca="false">評價_反向DCF!D20</f>
        <v>-0.029</v>
      </c>
    </row>
    <row r="63" customFormat="false" ht="15" hidden="false" customHeight="false" outlineLevel="1" collapsed="false">
      <c r="A63" s="3" t="s">
        <v>150</v>
      </c>
      <c r="C63" s="18" t="n">
        <f aca="false">評價_反向DCF!B21</f>
        <v>16.4652</v>
      </c>
      <c r="D63" s="18" t="n">
        <f aca="false">評價_反向DCF!C21</f>
        <v>16.1364</v>
      </c>
      <c r="E63" s="14" t="n">
        <f aca="false">評價_反向DCF!D21</f>
        <v>-0.02</v>
      </c>
    </row>
    <row r="65" customFormat="false" ht="15" hidden="false" customHeight="false" outlineLevel="0" collapsed="false">
      <c r="A65" s="8" t="s">
        <v>151</v>
      </c>
      <c r="B65" s="9"/>
      <c r="C65" s="9"/>
      <c r="D65" s="9"/>
      <c r="E65" s="9"/>
      <c r="F65" s="9"/>
      <c r="G65" s="9"/>
      <c r="H65" s="9"/>
    </row>
    <row r="66" customFormat="false" ht="15" hidden="false" customHeight="false" outlineLevel="1" collapsed="false">
      <c r="A66" s="3" t="s">
        <v>152</v>
      </c>
      <c r="C66" s="11" t="str">
        <f aca="false">季度追蹤!C12</f>
        <v>Q3'26</v>
      </c>
      <c r="I66" s="7" t="s">
        <v>153</v>
      </c>
    </row>
    <row r="67" customFormat="false" ht="15" hidden="false" customHeight="false" outlineLevel="1" collapsed="false">
      <c r="A67" s="3" t="s">
        <v>154</v>
      </c>
      <c r="B67" s="12" t="s">
        <v>93</v>
      </c>
      <c r="C67" s="11" t="n">
        <f aca="false">季度追蹤!C6</f>
        <v>2.99049816163385</v>
      </c>
      <c r="D67" s="11" t="n">
        <f aca="false">季度追蹤!D6</f>
        <v>3.541</v>
      </c>
      <c r="E67" s="11" t="n">
        <f aca="false">季度追蹤!F6</f>
        <v>3.45</v>
      </c>
      <c r="F67" s="11" t="n">
        <f aca="false">季度追蹤!G6</f>
        <v>3.6</v>
      </c>
      <c r="G67" s="11" t="str">
        <f aca="false">季度追蹤!I6</f>
        <v>待公布</v>
      </c>
      <c r="I67" s="7" t="s">
        <v>155</v>
      </c>
    </row>
    <row r="68" customFormat="false" ht="15" hidden="false" customHeight="false" outlineLevel="1" collapsed="false">
      <c r="A68" s="2" t="s">
        <v>156</v>
      </c>
      <c r="C68" s="11" t="str">
        <f aca="false">INDEX(季度追蹤!$C$139:$H$139,輸入與假設!$C$317)</f>
        <v>營收：模型 $2.99bn｜共識 $3.54bn（−15.5%）｜指引 $3.45–3.60bn（中點 −15.2%，低於下緣）〔觀點〕</v>
      </c>
    </row>
    <row r="69" customFormat="false" ht="15" hidden="false" customHeight="false" outlineLevel="1" collapsed="false">
      <c r="A69" s="3" t="s">
        <v>157</v>
      </c>
      <c r="B69" s="12" t="s">
        <v>93</v>
      </c>
      <c r="C69" s="11" t="n">
        <f aca="false">季度追蹤!C9</f>
        <v>-0.804495154769284</v>
      </c>
      <c r="D69" s="11" t="str">
        <f aca="false">季度追蹤!D9</f>
        <v>不適用</v>
      </c>
      <c r="E69" s="11" t="n">
        <f aca="false">季度追蹤!F9</f>
        <v>0.2</v>
      </c>
      <c r="F69" s="11" t="n">
        <f aca="false">季度追蹤!G9</f>
        <v>0.26</v>
      </c>
      <c r="G69" s="11" t="str">
        <f aca="false">季度追蹤!I9</f>
        <v>待公布</v>
      </c>
      <c r="I69" s="7" t="s">
        <v>155</v>
      </c>
    </row>
    <row r="70" customFormat="false" ht="15" hidden="false" customHeight="false" outlineLevel="1" collapsed="false">
      <c r="A70" s="2" t="s">
        <v>158</v>
      </c>
      <c r="C70" s="11" t="str">
        <f aca="false">INDEX(季度追蹤!$C$142:$H$142,輸入與假設!$C$317)</f>
        <v>調整後營業利益：模型 −$0.80bn｜指引 $0.20–0.26bn（中點 −$1.03bn／−33.4pt，低於下緣）〔已知限制〕</v>
      </c>
    </row>
    <row r="71" customFormat="false" ht="15" hidden="false" customHeight="false" outlineLevel="1" collapsed="false">
      <c r="A71" s="3" t="s">
        <v>159</v>
      </c>
      <c r="B71" s="12" t="s">
        <v>93</v>
      </c>
      <c r="C71" s="11" t="n">
        <f aca="false">季度追蹤!C10</f>
        <v>12.5</v>
      </c>
      <c r="D71" s="11" t="str">
        <f aca="false">季度追蹤!D10</f>
        <v>不適用</v>
      </c>
      <c r="E71" s="11" t="n">
        <f aca="false">季度追蹤!F10</f>
        <v>11.5</v>
      </c>
      <c r="F71" s="11" t="n">
        <f aca="false">季度追蹤!G10</f>
        <v>13.5</v>
      </c>
      <c r="G71" s="11" t="str">
        <f aca="false">季度追蹤!I10</f>
        <v>待公布</v>
      </c>
      <c r="I71" s="7" t="s">
        <v>155</v>
      </c>
    </row>
    <row r="72" customFormat="false" ht="15" hidden="false" customHeight="false" outlineLevel="1" collapsed="false">
      <c r="A72" s="2" t="s">
        <v>160</v>
      </c>
      <c r="C72" s="11" t="str">
        <f aca="false">INDEX(季度追蹤!$C$143:$H$143,輸入與假設!$C$317)</f>
        <v>CapEx（毛額）：模型 $12.50bn｜指引 $11.50–13.50bn（中點 +0.0%，區間上半部）</v>
      </c>
    </row>
    <row r="73" customFormat="false" ht="15" hidden="false" customHeight="false" outlineLevel="1" collapsed="false">
      <c r="A73" s="3" t="s">
        <v>161</v>
      </c>
      <c r="B73" s="7" t="s">
        <v>162</v>
      </c>
      <c r="C73" s="10" t="n">
        <f aca="false">輸入與假設!$C$262</f>
        <v>21</v>
      </c>
      <c r="D73" s="10" t="n">
        <f aca="false">輸入與假設!$C$263</f>
        <v>7</v>
      </c>
      <c r="E73" s="10" t="n">
        <f aca="false">輸入與假設!$C$264</f>
        <v>9</v>
      </c>
      <c r="F73" s="10" t="n">
        <f aca="false">輸入與假設!$C$265</f>
        <v>1</v>
      </c>
      <c r="G73" s="10" t="n">
        <f aca="false">輸入與假設!$C$266</f>
        <v>2</v>
      </c>
      <c r="I73" s="12" t="s">
        <v>163</v>
      </c>
    </row>
    <row r="74" customFormat="false" ht="15" hidden="false" customHeight="false" outlineLevel="1" collapsed="false">
      <c r="A74" s="3" t="s">
        <v>164</v>
      </c>
      <c r="B74" s="12" t="s">
        <v>74</v>
      </c>
      <c r="C74" s="13" t="n">
        <f aca="false">輸入與假設!$C$252</f>
        <v>140.81</v>
      </c>
      <c r="D74" s="13" t="n">
        <f aca="false">輸入與假設!$C$253</f>
        <v>140</v>
      </c>
      <c r="E74" s="13" t="n">
        <f aca="false">輸入與假設!$C$254</f>
        <v>39</v>
      </c>
      <c r="F74" s="13" t="n">
        <f aca="false">輸入與假設!$C$255</f>
        <v>317</v>
      </c>
      <c r="I74" s="12" t="s">
        <v>165</v>
      </c>
    </row>
    <row r="75" customFormat="false" ht="15" hidden="false" customHeight="false" outlineLevel="1" collapsed="false"/>
    <row r="76" customFormat="false" ht="15" hidden="false" customHeight="false" outlineLevel="1" collapsed="false">
      <c r="A76" s="7" t="s">
        <v>166</v>
      </c>
    </row>
    <row r="77" customFormat="false" ht="15" hidden="false" customHeight="false" outlineLevel="1" collapsed="false">
      <c r="A77" s="7" t="s">
        <v>167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outlinePr summaryBelow="0" summaryRight="1"/>
    <pageSetUpPr fitToPage="false"/>
  </sheetPr>
  <dimension ref="A1:J3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2" outlineLevelCol="0"/>
  <cols>
    <col collapsed="false" customWidth="true" hidden="false" outlineLevel="0" max="1" min="1" style="0" width="44"/>
    <col collapsed="false" customWidth="true" hidden="false" outlineLevel="0" max="6" min="2" style="0" width="12"/>
    <col collapsed="false" customWidth="true" hidden="false" outlineLevel="0" max="7" min="7" style="0" width="16"/>
    <col collapsed="false" customWidth="true" hidden="false" outlineLevel="0" max="9" min="9" style="0" width="92"/>
    <col collapsed="false" customWidth="true" hidden="false" outlineLevel="0" max="10" min="10" style="0" width="60"/>
  </cols>
  <sheetData>
    <row r="1" customFormat="false" ht="17.35" hidden="false" customHeight="false" outlineLevel="0" collapsed="false">
      <c r="A1" s="6" t="s">
        <v>168</v>
      </c>
    </row>
    <row r="2" customFormat="false" ht="15" hidden="false" customHeight="false" outlineLevel="0" collapsed="false">
      <c r="A2" s="12" t="s">
        <v>169</v>
      </c>
    </row>
    <row r="4" customFormat="false" ht="15" hidden="false" customHeight="false" outlineLevel="0" collapsed="false">
      <c r="A4" s="8" t="s">
        <v>170</v>
      </c>
      <c r="B4" s="9"/>
      <c r="C4" s="9"/>
      <c r="D4" s="9"/>
      <c r="E4" s="9"/>
      <c r="F4" s="9"/>
      <c r="G4" s="9"/>
      <c r="H4" s="9"/>
    </row>
    <row r="5" customFormat="false" ht="15" hidden="false" customHeight="false" outlineLevel="1" collapsed="false">
      <c r="A5" s="2" t="s">
        <v>171</v>
      </c>
      <c r="C5" s="19" t="n">
        <v>2</v>
      </c>
      <c r="D5" s="2" t="str">
        <f aca="false">CHOOSE(C5,"保守 4.2 GW","基準 5.6 GW","積極 8 GW")</f>
        <v>基準 5.6 GW</v>
      </c>
      <c r="I5" s="7" t="s">
        <v>172</v>
      </c>
    </row>
    <row r="6" customFormat="false" ht="15" hidden="false" customHeight="false" outlineLevel="1" collapsed="false">
      <c r="A6" s="20" t="s">
        <v>173</v>
      </c>
      <c r="B6" s="21"/>
      <c r="C6" s="21"/>
      <c r="D6" s="21"/>
      <c r="E6" s="21"/>
      <c r="F6" s="21"/>
      <c r="G6" s="21"/>
      <c r="H6" s="21"/>
    </row>
    <row r="7" customFormat="false" ht="17.15" hidden="false" customHeight="false" outlineLevel="2" collapsed="false">
      <c r="A7" s="16" t="s">
        <v>174</v>
      </c>
      <c r="B7" s="15" t="s">
        <v>88</v>
      </c>
      <c r="C7" s="16" t="s">
        <v>89</v>
      </c>
      <c r="D7" s="16" t="s">
        <v>90</v>
      </c>
      <c r="E7" s="16" t="s">
        <v>91</v>
      </c>
      <c r="F7" s="16" t="s">
        <v>175</v>
      </c>
      <c r="G7" s="16" t="s">
        <v>176</v>
      </c>
      <c r="I7" s="16" t="s">
        <v>177</v>
      </c>
    </row>
    <row r="8" customFormat="false" ht="15" hidden="false" customHeight="false" outlineLevel="2" collapsed="false">
      <c r="A8" s="3" t="s">
        <v>178</v>
      </c>
      <c r="B8" s="12" t="s">
        <v>179</v>
      </c>
      <c r="C8" s="22" t="n">
        <v>1850</v>
      </c>
      <c r="D8" s="22" t="n">
        <v>3100</v>
      </c>
      <c r="E8" s="22" t="n">
        <v>3800</v>
      </c>
      <c r="F8" s="22" t="n">
        <v>4200</v>
      </c>
      <c r="G8" s="22" t="n">
        <v>4200</v>
      </c>
      <c r="I8" s="22" t="n">
        <v>0</v>
      </c>
      <c r="J8" s="7" t="s">
        <v>180</v>
      </c>
    </row>
    <row r="9" customFormat="false" ht="15" hidden="false" customHeight="false" outlineLevel="2" collapsed="false">
      <c r="A9" s="3" t="s">
        <v>181</v>
      </c>
      <c r="B9" s="12" t="s">
        <v>179</v>
      </c>
      <c r="C9" s="22" t="n">
        <v>1850</v>
      </c>
      <c r="D9" s="22" t="n">
        <v>3100</v>
      </c>
      <c r="E9" s="22" t="n">
        <v>4000</v>
      </c>
      <c r="F9" s="22" t="n">
        <v>4800</v>
      </c>
      <c r="G9" s="22" t="n">
        <v>5600</v>
      </c>
      <c r="I9" s="22" t="n">
        <v>500</v>
      </c>
      <c r="J9" s="12" t="s">
        <v>182</v>
      </c>
    </row>
    <row r="10" customFormat="false" ht="15" hidden="false" customHeight="false" outlineLevel="2" collapsed="false">
      <c r="A10" s="3" t="s">
        <v>183</v>
      </c>
      <c r="B10" s="12" t="s">
        <v>179</v>
      </c>
      <c r="C10" s="22" t="n">
        <v>1850</v>
      </c>
      <c r="D10" s="22" t="n">
        <v>3100</v>
      </c>
      <c r="E10" s="22" t="n">
        <v>4600</v>
      </c>
      <c r="F10" s="22" t="n">
        <v>6300</v>
      </c>
      <c r="G10" s="22" t="n">
        <v>8000</v>
      </c>
      <c r="I10" s="22" t="n">
        <v>1000</v>
      </c>
      <c r="J10" s="7" t="s">
        <v>184</v>
      </c>
    </row>
    <row r="11" customFormat="false" ht="15" hidden="false" customHeight="false" outlineLevel="2" collapsed="false">
      <c r="A11" s="4" t="s">
        <v>185</v>
      </c>
      <c r="B11" s="12" t="s">
        <v>77</v>
      </c>
      <c r="C11" s="23" t="n">
        <v>0.918918918918919</v>
      </c>
      <c r="D11" s="23" t="n">
        <v>0.935483870967742</v>
      </c>
      <c r="E11" s="23" t="n">
        <v>0.934782608695652</v>
      </c>
      <c r="F11" s="23" t="n">
        <v>0.936507936507937</v>
      </c>
      <c r="G11" s="23" t="n">
        <v>0.9375</v>
      </c>
      <c r="I11" s="7" t="s">
        <v>186</v>
      </c>
    </row>
    <row r="12" customFormat="false" ht="15" hidden="false" customHeight="false" outlineLevel="2" collapsed="false">
      <c r="A12" s="3" t="s">
        <v>187</v>
      </c>
      <c r="B12" s="12" t="s">
        <v>93</v>
      </c>
      <c r="C12" s="24" t="n">
        <v>0.3</v>
      </c>
      <c r="D12" s="24" t="n">
        <v>1.6</v>
      </c>
      <c r="E12" s="24" t="n">
        <v>3</v>
      </c>
      <c r="F12" s="24" t="n">
        <v>4</v>
      </c>
      <c r="G12" s="24" t="n">
        <v>4.6</v>
      </c>
      <c r="I12" s="7" t="s">
        <v>188</v>
      </c>
    </row>
    <row r="13" customFormat="false" ht="15" hidden="false" customHeight="false" outlineLevel="2" collapsed="false">
      <c r="A13" s="3" t="s">
        <v>189</v>
      </c>
      <c r="B13" s="12" t="s">
        <v>179</v>
      </c>
      <c r="C13" s="22" t="n">
        <v>1500</v>
      </c>
      <c r="I13" s="12" t="s">
        <v>190</v>
      </c>
    </row>
    <row r="14" customFormat="false" ht="15" hidden="false" customHeight="false" outlineLevel="0" collapsed="false">
      <c r="A14" s="8" t="s">
        <v>191</v>
      </c>
      <c r="B14" s="9"/>
      <c r="C14" s="9"/>
      <c r="D14" s="9"/>
      <c r="E14" s="9"/>
      <c r="F14" s="9"/>
      <c r="G14" s="9"/>
      <c r="H14" s="9"/>
    </row>
    <row r="15" customFormat="false" ht="15" hidden="false" customHeight="false" outlineLevel="1" collapsed="false">
      <c r="A15" s="4" t="s">
        <v>192</v>
      </c>
      <c r="B15" s="12" t="s">
        <v>93</v>
      </c>
      <c r="C15" s="25" t="n">
        <v>103.7</v>
      </c>
      <c r="I15" s="12" t="s">
        <v>193</v>
      </c>
    </row>
    <row r="16" customFormat="false" ht="15" hidden="false" customHeight="false" outlineLevel="1" collapsed="false">
      <c r="A16" s="4" t="s">
        <v>194</v>
      </c>
      <c r="B16" s="12" t="s">
        <v>93</v>
      </c>
      <c r="C16" s="24" t="n">
        <v>25</v>
      </c>
      <c r="I16" s="7" t="s">
        <v>195</v>
      </c>
    </row>
    <row r="17" customFormat="false" ht="15" hidden="false" customHeight="false" outlineLevel="1" collapsed="false">
      <c r="A17" s="3" t="s">
        <v>196</v>
      </c>
      <c r="B17" s="12" t="s">
        <v>77</v>
      </c>
      <c r="C17" s="26" t="n">
        <v>0.84</v>
      </c>
      <c r="I17" s="12" t="s">
        <v>197</v>
      </c>
    </row>
    <row r="18" customFormat="false" ht="15" hidden="false" customHeight="false" outlineLevel="1" collapsed="false">
      <c r="A18" s="4" t="s">
        <v>198</v>
      </c>
      <c r="B18" s="12" t="s">
        <v>77</v>
      </c>
      <c r="C18" s="23" t="n">
        <v>0.84</v>
      </c>
      <c r="I18" s="7" t="s">
        <v>199</v>
      </c>
    </row>
    <row r="19" customFormat="false" ht="15" hidden="false" customHeight="false" outlineLevel="1" collapsed="false">
      <c r="A19" s="4" t="s">
        <v>200</v>
      </c>
      <c r="B19" s="12" t="s">
        <v>179</v>
      </c>
      <c r="C19" s="22" t="n">
        <v>850</v>
      </c>
      <c r="I19" s="12" t="s">
        <v>201</v>
      </c>
    </row>
    <row r="20" customFormat="false" ht="15" hidden="false" customHeight="false" outlineLevel="1" collapsed="false">
      <c r="A20" s="4" t="s">
        <v>202</v>
      </c>
      <c r="B20" s="12" t="s">
        <v>179</v>
      </c>
      <c r="C20" s="22" t="n">
        <v>1350</v>
      </c>
      <c r="I20" s="7" t="s">
        <v>203</v>
      </c>
    </row>
    <row r="21" customFormat="false" ht="15" hidden="false" customHeight="false" outlineLevel="1" collapsed="false">
      <c r="A21" s="3" t="s">
        <v>204</v>
      </c>
      <c r="B21" s="7"/>
      <c r="C21" s="22" t="n">
        <v>1</v>
      </c>
      <c r="I21" s="12" t="s">
        <v>205</v>
      </c>
    </row>
    <row r="22" customFormat="false" ht="15" hidden="false" customHeight="false" outlineLevel="1" collapsed="false">
      <c r="A22" s="3" t="s">
        <v>206</v>
      </c>
      <c r="B22" s="12" t="s">
        <v>77</v>
      </c>
      <c r="C22" s="23" t="n">
        <v>1</v>
      </c>
      <c r="I22" s="7" t="s">
        <v>207</v>
      </c>
    </row>
    <row r="23" customFormat="false" ht="15" hidden="false" customHeight="false" outlineLevel="1" collapsed="false">
      <c r="A23" s="15" t="s">
        <v>87</v>
      </c>
      <c r="B23" s="15" t="s">
        <v>88</v>
      </c>
      <c r="C23" s="27" t="s">
        <v>89</v>
      </c>
      <c r="D23" s="27" t="s">
        <v>90</v>
      </c>
      <c r="E23" s="27" t="s">
        <v>91</v>
      </c>
      <c r="F23" s="27" t="s">
        <v>175</v>
      </c>
      <c r="G23" s="27" t="s">
        <v>176</v>
      </c>
      <c r="I23" s="15" t="s">
        <v>208</v>
      </c>
    </row>
    <row r="24" customFormat="false" ht="15" hidden="false" customHeight="false" outlineLevel="1" collapsed="false">
      <c r="A24" s="3" t="s">
        <v>209</v>
      </c>
      <c r="B24" s="7"/>
      <c r="C24" s="24" t="n">
        <v>0.5</v>
      </c>
      <c r="D24" s="24" t="n">
        <v>1</v>
      </c>
      <c r="E24" s="24" t="n">
        <v>1</v>
      </c>
      <c r="F24" s="24" t="n">
        <v>1</v>
      </c>
      <c r="G24" s="24" t="n">
        <v>1</v>
      </c>
      <c r="I24" s="7" t="s">
        <v>210</v>
      </c>
    </row>
    <row r="25" customFormat="false" ht="15" hidden="false" customHeight="false" outlineLevel="1" collapsed="false">
      <c r="A25" s="4" t="s">
        <v>211</v>
      </c>
      <c r="B25" s="12" t="s">
        <v>77</v>
      </c>
      <c r="C25" s="23" t="n">
        <v>0.1025</v>
      </c>
      <c r="D25" s="23" t="n">
        <v>0.205</v>
      </c>
      <c r="E25" s="23" t="n">
        <v>0.2</v>
      </c>
      <c r="F25" s="23" t="n">
        <v>0.195</v>
      </c>
      <c r="G25" s="23" t="n">
        <v>0.1375</v>
      </c>
      <c r="H25" s="28" t="n">
        <f aca="false">SUM(C25:G25)</f>
        <v>0.84</v>
      </c>
      <c r="I25" s="12" t="s">
        <v>212</v>
      </c>
    </row>
    <row r="26" customFormat="false" ht="15" hidden="false" customHeight="false" outlineLevel="1" collapsed="false">
      <c r="A26" s="4" t="s">
        <v>213</v>
      </c>
      <c r="B26" s="12" t="s">
        <v>179</v>
      </c>
      <c r="C26" s="29" t="n">
        <f aca="false">CHOOSE(輸入與假設!$C$5,C8,C9,C10)</f>
        <v>1850</v>
      </c>
      <c r="D26" s="29" t="n">
        <f aca="false">CHOOSE(輸入與假設!$C$5,D8,D9,D10)</f>
        <v>3100</v>
      </c>
      <c r="E26" s="29" t="n">
        <f aca="false">CHOOSE(輸入與假設!$C$5,E8,E9,E10)</f>
        <v>4000</v>
      </c>
      <c r="F26" s="29" t="n">
        <f aca="false">CHOOSE(輸入與假設!$C$5,F8,F9,F10)</f>
        <v>4800</v>
      </c>
      <c r="G26" s="29" t="n">
        <f aca="false">CHOOSE(輸入與假設!$C$5,G8,G9,G10)</f>
        <v>5600</v>
      </c>
      <c r="I26" s="7" t="s">
        <v>214</v>
      </c>
    </row>
    <row r="27" customFormat="false" ht="15" hidden="false" customHeight="false" outlineLevel="1" collapsed="false">
      <c r="A27" s="4" t="s">
        <v>215</v>
      </c>
      <c r="B27" s="12" t="s">
        <v>179</v>
      </c>
      <c r="C27" s="29" t="n">
        <f aca="false">ROUND(C26*C11,0)</f>
        <v>1700</v>
      </c>
      <c r="D27" s="29" t="n">
        <f aca="false">ROUND(D26*D11,0)</f>
        <v>2900</v>
      </c>
      <c r="E27" s="29" t="n">
        <f aca="false">ROUND(E26*E11,0)</f>
        <v>3739</v>
      </c>
      <c r="F27" s="29" t="n">
        <f aca="false">ROUND(F26*F11,0)</f>
        <v>4495</v>
      </c>
      <c r="G27" s="29" t="n">
        <f aca="false">ROUND(G26*G11,0)</f>
        <v>5250</v>
      </c>
      <c r="I27" s="7" t="s">
        <v>216</v>
      </c>
    </row>
    <row r="28" customFormat="false" ht="15" hidden="false" customHeight="false" outlineLevel="1" collapsed="false">
      <c r="A28" s="3" t="s">
        <v>217</v>
      </c>
      <c r="B28" s="12" t="s">
        <v>77</v>
      </c>
      <c r="C28" s="23" t="n">
        <v>0.95</v>
      </c>
      <c r="D28" s="23" t="n">
        <v>0.95</v>
      </c>
      <c r="E28" s="23" t="n">
        <v>0.94</v>
      </c>
      <c r="F28" s="23" t="n">
        <v>0.93</v>
      </c>
      <c r="G28" s="23" t="n">
        <v>0.92</v>
      </c>
      <c r="I28" s="7" t="s">
        <v>218</v>
      </c>
    </row>
    <row r="29" customFormat="false" ht="15" hidden="false" customHeight="false" outlineLevel="1" collapsed="false">
      <c r="A29" s="3" t="s">
        <v>219</v>
      </c>
      <c r="B29" s="12" t="s">
        <v>220</v>
      </c>
      <c r="C29" s="30" t="n">
        <f aca="false">每MW經濟性!C103/1000</f>
        <v>0.00841621326647324</v>
      </c>
      <c r="D29" s="30" t="n">
        <f aca="false">每MW經濟性!D103/1000</f>
        <v>0.00878712095313968</v>
      </c>
      <c r="E29" s="30" t="n">
        <f aca="false">每MW經濟性!E103/1000</f>
        <v>0.0101287899807039</v>
      </c>
      <c r="F29" s="30" t="n">
        <f aca="false">每MW經濟性!F103/1000</f>
        <v>0.0126972629009115</v>
      </c>
      <c r="G29" s="30" t="n">
        <f aca="false">每MW經濟性!G103/1000</f>
        <v>0.016465206537042</v>
      </c>
      <c r="I29" s="12" t="s">
        <v>221</v>
      </c>
    </row>
    <row r="30" customFormat="false" ht="15" hidden="false" customHeight="false" outlineLevel="1" collapsed="false">
      <c r="A30" s="3" t="s">
        <v>222</v>
      </c>
      <c r="B30" s="12" t="s">
        <v>77</v>
      </c>
      <c r="C30" s="23" t="n">
        <v>1</v>
      </c>
      <c r="D30" s="23" t="n">
        <v>1</v>
      </c>
      <c r="E30" s="23" t="n">
        <v>0.9</v>
      </c>
      <c r="F30" s="23" t="n">
        <v>0.85</v>
      </c>
      <c r="G30" s="23" t="n">
        <v>0.8</v>
      </c>
      <c r="I30" s="7" t="s">
        <v>223</v>
      </c>
    </row>
    <row r="31" customFormat="false" ht="15" hidden="false" customHeight="false" outlineLevel="1" collapsed="false">
      <c r="A31" s="3" t="s">
        <v>224</v>
      </c>
      <c r="B31" s="12" t="s">
        <v>77</v>
      </c>
      <c r="C31" s="23" t="n">
        <v>0.005</v>
      </c>
      <c r="D31" s="23" t="n">
        <v>0.01</v>
      </c>
      <c r="E31" s="23" t="n">
        <v>0.015</v>
      </c>
      <c r="F31" s="23" t="n">
        <v>0.02</v>
      </c>
      <c r="G31" s="23" t="n">
        <v>0.025</v>
      </c>
      <c r="I31" s="7" t="s">
        <v>225</v>
      </c>
    </row>
    <row r="32" customFormat="false" ht="15" hidden="false" customHeight="false" outlineLevel="1" collapsed="false">
      <c r="A32" s="3" t="s">
        <v>226</v>
      </c>
      <c r="B32" s="12" t="s">
        <v>77</v>
      </c>
      <c r="C32" s="23" t="n">
        <v>0.5</v>
      </c>
      <c r="D32" s="23" t="n">
        <v>0.5</v>
      </c>
      <c r="E32" s="23" t="n">
        <v>0.5</v>
      </c>
      <c r="F32" s="23" t="n">
        <v>0.5</v>
      </c>
      <c r="G32" s="23" t="n">
        <v>0.5</v>
      </c>
      <c r="I32" s="12" t="s">
        <v>227</v>
      </c>
    </row>
    <row r="33" customFormat="false" ht="15" hidden="false" customHeight="false" outlineLevel="1" collapsed="false">
      <c r="A33" s="3" t="s">
        <v>228</v>
      </c>
      <c r="B33" s="12" t="s">
        <v>93</v>
      </c>
      <c r="C33" s="24" t="n">
        <v>0.3</v>
      </c>
      <c r="D33" s="24" t="n">
        <v>1</v>
      </c>
      <c r="E33" s="24" t="n">
        <v>1.8</v>
      </c>
      <c r="F33" s="24" t="n">
        <v>2.8</v>
      </c>
      <c r="G33" s="24" t="n">
        <v>3.8</v>
      </c>
      <c r="I33" s="7" t="s">
        <v>229</v>
      </c>
    </row>
    <row r="34" customFormat="false" ht="15" hidden="false" customHeight="false" outlineLevel="1" collapsed="false"/>
    <row r="35" customFormat="false" ht="15" hidden="false" customHeight="false" outlineLevel="1" collapsed="true">
      <c r="A35" s="20" t="s">
        <v>230</v>
      </c>
      <c r="B35" s="21"/>
      <c r="C35" s="21"/>
      <c r="D35" s="21"/>
      <c r="E35" s="21"/>
      <c r="F35" s="21"/>
      <c r="G35" s="21"/>
      <c r="H35" s="21"/>
    </row>
    <row r="36" customFormat="false" ht="15" hidden="true" customHeight="false" outlineLevel="2" collapsed="false">
      <c r="A36" s="2" t="s">
        <v>231</v>
      </c>
      <c r="C36" s="4" t="s">
        <v>232</v>
      </c>
      <c r="I36" s="12" t="s">
        <v>233</v>
      </c>
    </row>
    <row r="37" customFormat="false" ht="15" hidden="true" customHeight="false" outlineLevel="2" collapsed="false">
      <c r="A37" s="4" t="s">
        <v>234</v>
      </c>
      <c r="B37" s="7"/>
      <c r="C37" s="22" t="n">
        <v>1</v>
      </c>
      <c r="I37" s="12" t="s">
        <v>235</v>
      </c>
    </row>
    <row r="38" customFormat="false" ht="15" hidden="true" customHeight="false" outlineLevel="2" collapsed="false">
      <c r="A38" s="4" t="s">
        <v>236</v>
      </c>
      <c r="B38" s="7"/>
      <c r="C38" s="22" t="n">
        <v>2</v>
      </c>
      <c r="I38" s="7" t="s">
        <v>237</v>
      </c>
    </row>
    <row r="39" customFormat="false" ht="15" hidden="true" customHeight="false" outlineLevel="2" collapsed="false">
      <c r="A39" s="3" t="s">
        <v>238</v>
      </c>
      <c r="B39" s="7"/>
      <c r="C39" s="22" t="n">
        <v>0</v>
      </c>
      <c r="I39" s="12" t="s">
        <v>239</v>
      </c>
    </row>
    <row r="40" customFormat="false" ht="15" hidden="true" customHeight="false" outlineLevel="2" collapsed="false">
      <c r="A40" s="4" t="s">
        <v>240</v>
      </c>
      <c r="B40" s="7"/>
      <c r="C40" s="22" t="n">
        <v>2</v>
      </c>
      <c r="I40" s="7" t="s">
        <v>241</v>
      </c>
    </row>
    <row r="41" customFormat="false" ht="15" hidden="true" customHeight="false" outlineLevel="2" collapsed="false">
      <c r="A41" s="3" t="s">
        <v>242</v>
      </c>
      <c r="B41" s="12" t="s">
        <v>179</v>
      </c>
      <c r="C41" s="22" t="n">
        <v>1500</v>
      </c>
      <c r="I41" s="12" t="s">
        <v>243</v>
      </c>
    </row>
    <row r="42" customFormat="false" ht="15" hidden="true" customHeight="false" outlineLevel="2" collapsed="false">
      <c r="A42" s="3" t="s">
        <v>244</v>
      </c>
      <c r="B42" s="12" t="s">
        <v>77</v>
      </c>
      <c r="C42" s="23" t="n">
        <v>0.272667</v>
      </c>
      <c r="I42" s="12" t="s">
        <v>245</v>
      </c>
    </row>
    <row r="43" customFormat="false" ht="15" hidden="true" customHeight="false" outlineLevel="2" collapsed="false">
      <c r="A43" s="3" t="s">
        <v>246</v>
      </c>
      <c r="B43" s="12" t="s">
        <v>77</v>
      </c>
      <c r="C43" s="23" t="n">
        <v>0.293667</v>
      </c>
      <c r="I43" s="12" t="s">
        <v>247</v>
      </c>
    </row>
    <row r="44" customFormat="false" ht="15" hidden="true" customHeight="false" outlineLevel="2" collapsed="false">
      <c r="A44" s="3" t="s">
        <v>248</v>
      </c>
      <c r="B44" s="12" t="s">
        <v>77</v>
      </c>
      <c r="C44" s="23" t="n">
        <v>0.433666</v>
      </c>
      <c r="I44" s="12" t="s">
        <v>247</v>
      </c>
    </row>
    <row r="45" customFormat="false" ht="15" hidden="true" customHeight="false" outlineLevel="2" collapsed="false">
      <c r="A45" s="3" t="s">
        <v>249</v>
      </c>
      <c r="B45" s="12" t="s">
        <v>77</v>
      </c>
      <c r="C45" s="23" t="n">
        <v>0</v>
      </c>
      <c r="I45" s="12" t="s">
        <v>247</v>
      </c>
    </row>
    <row r="46" customFormat="false" ht="15" hidden="true" customHeight="false" outlineLevel="2" collapsed="false">
      <c r="A46" s="3" t="s">
        <v>250</v>
      </c>
      <c r="B46" s="12" t="s">
        <v>77</v>
      </c>
      <c r="C46" s="23" t="n">
        <v>0</v>
      </c>
      <c r="I46" s="12" t="s">
        <v>247</v>
      </c>
    </row>
    <row r="47" customFormat="false" ht="17.15" hidden="true" customHeight="false" outlineLevel="2" collapsed="false">
      <c r="A47" s="15" t="s">
        <v>251</v>
      </c>
      <c r="B47" s="15" t="s">
        <v>88</v>
      </c>
      <c r="C47" s="27" t="s">
        <v>89</v>
      </c>
      <c r="D47" s="27" t="s">
        <v>90</v>
      </c>
      <c r="E47" s="27" t="s">
        <v>91</v>
      </c>
      <c r="F47" s="27" t="s">
        <v>175</v>
      </c>
      <c r="G47" s="27" t="s">
        <v>176</v>
      </c>
      <c r="I47" s="15" t="s">
        <v>208</v>
      </c>
    </row>
    <row r="48" customFormat="false" ht="15" hidden="true" customHeight="false" outlineLevel="2" collapsed="false">
      <c r="A48" s="3" t="s">
        <v>252</v>
      </c>
      <c r="B48" s="12" t="s">
        <v>77</v>
      </c>
      <c r="C48" s="23" t="n">
        <v>0</v>
      </c>
      <c r="D48" s="23" t="n">
        <v>0</v>
      </c>
      <c r="E48" s="23" t="n">
        <v>0</v>
      </c>
      <c r="F48" s="23" t="n">
        <v>0</v>
      </c>
      <c r="G48" s="23" t="n">
        <v>0</v>
      </c>
      <c r="I48" s="7" t="s">
        <v>253</v>
      </c>
    </row>
    <row r="49" customFormat="false" ht="15" hidden="true" customHeight="false" outlineLevel="2" collapsed="false">
      <c r="A49" s="3" t="s">
        <v>254</v>
      </c>
      <c r="B49" s="12" t="s">
        <v>77</v>
      </c>
      <c r="C49" s="23" t="n">
        <v>0.2</v>
      </c>
      <c r="D49" s="23" t="n">
        <v>0</v>
      </c>
      <c r="E49" s="23" t="n">
        <v>0</v>
      </c>
      <c r="F49" s="23" t="n">
        <v>0</v>
      </c>
      <c r="G49" s="23" t="n">
        <v>0</v>
      </c>
    </row>
    <row r="50" customFormat="false" ht="15" hidden="true" customHeight="false" outlineLevel="2" collapsed="false">
      <c r="A50" s="3" t="s">
        <v>255</v>
      </c>
      <c r="B50" s="12" t="s">
        <v>77</v>
      </c>
      <c r="C50" s="23" t="n">
        <v>0.8</v>
      </c>
      <c r="D50" s="23" t="n">
        <v>0.5</v>
      </c>
      <c r="E50" s="23" t="n">
        <v>0</v>
      </c>
      <c r="F50" s="23" t="n">
        <v>0</v>
      </c>
      <c r="G50" s="23" t="n">
        <v>0</v>
      </c>
    </row>
    <row r="51" customFormat="false" ht="15" hidden="true" customHeight="false" outlineLevel="2" collapsed="false">
      <c r="A51" s="3" t="s">
        <v>256</v>
      </c>
      <c r="B51" s="12" t="s">
        <v>77</v>
      </c>
      <c r="C51" s="23" t="n">
        <v>0</v>
      </c>
      <c r="D51" s="23" t="n">
        <v>0.5</v>
      </c>
      <c r="E51" s="23" t="n">
        <v>1</v>
      </c>
      <c r="F51" s="23" t="n">
        <v>1</v>
      </c>
      <c r="G51" s="23" t="n">
        <v>1</v>
      </c>
    </row>
    <row r="52" customFormat="false" ht="15" hidden="true" customHeight="false" outlineLevel="2" collapsed="false">
      <c r="A52" s="3" t="s">
        <v>257</v>
      </c>
      <c r="B52" s="12" t="s">
        <v>77</v>
      </c>
      <c r="C52" s="23" t="n">
        <v>0</v>
      </c>
      <c r="D52" s="23" t="n">
        <v>0</v>
      </c>
      <c r="E52" s="23" t="n">
        <v>0</v>
      </c>
      <c r="F52" s="23" t="n">
        <v>0</v>
      </c>
      <c r="G52" s="23" t="n">
        <v>0</v>
      </c>
    </row>
    <row r="53" customFormat="false" ht="15" hidden="true" customHeight="false" outlineLevel="2" collapsed="false">
      <c r="A53" s="3" t="s">
        <v>258</v>
      </c>
      <c r="B53" s="12" t="s">
        <v>77</v>
      </c>
      <c r="C53" s="23" t="n">
        <v>0</v>
      </c>
      <c r="D53" s="23" t="n">
        <v>0</v>
      </c>
      <c r="E53" s="23" t="n">
        <v>0</v>
      </c>
      <c r="F53" s="23" t="n">
        <v>0</v>
      </c>
      <c r="G53" s="23" t="n">
        <v>0</v>
      </c>
      <c r="I53" s="12" t="s">
        <v>259</v>
      </c>
    </row>
    <row r="54" customFormat="false" ht="15" hidden="true" customHeight="false" outlineLevel="2" collapsed="false">
      <c r="A54" s="3" t="s">
        <v>260</v>
      </c>
      <c r="B54" s="12" t="s">
        <v>77</v>
      </c>
      <c r="C54" s="23" t="n">
        <v>0.2</v>
      </c>
      <c r="D54" s="23" t="n">
        <v>0</v>
      </c>
      <c r="E54" s="23" t="n">
        <v>0</v>
      </c>
      <c r="F54" s="23" t="n">
        <v>0</v>
      </c>
      <c r="G54" s="23" t="n">
        <v>0</v>
      </c>
    </row>
    <row r="55" customFormat="false" ht="15" hidden="true" customHeight="false" outlineLevel="2" collapsed="false">
      <c r="A55" s="3" t="s">
        <v>261</v>
      </c>
      <c r="B55" s="12" t="s">
        <v>77</v>
      </c>
      <c r="C55" s="23" t="n">
        <v>0.8</v>
      </c>
      <c r="D55" s="23" t="n">
        <v>0.5</v>
      </c>
      <c r="E55" s="23" t="n">
        <v>0</v>
      </c>
      <c r="F55" s="23" t="n">
        <v>0</v>
      </c>
      <c r="G55" s="23" t="n">
        <v>0</v>
      </c>
    </row>
    <row r="56" customFormat="false" ht="15" hidden="true" customHeight="false" outlineLevel="2" collapsed="false">
      <c r="A56" s="3" t="s">
        <v>262</v>
      </c>
      <c r="B56" s="12" t="s">
        <v>77</v>
      </c>
      <c r="C56" s="23" t="n">
        <v>0</v>
      </c>
      <c r="D56" s="23" t="n">
        <v>0.5</v>
      </c>
      <c r="E56" s="23" t="n">
        <v>1</v>
      </c>
      <c r="F56" s="23" t="n">
        <v>0</v>
      </c>
      <c r="G56" s="23" t="n">
        <v>0</v>
      </c>
    </row>
    <row r="57" customFormat="false" ht="15" hidden="true" customHeight="false" outlineLevel="2" collapsed="false">
      <c r="A57" s="3" t="s">
        <v>263</v>
      </c>
      <c r="B57" s="12" t="s">
        <v>77</v>
      </c>
      <c r="C57" s="23" t="n">
        <v>0</v>
      </c>
      <c r="D57" s="23" t="n">
        <v>0</v>
      </c>
      <c r="E57" s="23" t="n">
        <v>0</v>
      </c>
      <c r="F57" s="23" t="n">
        <v>1</v>
      </c>
      <c r="G57" s="23" t="n">
        <v>1</v>
      </c>
    </row>
    <row r="58" customFormat="false" ht="15" hidden="true" customHeight="false" outlineLevel="2" collapsed="false">
      <c r="A58" s="3" t="s">
        <v>264</v>
      </c>
      <c r="B58" s="12" t="s">
        <v>77</v>
      </c>
      <c r="C58" s="31" t="n">
        <f aca="false">IF(輸入與假設!$C$39=1,C53,C48)</f>
        <v>0</v>
      </c>
      <c r="D58" s="31" t="n">
        <f aca="false">IF(輸入與假設!$C$39=1,D53,D48)</f>
        <v>0</v>
      </c>
      <c r="E58" s="31" t="n">
        <f aca="false">IF(輸入與假設!$C$39=1,E53,E48)</f>
        <v>0</v>
      </c>
      <c r="F58" s="31" t="n">
        <f aca="false">IF(輸入與假設!$C$39=1,F53,F48)</f>
        <v>0</v>
      </c>
      <c r="G58" s="31" t="n">
        <f aca="false">IF(輸入與假設!$C$39=1,G53,G48)</f>
        <v>0</v>
      </c>
      <c r="I58" s="7" t="s">
        <v>265</v>
      </c>
    </row>
    <row r="59" customFormat="false" ht="15" hidden="true" customHeight="false" outlineLevel="2" collapsed="false">
      <c r="A59" s="3" t="s">
        <v>266</v>
      </c>
      <c r="B59" s="12" t="s">
        <v>77</v>
      </c>
      <c r="C59" s="31" t="n">
        <f aca="false">IF(輸入與假設!$C$39=1,C54,C49)</f>
        <v>0.2</v>
      </c>
      <c r="D59" s="31" t="n">
        <f aca="false">IF(輸入與假設!$C$39=1,D54,D49)</f>
        <v>0</v>
      </c>
      <c r="E59" s="31" t="n">
        <f aca="false">IF(輸入與假設!$C$39=1,E54,E49)</f>
        <v>0</v>
      </c>
      <c r="F59" s="31" t="n">
        <f aca="false">IF(輸入與假設!$C$39=1,F54,F49)</f>
        <v>0</v>
      </c>
      <c r="G59" s="31" t="n">
        <f aca="false">IF(輸入與假設!$C$39=1,G54,G49)</f>
        <v>0</v>
      </c>
    </row>
    <row r="60" customFormat="false" ht="15" hidden="true" customHeight="false" outlineLevel="2" collapsed="false">
      <c r="A60" s="3" t="s">
        <v>267</v>
      </c>
      <c r="B60" s="12" t="s">
        <v>77</v>
      </c>
      <c r="C60" s="31" t="n">
        <f aca="false">IF(輸入與假設!$C$39=1,C55,C50)</f>
        <v>0.8</v>
      </c>
      <c r="D60" s="31" t="n">
        <f aca="false">IF(輸入與假設!$C$39=1,D55,D50)</f>
        <v>0.5</v>
      </c>
      <c r="E60" s="31" t="n">
        <f aca="false">IF(輸入與假設!$C$39=1,E55,E50)</f>
        <v>0</v>
      </c>
      <c r="F60" s="31" t="n">
        <f aca="false">IF(輸入與假設!$C$39=1,F55,F50)</f>
        <v>0</v>
      </c>
      <c r="G60" s="31" t="n">
        <f aca="false">IF(輸入與假設!$C$39=1,G55,G50)</f>
        <v>0</v>
      </c>
    </row>
    <row r="61" customFormat="false" ht="15" hidden="true" customHeight="false" outlineLevel="2" collapsed="false">
      <c r="A61" s="3" t="s">
        <v>268</v>
      </c>
      <c r="B61" s="12" t="s">
        <v>77</v>
      </c>
      <c r="C61" s="31" t="n">
        <f aca="false">IF(輸入與假設!$C$39=1,C56,C51)</f>
        <v>0</v>
      </c>
      <c r="D61" s="31" t="n">
        <f aca="false">IF(輸入與假設!$C$39=1,D56,D51)</f>
        <v>0.5</v>
      </c>
      <c r="E61" s="31" t="n">
        <f aca="false">IF(輸入與假設!$C$39=1,E56,E51)</f>
        <v>1</v>
      </c>
      <c r="F61" s="31" t="n">
        <f aca="false">IF(輸入與假設!$C$39=1,F56,F51)</f>
        <v>1</v>
      </c>
      <c r="G61" s="31" t="n">
        <f aca="false">IF(輸入與假設!$C$39=1,G56,G51)</f>
        <v>1</v>
      </c>
    </row>
    <row r="62" customFormat="false" ht="15" hidden="true" customHeight="false" outlineLevel="2" collapsed="false">
      <c r="A62" s="3" t="s">
        <v>269</v>
      </c>
      <c r="B62" s="12" t="s">
        <v>77</v>
      </c>
      <c r="C62" s="31" t="n">
        <f aca="false">IF(輸入與假設!$C$39=1,C57,C52)</f>
        <v>0</v>
      </c>
      <c r="D62" s="31" t="n">
        <f aca="false">IF(輸入與假設!$C$39=1,D57,D52)</f>
        <v>0</v>
      </c>
      <c r="E62" s="31" t="n">
        <f aca="false">IF(輸入與假設!$C$39=1,E57,E52)</f>
        <v>0</v>
      </c>
      <c r="F62" s="31" t="n">
        <f aca="false">IF(輸入與假設!$C$39=1,F57,F52)</f>
        <v>0</v>
      </c>
      <c r="G62" s="31" t="n">
        <f aca="false">IF(輸入與假設!$C$39=1,G57,G52)</f>
        <v>0</v>
      </c>
    </row>
    <row r="63" customFormat="false" ht="15" hidden="true" customHeight="false" outlineLevel="2" collapsed="false">
      <c r="A63" s="3" t="s">
        <v>270</v>
      </c>
      <c r="B63" s="12" t="s">
        <v>77</v>
      </c>
      <c r="C63" s="31" t="n">
        <f aca="false">SUM(C58:C62)</f>
        <v>1</v>
      </c>
      <c r="D63" s="31" t="n">
        <f aca="false">SUM(D58:D62)</f>
        <v>1</v>
      </c>
      <c r="E63" s="31" t="n">
        <f aca="false">SUM(E58:E62)</f>
        <v>1</v>
      </c>
      <c r="F63" s="31" t="n">
        <f aca="false">SUM(F58:F62)</f>
        <v>1</v>
      </c>
      <c r="G63" s="31" t="n">
        <f aca="false">SUM(G58:G62)</f>
        <v>1</v>
      </c>
      <c r="I63" s="7" t="s">
        <v>271</v>
      </c>
    </row>
    <row r="64" customFormat="false" ht="17.15" hidden="true" customHeight="false" outlineLevel="2" collapsed="false">
      <c r="A64" s="16" t="s">
        <v>272</v>
      </c>
      <c r="B64" s="15" t="s">
        <v>273</v>
      </c>
      <c r="C64" s="16" t="s">
        <v>274</v>
      </c>
      <c r="D64" s="15" t="s">
        <v>275</v>
      </c>
      <c r="E64" s="15" t="s">
        <v>276</v>
      </c>
      <c r="F64" s="16" t="s">
        <v>277</v>
      </c>
      <c r="G64" s="15" t="s">
        <v>278</v>
      </c>
      <c r="I64" s="12" t="s">
        <v>279</v>
      </c>
    </row>
    <row r="65" customFormat="false" ht="15" hidden="true" customHeight="false" outlineLevel="2" collapsed="false">
      <c r="A65" s="4" t="s">
        <v>280</v>
      </c>
      <c r="B65" s="12" t="s">
        <v>281</v>
      </c>
      <c r="C65" s="32" t="n">
        <f aca="true">OFFSET(TK_CapexIT_H100,0,輸入與假設!$C$38-2)*F65</f>
        <v>27.510214</v>
      </c>
      <c r="D65" s="32" t="n">
        <f aca="true">OFFSET(TK_CapexTotal_H100,0,輸入與假設!$C$38-2)*F65</f>
        <v>40.180214</v>
      </c>
      <c r="E65" s="32" t="n">
        <f aca="false">TK_FacilityGW_H100</f>
        <v>1.2</v>
      </c>
      <c r="F65" s="32" t="n">
        <f aca="false">IF(輸入與假設!$C$37=2,1/E65,1)</f>
        <v>1</v>
      </c>
      <c r="G65" s="32" t="n">
        <f aca="false">TK_DeprLifeIT_H100</f>
        <v>6</v>
      </c>
    </row>
    <row r="66" customFormat="false" ht="15" hidden="true" customHeight="false" outlineLevel="2" collapsed="false">
      <c r="A66" s="4" t="s">
        <v>282</v>
      </c>
      <c r="B66" s="12" t="s">
        <v>283</v>
      </c>
      <c r="C66" s="32" t="n">
        <f aca="true">OFFSET(TK_CapexIT_GB200,0,輸入與假設!$C$38-2)*F66</f>
        <v>24.015174</v>
      </c>
      <c r="D66" s="32" t="n">
        <f aca="true">OFFSET(TK_CapexTotal_GB200,0,輸入與假設!$C$38-2)*F66</f>
        <v>36.685174</v>
      </c>
      <c r="E66" s="32" t="n">
        <f aca="false">TK_FacilityGW_GB200</f>
        <v>1.2</v>
      </c>
      <c r="F66" s="32" t="n">
        <f aca="false">IF(輸入與假設!$C$37=2,1/E66,1)</f>
        <v>1</v>
      </c>
      <c r="G66" s="32" t="n">
        <f aca="false">TK_DeprLifeIT_GB200</f>
        <v>6</v>
      </c>
    </row>
    <row r="67" customFormat="false" ht="15" hidden="true" customHeight="false" outlineLevel="2" collapsed="false">
      <c r="A67" s="4" t="s">
        <v>284</v>
      </c>
      <c r="B67" s="12" t="s">
        <v>285</v>
      </c>
      <c r="C67" s="32" t="n">
        <f aca="true">OFFSET(TK_CapexIT_GB300,0,輸入與假設!$C$38-2)*F67</f>
        <v>37.445504</v>
      </c>
      <c r="D67" s="32" t="n">
        <f aca="true">OFFSET(TK_CapexTotal_GB300,0,輸入與假設!$C$38-2)*F67</f>
        <v>50.115504</v>
      </c>
      <c r="E67" s="32" t="n">
        <f aca="false">TK_FacilityGW_GB300</f>
        <v>1.2</v>
      </c>
      <c r="F67" s="32" t="n">
        <f aca="false">IF(輸入與假設!$C$37=2,1/E67,1)</f>
        <v>1</v>
      </c>
      <c r="G67" s="32" t="n">
        <f aca="false">TK_DeprLifeIT_GB300</f>
        <v>6</v>
      </c>
    </row>
    <row r="68" customFormat="false" ht="15" hidden="true" customHeight="false" outlineLevel="2" collapsed="false">
      <c r="A68" s="4" t="s">
        <v>286</v>
      </c>
      <c r="B68" s="12" t="s">
        <v>287</v>
      </c>
      <c r="C68" s="32" t="n">
        <f aca="true">OFFSET(TK_CapexIT_VR200,0,輸入與假設!$C$38-2)*F68</f>
        <v>37.586352</v>
      </c>
      <c r="D68" s="32" t="n">
        <f aca="true">OFFSET(TK_CapexTotal_VR200,0,輸入與假設!$C$38-2)*F68</f>
        <v>50.256352</v>
      </c>
      <c r="E68" s="32" t="n">
        <f aca="false">TK_FacilityGW_VR200</f>
        <v>1.2</v>
      </c>
      <c r="F68" s="32" t="n">
        <f aca="false">IF(輸入與假設!$C$37=2,1/E68,1)</f>
        <v>1</v>
      </c>
      <c r="G68" s="32" t="n">
        <f aca="false">TK_DeprLifeIT_VR200</f>
        <v>6</v>
      </c>
    </row>
    <row r="69" customFormat="false" ht="15" hidden="true" customHeight="false" outlineLevel="2" collapsed="false">
      <c r="A69" s="4" t="s">
        <v>288</v>
      </c>
      <c r="B69" s="12" t="s">
        <v>289</v>
      </c>
      <c r="C69" s="32" t="n">
        <f aca="true">OFFSET(TK_CapexIT_RU,0,輸入與假設!$C$38-2)*F69</f>
        <v>50.08578</v>
      </c>
      <c r="D69" s="32" t="n">
        <f aca="true">OFFSET(TK_CapexTotal_RU,0,輸入與假設!$C$38-2)*F69</f>
        <v>62.75578</v>
      </c>
      <c r="E69" s="32" t="n">
        <f aca="false">TK_FacilityGW_RU</f>
        <v>1.2</v>
      </c>
      <c r="F69" s="32" t="n">
        <f aca="false">IF(輸入與假設!$C$37=2,1/E69,1)</f>
        <v>1</v>
      </c>
      <c r="G69" s="32" t="n">
        <f aca="false">TK_DeprLifeIT_RU</f>
        <v>6</v>
      </c>
    </row>
    <row r="70" customFormat="false" ht="17.15" hidden="true" customHeight="false" outlineLevel="2" collapsed="false">
      <c r="A70" s="16" t="s">
        <v>290</v>
      </c>
      <c r="B70" s="15" t="s">
        <v>273</v>
      </c>
      <c r="C70" s="15" t="s">
        <v>291</v>
      </c>
      <c r="D70" s="16" t="s">
        <v>292</v>
      </c>
      <c r="E70" s="15" t="s">
        <v>293</v>
      </c>
      <c r="F70" s="15" t="s">
        <v>294</v>
      </c>
      <c r="I70" s="12" t="s">
        <v>295</v>
      </c>
    </row>
    <row r="71" customFormat="false" ht="15" hidden="true" customHeight="false" outlineLevel="2" collapsed="false">
      <c r="A71" s="4" t="s">
        <v>296</v>
      </c>
      <c r="B71" s="12" t="s">
        <v>281</v>
      </c>
      <c r="C71" s="32" t="n">
        <f aca="true">OFFSET(TK_PowerCost_H100,0,輸入與假設!$C$38-2)*F65</f>
        <v>0.672768</v>
      </c>
      <c r="D71" s="32" t="n">
        <f aca="true">OFFSET(TK_MaintIT_H100,0,輸入與假設!$C$38-2)*F65</f>
        <v>0.82530642</v>
      </c>
      <c r="E71" s="32" t="n">
        <f aca="true">OFFSET(TK_StaffSW_H100,0,輸入與假設!$C$38-2)*F65</f>
        <v>0.325</v>
      </c>
      <c r="F71" s="32" t="n">
        <f aca="true">OFFSET(TK_TaxIns_H100,0,輸入與假設!$C$38-2)*F65*C65/D65</f>
        <v>0.13755107</v>
      </c>
    </row>
    <row r="72" customFormat="false" ht="15" hidden="true" customHeight="false" outlineLevel="2" collapsed="false">
      <c r="A72" s="4" t="s">
        <v>297</v>
      </c>
      <c r="B72" s="12" t="s">
        <v>283</v>
      </c>
      <c r="C72" s="32" t="n">
        <f aca="true">OFFSET(TK_PowerCost_GB200,0,輸入與假設!$C$38-2)*F66</f>
        <v>0.672768</v>
      </c>
      <c r="D72" s="32" t="n">
        <f aca="true">OFFSET(TK_MaintIT_GB200,0,輸入與假設!$C$38-2)*F66</f>
        <v>0.72045522</v>
      </c>
      <c r="E72" s="32" t="n">
        <f aca="true">OFFSET(TK_StaffSW_GB200,0,輸入與假設!$C$38-2)*F66</f>
        <v>0.325</v>
      </c>
      <c r="F72" s="32" t="n">
        <f aca="true">OFFSET(TK_TaxIns_GB200,0,輸入與假設!$C$38-2)*F66*C66/D66</f>
        <v>0.12007587</v>
      </c>
    </row>
    <row r="73" customFormat="false" ht="15" hidden="true" customHeight="false" outlineLevel="2" collapsed="false">
      <c r="A73" s="4" t="s">
        <v>298</v>
      </c>
      <c r="B73" s="12" t="s">
        <v>285</v>
      </c>
      <c r="C73" s="32" t="n">
        <f aca="true">OFFSET(TK_PowerCost_GB300,0,輸入與假設!$C$38-2)*F67</f>
        <v>0.672768</v>
      </c>
      <c r="D73" s="32" t="n">
        <f aca="true">OFFSET(TK_MaintIT_GB300,0,輸入與假設!$C$38-2)*F67</f>
        <v>1.12336512</v>
      </c>
      <c r="E73" s="32" t="n">
        <f aca="true">OFFSET(TK_StaffSW_GB300,0,輸入與假設!$C$38-2)*F67</f>
        <v>0.325</v>
      </c>
      <c r="F73" s="32" t="n">
        <f aca="true">OFFSET(TK_TaxIns_GB300,0,輸入與假設!$C$38-2)*F67*C67/D67</f>
        <v>0.18722752</v>
      </c>
    </row>
    <row r="74" customFormat="false" ht="15" hidden="true" customHeight="false" outlineLevel="2" collapsed="false">
      <c r="A74" s="4" t="s">
        <v>299</v>
      </c>
      <c r="B74" s="12" t="s">
        <v>287</v>
      </c>
      <c r="C74" s="32" t="n">
        <f aca="true">OFFSET(TK_PowerCost_VR200,0,輸入與假設!$C$38-2)*F68</f>
        <v>0.672768</v>
      </c>
      <c r="D74" s="32" t="n">
        <f aca="true">OFFSET(TK_MaintIT_VR200,0,輸入與假設!$C$38-2)*F68</f>
        <v>1.12759056</v>
      </c>
      <c r="E74" s="32" t="n">
        <f aca="true">OFFSET(TK_StaffSW_VR200,0,輸入與假設!$C$38-2)*F68</f>
        <v>0.325</v>
      </c>
      <c r="F74" s="32" t="n">
        <f aca="true">OFFSET(TK_TaxIns_VR200,0,輸入與假設!$C$38-2)*F68*C68/D68</f>
        <v>0.18793176</v>
      </c>
    </row>
    <row r="75" customFormat="false" ht="15" hidden="true" customHeight="false" outlineLevel="2" collapsed="false">
      <c r="A75" s="4" t="s">
        <v>300</v>
      </c>
      <c r="B75" s="12" t="s">
        <v>289</v>
      </c>
      <c r="C75" s="32" t="n">
        <f aca="true">OFFSET(TK_PowerCost_RU,0,輸入與假設!$C$38-2)*F69</f>
        <v>0.672768</v>
      </c>
      <c r="D75" s="32" t="n">
        <f aca="true">OFFSET(TK_MaintIT_RU,0,輸入與假設!$C$38-2)*F69</f>
        <v>1.5025734</v>
      </c>
      <c r="E75" s="32" t="n">
        <f aca="true">OFFSET(TK_StaffSW_RU,0,輸入與假設!$C$38-2)*F69</f>
        <v>0.325</v>
      </c>
      <c r="F75" s="32" t="n">
        <f aca="true">OFFSET(TK_TaxIns_RU,0,輸入與假設!$C$38-2)*F69*C69/D69</f>
        <v>0.2504289</v>
      </c>
    </row>
    <row r="76" customFormat="false" ht="17.15" hidden="true" customHeight="false" outlineLevel="2" collapsed="false">
      <c r="A76" s="16" t="s">
        <v>301</v>
      </c>
      <c r="B76" s="15" t="s">
        <v>273</v>
      </c>
      <c r="C76" s="16" t="s">
        <v>302</v>
      </c>
      <c r="D76" s="16" t="s">
        <v>303</v>
      </c>
      <c r="E76" s="15" t="s">
        <v>304</v>
      </c>
      <c r="F76" s="15" t="s">
        <v>305</v>
      </c>
      <c r="I76" s="12" t="s">
        <v>306</v>
      </c>
    </row>
    <row r="77" customFormat="false" ht="15" hidden="true" customHeight="false" outlineLevel="2" collapsed="false">
      <c r="A77" s="4" t="s">
        <v>307</v>
      </c>
      <c r="B77" s="12" t="s">
        <v>281</v>
      </c>
      <c r="C77" s="32" t="n">
        <f aca="false">TK_GPUsPerGW_H100*F65/1000</f>
        <v>718.048</v>
      </c>
      <c r="D77" s="32" t="n">
        <f aca="true">OFFSET(TK_GPUhrEcon_H100,0,輸入與假設!$C$38-2)</f>
        <v>1.60502925637165</v>
      </c>
      <c r="E77" s="32" t="n">
        <f aca="true">OFFSET(TK_HoldEcon_H100,0,輸入與假設!$C$38-2)*F65</f>
        <v>10.0957952959174</v>
      </c>
      <c r="F77" s="32"/>
    </row>
    <row r="78" customFormat="false" ht="15" hidden="true" customHeight="false" outlineLevel="2" collapsed="false">
      <c r="A78" s="4" t="s">
        <v>308</v>
      </c>
      <c r="B78" s="12" t="s">
        <v>283</v>
      </c>
      <c r="C78" s="32" t="n">
        <f aca="false">TK_GPUsPerGW_GB200*F66/1000</f>
        <v>501.768</v>
      </c>
      <c r="D78" s="32" t="n">
        <f aca="true">OFFSET(TK_GPUhrEcon_GB200,0,輸入與假設!$C$38-2)</f>
        <v>2.08645378736555</v>
      </c>
      <c r="E78" s="32" t="n">
        <f aca="true">OFFSET(TK_HoldEcon_GB200,0,輸入與假設!$C$38-2)*F66</f>
        <v>9.17098191725462</v>
      </c>
      <c r="F78" s="32"/>
    </row>
    <row r="79" customFormat="false" ht="15" hidden="true" customHeight="false" outlineLevel="2" collapsed="false">
      <c r="A79" s="4" t="s">
        <v>309</v>
      </c>
      <c r="B79" s="12" t="s">
        <v>285</v>
      </c>
      <c r="C79" s="32" t="n">
        <f aca="false">TK_GPUsPerGW_GB300*F67/1000</f>
        <v>487.008</v>
      </c>
      <c r="D79" s="32" t="n">
        <f aca="true">OFFSET(TK_GPUhrEcon_GB300,0,輸入與假設!$C$38-2)</f>
        <v>2.98269559427618</v>
      </c>
      <c r="E79" s="32" t="n">
        <f aca="true">OFFSET(TK_HoldEcon_GB300,0,輸入與假設!$C$38-2)*F67</f>
        <v>12.7247463559608</v>
      </c>
      <c r="F79" s="32"/>
    </row>
    <row r="80" customFormat="false" ht="15" hidden="true" customHeight="false" outlineLevel="2" collapsed="false">
      <c r="A80" s="4" t="s">
        <v>310</v>
      </c>
      <c r="B80" s="12" t="s">
        <v>287</v>
      </c>
      <c r="C80" s="32" t="n">
        <f aca="false">TK_GPUsPerGW_VR200*F68/1000</f>
        <v>291.744</v>
      </c>
      <c r="D80" s="32" t="n">
        <f aca="true">OFFSET(TK_GPUhrEcon_VR200,0,輸入與假設!$C$38-2)</f>
        <v>4.99359409623699</v>
      </c>
      <c r="E80" s="32" t="n">
        <f aca="true">OFFSET(TK_HoldEcon_VR200,0,輸入與假設!$C$38-2)*F68</f>
        <v>12.7620157762701</v>
      </c>
      <c r="F80" s="32"/>
    </row>
    <row r="81" customFormat="false" ht="15" hidden="true" customHeight="false" outlineLevel="2" collapsed="false">
      <c r="A81" s="4" t="s">
        <v>311</v>
      </c>
      <c r="B81" s="12" t="s">
        <v>289</v>
      </c>
      <c r="C81" s="32" t="n">
        <f aca="false">TK_GPUsPerGW_RU*F69/1000</f>
        <v>194.76</v>
      </c>
      <c r="D81" s="32" t="n">
        <f aca="true">OFFSET(TK_GPUhrEcon_RU,0,輸入與假設!$C$38-2)</f>
        <v>9.41883786448199</v>
      </c>
      <c r="E81" s="32" t="n">
        <f aca="true">OFFSET(TK_HoldEcon_RU,0,輸入與假設!$C$38-2)*F69</f>
        <v>16.0694566753819</v>
      </c>
      <c r="F81" s="32"/>
    </row>
    <row r="82" customFormat="false" ht="17.15" hidden="true" customHeight="false" outlineLevel="2" collapsed="false">
      <c r="A82" s="15" t="s">
        <v>312</v>
      </c>
      <c r="B82" s="15" t="s">
        <v>88</v>
      </c>
      <c r="C82" s="27" t="s">
        <v>89</v>
      </c>
      <c r="D82" s="27" t="s">
        <v>90</v>
      </c>
      <c r="E82" s="27" t="s">
        <v>91</v>
      </c>
      <c r="F82" s="27" t="s">
        <v>175</v>
      </c>
      <c r="G82" s="27" t="s">
        <v>176</v>
      </c>
      <c r="I82" s="15" t="s">
        <v>208</v>
      </c>
    </row>
    <row r="83" customFormat="false" ht="15" hidden="true" customHeight="false" outlineLevel="2" collapsed="false">
      <c r="A83" s="3" t="s">
        <v>313</v>
      </c>
      <c r="B83" s="7" t="s">
        <v>314</v>
      </c>
      <c r="C83" s="33" t="n">
        <v>0.76</v>
      </c>
      <c r="I83" s="12" t="s">
        <v>315</v>
      </c>
    </row>
    <row r="84" customFormat="false" ht="15" hidden="true" customHeight="false" outlineLevel="2" collapsed="false">
      <c r="A84" s="3" t="s">
        <v>316</v>
      </c>
      <c r="B84" s="7" t="s">
        <v>314</v>
      </c>
      <c r="C84" s="33" t="n">
        <v>1.76</v>
      </c>
      <c r="I84" s="12" t="s">
        <v>317</v>
      </c>
    </row>
    <row r="85" customFormat="false" ht="15" hidden="true" customHeight="false" outlineLevel="2" collapsed="false">
      <c r="A85" s="3" t="s">
        <v>318</v>
      </c>
      <c r="B85" s="12" t="s">
        <v>77</v>
      </c>
      <c r="C85" s="23" t="n">
        <v>0</v>
      </c>
      <c r="I85" s="7" t="s">
        <v>319</v>
      </c>
    </row>
    <row r="86" customFormat="false" ht="17.15" hidden="true" customHeight="false" outlineLevel="2" collapsed="false">
      <c r="A86" s="16" t="s">
        <v>320</v>
      </c>
      <c r="B86" s="15" t="s">
        <v>273</v>
      </c>
      <c r="C86" s="16" t="s">
        <v>321</v>
      </c>
      <c r="I86" s="12" t="s">
        <v>322</v>
      </c>
    </row>
    <row r="87" customFormat="false" ht="15" hidden="true" customHeight="false" outlineLevel="2" collapsed="false">
      <c r="A87" s="4" t="s">
        <v>323</v>
      </c>
      <c r="B87" s="12" t="s">
        <v>281</v>
      </c>
      <c r="C87" s="32" t="n">
        <f aca="true">OFFSET(TK_RevGWFleet_H100,0,輸入與假設!$C$38-2)*F65</f>
        <v>4.00488774987164</v>
      </c>
    </row>
    <row r="88" customFormat="false" ht="15" hidden="true" customHeight="false" outlineLevel="2" collapsed="false">
      <c r="A88" s="4" t="s">
        <v>324</v>
      </c>
      <c r="B88" s="12" t="s">
        <v>283</v>
      </c>
      <c r="C88" s="32" t="n">
        <f aca="true">OFFSET(TK_RevGWFleet_GB200,0,輸入與假設!$C$38-2)*F66</f>
        <v>20.1746158611128</v>
      </c>
    </row>
    <row r="89" customFormat="false" ht="15" hidden="true" customHeight="false" outlineLevel="2" collapsed="false">
      <c r="A89" s="4" t="s">
        <v>325</v>
      </c>
      <c r="B89" s="12" t="s">
        <v>285</v>
      </c>
      <c r="C89" s="32" t="n">
        <f aca="true">OFFSET(TK_RevGWFleet_GB300,0,輸入與假設!$C$38-2)*F67</f>
        <v>26.2652356996766</v>
      </c>
    </row>
    <row r="90" customFormat="false" ht="15" hidden="true" customHeight="false" outlineLevel="2" collapsed="false">
      <c r="A90" s="4" t="s">
        <v>326</v>
      </c>
      <c r="B90" s="12" t="s">
        <v>287</v>
      </c>
      <c r="C90" s="32" t="n">
        <f aca="true">OFFSET(TK_RevGWFleet_VR200,0,輸入與假設!$C$38-2)*F68</f>
        <v>48.7237019639935</v>
      </c>
    </row>
    <row r="91" customFormat="false" ht="15" hidden="true" customHeight="false" outlineLevel="2" collapsed="false">
      <c r="A91" s="4" t="s">
        <v>327</v>
      </c>
      <c r="B91" s="12" t="s">
        <v>289</v>
      </c>
      <c r="C91" s="32" t="n">
        <f aca="true">OFFSET(TK_RevGWFleet_RU,0,輸入與假設!$C$38-2)*F69</f>
        <v>68.9276257152094</v>
      </c>
    </row>
    <row r="93" customFormat="false" ht="15" hidden="false" customHeight="false" outlineLevel="0" collapsed="false">
      <c r="A93" s="8" t="s">
        <v>328</v>
      </c>
      <c r="B93" s="9"/>
      <c r="C93" s="9"/>
      <c r="D93" s="9"/>
      <c r="E93" s="9"/>
      <c r="F93" s="9"/>
      <c r="G93" s="9"/>
      <c r="H93" s="9"/>
    </row>
    <row r="94" customFormat="false" ht="15" hidden="false" customHeight="false" outlineLevel="1" collapsed="false">
      <c r="A94" s="3" t="s">
        <v>329</v>
      </c>
      <c r="B94" s="12" t="s">
        <v>77</v>
      </c>
      <c r="C94" s="26" t="n">
        <v>0.59</v>
      </c>
      <c r="I94" s="12" t="s">
        <v>330</v>
      </c>
    </row>
    <row r="95" customFormat="false" ht="15" hidden="false" customHeight="false" outlineLevel="1" collapsed="false">
      <c r="A95" s="3" t="s">
        <v>331</v>
      </c>
      <c r="B95" s="12" t="s">
        <v>77</v>
      </c>
      <c r="C95" s="34" t="n">
        <f aca="false">每MW經濟性!G71</f>
        <v>0.690187115804694</v>
      </c>
      <c r="I95" s="12" t="s">
        <v>332</v>
      </c>
    </row>
    <row r="96" customFormat="false" ht="15" hidden="false" customHeight="false" outlineLevel="1" collapsed="false">
      <c r="A96" s="15" t="s">
        <v>87</v>
      </c>
      <c r="B96" s="15" t="s">
        <v>88</v>
      </c>
      <c r="C96" s="27" t="s">
        <v>89</v>
      </c>
      <c r="D96" s="27" t="s">
        <v>90</v>
      </c>
      <c r="E96" s="27" t="s">
        <v>91</v>
      </c>
      <c r="F96" s="27" t="s">
        <v>175</v>
      </c>
      <c r="G96" s="27" t="s">
        <v>176</v>
      </c>
      <c r="I96" s="15" t="s">
        <v>208</v>
      </c>
    </row>
    <row r="97" customFormat="false" ht="15" hidden="false" customHeight="false" outlineLevel="1" collapsed="false">
      <c r="A97" s="4" t="s">
        <v>333</v>
      </c>
      <c r="B97" s="12" t="s">
        <v>77</v>
      </c>
      <c r="C97" s="31" t="n">
        <f aca="false">每MW經濟性!C71+(輸入與假設!$C$95-每MW經濟性!$G$71)*0/4</f>
        <v>0.46171741522123</v>
      </c>
      <c r="D97" s="31" t="n">
        <f aca="false">每MW經濟性!D71+(輸入與假設!$C$95-每MW經濟性!$G$71)*1/4</f>
        <v>0.485863913960979</v>
      </c>
      <c r="E97" s="31" t="n">
        <f aca="false">每MW經濟性!E71+(輸入與假設!$C$95-每MW經濟性!$G$71)*2/4</f>
        <v>0.562658763299117</v>
      </c>
      <c r="F97" s="31" t="n">
        <f aca="false">每MW經濟性!F71+(輸入與假設!$C$95-每MW經濟性!$G$71)*3/4</f>
        <v>0.633192723864468</v>
      </c>
      <c r="G97" s="31" t="n">
        <f aca="false">每MW經濟性!G71+(輸入與假設!$C$95-每MW經濟性!$G$71)*4/4</f>
        <v>0.690187115804694</v>
      </c>
      <c r="I97" s="12" t="s">
        <v>334</v>
      </c>
    </row>
    <row r="98" customFormat="false" ht="15" hidden="false" customHeight="false" outlineLevel="1" collapsed="false">
      <c r="A98" s="3" t="s">
        <v>335</v>
      </c>
      <c r="B98" s="12" t="s">
        <v>93</v>
      </c>
      <c r="C98" s="35" t="n">
        <f aca="false">輸入與假設!C$33*運營_產能與收入!C35</f>
        <v>0.201362148135035</v>
      </c>
      <c r="D98" s="35" t="n">
        <f aca="false">輸入與假設!D$33*運營_產能與收入!D35</f>
        <v>0.680865272380888</v>
      </c>
      <c r="E98" s="35" t="n">
        <f aca="false">輸入與假設!E$33*運營_產能與收入!E35</f>
        <v>1.27195665926828</v>
      </c>
      <c r="F98" s="35" t="n">
        <f aca="false">輸入與假設!F$33*運營_產能與收入!F35</f>
        <v>2.07248290439235</v>
      </c>
      <c r="G98" s="35" t="n">
        <f aca="false">輸入與假設!G$33*運營_產能與收入!G35</f>
        <v>2.91982205689621</v>
      </c>
      <c r="I98" s="7" t="s">
        <v>336</v>
      </c>
    </row>
    <row r="99" customFormat="false" ht="15" hidden="false" customHeight="false" outlineLevel="1" collapsed="true">
      <c r="A99" s="20" t="s">
        <v>337</v>
      </c>
      <c r="B99" s="21"/>
      <c r="C99" s="21"/>
      <c r="D99" s="21"/>
      <c r="E99" s="21"/>
      <c r="F99" s="21"/>
      <c r="G99" s="21"/>
      <c r="H99" s="21"/>
    </row>
    <row r="100" customFormat="false" ht="15" hidden="true" customHeight="false" outlineLevel="2" collapsed="false">
      <c r="A100" s="3" t="s">
        <v>338</v>
      </c>
      <c r="B100" s="7"/>
      <c r="C100" s="22" t="n">
        <v>0</v>
      </c>
      <c r="I100" s="12" t="s">
        <v>339</v>
      </c>
    </row>
    <row r="101" customFormat="false" ht="15" hidden="true" customHeight="false" outlineLevel="2" collapsed="false">
      <c r="A101" s="3" t="s">
        <v>340</v>
      </c>
      <c r="B101" s="12" t="s">
        <v>341</v>
      </c>
      <c r="C101" s="22" t="n">
        <v>60</v>
      </c>
      <c r="D101" s="22" t="n">
        <v>62</v>
      </c>
      <c r="E101" s="22" t="n">
        <v>64</v>
      </c>
      <c r="F101" s="22" t="n">
        <v>66</v>
      </c>
      <c r="G101" s="22" t="n">
        <v>68</v>
      </c>
      <c r="I101" s="12" t="s">
        <v>342</v>
      </c>
    </row>
    <row r="102" customFormat="false" ht="15" hidden="true" customHeight="false" outlineLevel="2" collapsed="false">
      <c r="A102" s="4" t="s">
        <v>343</v>
      </c>
      <c r="B102" s="7"/>
      <c r="C102" s="33" t="n">
        <v>1.25</v>
      </c>
      <c r="D102" s="33" t="n">
        <v>1.24</v>
      </c>
      <c r="E102" s="33" t="n">
        <v>1.22</v>
      </c>
      <c r="F102" s="33" t="n">
        <v>1.2</v>
      </c>
      <c r="G102" s="33" t="n">
        <v>1.2</v>
      </c>
      <c r="I102" s="12" t="s">
        <v>342</v>
      </c>
    </row>
    <row r="103" customFormat="false" ht="15" hidden="true" customHeight="false" outlineLevel="2" collapsed="false">
      <c r="A103" s="3" t="s">
        <v>344</v>
      </c>
      <c r="B103" s="12" t="s">
        <v>345</v>
      </c>
      <c r="C103" s="33" t="n">
        <v>0.15</v>
      </c>
      <c r="D103" s="33" t="n">
        <v>0.15</v>
      </c>
      <c r="E103" s="33" t="n">
        <v>0.16</v>
      </c>
      <c r="F103" s="33" t="n">
        <v>0.16</v>
      </c>
      <c r="G103" s="33" t="n">
        <v>0.17</v>
      </c>
      <c r="I103" s="12" t="s">
        <v>342</v>
      </c>
    </row>
    <row r="104" customFormat="false" ht="15" hidden="false" customHeight="false" outlineLevel="1" collapsed="true">
      <c r="A104" s="20" t="s">
        <v>346</v>
      </c>
      <c r="B104" s="21"/>
      <c r="C104" s="21"/>
      <c r="D104" s="21"/>
      <c r="E104" s="21"/>
      <c r="F104" s="21"/>
      <c r="G104" s="21"/>
      <c r="H104" s="21"/>
    </row>
    <row r="105" customFormat="false" ht="15" hidden="true" customHeight="false" outlineLevel="2" collapsed="false">
      <c r="A105" s="3" t="s">
        <v>347</v>
      </c>
      <c r="B105" s="12" t="s">
        <v>93</v>
      </c>
      <c r="C105" s="24" t="n">
        <v>2.575</v>
      </c>
      <c r="I105" s="12" t="s">
        <v>348</v>
      </c>
    </row>
    <row r="106" customFormat="false" ht="15" hidden="true" customHeight="false" outlineLevel="2" collapsed="false">
      <c r="A106" s="3" t="s">
        <v>349</v>
      </c>
      <c r="B106" s="12" t="s">
        <v>93</v>
      </c>
      <c r="C106" s="24" t="n">
        <v>0.879</v>
      </c>
      <c r="I106" s="12" t="s">
        <v>348</v>
      </c>
    </row>
    <row r="107" customFormat="false" ht="15" hidden="true" customHeight="false" outlineLevel="2" collapsed="false">
      <c r="A107" s="3" t="s">
        <v>350</v>
      </c>
      <c r="B107" s="12" t="s">
        <v>93</v>
      </c>
      <c r="C107" s="24" t="n">
        <v>1.507</v>
      </c>
      <c r="I107" s="12" t="s">
        <v>351</v>
      </c>
    </row>
    <row r="108" customFormat="false" ht="15" hidden="true" customHeight="false" outlineLevel="2" collapsed="false">
      <c r="A108" s="3" t="s">
        <v>352</v>
      </c>
      <c r="B108" s="12" t="s">
        <v>93</v>
      </c>
      <c r="C108" s="24" t="n">
        <v>0.06</v>
      </c>
      <c r="I108" s="12" t="s">
        <v>348</v>
      </c>
    </row>
    <row r="109" customFormat="false" ht="15" hidden="true" customHeight="false" outlineLevel="2" collapsed="false">
      <c r="A109" s="3" t="s">
        <v>353</v>
      </c>
      <c r="B109" s="12" t="s">
        <v>93</v>
      </c>
      <c r="C109" s="24" t="n">
        <v>0.012</v>
      </c>
      <c r="I109" s="12" t="s">
        <v>354</v>
      </c>
    </row>
    <row r="110" customFormat="false" ht="15" hidden="true" customHeight="false" outlineLevel="2" collapsed="false">
      <c r="A110" s="3" t="s">
        <v>355</v>
      </c>
      <c r="B110" s="12" t="s">
        <v>93</v>
      </c>
      <c r="C110" s="24" t="n">
        <v>0.178</v>
      </c>
      <c r="I110" s="12" t="s">
        <v>348</v>
      </c>
    </row>
    <row r="111" customFormat="false" ht="15" hidden="true" customHeight="false" outlineLevel="2" collapsed="false">
      <c r="A111" s="3" t="s">
        <v>356</v>
      </c>
      <c r="B111" s="12" t="s">
        <v>93</v>
      </c>
      <c r="C111" s="24" t="n">
        <v>0.084</v>
      </c>
      <c r="I111" s="12" t="s">
        <v>354</v>
      </c>
    </row>
    <row r="112" customFormat="false" ht="15" hidden="true" customHeight="false" outlineLevel="2" collapsed="false">
      <c r="A112" s="3" t="s">
        <v>357</v>
      </c>
      <c r="B112" s="12" t="s">
        <v>93</v>
      </c>
      <c r="C112" s="24" t="n">
        <v>1.393</v>
      </c>
      <c r="I112" s="12" t="s">
        <v>358</v>
      </c>
    </row>
    <row r="113" customFormat="false" ht="15" hidden="true" customHeight="false" outlineLevel="2" collapsed="false">
      <c r="A113" s="3" t="s">
        <v>359</v>
      </c>
      <c r="B113" s="12" t="s">
        <v>93</v>
      </c>
      <c r="C113" s="24" t="n">
        <v>0.069</v>
      </c>
      <c r="I113" s="12" t="s">
        <v>360</v>
      </c>
    </row>
    <row r="114" customFormat="false" ht="15" hidden="true" customHeight="false" outlineLevel="2" collapsed="false">
      <c r="A114" s="3" t="s">
        <v>361</v>
      </c>
      <c r="B114" s="12" t="s">
        <v>93</v>
      </c>
      <c r="C114" s="24" t="n">
        <v>0.5</v>
      </c>
      <c r="I114" s="12" t="s">
        <v>362</v>
      </c>
    </row>
    <row r="115" customFormat="false" ht="15" hidden="true" customHeight="false" outlineLevel="2" collapsed="false">
      <c r="A115" s="3" t="s">
        <v>363</v>
      </c>
      <c r="B115" s="12" t="s">
        <v>93</v>
      </c>
      <c r="C115" s="24" t="n">
        <v>0.15</v>
      </c>
      <c r="I115" s="12" t="s">
        <v>362</v>
      </c>
    </row>
    <row r="116" customFormat="false" ht="15" hidden="true" customHeight="false" outlineLevel="2" collapsed="false">
      <c r="A116" s="3" t="s">
        <v>364</v>
      </c>
      <c r="B116" s="7"/>
      <c r="C116" s="22" t="n">
        <v>1</v>
      </c>
      <c r="I116" s="12" t="s">
        <v>365</v>
      </c>
    </row>
    <row r="117" customFormat="false" ht="15" hidden="true" customHeight="false" outlineLevel="2" collapsed="false">
      <c r="A117" s="3" t="s">
        <v>366</v>
      </c>
      <c r="B117" s="12" t="s">
        <v>77</v>
      </c>
      <c r="C117" s="31" t="n">
        <f aca="false">IF(輸入與假設!$C$116=2,(輸入與假設!$C$108+輸入與假設!$C$110)/輸入與假設!$C$105,(輸入與假設!$C$108-輸入與假設!$C$109+輸入與假設!$C$110-輸入與假設!$C$111)/輸入與假設!$C$105)</f>
        <v>0.0551456310679611</v>
      </c>
      <c r="I117" s="7" t="s">
        <v>367</v>
      </c>
    </row>
    <row r="118" customFormat="false" ht="15" hidden="true" customHeight="false" outlineLevel="2" collapsed="false">
      <c r="A118" s="3" t="s">
        <v>368</v>
      </c>
      <c r="B118" s="12" t="s">
        <v>179</v>
      </c>
      <c r="C118" s="22" t="n">
        <v>500</v>
      </c>
      <c r="I118" s="7" t="s">
        <v>369</v>
      </c>
    </row>
    <row r="120" customFormat="false" ht="15" hidden="false" customHeight="false" outlineLevel="0" collapsed="false">
      <c r="A120" s="8" t="s">
        <v>370</v>
      </c>
      <c r="B120" s="9"/>
      <c r="C120" s="9"/>
      <c r="D120" s="9"/>
      <c r="E120" s="9"/>
      <c r="F120" s="9"/>
      <c r="G120" s="9"/>
      <c r="H120" s="9"/>
    </row>
    <row r="121" customFormat="false" ht="15" hidden="false" customHeight="false" outlineLevel="1" collapsed="false">
      <c r="A121" s="3" t="s">
        <v>371</v>
      </c>
      <c r="B121" s="12" t="s">
        <v>77</v>
      </c>
      <c r="C121" s="23" t="n">
        <v>0.35</v>
      </c>
      <c r="I121" s="7" t="s">
        <v>372</v>
      </c>
    </row>
    <row r="122" customFormat="false" ht="15" hidden="false" customHeight="false" outlineLevel="1" collapsed="false">
      <c r="A122" s="4" t="s">
        <v>373</v>
      </c>
      <c r="B122" s="12" t="s">
        <v>179</v>
      </c>
      <c r="C122" s="29" t="n">
        <f aca="false">CHOOSE(輸入與假設!$C$5,I8,I9,I10)</f>
        <v>500</v>
      </c>
      <c r="I122" s="7" t="s">
        <v>374</v>
      </c>
    </row>
    <row r="123" customFormat="false" ht="15" hidden="false" customHeight="false" outlineLevel="1" collapsed="false">
      <c r="A123" s="4" t="s">
        <v>375</v>
      </c>
      <c r="B123" s="12" t="s">
        <v>93</v>
      </c>
      <c r="C123" s="24" t="n">
        <v>35</v>
      </c>
      <c r="I123" s="7" t="s">
        <v>376</v>
      </c>
    </row>
    <row r="124" customFormat="false" ht="15" hidden="false" customHeight="false" outlineLevel="1" collapsed="false">
      <c r="A124" s="4" t="s">
        <v>377</v>
      </c>
      <c r="B124" s="7" t="s">
        <v>378</v>
      </c>
      <c r="C124" s="29" t="n">
        <f aca="false">ROUND(SUMPRODUCT($C$42:$C$46,$G$65:$G$69),0)</f>
        <v>6</v>
      </c>
      <c r="I124" s="7" t="s">
        <v>379</v>
      </c>
    </row>
    <row r="125" customFormat="false" ht="15" hidden="false" customHeight="false" outlineLevel="1" collapsed="false">
      <c r="A125" s="4" t="s">
        <v>380</v>
      </c>
      <c r="B125" s="12" t="s">
        <v>179</v>
      </c>
      <c r="C125" s="22" t="n">
        <v>100</v>
      </c>
      <c r="I125" s="7" t="s">
        <v>381</v>
      </c>
    </row>
    <row r="126" customFormat="false" ht="15" hidden="false" customHeight="false" outlineLevel="1" collapsed="false">
      <c r="A126" s="4" t="s">
        <v>382</v>
      </c>
      <c r="B126" s="12" t="s">
        <v>179</v>
      </c>
      <c r="C126" s="22" t="n">
        <v>360</v>
      </c>
      <c r="I126" s="12" t="s">
        <v>383</v>
      </c>
    </row>
    <row r="127" customFormat="false" ht="15" hidden="false" customHeight="false" outlineLevel="1" collapsed="false">
      <c r="A127" s="4" t="s">
        <v>384</v>
      </c>
      <c r="B127" s="12" t="s">
        <v>93</v>
      </c>
      <c r="C127" s="24" t="n">
        <v>46.736</v>
      </c>
      <c r="I127" s="12" t="s">
        <v>385</v>
      </c>
    </row>
    <row r="128" customFormat="false" ht="15" hidden="false" customHeight="false" outlineLevel="1" collapsed="false">
      <c r="A128" s="3" t="s">
        <v>386</v>
      </c>
      <c r="B128" s="12" t="s">
        <v>77</v>
      </c>
      <c r="C128" s="23" t="n">
        <v>1</v>
      </c>
      <c r="I128" s="7" t="s">
        <v>387</v>
      </c>
    </row>
    <row r="129" customFormat="false" ht="15" hidden="false" customHeight="false" outlineLevel="1" collapsed="false">
      <c r="A129" s="15" t="s">
        <v>87</v>
      </c>
      <c r="B129" s="15" t="s">
        <v>88</v>
      </c>
      <c r="C129" s="27" t="s">
        <v>89</v>
      </c>
      <c r="D129" s="27" t="s">
        <v>90</v>
      </c>
      <c r="E129" s="27" t="s">
        <v>91</v>
      </c>
      <c r="F129" s="27" t="s">
        <v>175</v>
      </c>
      <c r="G129" s="27" t="s">
        <v>176</v>
      </c>
      <c r="I129" s="15" t="s">
        <v>208</v>
      </c>
    </row>
    <row r="130" customFormat="false" ht="15" hidden="false" customHeight="false" outlineLevel="1" collapsed="false">
      <c r="A130" s="3" t="s">
        <v>388</v>
      </c>
      <c r="B130" s="12" t="s">
        <v>345</v>
      </c>
      <c r="C130" s="36" t="n">
        <f aca="false">SUMPRODUCT(C58:C62,$C$65:$C$69)</f>
        <v>34.759438</v>
      </c>
      <c r="D130" s="36" t="n">
        <f aca="false">SUMPRODUCT(D58:D62,$C$65:$C$69)</f>
        <v>37.515928</v>
      </c>
      <c r="E130" s="36" t="n">
        <f aca="false">SUMPRODUCT(E58:E62,$C$65:$C$69)</f>
        <v>37.586352</v>
      </c>
      <c r="F130" s="36" t="n">
        <f aca="false">SUMPRODUCT(F58:F62,$C$65:$C$69)</f>
        <v>37.586352</v>
      </c>
      <c r="G130" s="36" t="n">
        <f aca="false">SUMPRODUCT(G58:G62,$C$65:$C$69)</f>
        <v>37.586352</v>
      </c>
      <c r="I130" s="7" t="s">
        <v>389</v>
      </c>
    </row>
    <row r="131" customFormat="false" ht="15" hidden="false" customHeight="false" outlineLevel="1" collapsed="false">
      <c r="A131" s="3" t="s">
        <v>390</v>
      </c>
      <c r="B131" s="12" t="s">
        <v>345</v>
      </c>
      <c r="C131" s="37" t="n">
        <v>34</v>
      </c>
      <c r="D131" s="37" t="n">
        <v>34</v>
      </c>
      <c r="E131" s="37" t="n">
        <v>34</v>
      </c>
      <c r="F131" s="37" t="n">
        <v>34</v>
      </c>
      <c r="G131" s="37" t="n">
        <v>34</v>
      </c>
      <c r="I131" s="7" t="s">
        <v>391</v>
      </c>
    </row>
    <row r="132" customFormat="false" ht="15" hidden="false" customHeight="false" outlineLevel="1" collapsed="false">
      <c r="A132" s="3" t="s">
        <v>392</v>
      </c>
      <c r="B132" s="12" t="s">
        <v>77</v>
      </c>
      <c r="C132" s="23" t="n">
        <v>0.08</v>
      </c>
      <c r="D132" s="23" t="n">
        <v>0.08</v>
      </c>
      <c r="E132" s="23" t="n">
        <v>0.08</v>
      </c>
      <c r="F132" s="23" t="n">
        <v>0.08</v>
      </c>
      <c r="G132" s="23" t="n">
        <v>0.08</v>
      </c>
      <c r="I132" s="12" t="s">
        <v>393</v>
      </c>
    </row>
    <row r="133" customFormat="false" ht="15" hidden="false" customHeight="false" outlineLevel="1" collapsed="false">
      <c r="A133" s="3" t="s">
        <v>394</v>
      </c>
      <c r="B133" s="12" t="s">
        <v>93</v>
      </c>
      <c r="C133" s="24" t="n">
        <v>1.04</v>
      </c>
      <c r="D133" s="24" t="n">
        <v>2.339</v>
      </c>
      <c r="E133" s="24" t="n">
        <v>2.306</v>
      </c>
      <c r="F133" s="24" t="n">
        <v>2.373</v>
      </c>
      <c r="G133" s="24" t="n">
        <v>2.289</v>
      </c>
      <c r="I133" s="7" t="s">
        <v>395</v>
      </c>
    </row>
    <row r="134" customFormat="false" ht="15" hidden="false" customHeight="false" outlineLevel="1" collapsed="false">
      <c r="A134" s="3" t="s">
        <v>396</v>
      </c>
      <c r="B134" s="12" t="s">
        <v>93</v>
      </c>
      <c r="C134" s="35" t="n">
        <f aca="false">C12*MAX(0,C26-輸入與假設!$C$13)/(C10-輸入與假設!$C$13)</f>
        <v>0.3</v>
      </c>
      <c r="D134" s="35" t="n">
        <f aca="false">D12*MAX(0,D26-輸入與假設!$C$13)/(D10-輸入與假設!$C$13)</f>
        <v>1.6</v>
      </c>
      <c r="E134" s="35" t="n">
        <f aca="false">E12*MAX(0,E26-輸入與假設!$C$13)/(E10-輸入與假設!$C$13)</f>
        <v>2.41935483870968</v>
      </c>
      <c r="F134" s="35" t="n">
        <f aca="false">F12*MAX(0,F26-輸入與假設!$C$13)/(F10-輸入與假設!$C$13)</f>
        <v>2.75</v>
      </c>
      <c r="G134" s="35" t="n">
        <f aca="false">G12*MAX(0,G26-輸入與假設!$C$13)/(G10-輸入與假設!$C$13)</f>
        <v>2.90153846153846</v>
      </c>
      <c r="I134" s="7" t="s">
        <v>397</v>
      </c>
    </row>
    <row r="135" customFormat="false" ht="15" hidden="false" customHeight="false" outlineLevel="1" collapsed="false">
      <c r="A135" s="4" t="s">
        <v>398</v>
      </c>
      <c r="B135" s="12" t="s">
        <v>93</v>
      </c>
      <c r="C135" s="24" t="n">
        <v>1.15</v>
      </c>
      <c r="D135" s="24" t="n">
        <v>0</v>
      </c>
      <c r="E135" s="24" t="n">
        <v>0</v>
      </c>
      <c r="F135" s="24" t="n">
        <v>0</v>
      </c>
      <c r="G135" s="24" t="n">
        <v>0</v>
      </c>
      <c r="I135" s="12" t="s">
        <v>399</v>
      </c>
    </row>
    <row r="136" customFormat="false" ht="15" hidden="false" customHeight="false" outlineLevel="1" collapsed="false">
      <c r="A136" s="4" t="s">
        <v>400</v>
      </c>
      <c r="B136" s="12" t="s">
        <v>93</v>
      </c>
      <c r="C136" s="24" t="n">
        <v>0.1</v>
      </c>
      <c r="D136" s="24" t="n">
        <v>0.4</v>
      </c>
      <c r="E136" s="24" t="n">
        <v>0.3</v>
      </c>
      <c r="F136" s="24" t="n">
        <v>0.2</v>
      </c>
      <c r="G136" s="24" t="n">
        <v>0.2</v>
      </c>
      <c r="I136" s="7" t="s">
        <v>401</v>
      </c>
    </row>
    <row r="137" customFormat="false" ht="15" hidden="false" customHeight="false" outlineLevel="1" collapsed="false">
      <c r="A137" s="4" t="s">
        <v>402</v>
      </c>
      <c r="B137" s="12" t="s">
        <v>93</v>
      </c>
      <c r="C137" s="35" t="n">
        <f aca="false">C135+C136</f>
        <v>1.25</v>
      </c>
      <c r="D137" s="35" t="n">
        <f aca="false">D135+D136</f>
        <v>0.4</v>
      </c>
      <c r="E137" s="35" t="n">
        <f aca="false">E135+E136</f>
        <v>0.3</v>
      </c>
      <c r="F137" s="35" t="n">
        <f aca="false">F135+F136</f>
        <v>0.2</v>
      </c>
      <c r="G137" s="35" t="n">
        <f aca="false">G135+G136</f>
        <v>0.2</v>
      </c>
      <c r="I137" s="7" t="s">
        <v>403</v>
      </c>
    </row>
    <row r="138" customFormat="false" ht="15" hidden="false" customHeight="false" outlineLevel="1" collapsed="true">
      <c r="A138" s="38" t="s">
        <v>404</v>
      </c>
      <c r="B138" s="21"/>
      <c r="C138" s="21"/>
      <c r="D138" s="21"/>
      <c r="E138" s="21"/>
      <c r="F138" s="21"/>
      <c r="G138" s="21"/>
      <c r="H138" s="21"/>
    </row>
    <row r="139" customFormat="false" ht="15" hidden="true" customHeight="false" outlineLevel="2" collapsed="false">
      <c r="A139" s="3" t="s">
        <v>405</v>
      </c>
      <c r="B139" s="12" t="s">
        <v>179</v>
      </c>
      <c r="C139" s="29" t="n">
        <f aca="false">輸入與假設!$C$19</f>
        <v>850</v>
      </c>
      <c r="D139" s="29" t="n">
        <f aca="false">C26</f>
        <v>1850</v>
      </c>
      <c r="E139" s="29" t="n">
        <f aca="false">D26</f>
        <v>3100</v>
      </c>
      <c r="F139" s="29" t="n">
        <f aca="false">E26</f>
        <v>4000</v>
      </c>
      <c r="G139" s="29" t="n">
        <f aca="false">F26</f>
        <v>4800</v>
      </c>
      <c r="I139" s="12" t="s">
        <v>406</v>
      </c>
    </row>
    <row r="140" customFormat="false" ht="15" hidden="true" customHeight="false" outlineLevel="2" collapsed="false">
      <c r="A140" s="3" t="s">
        <v>407</v>
      </c>
      <c r="B140" s="12" t="s">
        <v>179</v>
      </c>
      <c r="C140" s="29" t="n">
        <f aca="false">C26-C139</f>
        <v>1000</v>
      </c>
      <c r="D140" s="29" t="n">
        <f aca="false">D26-D139</f>
        <v>1250</v>
      </c>
      <c r="E140" s="29" t="n">
        <f aca="false">E26-E139</f>
        <v>900</v>
      </c>
      <c r="F140" s="29" t="n">
        <f aca="false">F26-F139</f>
        <v>800</v>
      </c>
      <c r="G140" s="29" t="n">
        <f aca="false">G26-G139</f>
        <v>800</v>
      </c>
    </row>
    <row r="141" customFormat="false" ht="15" hidden="true" customHeight="false" outlineLevel="2" collapsed="false">
      <c r="A141" s="3" t="s">
        <v>408</v>
      </c>
      <c r="B141" s="12" t="s">
        <v>179</v>
      </c>
      <c r="C141" s="29" t="n">
        <f aca="false">D26-C26</f>
        <v>1250</v>
      </c>
      <c r="D141" s="29" t="n">
        <f aca="false">E26-D26</f>
        <v>900</v>
      </c>
      <c r="E141" s="29" t="n">
        <f aca="false">F26-E26</f>
        <v>800</v>
      </c>
      <c r="F141" s="29" t="n">
        <f aca="false">G26-F26</f>
        <v>800</v>
      </c>
      <c r="G141" s="29" t="n">
        <f aca="false">輸入與假設!$C$122</f>
        <v>500</v>
      </c>
    </row>
    <row r="142" customFormat="false" ht="15" hidden="true" customHeight="false" outlineLevel="2" collapsed="false">
      <c r="A142" s="3" t="s">
        <v>409</v>
      </c>
      <c r="B142" s="12" t="s">
        <v>93</v>
      </c>
      <c r="C142" s="35" t="n">
        <f aca="false">(C140*(1-輸入與假設!$C$121)+C141*輸入與假設!$C$121)*C130*輸入與假設!$C$128/1000</f>
        <v>37.800888825</v>
      </c>
      <c r="D142" s="35" t="n">
        <f aca="false">(D140*(1-輸入與假設!$C$121)+D141*輸入與假設!$C$121)*D130*輸入與假設!$C$128/1000</f>
        <v>42.29920882</v>
      </c>
      <c r="E142" s="35" t="n">
        <f aca="false">(E140*(1-輸入與假設!$C$121)+E141*輸入與假設!$C$121)*E130*輸入與假設!$C$128/1000</f>
        <v>32.51219448</v>
      </c>
      <c r="F142" s="35" t="n">
        <f aca="false">(F140*(1-輸入與假設!$C$121)+F141*輸入與假設!$C$121)*F130*輸入與假設!$C$128/1000</f>
        <v>30.0690816</v>
      </c>
      <c r="G142" s="35" t="n">
        <f aca="false">(G140*(1-輸入與假設!$C$121)+G141*輸入與假設!$C$121)*G130*輸入與假設!$C$128/1000</f>
        <v>26.12251464</v>
      </c>
      <c r="I142" s="7" t="s">
        <v>410</v>
      </c>
    </row>
    <row r="143" customFormat="false" ht="15" hidden="true" customHeight="false" outlineLevel="2" collapsed="false">
      <c r="A143" s="3" t="s">
        <v>411</v>
      </c>
      <c r="B143" s="12" t="s">
        <v>93</v>
      </c>
      <c r="C143" s="35" t="n">
        <f aca="false">MAX(C142,輸入與假設!$C$123)-輸入與假設!$C$225</f>
        <v>21.661888825</v>
      </c>
      <c r="D143" s="35" t="n">
        <f aca="false">D142</f>
        <v>42.29920882</v>
      </c>
      <c r="E143" s="35" t="n">
        <f aca="false">E142</f>
        <v>32.51219448</v>
      </c>
      <c r="F143" s="35" t="n">
        <f aca="false">F142</f>
        <v>30.0690816</v>
      </c>
      <c r="G143" s="35" t="n">
        <f aca="false">G142</f>
        <v>26.12251464</v>
      </c>
      <c r="I143" s="12" t="s">
        <v>412</v>
      </c>
    </row>
    <row r="144" customFormat="false" ht="15" hidden="true" customHeight="false" outlineLevel="2" collapsed="false">
      <c r="A144" s="4" t="s">
        <v>413</v>
      </c>
      <c r="B144" s="12" t="s">
        <v>93</v>
      </c>
      <c r="C144" s="35" t="n">
        <f aca="false">IF(2026-輸入與假設!$C$124=2023,輸入與假設!$C$125,IF(2026-輸入與假設!$C$124=2024,輸入與假設!$C$126-輸入與假設!$C$125,IF(2026-輸入與假設!$C$124=2025,輸入與假設!$C$19-輸入與假設!$C$126,0)))*C130*輸入與假設!$C$128/1000</f>
        <v>0</v>
      </c>
      <c r="D144" s="35" t="n">
        <f aca="false">IF(2027-輸入與假設!$C$124=2023,輸入與假設!$C$125,IF(2027-輸入與假設!$C$124=2024,輸入與假設!$C$126-輸入與假設!$C$125,IF(2027-輸入與假設!$C$124=2025,輸入與假設!$C$19-輸入與假設!$C$126,0)))*D130*輸入與假設!$C$128/1000</f>
        <v>0</v>
      </c>
      <c r="E144" s="35" t="n">
        <f aca="false">IF(2028-輸入與假設!$C$124=2023,輸入與假設!$C$125,IF(2028-輸入與假設!$C$124=2024,輸入與假設!$C$126-輸入與假設!$C$125,IF(2028-輸入與假設!$C$124=2025,輸入與假設!$C$19-輸入與假設!$C$126,0)))*E130*輸入與假設!$C$128/1000</f>
        <v>0</v>
      </c>
      <c r="F144" s="35" t="n">
        <f aca="false">IF(2029-輸入與假設!$C$124=2023,輸入與假設!$C$125,IF(2029-輸入與假設!$C$124=2024,輸入與假設!$C$126-輸入與假設!$C$125,IF(2029-輸入與假設!$C$124=2025,輸入與假設!$C$19-輸入與假設!$C$126,0)))*F130*輸入與假設!$C$128/1000</f>
        <v>3.7586352</v>
      </c>
      <c r="G144" s="35" t="n">
        <f aca="false">IF(2030-輸入與假設!$C$124=2023,輸入與假設!$C$125,IF(2030-輸入與假設!$C$124=2024,輸入與假設!$C$126-輸入與假設!$C$125,IF(2030-輸入與假設!$C$124=2025,輸入與假設!$C$19-輸入與假設!$C$126,0)))*G130*輸入與假設!$C$128/1000</f>
        <v>9.77245152</v>
      </c>
      <c r="I144" s="7" t="s">
        <v>414</v>
      </c>
    </row>
    <row r="145" customFormat="false" ht="15" hidden="true" customHeight="false" outlineLevel="2" collapsed="false">
      <c r="A145" s="3" t="s">
        <v>415</v>
      </c>
      <c r="B145" s="12" t="s">
        <v>93</v>
      </c>
      <c r="C145" s="35" t="n">
        <f aca="false">輸入與假設!$C$127</f>
        <v>46.736</v>
      </c>
      <c r="D145" s="35" t="n">
        <f aca="false">C145+C143</f>
        <v>68.397888825</v>
      </c>
      <c r="E145" s="35" t="n">
        <f aca="false">D145+D143</f>
        <v>110.697097645</v>
      </c>
      <c r="F145" s="35" t="n">
        <f aca="false">E145+E143</f>
        <v>143.209292125</v>
      </c>
      <c r="G145" s="35" t="n">
        <f aca="false">F145+F143</f>
        <v>173.278373725</v>
      </c>
      <c r="I145" s="7" t="s">
        <v>416</v>
      </c>
    </row>
    <row r="146" customFormat="false" ht="15" hidden="false" customHeight="false" outlineLevel="1" collapsed="false">
      <c r="A146" s="38" t="s">
        <v>417</v>
      </c>
      <c r="B146" s="21"/>
      <c r="C146" s="21"/>
      <c r="D146" s="21"/>
      <c r="E146" s="21"/>
      <c r="F146" s="21"/>
      <c r="G146" s="21"/>
      <c r="H146" s="21"/>
    </row>
    <row r="147" customFormat="false" ht="15" hidden="false" customHeight="false" outlineLevel="2" collapsed="false">
      <c r="A147" s="3" t="s">
        <v>418</v>
      </c>
      <c r="B147" s="12" t="s">
        <v>93</v>
      </c>
      <c r="C147" s="39" t="n">
        <f aca="false">C143+C144</f>
        <v>21.661888825</v>
      </c>
      <c r="D147" s="39" t="n">
        <f aca="false">D143+D144</f>
        <v>42.29920882</v>
      </c>
      <c r="E147" s="39" t="n">
        <f aca="false">E143+E144</f>
        <v>32.51219448</v>
      </c>
      <c r="F147" s="39" t="n">
        <f aca="false">F143+F144</f>
        <v>33.8277168</v>
      </c>
      <c r="G147" s="39" t="n">
        <f aca="false">G143+G144</f>
        <v>35.89496616</v>
      </c>
      <c r="I147" s="7" t="s">
        <v>419</v>
      </c>
    </row>
    <row r="148" customFormat="false" ht="15" hidden="false" customHeight="false" outlineLevel="2" collapsed="false">
      <c r="A148" s="4" t="s">
        <v>420</v>
      </c>
      <c r="B148" s="12" t="s">
        <v>93</v>
      </c>
      <c r="C148" s="39" t="n">
        <f aca="false">(C145+0.5*C143)/輸入與假設!$C$124*C24</f>
        <v>4.79724536770833</v>
      </c>
      <c r="D148" s="39" t="n">
        <f aca="false">(D145+0.5*D143)/輸入與假設!$C$124*D24</f>
        <v>14.9245822058333</v>
      </c>
      <c r="E148" s="39" t="n">
        <f aca="false">(E145+0.5*E143)/輸入與假設!$C$124*E24</f>
        <v>21.1588658141667</v>
      </c>
      <c r="F148" s="39" t="n">
        <f aca="false">(F145+0.5*F143)/輸入與假設!$C$124*F24</f>
        <v>26.3739721541667</v>
      </c>
      <c r="G148" s="39" t="n">
        <f aca="false">(G145+0.5*G143)/輸入與假設!$C$124*G24</f>
        <v>31.0566051741667</v>
      </c>
      <c r="I148" s="7" t="s">
        <v>421</v>
      </c>
    </row>
    <row r="150" customFormat="false" ht="15" hidden="false" customHeight="false" outlineLevel="0" collapsed="false">
      <c r="A150" s="8" t="s">
        <v>422</v>
      </c>
      <c r="B150" s="9"/>
      <c r="C150" s="9"/>
      <c r="D150" s="9"/>
      <c r="E150" s="9"/>
      <c r="F150" s="9"/>
      <c r="G150" s="9"/>
      <c r="H150" s="9"/>
    </row>
    <row r="151" customFormat="false" ht="15" hidden="false" customHeight="false" outlineLevel="1" collapsed="false">
      <c r="A151" s="3" t="s">
        <v>423</v>
      </c>
      <c r="B151" s="12" t="s">
        <v>93</v>
      </c>
      <c r="C151" s="24" t="n">
        <v>5.5</v>
      </c>
      <c r="I151" s="12" t="s">
        <v>424</v>
      </c>
    </row>
    <row r="152" customFormat="false" ht="15" hidden="false" customHeight="false" outlineLevel="1" collapsed="false">
      <c r="A152" s="3" t="s">
        <v>425</v>
      </c>
      <c r="B152" s="12" t="s">
        <v>93</v>
      </c>
      <c r="C152" s="24" t="n">
        <v>6.2</v>
      </c>
      <c r="I152" s="12" t="s">
        <v>426</v>
      </c>
    </row>
    <row r="153" customFormat="false" ht="15" hidden="false" customHeight="false" outlineLevel="1" collapsed="false">
      <c r="A153" s="3" t="s">
        <v>427</v>
      </c>
      <c r="B153" s="7"/>
      <c r="C153" s="22" t="n">
        <v>1</v>
      </c>
      <c r="I153" s="7" t="s">
        <v>428</v>
      </c>
    </row>
    <row r="154" customFormat="false" ht="15" hidden="false" customHeight="false" outlineLevel="1" collapsed="false">
      <c r="A154" s="3" t="s">
        <v>429</v>
      </c>
      <c r="B154" s="12" t="s">
        <v>93</v>
      </c>
      <c r="C154" s="24" t="n">
        <v>10</v>
      </c>
      <c r="I154" s="12" t="s">
        <v>430</v>
      </c>
    </row>
    <row r="155" customFormat="false" ht="15" hidden="false" customHeight="false" outlineLevel="1" collapsed="false">
      <c r="A155" s="3" t="s">
        <v>431</v>
      </c>
      <c r="B155" s="7"/>
      <c r="C155" s="22" t="n">
        <v>1</v>
      </c>
      <c r="I155" s="7" t="s">
        <v>432</v>
      </c>
    </row>
    <row r="156" customFormat="false" ht="15" hidden="false" customHeight="false" outlineLevel="1" collapsed="false">
      <c r="A156" s="3" t="s">
        <v>433</v>
      </c>
      <c r="B156" s="7"/>
      <c r="C156" s="22" t="n">
        <v>1</v>
      </c>
      <c r="I156" s="12" t="s">
        <v>434</v>
      </c>
    </row>
    <row r="157" customFormat="false" ht="15" hidden="false" customHeight="false" outlineLevel="1" collapsed="false">
      <c r="A157" s="3" t="s">
        <v>435</v>
      </c>
      <c r="B157" s="12" t="s">
        <v>139</v>
      </c>
      <c r="C157" s="40" t="n">
        <v>1</v>
      </c>
      <c r="I157" s="7" t="s">
        <v>436</v>
      </c>
    </row>
    <row r="158" customFormat="false" ht="15" hidden="false" customHeight="false" outlineLevel="1" collapsed="false">
      <c r="A158" s="3" t="s">
        <v>437</v>
      </c>
      <c r="B158" s="7" t="s">
        <v>378</v>
      </c>
      <c r="C158" s="22" t="n">
        <v>5</v>
      </c>
      <c r="I158" s="12" t="s">
        <v>438</v>
      </c>
    </row>
    <row r="159" customFormat="false" ht="15" hidden="false" customHeight="false" outlineLevel="1" collapsed="false">
      <c r="A159" s="3" t="s">
        <v>439</v>
      </c>
      <c r="B159" s="12" t="s">
        <v>93</v>
      </c>
      <c r="C159" s="24" t="n">
        <v>2</v>
      </c>
      <c r="I159" s="7" t="s">
        <v>440</v>
      </c>
    </row>
    <row r="160" customFormat="false" ht="15" hidden="false" customHeight="false" outlineLevel="1" collapsed="false">
      <c r="A160" s="3" t="s">
        <v>441</v>
      </c>
      <c r="B160" s="12" t="s">
        <v>74</v>
      </c>
      <c r="C160" s="41" t="n">
        <v>90.13</v>
      </c>
      <c r="I160" s="7" t="s">
        <v>442</v>
      </c>
    </row>
    <row r="161" customFormat="false" ht="15" hidden="false" customHeight="false" outlineLevel="1" collapsed="false">
      <c r="A161" s="3" t="s">
        <v>443</v>
      </c>
      <c r="B161" s="12" t="s">
        <v>77</v>
      </c>
      <c r="C161" s="23" t="n">
        <v>0.1</v>
      </c>
      <c r="I161" s="7" t="s">
        <v>444</v>
      </c>
    </row>
    <row r="162" customFormat="false" ht="15" hidden="false" customHeight="false" outlineLevel="1" collapsed="false">
      <c r="A162" s="3" t="s">
        <v>445</v>
      </c>
      <c r="B162" s="12" t="s">
        <v>77</v>
      </c>
      <c r="C162" s="23" t="n">
        <v>0.2</v>
      </c>
      <c r="I162" s="12" t="s">
        <v>446</v>
      </c>
    </row>
    <row r="163" customFormat="false" ht="15" hidden="false" customHeight="false" outlineLevel="1" collapsed="false">
      <c r="A163" s="3" t="s">
        <v>447</v>
      </c>
      <c r="B163" s="12" t="s">
        <v>448</v>
      </c>
      <c r="C163" s="42" t="n">
        <v>0.5865</v>
      </c>
      <c r="I163" s="7" t="s">
        <v>449</v>
      </c>
    </row>
    <row r="164" customFormat="false" ht="15" hidden="false" customHeight="false" outlineLevel="1" collapsed="false">
      <c r="A164" s="3" t="s">
        <v>450</v>
      </c>
      <c r="B164" s="12" t="s">
        <v>77</v>
      </c>
      <c r="C164" s="23" t="n">
        <v>0.12</v>
      </c>
      <c r="I164" s="7" t="s">
        <v>451</v>
      </c>
    </row>
    <row r="165" customFormat="false" ht="15" hidden="false" customHeight="false" outlineLevel="1" collapsed="false">
      <c r="A165" s="4" t="s">
        <v>452</v>
      </c>
      <c r="B165" s="12" t="s">
        <v>453</v>
      </c>
      <c r="C165" s="22" t="n">
        <v>720</v>
      </c>
      <c r="I165" s="12" t="s">
        <v>454</v>
      </c>
    </row>
    <row r="166" customFormat="false" ht="15" hidden="false" customHeight="false" outlineLevel="1" collapsed="false">
      <c r="A166" s="4" t="s">
        <v>455</v>
      </c>
      <c r="B166" s="7"/>
      <c r="C166" s="22" t="n">
        <v>0</v>
      </c>
      <c r="I166" s="7" t="s">
        <v>456</v>
      </c>
    </row>
    <row r="167" customFormat="false" ht="15" hidden="false" customHeight="false" outlineLevel="1" collapsed="false">
      <c r="A167" s="4" t="s">
        <v>457</v>
      </c>
      <c r="B167" s="12" t="s">
        <v>453</v>
      </c>
      <c r="C167" s="22" t="n">
        <v>450</v>
      </c>
      <c r="I167" s="12" t="s">
        <v>458</v>
      </c>
    </row>
    <row r="168" customFormat="false" ht="15" hidden="false" customHeight="false" outlineLevel="1" collapsed="false">
      <c r="A168" s="4" t="s">
        <v>459</v>
      </c>
      <c r="B168" s="12" t="s">
        <v>77</v>
      </c>
      <c r="C168" s="23" t="n">
        <v>0.4</v>
      </c>
      <c r="I168" s="7" t="s">
        <v>460</v>
      </c>
    </row>
    <row r="169" customFormat="false" ht="15" hidden="false" customHeight="false" outlineLevel="1" collapsed="false">
      <c r="A169" s="15" t="s">
        <v>87</v>
      </c>
      <c r="B169" s="15" t="s">
        <v>88</v>
      </c>
      <c r="C169" s="27" t="s">
        <v>89</v>
      </c>
      <c r="D169" s="27" t="s">
        <v>90</v>
      </c>
      <c r="E169" s="27" t="s">
        <v>91</v>
      </c>
      <c r="F169" s="27" t="s">
        <v>175</v>
      </c>
      <c r="G169" s="27" t="s">
        <v>176</v>
      </c>
      <c r="I169" s="15" t="s">
        <v>208</v>
      </c>
    </row>
    <row r="170" customFormat="false" ht="15" hidden="false" customHeight="false" outlineLevel="1" collapsed="false">
      <c r="A170" s="3" t="s">
        <v>461</v>
      </c>
      <c r="B170" s="12" t="s">
        <v>93</v>
      </c>
      <c r="C170" s="24" t="n">
        <v>4.413</v>
      </c>
      <c r="D170" s="24" t="n">
        <v>6.184</v>
      </c>
      <c r="E170" s="24" t="n">
        <v>4.416</v>
      </c>
      <c r="F170" s="24" t="n">
        <v>2.421</v>
      </c>
      <c r="G170" s="24" t="n">
        <v>3.221</v>
      </c>
      <c r="I170" s="7" t="s">
        <v>462</v>
      </c>
    </row>
    <row r="171" customFormat="false" ht="15" hidden="false" customHeight="false" outlineLevel="1" collapsed="false">
      <c r="A171" s="3" t="s">
        <v>463</v>
      </c>
      <c r="B171" s="12" t="s">
        <v>77</v>
      </c>
      <c r="C171" s="23" t="n">
        <v>0.09</v>
      </c>
      <c r="D171" s="23" t="n">
        <v>0.09</v>
      </c>
      <c r="E171" s="23" t="n">
        <v>0.09</v>
      </c>
      <c r="F171" s="23" t="n">
        <v>0.09</v>
      </c>
      <c r="G171" s="23" t="n">
        <v>0.09</v>
      </c>
      <c r="I171" s="7" t="s">
        <v>464</v>
      </c>
    </row>
    <row r="172" customFormat="false" ht="15" hidden="false" customHeight="false" outlineLevel="1" collapsed="false">
      <c r="A172" s="3" t="s">
        <v>465</v>
      </c>
      <c r="B172" s="12" t="s">
        <v>93</v>
      </c>
      <c r="C172" s="43" t="n">
        <f aca="false">資產負債_既有債務!C35</f>
        <v>1.80589628695395</v>
      </c>
      <c r="D172" s="43" t="n">
        <f aca="false">資產負債_既有債務!D35</f>
        <v>2.46600676169447</v>
      </c>
      <c r="E172" s="43" t="n">
        <f aca="false">資產負債_既有債務!E35</f>
        <v>2.02009474796771</v>
      </c>
      <c r="F172" s="43" t="n">
        <f aca="false">資產負債_既有債務!F35</f>
        <v>1.73248149911395</v>
      </c>
      <c r="G172" s="43" t="n">
        <f aca="false">資產負債_既有債務!G35</f>
        <v>1.49513851973222</v>
      </c>
      <c r="I172" s="7" t="s">
        <v>466</v>
      </c>
    </row>
    <row r="174" customFormat="false" ht="15" hidden="false" customHeight="false" outlineLevel="0" collapsed="false">
      <c r="A174" s="8" t="s">
        <v>467</v>
      </c>
      <c r="B174" s="9"/>
      <c r="C174" s="9"/>
      <c r="D174" s="9"/>
      <c r="E174" s="9"/>
      <c r="F174" s="9"/>
      <c r="G174" s="9"/>
      <c r="H174" s="9"/>
    </row>
    <row r="175" customFormat="false" ht="15" hidden="false" customHeight="false" outlineLevel="1" collapsed="false">
      <c r="A175" s="3" t="s">
        <v>468</v>
      </c>
      <c r="B175" s="12" t="s">
        <v>74</v>
      </c>
      <c r="C175" s="41" t="n">
        <v>90.13</v>
      </c>
      <c r="I175" s="12" t="s">
        <v>469</v>
      </c>
    </row>
    <row r="176" customFormat="false" ht="15" hidden="false" customHeight="false" outlineLevel="1" collapsed="false">
      <c r="A176" s="3" t="s">
        <v>470</v>
      </c>
      <c r="B176" s="12" t="s">
        <v>448</v>
      </c>
      <c r="C176" s="44" t="n">
        <v>0.587</v>
      </c>
      <c r="I176" s="12" t="s">
        <v>471</v>
      </c>
    </row>
    <row r="177" customFormat="false" ht="15" hidden="false" customHeight="false" outlineLevel="1" collapsed="false">
      <c r="A177" s="3" t="s">
        <v>472</v>
      </c>
      <c r="B177" s="12" t="s">
        <v>93</v>
      </c>
      <c r="C177" s="24" t="n">
        <v>30</v>
      </c>
      <c r="I177" s="7" t="s">
        <v>473</v>
      </c>
    </row>
    <row r="178" customFormat="false" ht="15" hidden="false" customHeight="false" outlineLevel="1" collapsed="false">
      <c r="A178" s="4" t="s">
        <v>474</v>
      </c>
      <c r="B178" s="12" t="s">
        <v>77</v>
      </c>
      <c r="C178" s="23" t="n">
        <v>0.11</v>
      </c>
      <c r="I178" s="12" t="s">
        <v>227</v>
      </c>
    </row>
    <row r="179" customFormat="false" ht="15" hidden="false" customHeight="false" outlineLevel="1" collapsed="false">
      <c r="A179" s="3" t="s">
        <v>475</v>
      </c>
      <c r="B179" s="12" t="s">
        <v>77</v>
      </c>
      <c r="C179" s="23" t="n">
        <v>0.03</v>
      </c>
      <c r="I179" s="12" t="s">
        <v>227</v>
      </c>
    </row>
    <row r="180" customFormat="false" ht="15" hidden="false" customHeight="false" outlineLevel="1" collapsed="false">
      <c r="A180" s="3" t="s">
        <v>476</v>
      </c>
      <c r="B180" s="12" t="s">
        <v>77</v>
      </c>
      <c r="C180" s="23" t="n">
        <v>0.8</v>
      </c>
      <c r="I180" s="7" t="s">
        <v>477</v>
      </c>
    </row>
    <row r="181" customFormat="false" ht="15" hidden="false" customHeight="false" outlineLevel="1" collapsed="false">
      <c r="A181" s="3" t="s">
        <v>478</v>
      </c>
      <c r="B181" s="12" t="s">
        <v>77</v>
      </c>
      <c r="C181" s="23" t="n">
        <v>0.21</v>
      </c>
      <c r="I181" s="7" t="s">
        <v>479</v>
      </c>
    </row>
    <row r="182" customFormat="false" ht="15" hidden="false" customHeight="false" outlineLevel="1" collapsed="false">
      <c r="A182" s="3" t="s">
        <v>480</v>
      </c>
      <c r="B182" s="12" t="s">
        <v>93</v>
      </c>
      <c r="C182" s="24" t="n">
        <v>4</v>
      </c>
      <c r="I182" s="12" t="s">
        <v>481</v>
      </c>
    </row>
    <row r="183" customFormat="false" ht="15" hidden="false" customHeight="false" outlineLevel="1" collapsed="false">
      <c r="A183" s="4" t="s">
        <v>482</v>
      </c>
      <c r="B183" s="12" t="s">
        <v>77</v>
      </c>
      <c r="C183" s="23" t="n">
        <v>0.8</v>
      </c>
      <c r="I183" s="7" t="s">
        <v>483</v>
      </c>
    </row>
    <row r="184" customFormat="false" ht="15" hidden="false" customHeight="false" outlineLevel="1" collapsed="false">
      <c r="A184" s="3" t="s">
        <v>484</v>
      </c>
      <c r="B184" s="12" t="s">
        <v>77</v>
      </c>
      <c r="C184" s="23" t="n">
        <v>0.02</v>
      </c>
      <c r="I184" s="7" t="s">
        <v>485</v>
      </c>
    </row>
    <row r="185" customFormat="false" ht="15" hidden="false" customHeight="false" outlineLevel="1" collapsed="false">
      <c r="A185" s="4" t="s">
        <v>486</v>
      </c>
      <c r="B185" s="12" t="s">
        <v>139</v>
      </c>
      <c r="C185" s="45" t="n">
        <v>6</v>
      </c>
      <c r="I185" s="7" t="s">
        <v>487</v>
      </c>
    </row>
    <row r="186" customFormat="false" ht="15" hidden="false" customHeight="false" outlineLevel="1" collapsed="false">
      <c r="A186" s="4" t="s">
        <v>488</v>
      </c>
      <c r="B186" s="7"/>
      <c r="C186" s="19" t="n">
        <v>3</v>
      </c>
      <c r="I186" s="7" t="s">
        <v>489</v>
      </c>
    </row>
    <row r="187" customFormat="false" ht="15" hidden="false" customHeight="false" outlineLevel="1" collapsed="false">
      <c r="A187" s="3" t="s">
        <v>490</v>
      </c>
      <c r="B187" s="12" t="s">
        <v>77</v>
      </c>
      <c r="C187" s="23" t="n">
        <v>0.45</v>
      </c>
      <c r="I187" s="7"/>
    </row>
    <row r="188" customFormat="false" ht="15" hidden="false" customHeight="false" outlineLevel="1" collapsed="false">
      <c r="A188" s="3" t="s">
        <v>491</v>
      </c>
      <c r="B188" s="12" t="s">
        <v>77</v>
      </c>
      <c r="C188" s="23" t="n">
        <v>0.55</v>
      </c>
      <c r="I188" s="7"/>
    </row>
    <row r="189" customFormat="false" ht="15" hidden="false" customHeight="false" outlineLevel="1" collapsed="false">
      <c r="A189" s="3" t="s">
        <v>492</v>
      </c>
      <c r="B189" s="12" t="s">
        <v>139</v>
      </c>
      <c r="C189" s="45" t="n">
        <v>5</v>
      </c>
      <c r="I189" s="12" t="s">
        <v>493</v>
      </c>
    </row>
    <row r="190" customFormat="false" ht="15" hidden="false" customHeight="false" outlineLevel="1" collapsed="false">
      <c r="A190" s="3" t="s">
        <v>494</v>
      </c>
      <c r="B190" s="12" t="s">
        <v>139</v>
      </c>
      <c r="C190" s="45" t="n">
        <v>6</v>
      </c>
      <c r="I190" s="7"/>
    </row>
    <row r="191" customFormat="false" ht="15" hidden="false" customHeight="false" outlineLevel="1" collapsed="false">
      <c r="A191" s="3" t="s">
        <v>495</v>
      </c>
      <c r="B191" s="12" t="s">
        <v>77</v>
      </c>
      <c r="C191" s="23" t="n">
        <v>0.01</v>
      </c>
      <c r="I191" s="12" t="s">
        <v>496</v>
      </c>
    </row>
    <row r="192" customFormat="false" ht="15" hidden="false" customHeight="false" outlineLevel="1" collapsed="false">
      <c r="A192" s="3" t="s">
        <v>497</v>
      </c>
      <c r="B192" s="12" t="s">
        <v>93</v>
      </c>
      <c r="C192" s="24" t="n">
        <v>0.7</v>
      </c>
      <c r="I192" s="12" t="s">
        <v>498</v>
      </c>
    </row>
    <row r="193" customFormat="false" ht="15" hidden="false" customHeight="false" outlineLevel="1" collapsed="false">
      <c r="A193" s="38" t="s">
        <v>499</v>
      </c>
      <c r="B193" s="21"/>
      <c r="C193" s="21"/>
      <c r="D193" s="21"/>
      <c r="E193" s="21"/>
      <c r="F193" s="21"/>
      <c r="G193" s="21"/>
      <c r="H193" s="21"/>
    </row>
    <row r="194" customFormat="false" ht="15" hidden="false" customHeight="false" outlineLevel="2" collapsed="false">
      <c r="A194" s="4" t="s">
        <v>500</v>
      </c>
      <c r="B194" s="7"/>
      <c r="C194" s="19" t="n">
        <v>1</v>
      </c>
      <c r="I194" s="12" t="s">
        <v>501</v>
      </c>
    </row>
    <row r="195" customFormat="false" ht="15" hidden="false" customHeight="false" outlineLevel="2" collapsed="false">
      <c r="A195" s="3" t="s">
        <v>502</v>
      </c>
      <c r="B195" s="12" t="s">
        <v>77</v>
      </c>
      <c r="C195" s="23" t="n">
        <v>0.5</v>
      </c>
      <c r="I195" s="7" t="s">
        <v>503</v>
      </c>
    </row>
    <row r="196" customFormat="false" ht="15" hidden="false" customHeight="false" outlineLevel="2" collapsed="false">
      <c r="A196" s="3" t="s">
        <v>504</v>
      </c>
      <c r="B196" s="12" t="s">
        <v>77</v>
      </c>
      <c r="C196" s="23" t="n">
        <v>0.04</v>
      </c>
      <c r="I196" s="7" t="s">
        <v>503</v>
      </c>
    </row>
    <row r="197" customFormat="false" ht="15" hidden="false" customHeight="false" outlineLevel="2" collapsed="false">
      <c r="A197" s="3" t="s">
        <v>505</v>
      </c>
      <c r="B197" s="7" t="s">
        <v>378</v>
      </c>
      <c r="C197" s="37" t="n">
        <v>4.5</v>
      </c>
      <c r="I197" s="7" t="s">
        <v>506</v>
      </c>
    </row>
    <row r="198" customFormat="false" ht="15" hidden="false" customHeight="false" outlineLevel="1" collapsed="false">
      <c r="A198" s="20" t="s">
        <v>507</v>
      </c>
      <c r="B198" s="21"/>
      <c r="C198" s="21"/>
      <c r="D198" s="21"/>
      <c r="E198" s="21"/>
      <c r="F198" s="21"/>
      <c r="G198" s="21"/>
      <c r="H198" s="21"/>
    </row>
    <row r="199" customFormat="false" ht="15" hidden="false" customHeight="false" outlineLevel="2" collapsed="false">
      <c r="A199" s="3" t="s">
        <v>508</v>
      </c>
      <c r="B199" s="7" t="s">
        <v>509</v>
      </c>
      <c r="C199" s="29" t="n">
        <v>12</v>
      </c>
      <c r="I199" s="12" t="s">
        <v>510</v>
      </c>
    </row>
    <row r="200" customFormat="false" ht="15" hidden="false" customHeight="false" outlineLevel="2" collapsed="false">
      <c r="A200" s="3" t="s">
        <v>511</v>
      </c>
      <c r="B200" s="7"/>
      <c r="C200" s="46" t="s">
        <v>512</v>
      </c>
      <c r="I200" s="12" t="s">
        <v>513</v>
      </c>
    </row>
    <row r="201" customFormat="false" ht="15" hidden="false" customHeight="false" outlineLevel="2" collapsed="false">
      <c r="A201" s="3" t="s">
        <v>514</v>
      </c>
      <c r="B201" s="7"/>
      <c r="C201" s="46" t="s">
        <v>515</v>
      </c>
      <c r="I201" s="12" t="s">
        <v>516</v>
      </c>
    </row>
    <row r="202" customFormat="false" ht="15" hidden="false" customHeight="false" outlineLevel="2" collapsed="false">
      <c r="A202" s="3" t="s">
        <v>517</v>
      </c>
      <c r="B202" s="7"/>
      <c r="C202" s="46" t="s">
        <v>518</v>
      </c>
      <c r="I202" s="7" t="s">
        <v>519</v>
      </c>
    </row>
    <row r="203" customFormat="false" ht="15" hidden="false" customHeight="false" outlineLevel="2" collapsed="false">
      <c r="A203" s="3" t="s">
        <v>520</v>
      </c>
      <c r="B203" s="7" t="s">
        <v>378</v>
      </c>
      <c r="C203" s="35" t="n">
        <v>1</v>
      </c>
      <c r="I203" s="7"/>
    </row>
    <row r="204" customFormat="false" ht="15" hidden="false" customHeight="false" outlineLevel="2" collapsed="false">
      <c r="A204" s="3" t="s">
        <v>521</v>
      </c>
      <c r="B204" s="7"/>
      <c r="C204" s="46" t="s">
        <v>522</v>
      </c>
      <c r="I204" s="7" t="s">
        <v>523</v>
      </c>
    </row>
    <row r="205" customFormat="false" ht="15" hidden="false" customHeight="false" outlineLevel="2" collapsed="false">
      <c r="A205" s="3" t="s">
        <v>524</v>
      </c>
      <c r="B205" s="7"/>
      <c r="C205" s="46" t="s">
        <v>525</v>
      </c>
      <c r="I205" s="12" t="s">
        <v>526</v>
      </c>
    </row>
    <row r="206" customFormat="false" ht="15" hidden="false" customHeight="false" outlineLevel="2" collapsed="false">
      <c r="A206" s="3" t="s">
        <v>527</v>
      </c>
      <c r="B206" s="7"/>
      <c r="C206" s="46" t="s">
        <v>528</v>
      </c>
      <c r="I206" s="12" t="s">
        <v>529</v>
      </c>
    </row>
    <row r="207" customFormat="false" ht="15" hidden="false" customHeight="false" outlineLevel="2" collapsed="false">
      <c r="A207" s="3" t="s">
        <v>530</v>
      </c>
      <c r="B207" s="7" t="s">
        <v>378</v>
      </c>
      <c r="C207" s="35" t="n">
        <v>0.5</v>
      </c>
      <c r="I207" s="12" t="s">
        <v>531</v>
      </c>
    </row>
    <row r="208" customFormat="false" ht="15" hidden="false" customHeight="false" outlineLevel="2" collapsed="false">
      <c r="A208" s="15" t="s">
        <v>532</v>
      </c>
      <c r="B208" s="15" t="s">
        <v>88</v>
      </c>
      <c r="C208" s="27" t="s">
        <v>89</v>
      </c>
      <c r="D208" s="27" t="s">
        <v>90</v>
      </c>
      <c r="E208" s="27" t="s">
        <v>91</v>
      </c>
      <c r="F208" s="27" t="s">
        <v>175</v>
      </c>
      <c r="G208" s="27" t="s">
        <v>176</v>
      </c>
      <c r="I208" s="15" t="s">
        <v>208</v>
      </c>
    </row>
    <row r="209" customFormat="false" ht="15" hidden="false" customHeight="false" outlineLevel="2" collapsed="false">
      <c r="A209" s="3" t="s">
        <v>533</v>
      </c>
      <c r="B209" s="7"/>
      <c r="C209" s="46" t="s">
        <v>534</v>
      </c>
      <c r="D209" s="46" t="s">
        <v>535</v>
      </c>
      <c r="E209" s="46" t="s">
        <v>536</v>
      </c>
      <c r="F209" s="46" t="s">
        <v>537</v>
      </c>
      <c r="G209" s="46" t="s">
        <v>538</v>
      </c>
      <c r="I209" s="7" t="s">
        <v>539</v>
      </c>
    </row>
    <row r="210" customFormat="false" ht="15" hidden="false" customHeight="false" outlineLevel="2" collapsed="false">
      <c r="A210" s="3" t="s">
        <v>540</v>
      </c>
      <c r="B210" s="7" t="s">
        <v>378</v>
      </c>
      <c r="C210" s="35" t="n">
        <v>0.5</v>
      </c>
      <c r="D210" s="35" t="n">
        <v>1.5</v>
      </c>
      <c r="E210" s="35" t="n">
        <v>2.5</v>
      </c>
      <c r="F210" s="35" t="n">
        <v>3.5</v>
      </c>
      <c r="G210" s="35" t="n">
        <v>4.5</v>
      </c>
      <c r="I210" s="7" t="s">
        <v>539</v>
      </c>
    </row>
    <row r="211" customFormat="false" ht="15" hidden="false" customHeight="false" outlineLevel="2" collapsed="false">
      <c r="A211" s="3" t="s">
        <v>541</v>
      </c>
      <c r="B211" s="7" t="s">
        <v>378</v>
      </c>
      <c r="C211" s="35" t="n">
        <v>0</v>
      </c>
      <c r="D211" s="35" t="n">
        <v>0.5</v>
      </c>
      <c r="E211" s="35" t="n">
        <v>1.5</v>
      </c>
      <c r="F211" s="35" t="n">
        <v>2.5</v>
      </c>
      <c r="G211" s="35" t="n">
        <v>3.5</v>
      </c>
      <c r="I211" s="7" t="s">
        <v>539</v>
      </c>
    </row>
    <row r="212" customFormat="false" ht="15" hidden="false" customHeight="false" outlineLevel="1" collapsed="false">
      <c r="A212" s="20" t="s">
        <v>542</v>
      </c>
      <c r="B212" s="21"/>
      <c r="C212" s="21"/>
      <c r="D212" s="21"/>
      <c r="E212" s="21"/>
      <c r="F212" s="21"/>
      <c r="G212" s="21"/>
      <c r="H212" s="21"/>
    </row>
    <row r="213" customFormat="false" ht="15" hidden="false" customHeight="false" outlineLevel="2" collapsed="false">
      <c r="A213" s="3" t="s">
        <v>543</v>
      </c>
      <c r="B213" s="12" t="s">
        <v>77</v>
      </c>
      <c r="C213" s="23" t="n">
        <v>0.25</v>
      </c>
      <c r="I213" s="7" t="s">
        <v>544</v>
      </c>
    </row>
    <row r="214" customFormat="false" ht="15" hidden="false" customHeight="false" outlineLevel="2" collapsed="false">
      <c r="A214" s="3" t="s">
        <v>545</v>
      </c>
      <c r="B214" s="12" t="s">
        <v>77</v>
      </c>
      <c r="C214" s="23" t="n">
        <v>0.9</v>
      </c>
      <c r="I214" s="7" t="s">
        <v>546</v>
      </c>
    </row>
    <row r="215" customFormat="false" ht="15" hidden="false" customHeight="false" outlineLevel="2" collapsed="false">
      <c r="A215" s="3" t="s">
        <v>547</v>
      </c>
      <c r="B215" s="12" t="s">
        <v>77</v>
      </c>
      <c r="C215" s="23" t="n">
        <v>-0.15</v>
      </c>
      <c r="I215" s="7" t="s">
        <v>548</v>
      </c>
    </row>
    <row r="216" customFormat="false" ht="15" hidden="false" customHeight="false" outlineLevel="2" collapsed="false">
      <c r="A216" s="3" t="s">
        <v>549</v>
      </c>
      <c r="B216" s="12" t="s">
        <v>139</v>
      </c>
      <c r="C216" s="45" t="n">
        <v>1.5</v>
      </c>
      <c r="I216" s="7" t="s">
        <v>550</v>
      </c>
    </row>
    <row r="217" customFormat="false" ht="15" hidden="false" customHeight="false" outlineLevel="2" collapsed="false">
      <c r="A217" s="3" t="s">
        <v>551</v>
      </c>
      <c r="B217" s="12" t="s">
        <v>77</v>
      </c>
      <c r="C217" s="23" t="n">
        <v>-0.08</v>
      </c>
      <c r="I217" s="7" t="s">
        <v>552</v>
      </c>
    </row>
    <row r="218" customFormat="false" ht="15" hidden="false" customHeight="false" outlineLevel="2" collapsed="false">
      <c r="A218" s="3" t="s">
        <v>553</v>
      </c>
      <c r="B218" s="12" t="s">
        <v>77</v>
      </c>
      <c r="C218" s="23" t="n">
        <v>0.05</v>
      </c>
      <c r="I218" s="7" t="s">
        <v>554</v>
      </c>
    </row>
    <row r="219" customFormat="false" ht="15" hidden="false" customHeight="false" outlineLevel="2" collapsed="false">
      <c r="A219" s="3" t="s">
        <v>555</v>
      </c>
      <c r="B219" s="12" t="s">
        <v>77</v>
      </c>
      <c r="C219" s="23" t="n">
        <v>0.85</v>
      </c>
      <c r="I219" s="7" t="s">
        <v>556</v>
      </c>
    </row>
    <row r="221" customFormat="false" ht="15" hidden="false" customHeight="false" outlineLevel="0" collapsed="true">
      <c r="A221" s="8" t="s">
        <v>557</v>
      </c>
      <c r="B221" s="9"/>
      <c r="C221" s="9"/>
      <c r="D221" s="9"/>
      <c r="E221" s="9"/>
      <c r="F221" s="9"/>
      <c r="G221" s="9"/>
      <c r="H221" s="9"/>
    </row>
    <row r="222" customFormat="false" ht="15" hidden="true" customHeight="false" outlineLevel="1" collapsed="false">
      <c r="A222" s="4" t="s">
        <v>558</v>
      </c>
      <c r="B222" s="12" t="s">
        <v>93</v>
      </c>
      <c r="C222" s="24" t="n">
        <v>3.127</v>
      </c>
      <c r="I222" s="12" t="s">
        <v>559</v>
      </c>
    </row>
    <row r="223" customFormat="false" ht="15" hidden="true" customHeight="false" outlineLevel="1" collapsed="false">
      <c r="A223" s="3" t="s">
        <v>560</v>
      </c>
      <c r="B223" s="12" t="s">
        <v>93</v>
      </c>
      <c r="C223" s="24" t="n">
        <v>3.663</v>
      </c>
      <c r="I223" s="7" t="s">
        <v>561</v>
      </c>
    </row>
    <row r="224" customFormat="false" ht="15" hidden="true" customHeight="false" outlineLevel="1" collapsed="false">
      <c r="A224" s="3" t="s">
        <v>562</v>
      </c>
      <c r="B224" s="12" t="s">
        <v>93</v>
      </c>
      <c r="C224" s="24" t="n">
        <v>14.117</v>
      </c>
      <c r="I224" s="7" t="s">
        <v>563</v>
      </c>
    </row>
    <row r="225" customFormat="false" ht="15" hidden="true" customHeight="false" outlineLevel="1" collapsed="false">
      <c r="A225" s="4" t="s">
        <v>564</v>
      </c>
      <c r="B225" s="12" t="s">
        <v>93</v>
      </c>
      <c r="C225" s="24" t="n">
        <v>16.139</v>
      </c>
      <c r="I225" s="12" t="s">
        <v>565</v>
      </c>
    </row>
    <row r="226" customFormat="false" ht="15" hidden="true" customHeight="false" outlineLevel="1" collapsed="false">
      <c r="A226" s="4" t="s">
        <v>566</v>
      </c>
      <c r="B226" s="12" t="s">
        <v>93</v>
      </c>
      <c r="C226" s="24" t="n">
        <v>0.688</v>
      </c>
      <c r="I226" s="12" t="s">
        <v>567</v>
      </c>
    </row>
    <row r="227" customFormat="false" ht="15" hidden="true" customHeight="false" outlineLevel="1" collapsed="false">
      <c r="A227" s="3" t="s">
        <v>568</v>
      </c>
      <c r="B227" s="12" t="s">
        <v>93</v>
      </c>
      <c r="C227" s="24" t="n">
        <v>16.747</v>
      </c>
      <c r="I227" s="7" t="s">
        <v>569</v>
      </c>
    </row>
    <row r="228" customFormat="false" ht="15" hidden="true" customHeight="false" outlineLevel="1" collapsed="false">
      <c r="A228" s="3" t="s">
        <v>570</v>
      </c>
      <c r="B228" s="12" t="s">
        <v>93</v>
      </c>
      <c r="C228" s="24" t="n">
        <v>5.219</v>
      </c>
      <c r="I228" s="7" t="s">
        <v>571</v>
      </c>
    </row>
    <row r="229" customFormat="false" ht="15" hidden="true" customHeight="false" outlineLevel="1" collapsed="false">
      <c r="A229" s="4" t="s">
        <v>572</v>
      </c>
      <c r="B229" s="12" t="s">
        <v>93</v>
      </c>
      <c r="C229" s="24" t="n">
        <v>0.492</v>
      </c>
      <c r="I229" s="12" t="s">
        <v>573</v>
      </c>
    </row>
    <row r="230" customFormat="false" ht="15" hidden="true" customHeight="false" outlineLevel="1" collapsed="false">
      <c r="A230" s="3" t="s">
        <v>574</v>
      </c>
      <c r="B230" s="12" t="s">
        <v>93</v>
      </c>
      <c r="C230" s="24" t="n">
        <v>2.982</v>
      </c>
      <c r="I230" s="12" t="s">
        <v>575</v>
      </c>
    </row>
    <row r="231" customFormat="false" ht="15" hidden="true" customHeight="false" outlineLevel="1" collapsed="false">
      <c r="A231" s="3" t="s">
        <v>576</v>
      </c>
      <c r="B231" s="12" t="s">
        <v>93</v>
      </c>
      <c r="C231" s="24" t="n">
        <v>1.176</v>
      </c>
      <c r="I231" s="7" t="s">
        <v>577</v>
      </c>
    </row>
    <row r="232" customFormat="false" ht="15" hidden="true" customHeight="false" outlineLevel="1" collapsed="false">
      <c r="A232" s="3" t="s">
        <v>578</v>
      </c>
      <c r="B232" s="12" t="s">
        <v>93</v>
      </c>
      <c r="C232" s="24" t="n">
        <v>0.748</v>
      </c>
      <c r="I232" s="7" t="s">
        <v>579</v>
      </c>
    </row>
    <row r="233" customFormat="false" ht="15" hidden="true" customHeight="false" outlineLevel="1" collapsed="false">
      <c r="A233" s="3" t="s">
        <v>580</v>
      </c>
      <c r="B233" s="12" t="s">
        <v>93</v>
      </c>
      <c r="C233" s="24" t="n">
        <v>4.653</v>
      </c>
      <c r="I233" s="12" t="s">
        <v>581</v>
      </c>
    </row>
    <row r="234" customFormat="false" ht="15" hidden="true" customHeight="false" outlineLevel="1" collapsed="false">
      <c r="A234" s="4" t="s">
        <v>582</v>
      </c>
      <c r="B234" s="12" t="s">
        <v>93</v>
      </c>
      <c r="C234" s="24" t="n">
        <v>-0.193</v>
      </c>
      <c r="I234" s="12" t="s">
        <v>583</v>
      </c>
    </row>
    <row r="235" customFormat="false" ht="15" hidden="true" customHeight="false" outlineLevel="1" collapsed="false">
      <c r="A235" s="3" t="s">
        <v>584</v>
      </c>
      <c r="B235" s="12" t="s">
        <v>93</v>
      </c>
      <c r="C235" s="24" t="n">
        <v>-1.366</v>
      </c>
      <c r="I235" s="12" t="s">
        <v>583</v>
      </c>
    </row>
    <row r="236" customFormat="false" ht="15" hidden="true" customHeight="false" outlineLevel="1" collapsed="false">
      <c r="A236" s="3" t="s">
        <v>585</v>
      </c>
      <c r="B236" s="12" t="s">
        <v>93</v>
      </c>
      <c r="C236" s="24" t="n">
        <v>1.365</v>
      </c>
      <c r="I236" s="7" t="s">
        <v>579</v>
      </c>
    </row>
    <row r="237" customFormat="false" ht="15" hidden="true" customHeight="false" outlineLevel="1" collapsed="false">
      <c r="A237" s="4" t="s">
        <v>586</v>
      </c>
      <c r="B237" s="12" t="s">
        <v>93</v>
      </c>
      <c r="C237" s="24" t="n">
        <v>2.54</v>
      </c>
      <c r="I237" s="7" t="s">
        <v>587</v>
      </c>
    </row>
    <row r="238" customFormat="false" ht="15" hidden="true" customHeight="false" outlineLevel="1" collapsed="false">
      <c r="A238" s="4" t="s">
        <v>588</v>
      </c>
      <c r="B238" s="12" t="s">
        <v>93</v>
      </c>
      <c r="C238" s="24" t="n">
        <v>0.318</v>
      </c>
      <c r="I238" s="7" t="s">
        <v>587</v>
      </c>
    </row>
    <row r="239" customFormat="false" ht="15" hidden="true" customHeight="false" outlineLevel="1" collapsed="false">
      <c r="A239" s="4" t="s">
        <v>589</v>
      </c>
      <c r="B239" s="12" t="s">
        <v>74</v>
      </c>
      <c r="C239" s="24" t="n">
        <v>-2.53</v>
      </c>
      <c r="I239" s="7" t="s">
        <v>590</v>
      </c>
    </row>
    <row r="240" customFormat="false" ht="15" hidden="true" customHeight="false" outlineLevel="1" collapsed="false">
      <c r="A240" s="4" t="s">
        <v>591</v>
      </c>
      <c r="B240" s="12" t="s">
        <v>74</v>
      </c>
      <c r="C240" s="24" t="n">
        <v>-1.94</v>
      </c>
      <c r="I240" s="12" t="s">
        <v>592</v>
      </c>
    </row>
    <row r="241" customFormat="false" ht="15" hidden="true" customHeight="false" outlineLevel="1" collapsed="false">
      <c r="A241" s="3" t="s">
        <v>593</v>
      </c>
      <c r="B241" s="12" t="s">
        <v>93</v>
      </c>
      <c r="C241" s="24" t="n">
        <v>2.667</v>
      </c>
      <c r="I241" s="12" t="s">
        <v>594</v>
      </c>
    </row>
    <row r="243" customFormat="false" ht="15" hidden="false" customHeight="false" outlineLevel="0" collapsed="false">
      <c r="A243" s="8" t="s">
        <v>595</v>
      </c>
      <c r="B243" s="9"/>
      <c r="C243" s="9"/>
      <c r="D243" s="9"/>
      <c r="E243" s="9"/>
      <c r="F243" s="9"/>
      <c r="G243" s="9"/>
      <c r="H243" s="9"/>
      <c r="I243" s="7" t="s">
        <v>596</v>
      </c>
    </row>
    <row r="244" customFormat="false" ht="15" hidden="false" customHeight="false" outlineLevel="1" collapsed="false">
      <c r="A244" s="3" t="s">
        <v>597</v>
      </c>
      <c r="D244" s="13" t="n">
        <f aca="false">評價_DCF與目標價!C48</f>
        <v>98.0184876310382</v>
      </c>
      <c r="E244" s="10" t="n">
        <f aca="false">評價_DCF與目標價!C57</f>
        <v>0</v>
      </c>
    </row>
    <row r="245" customFormat="false" ht="15" hidden="false" customHeight="false" outlineLevel="1" collapsed="false">
      <c r="A245" s="3" t="s">
        <v>598</v>
      </c>
      <c r="C245" s="10" t="n">
        <v>1</v>
      </c>
      <c r="D245" s="47" t="n">
        <f t="dataTable" ref="D245:E247" dt2D="0" dtr="0" r1="C5"/>
        <v>91.2392623465329</v>
      </c>
      <c r="E245" s="48" t="n">
        <v>0</v>
      </c>
    </row>
    <row r="246" customFormat="false" ht="15" hidden="false" customHeight="false" outlineLevel="1" collapsed="false">
      <c r="A246" s="3" t="s">
        <v>599</v>
      </c>
      <c r="C246" s="10" t="n">
        <v>2</v>
      </c>
      <c r="D246" s="47" t="n">
        <v>98.0184876310382</v>
      </c>
      <c r="E246" s="48" t="n">
        <v>0</v>
      </c>
    </row>
    <row r="247" customFormat="false" ht="15" hidden="false" customHeight="false" outlineLevel="1" collapsed="false">
      <c r="A247" s="3" t="s">
        <v>600</v>
      </c>
      <c r="C247" s="10" t="n">
        <v>3</v>
      </c>
      <c r="D247" s="47" t="n">
        <v>131.856409498704</v>
      </c>
      <c r="E247" s="48" t="n">
        <v>0</v>
      </c>
    </row>
    <row r="249" customFormat="false" ht="15" hidden="false" customHeight="false" outlineLevel="0" collapsed="false">
      <c r="A249" s="8" t="s">
        <v>601</v>
      </c>
      <c r="B249" s="9"/>
      <c r="C249" s="9"/>
      <c r="D249" s="9"/>
      <c r="E249" s="9"/>
      <c r="F249" s="9"/>
      <c r="G249" s="9"/>
      <c r="H249" s="9"/>
      <c r="I249" s="7" t="s">
        <v>602</v>
      </c>
    </row>
    <row r="250" customFormat="false" ht="15" hidden="false" customHeight="false" outlineLevel="1" collapsed="false">
      <c r="A250" s="15" t="s">
        <v>603</v>
      </c>
      <c r="B250" s="15" t="s">
        <v>88</v>
      </c>
      <c r="C250" s="15" t="s">
        <v>604</v>
      </c>
      <c r="D250" s="15"/>
      <c r="E250" s="15"/>
      <c r="F250" s="15" t="s">
        <v>605</v>
      </c>
      <c r="G250" s="15" t="s">
        <v>606</v>
      </c>
      <c r="H250" s="15"/>
      <c r="I250" s="15" t="s">
        <v>607</v>
      </c>
      <c r="J250" s="15" t="s">
        <v>608</v>
      </c>
    </row>
    <row r="251" customFormat="false" ht="15" hidden="false" customHeight="false" outlineLevel="1" collapsed="false">
      <c r="A251" s="3" t="s">
        <v>609</v>
      </c>
      <c r="B251" s="12" t="s">
        <v>74</v>
      </c>
      <c r="C251" s="41" t="n">
        <v>90.13</v>
      </c>
      <c r="F251" s="12" t="s">
        <v>528</v>
      </c>
      <c r="G251" s="12" t="s">
        <v>610</v>
      </c>
      <c r="I251" s="12" t="s">
        <v>611</v>
      </c>
      <c r="J251" s="7" t="s">
        <v>612</v>
      </c>
    </row>
    <row r="252" customFormat="false" ht="15" hidden="false" customHeight="false" outlineLevel="1" collapsed="false">
      <c r="A252" s="3" t="s">
        <v>613</v>
      </c>
      <c r="B252" s="12" t="s">
        <v>74</v>
      </c>
      <c r="C252" s="41" t="n">
        <v>140.81</v>
      </c>
      <c r="F252" s="12" t="s">
        <v>525</v>
      </c>
      <c r="G252" s="12" t="s">
        <v>614</v>
      </c>
      <c r="I252" s="12" t="s">
        <v>615</v>
      </c>
      <c r="J252" s="7"/>
    </row>
    <row r="253" customFormat="false" ht="15" hidden="false" customHeight="false" outlineLevel="1" collapsed="false">
      <c r="A253" s="3" t="s">
        <v>616</v>
      </c>
      <c r="B253" s="12" t="s">
        <v>74</v>
      </c>
      <c r="C253" s="41" t="n">
        <v>140</v>
      </c>
      <c r="F253" s="12" t="s">
        <v>525</v>
      </c>
      <c r="G253" s="12" t="s">
        <v>614</v>
      </c>
      <c r="I253" s="12" t="s">
        <v>615</v>
      </c>
      <c r="J253" s="7"/>
    </row>
    <row r="254" customFormat="false" ht="15" hidden="false" customHeight="false" outlineLevel="1" collapsed="false">
      <c r="A254" s="3" t="s">
        <v>617</v>
      </c>
      <c r="B254" s="12" t="s">
        <v>74</v>
      </c>
      <c r="C254" s="41" t="n">
        <v>39</v>
      </c>
      <c r="F254" s="12" t="s">
        <v>525</v>
      </c>
      <c r="G254" s="12" t="s">
        <v>614</v>
      </c>
      <c r="I254" s="12" t="s">
        <v>615</v>
      </c>
      <c r="J254" s="7"/>
    </row>
    <row r="255" customFormat="false" ht="15" hidden="false" customHeight="false" outlineLevel="1" collapsed="false">
      <c r="A255" s="3" t="s">
        <v>618</v>
      </c>
      <c r="B255" s="12" t="s">
        <v>74</v>
      </c>
      <c r="C255" s="41" t="n">
        <v>317</v>
      </c>
      <c r="F255" s="12" t="s">
        <v>525</v>
      </c>
      <c r="G255" s="12" t="s">
        <v>614</v>
      </c>
      <c r="I255" s="12" t="s">
        <v>615</v>
      </c>
      <c r="J255" s="7"/>
    </row>
    <row r="256" customFormat="false" ht="15" hidden="false" customHeight="false" outlineLevel="1" collapsed="false">
      <c r="A256" s="3" t="s">
        <v>619</v>
      </c>
      <c r="B256" s="7" t="s">
        <v>162</v>
      </c>
      <c r="C256" s="22" t="n">
        <v>40</v>
      </c>
      <c r="F256" s="12" t="s">
        <v>525</v>
      </c>
      <c r="G256" s="12" t="s">
        <v>614</v>
      </c>
      <c r="I256" s="12" t="s">
        <v>615</v>
      </c>
      <c r="J256" s="7"/>
    </row>
    <row r="257" customFormat="false" ht="15" hidden="false" customHeight="false" outlineLevel="1" collapsed="false">
      <c r="A257" s="3" t="s">
        <v>620</v>
      </c>
      <c r="B257" s="7"/>
      <c r="C257" s="4" t="s">
        <v>621</v>
      </c>
      <c r="F257" s="12" t="s">
        <v>525</v>
      </c>
      <c r="G257" s="12" t="s">
        <v>614</v>
      </c>
      <c r="I257" s="12" t="s">
        <v>615</v>
      </c>
      <c r="J257" s="7"/>
    </row>
    <row r="258" customFormat="false" ht="15" hidden="false" customHeight="false" outlineLevel="1" collapsed="false">
      <c r="A258" s="3" t="s">
        <v>622</v>
      </c>
      <c r="B258" s="12" t="s">
        <v>74</v>
      </c>
      <c r="C258" s="41" t="n">
        <v>140.95</v>
      </c>
      <c r="F258" s="12" t="s">
        <v>525</v>
      </c>
      <c r="G258" s="12" t="s">
        <v>614</v>
      </c>
      <c r="I258" s="12" t="s">
        <v>623</v>
      </c>
      <c r="J258" s="7"/>
    </row>
    <row r="259" customFormat="false" ht="15" hidden="false" customHeight="false" outlineLevel="1" collapsed="false">
      <c r="A259" s="3" t="s">
        <v>624</v>
      </c>
      <c r="B259" s="7" t="s">
        <v>162</v>
      </c>
      <c r="C259" s="22" t="n">
        <v>40</v>
      </c>
      <c r="F259" s="12" t="s">
        <v>525</v>
      </c>
      <c r="G259" s="12" t="s">
        <v>614</v>
      </c>
      <c r="I259" s="12" t="s">
        <v>623</v>
      </c>
      <c r="J259" s="7"/>
    </row>
    <row r="260" customFormat="false" ht="15" hidden="false" customHeight="false" outlineLevel="1" collapsed="false">
      <c r="A260" s="3" t="s">
        <v>625</v>
      </c>
      <c r="B260" s="7"/>
      <c r="C260" s="4" t="s">
        <v>626</v>
      </c>
      <c r="F260" s="12" t="s">
        <v>525</v>
      </c>
      <c r="G260" s="12" t="s">
        <v>614</v>
      </c>
      <c r="I260" s="12" t="s">
        <v>623</v>
      </c>
      <c r="J260" s="7"/>
    </row>
    <row r="261" customFormat="false" ht="17.15" hidden="false" customHeight="false" outlineLevel="1" collapsed="false">
      <c r="A261" s="15" t="s">
        <v>627</v>
      </c>
      <c r="B261" s="15" t="s">
        <v>88</v>
      </c>
      <c r="C261" s="15" t="s">
        <v>604</v>
      </c>
      <c r="D261" s="15"/>
      <c r="E261" s="15"/>
      <c r="F261" s="15" t="s">
        <v>605</v>
      </c>
      <c r="G261" s="15" t="s">
        <v>606</v>
      </c>
      <c r="H261" s="15"/>
      <c r="I261" s="15" t="s">
        <v>607</v>
      </c>
      <c r="J261" s="15" t="s">
        <v>608</v>
      </c>
    </row>
    <row r="262" customFormat="false" ht="15" hidden="false" customHeight="false" outlineLevel="1" collapsed="false">
      <c r="A262" s="3" t="s">
        <v>628</v>
      </c>
      <c r="B262" s="7" t="s">
        <v>162</v>
      </c>
      <c r="C262" s="22" t="n">
        <v>21</v>
      </c>
      <c r="F262" s="12" t="s">
        <v>525</v>
      </c>
      <c r="G262" s="12" t="s">
        <v>614</v>
      </c>
      <c r="I262" s="12" t="s">
        <v>615</v>
      </c>
      <c r="J262" s="7"/>
    </row>
    <row r="263" customFormat="false" ht="15" hidden="false" customHeight="false" outlineLevel="1" collapsed="false">
      <c r="A263" s="3" t="s">
        <v>629</v>
      </c>
      <c r="B263" s="7" t="s">
        <v>162</v>
      </c>
      <c r="C263" s="22" t="n">
        <v>7</v>
      </c>
      <c r="F263" s="12" t="s">
        <v>525</v>
      </c>
      <c r="G263" s="12" t="s">
        <v>614</v>
      </c>
      <c r="I263" s="12" t="s">
        <v>615</v>
      </c>
      <c r="J263" s="7"/>
    </row>
    <row r="264" customFormat="false" ht="15" hidden="false" customHeight="false" outlineLevel="1" collapsed="false">
      <c r="A264" s="3" t="s">
        <v>630</v>
      </c>
      <c r="B264" s="7" t="s">
        <v>162</v>
      </c>
      <c r="C264" s="22" t="n">
        <v>9</v>
      </c>
      <c r="F264" s="12" t="s">
        <v>525</v>
      </c>
      <c r="G264" s="12" t="s">
        <v>614</v>
      </c>
      <c r="I264" s="12" t="s">
        <v>615</v>
      </c>
      <c r="J264" s="7"/>
    </row>
    <row r="265" customFormat="false" ht="15" hidden="false" customHeight="false" outlineLevel="1" collapsed="false">
      <c r="A265" s="3" t="s">
        <v>631</v>
      </c>
      <c r="B265" s="7" t="s">
        <v>162</v>
      </c>
      <c r="C265" s="22" t="n">
        <v>1</v>
      </c>
      <c r="F265" s="12" t="s">
        <v>525</v>
      </c>
      <c r="G265" s="12" t="s">
        <v>614</v>
      </c>
      <c r="I265" s="12" t="s">
        <v>615</v>
      </c>
      <c r="J265" s="7"/>
    </row>
    <row r="266" customFormat="false" ht="15" hidden="false" customHeight="false" outlineLevel="1" collapsed="false">
      <c r="A266" s="3" t="s">
        <v>632</v>
      </c>
      <c r="B266" s="7" t="s">
        <v>162</v>
      </c>
      <c r="C266" s="22" t="n">
        <v>2</v>
      </c>
      <c r="F266" s="12" t="s">
        <v>525</v>
      </c>
      <c r="G266" s="12" t="s">
        <v>614</v>
      </c>
      <c r="I266" s="12" t="s">
        <v>615</v>
      </c>
      <c r="J266" s="7"/>
    </row>
    <row r="267" customFormat="false" ht="15" hidden="false" customHeight="false" outlineLevel="1" collapsed="false">
      <c r="A267" s="3" t="s">
        <v>633</v>
      </c>
      <c r="B267" s="7" t="s">
        <v>162</v>
      </c>
      <c r="C267" s="22" t="n">
        <v>40</v>
      </c>
      <c r="F267" s="12" t="s">
        <v>525</v>
      </c>
      <c r="G267" s="12" t="s">
        <v>614</v>
      </c>
      <c r="I267" s="12" t="s">
        <v>615</v>
      </c>
      <c r="J267" s="7"/>
    </row>
    <row r="268" customFormat="false" ht="17.15" hidden="false" customHeight="false" outlineLevel="1" collapsed="false">
      <c r="A268" s="15" t="s">
        <v>634</v>
      </c>
      <c r="B268" s="15" t="s">
        <v>88</v>
      </c>
      <c r="C268" s="15" t="s">
        <v>604</v>
      </c>
      <c r="D268" s="15"/>
      <c r="E268" s="15"/>
      <c r="F268" s="15" t="s">
        <v>605</v>
      </c>
      <c r="G268" s="15" t="s">
        <v>606</v>
      </c>
      <c r="H268" s="15"/>
      <c r="I268" s="15" t="s">
        <v>607</v>
      </c>
      <c r="J268" s="15" t="s">
        <v>608</v>
      </c>
    </row>
    <row r="269" customFormat="false" ht="15" hidden="false" customHeight="false" outlineLevel="1" collapsed="false">
      <c r="A269" s="3" t="s">
        <v>635</v>
      </c>
      <c r="B269" s="12" t="s">
        <v>93</v>
      </c>
      <c r="C269" s="49" t="n">
        <v>12.882</v>
      </c>
      <c r="D269" s="49" t="n">
        <v>26.376</v>
      </c>
      <c r="E269" s="49" t="n">
        <v>42.55</v>
      </c>
      <c r="F269" s="12" t="s">
        <v>525</v>
      </c>
      <c r="G269" s="12" t="s">
        <v>614</v>
      </c>
      <c r="I269" s="12" t="s">
        <v>636</v>
      </c>
      <c r="J269" s="7"/>
    </row>
    <row r="270" customFormat="false" ht="15" hidden="false" customHeight="false" outlineLevel="1" collapsed="false">
      <c r="A270" s="3" t="s">
        <v>637</v>
      </c>
      <c r="B270" s="12" t="s">
        <v>93</v>
      </c>
      <c r="C270" s="49" t="n">
        <v>7.574</v>
      </c>
      <c r="D270" s="49" t="n">
        <v>16.656</v>
      </c>
      <c r="E270" s="49" t="n">
        <v>28.857</v>
      </c>
      <c r="F270" s="12" t="s">
        <v>525</v>
      </c>
      <c r="G270" s="12" t="s">
        <v>614</v>
      </c>
      <c r="I270" s="12" t="s">
        <v>636</v>
      </c>
      <c r="J270" s="7"/>
    </row>
    <row r="271" customFormat="false" ht="15" hidden="false" customHeight="false" outlineLevel="1" collapsed="false">
      <c r="A271" s="3" t="s">
        <v>638</v>
      </c>
      <c r="B271" s="12" t="s">
        <v>77</v>
      </c>
      <c r="C271" s="23" t="n">
        <v>0.588</v>
      </c>
      <c r="D271" s="23" t="n">
        <v>0.632</v>
      </c>
      <c r="E271" s="23" t="n">
        <v>0.678</v>
      </c>
      <c r="F271" s="12" t="s">
        <v>525</v>
      </c>
      <c r="G271" s="12" t="s">
        <v>614</v>
      </c>
      <c r="I271" s="12" t="s">
        <v>636</v>
      </c>
      <c r="J271" s="7"/>
    </row>
    <row r="272" customFormat="false" ht="15" hidden="false" customHeight="false" outlineLevel="1" collapsed="false">
      <c r="A272" s="3" t="s">
        <v>639</v>
      </c>
      <c r="B272" s="12" t="s">
        <v>93</v>
      </c>
      <c r="C272" s="49" t="n">
        <v>1.063</v>
      </c>
      <c r="D272" s="49" t="n">
        <v>4.119</v>
      </c>
      <c r="E272" s="49" t="n">
        <v>8.418</v>
      </c>
      <c r="F272" s="12" t="s">
        <v>525</v>
      </c>
      <c r="G272" s="12" t="s">
        <v>614</v>
      </c>
      <c r="I272" s="12" t="s">
        <v>636</v>
      </c>
      <c r="J272" s="7"/>
    </row>
    <row r="273" customFormat="false" ht="15" hidden="false" customHeight="false" outlineLevel="1" collapsed="false">
      <c r="A273" s="3" t="s">
        <v>640</v>
      </c>
      <c r="B273" s="12" t="s">
        <v>93</v>
      </c>
      <c r="C273" s="49" t="n">
        <v>2.965</v>
      </c>
      <c r="D273" s="49" t="n">
        <v>5.22</v>
      </c>
      <c r="E273" s="49" t="n">
        <v>7.361</v>
      </c>
      <c r="F273" s="12" t="s">
        <v>525</v>
      </c>
      <c r="G273" s="12" t="s">
        <v>614</v>
      </c>
      <c r="I273" s="12" t="s">
        <v>636</v>
      </c>
      <c r="J273" s="7"/>
    </row>
    <row r="274" customFormat="false" ht="15" hidden="false" customHeight="false" outlineLevel="1" collapsed="false">
      <c r="A274" s="3" t="s">
        <v>641</v>
      </c>
      <c r="B274" s="12" t="s">
        <v>93</v>
      </c>
      <c r="C274" s="49" t="n">
        <v>-2.786</v>
      </c>
      <c r="D274" s="49" t="n">
        <v>-2.526</v>
      </c>
      <c r="E274" s="49" t="n">
        <v>-1.559</v>
      </c>
      <c r="F274" s="12" t="s">
        <v>525</v>
      </c>
      <c r="G274" s="12" t="s">
        <v>614</v>
      </c>
      <c r="I274" s="12" t="s">
        <v>636</v>
      </c>
      <c r="J274" s="7"/>
    </row>
    <row r="275" customFormat="false" ht="15" hidden="false" customHeight="false" outlineLevel="1" collapsed="false">
      <c r="A275" s="3" t="s">
        <v>642</v>
      </c>
      <c r="B275" s="12" t="s">
        <v>74</v>
      </c>
      <c r="C275" s="41" t="n">
        <v>-5.074</v>
      </c>
      <c r="D275" s="41" t="n">
        <v>-4.186</v>
      </c>
      <c r="E275" s="41" t="n">
        <v>-2.177</v>
      </c>
      <c r="F275" s="12" t="s">
        <v>525</v>
      </c>
      <c r="G275" s="12" t="s">
        <v>614</v>
      </c>
      <c r="I275" s="12" t="s">
        <v>636</v>
      </c>
      <c r="J275" s="7"/>
    </row>
    <row r="276" customFormat="false" ht="15" hidden="false" customHeight="false" outlineLevel="1" collapsed="false">
      <c r="A276" s="3" t="s">
        <v>643</v>
      </c>
      <c r="B276" s="12" t="s">
        <v>93</v>
      </c>
      <c r="C276" s="49" t="n">
        <v>35.953</v>
      </c>
      <c r="D276" s="49" t="n">
        <v>46.476</v>
      </c>
      <c r="E276" s="49" t="n">
        <v>50.129</v>
      </c>
      <c r="F276" s="12" t="s">
        <v>525</v>
      </c>
      <c r="G276" s="12" t="s">
        <v>614</v>
      </c>
      <c r="I276" s="12" t="s">
        <v>636</v>
      </c>
      <c r="J276" s="7"/>
    </row>
    <row r="277" customFormat="false" ht="15" hidden="false" customHeight="false" outlineLevel="1" collapsed="false">
      <c r="A277" s="3" t="s">
        <v>644</v>
      </c>
      <c r="B277" s="12" t="s">
        <v>93</v>
      </c>
      <c r="C277" s="49" t="n">
        <v>-28.831</v>
      </c>
      <c r="D277" s="49" t="n">
        <v>-33.741</v>
      </c>
      <c r="E277" s="49" t="n">
        <v>-25.222</v>
      </c>
      <c r="F277" s="12" t="s">
        <v>525</v>
      </c>
      <c r="G277" s="12" t="s">
        <v>614</v>
      </c>
      <c r="I277" s="12" t="s">
        <v>636</v>
      </c>
      <c r="J277" s="7"/>
    </row>
    <row r="278" customFormat="false" ht="15" hidden="false" customHeight="false" outlineLevel="1" collapsed="false">
      <c r="A278" s="3" t="s">
        <v>645</v>
      </c>
      <c r="B278" s="12" t="s">
        <v>93</v>
      </c>
      <c r="C278" s="49" t="n">
        <v>46.442</v>
      </c>
      <c r="D278" s="49" t="n">
        <v>74.707</v>
      </c>
      <c r="E278" s="49" t="n">
        <v>96.039</v>
      </c>
      <c r="F278" s="12" t="s">
        <v>525</v>
      </c>
      <c r="G278" s="12" t="s">
        <v>614</v>
      </c>
      <c r="I278" s="12" t="s">
        <v>636</v>
      </c>
      <c r="J278" s="7"/>
    </row>
    <row r="279" customFormat="false" ht="15" hidden="false" customHeight="false" outlineLevel="1" collapsed="false">
      <c r="A279" s="3" t="s">
        <v>646</v>
      </c>
      <c r="B279" s="7"/>
      <c r="C279" s="4" t="s">
        <v>647</v>
      </c>
      <c r="F279" s="12" t="s">
        <v>525</v>
      </c>
      <c r="G279" s="12" t="s">
        <v>614</v>
      </c>
      <c r="I279" s="12" t="s">
        <v>636</v>
      </c>
      <c r="J279" s="7"/>
    </row>
    <row r="280" customFormat="false" ht="17.15" hidden="false" customHeight="false" outlineLevel="1" collapsed="false">
      <c r="A280" s="16" t="s">
        <v>648</v>
      </c>
      <c r="B280" s="15" t="s">
        <v>88</v>
      </c>
      <c r="C280" s="15" t="s">
        <v>604</v>
      </c>
      <c r="D280" s="15"/>
      <c r="E280" s="15"/>
      <c r="F280" s="15" t="s">
        <v>605</v>
      </c>
      <c r="G280" s="15" t="s">
        <v>606</v>
      </c>
      <c r="H280" s="15"/>
      <c r="I280" s="15" t="s">
        <v>607</v>
      </c>
      <c r="J280" s="15" t="s">
        <v>608</v>
      </c>
    </row>
    <row r="281" customFormat="false" ht="15" hidden="false" customHeight="false" outlineLevel="1" collapsed="false">
      <c r="A281" s="3" t="s">
        <v>649</v>
      </c>
      <c r="B281" s="12" t="s">
        <v>93</v>
      </c>
      <c r="C281" s="49" t="n">
        <v>12.88</v>
      </c>
      <c r="D281" s="49" t="n">
        <v>26.39</v>
      </c>
      <c r="F281" s="12" t="s">
        <v>525</v>
      </c>
      <c r="G281" s="12" t="s">
        <v>614</v>
      </c>
      <c r="I281" s="12" t="s">
        <v>615</v>
      </c>
      <c r="J281" s="7"/>
    </row>
    <row r="282" customFormat="false" ht="15" hidden="false" customHeight="false" outlineLevel="1" collapsed="false">
      <c r="A282" s="3" t="s">
        <v>650</v>
      </c>
      <c r="B282" s="12" t="s">
        <v>93</v>
      </c>
      <c r="C282" s="49" t="n">
        <v>12.4</v>
      </c>
      <c r="D282" s="49" t="n">
        <v>13.2</v>
      </c>
      <c r="F282" s="12" t="s">
        <v>525</v>
      </c>
      <c r="G282" s="12" t="s">
        <v>614</v>
      </c>
      <c r="I282" s="12" t="s">
        <v>615</v>
      </c>
      <c r="J282" s="7"/>
    </row>
    <row r="283" customFormat="false" ht="15" hidden="false" customHeight="false" outlineLevel="1" collapsed="false">
      <c r="A283" s="3" t="s">
        <v>651</v>
      </c>
      <c r="B283" s="12" t="s">
        <v>74</v>
      </c>
      <c r="C283" s="41" t="n">
        <v>-3.95</v>
      </c>
      <c r="D283" s="41" t="n">
        <v>-1.82</v>
      </c>
      <c r="F283" s="12" t="s">
        <v>525</v>
      </c>
      <c r="G283" s="12" t="s">
        <v>614</v>
      </c>
      <c r="I283" s="12" t="s">
        <v>615</v>
      </c>
      <c r="J283" s="7"/>
    </row>
    <row r="284" customFormat="false" ht="15" hidden="false" customHeight="false" outlineLevel="1" collapsed="false">
      <c r="A284" s="3" t="s">
        <v>652</v>
      </c>
      <c r="B284" s="12" t="s">
        <v>74</v>
      </c>
      <c r="C284" s="41" t="n">
        <v>-4.81</v>
      </c>
      <c r="D284" s="41" t="n">
        <v>-1.33</v>
      </c>
      <c r="F284" s="12" t="s">
        <v>525</v>
      </c>
      <c r="G284" s="12" t="s">
        <v>614</v>
      </c>
      <c r="I284" s="12" t="s">
        <v>615</v>
      </c>
      <c r="J284" s="7"/>
    </row>
    <row r="285" customFormat="false" ht="15" hidden="false" customHeight="false" outlineLevel="1" collapsed="false">
      <c r="A285" s="3" t="s">
        <v>653</v>
      </c>
      <c r="B285" s="7" t="s">
        <v>162</v>
      </c>
      <c r="C285" s="22" t="n">
        <v>38</v>
      </c>
      <c r="F285" s="12" t="s">
        <v>525</v>
      </c>
      <c r="G285" s="12" t="s">
        <v>614</v>
      </c>
      <c r="I285" s="12" t="s">
        <v>615</v>
      </c>
      <c r="J285" s="12" t="s">
        <v>654</v>
      </c>
    </row>
    <row r="286" customFormat="false" ht="17.15" hidden="false" customHeight="false" outlineLevel="1" collapsed="false">
      <c r="A286" s="15" t="s">
        <v>655</v>
      </c>
      <c r="B286" s="15" t="s">
        <v>88</v>
      </c>
      <c r="C286" s="15" t="s">
        <v>604</v>
      </c>
      <c r="D286" s="15"/>
      <c r="E286" s="15"/>
      <c r="F286" s="15" t="s">
        <v>605</v>
      </c>
      <c r="G286" s="15" t="s">
        <v>606</v>
      </c>
      <c r="H286" s="15"/>
      <c r="I286" s="15" t="s">
        <v>607</v>
      </c>
      <c r="J286" s="15" t="s">
        <v>608</v>
      </c>
    </row>
    <row r="287" customFormat="false" ht="15" hidden="false" customHeight="false" outlineLevel="1" collapsed="false">
      <c r="A287" s="3" t="s">
        <v>656</v>
      </c>
      <c r="B287" s="12" t="s">
        <v>93</v>
      </c>
      <c r="C287" s="49" t="n">
        <v>3.541</v>
      </c>
      <c r="D287" s="49" t="n">
        <v>4.706</v>
      </c>
      <c r="F287" s="12" t="s">
        <v>525</v>
      </c>
      <c r="G287" s="12" t="s">
        <v>614</v>
      </c>
      <c r="I287" s="12" t="s">
        <v>636</v>
      </c>
      <c r="J287" s="7"/>
    </row>
    <row r="288" customFormat="false" ht="15" hidden="false" customHeight="false" outlineLevel="1" collapsed="false">
      <c r="A288" s="3" t="s">
        <v>657</v>
      </c>
      <c r="B288" s="12" t="s">
        <v>93</v>
      </c>
      <c r="C288" s="49" t="n">
        <v>2.047</v>
      </c>
      <c r="D288" s="49" t="n">
        <v>2.897</v>
      </c>
      <c r="F288" s="12" t="s">
        <v>525</v>
      </c>
      <c r="G288" s="12" t="s">
        <v>614</v>
      </c>
      <c r="I288" s="12" t="s">
        <v>636</v>
      </c>
      <c r="J288" s="7"/>
    </row>
    <row r="289" customFormat="false" ht="15" hidden="false" customHeight="false" outlineLevel="1" collapsed="false">
      <c r="A289" s="3" t="s">
        <v>658</v>
      </c>
      <c r="B289" s="12" t="s">
        <v>93</v>
      </c>
      <c r="C289" s="49" t="n">
        <v>0.2408</v>
      </c>
      <c r="D289" s="49" t="n">
        <v>0.6805</v>
      </c>
      <c r="F289" s="12" t="s">
        <v>525</v>
      </c>
      <c r="G289" s="12" t="s">
        <v>614</v>
      </c>
      <c r="I289" s="12" t="s">
        <v>636</v>
      </c>
      <c r="J289" s="7"/>
    </row>
    <row r="290" customFormat="false" ht="15" hidden="false" customHeight="false" outlineLevel="1" collapsed="false">
      <c r="A290" s="3" t="s">
        <v>659</v>
      </c>
      <c r="B290" s="12" t="s">
        <v>93</v>
      </c>
      <c r="C290" s="49" t="n">
        <v>-0.8388</v>
      </c>
      <c r="D290" s="49" t="n">
        <v>-0.5706</v>
      </c>
      <c r="F290" s="12" t="s">
        <v>525</v>
      </c>
      <c r="G290" s="12" t="s">
        <v>614</v>
      </c>
      <c r="I290" s="12" t="s">
        <v>636</v>
      </c>
      <c r="J290" s="7"/>
    </row>
    <row r="291" customFormat="false" ht="15" hidden="false" customHeight="false" outlineLevel="1" collapsed="false">
      <c r="A291" s="3" t="s">
        <v>660</v>
      </c>
      <c r="B291" s="7"/>
      <c r="C291" s="4" t="s">
        <v>661</v>
      </c>
      <c r="F291" s="12" t="s">
        <v>525</v>
      </c>
      <c r="G291" s="12" t="s">
        <v>614</v>
      </c>
      <c r="I291" s="12" t="s">
        <v>636</v>
      </c>
      <c r="J291" s="7"/>
    </row>
    <row r="292" customFormat="false" ht="15" hidden="false" customHeight="false" outlineLevel="1" collapsed="false">
      <c r="A292" s="15" t="s">
        <v>662</v>
      </c>
      <c r="B292" s="15" t="s">
        <v>88</v>
      </c>
      <c r="C292" s="15" t="s">
        <v>604</v>
      </c>
      <c r="D292" s="15"/>
      <c r="E292" s="15"/>
      <c r="F292" s="15" t="s">
        <v>605</v>
      </c>
      <c r="G292" s="15" t="s">
        <v>606</v>
      </c>
      <c r="H292" s="15"/>
      <c r="I292" s="15" t="s">
        <v>607</v>
      </c>
      <c r="J292" s="15" t="s">
        <v>608</v>
      </c>
    </row>
    <row r="293" customFormat="false" ht="15" hidden="false" customHeight="false" outlineLevel="1" collapsed="false">
      <c r="A293" s="3" t="s">
        <v>663</v>
      </c>
      <c r="B293" s="12" t="s">
        <v>93</v>
      </c>
      <c r="C293" s="49" t="n">
        <v>12.4</v>
      </c>
      <c r="D293" s="49" t="n">
        <v>13.2</v>
      </c>
      <c r="F293" s="7" t="s">
        <v>664</v>
      </c>
      <c r="G293" s="12" t="s">
        <v>614</v>
      </c>
      <c r="I293" s="12" t="s">
        <v>665</v>
      </c>
      <c r="J293" s="7"/>
    </row>
    <row r="294" customFormat="false" ht="15" hidden="false" customHeight="false" outlineLevel="1" collapsed="false">
      <c r="A294" s="3" t="s">
        <v>666</v>
      </c>
      <c r="B294" s="12" t="s">
        <v>93</v>
      </c>
      <c r="C294" s="49" t="n">
        <v>0.96</v>
      </c>
      <c r="D294" s="49" t="n">
        <v>1.15</v>
      </c>
      <c r="F294" s="7" t="s">
        <v>664</v>
      </c>
      <c r="G294" s="12" t="s">
        <v>614</v>
      </c>
      <c r="I294" s="12" t="s">
        <v>665</v>
      </c>
      <c r="J294" s="7"/>
    </row>
    <row r="295" customFormat="false" ht="15" hidden="false" customHeight="false" outlineLevel="1" collapsed="false">
      <c r="A295" s="3" t="s">
        <v>667</v>
      </c>
      <c r="B295" s="12" t="s">
        <v>93</v>
      </c>
      <c r="C295" s="49" t="n">
        <v>35</v>
      </c>
      <c r="D295" s="49" t="n">
        <v>39</v>
      </c>
      <c r="F295" s="7" t="s">
        <v>664</v>
      </c>
      <c r="G295" s="12" t="s">
        <v>614</v>
      </c>
      <c r="I295" s="12" t="s">
        <v>665</v>
      </c>
      <c r="J295" s="7"/>
    </row>
    <row r="296" customFormat="false" ht="15" hidden="false" customHeight="false" outlineLevel="1" collapsed="false">
      <c r="A296" s="3" t="s">
        <v>668</v>
      </c>
      <c r="B296" s="12" t="s">
        <v>93</v>
      </c>
      <c r="C296" s="49" t="n">
        <v>3.45</v>
      </c>
      <c r="D296" s="49" t="n">
        <v>3.6</v>
      </c>
      <c r="F296" s="7" t="s">
        <v>664</v>
      </c>
      <c r="G296" s="12" t="s">
        <v>614</v>
      </c>
      <c r="I296" s="12" t="s">
        <v>665</v>
      </c>
      <c r="J296" s="7" t="s">
        <v>669</v>
      </c>
    </row>
    <row r="297" customFormat="false" ht="17.15" hidden="false" customHeight="false" outlineLevel="1" collapsed="false">
      <c r="A297" s="15" t="s">
        <v>670</v>
      </c>
      <c r="B297" s="15" t="s">
        <v>88</v>
      </c>
      <c r="C297" s="15" t="s">
        <v>604</v>
      </c>
      <c r="D297" s="15"/>
      <c r="E297" s="15"/>
      <c r="F297" s="15" t="s">
        <v>605</v>
      </c>
      <c r="G297" s="15" t="s">
        <v>606</v>
      </c>
      <c r="H297" s="15"/>
      <c r="I297" s="15" t="s">
        <v>607</v>
      </c>
      <c r="J297" s="15" t="s">
        <v>608</v>
      </c>
    </row>
    <row r="298" customFormat="false" ht="15" hidden="false" customHeight="false" outlineLevel="1" collapsed="false">
      <c r="A298" s="3" t="s">
        <v>671</v>
      </c>
      <c r="B298" s="12" t="s">
        <v>93</v>
      </c>
      <c r="C298" s="49" t="n">
        <v>12.63</v>
      </c>
      <c r="F298" s="12" t="s">
        <v>672</v>
      </c>
      <c r="G298" s="12" t="s">
        <v>614</v>
      </c>
      <c r="I298" s="12" t="s">
        <v>673</v>
      </c>
      <c r="J298" s="7"/>
    </row>
    <row r="299" customFormat="false" ht="15" hidden="false" customHeight="false" outlineLevel="1" collapsed="false">
      <c r="A299" s="3" t="s">
        <v>674</v>
      </c>
      <c r="B299" s="12" t="s">
        <v>93</v>
      </c>
      <c r="C299" s="49" t="n">
        <v>3.43</v>
      </c>
      <c r="F299" s="12" t="s">
        <v>672</v>
      </c>
      <c r="G299" s="12" t="s">
        <v>614</v>
      </c>
      <c r="I299" s="12" t="s">
        <v>673</v>
      </c>
      <c r="J299" s="12" t="s">
        <v>675</v>
      </c>
    </row>
    <row r="300" customFormat="false" ht="15" hidden="false" customHeight="false" outlineLevel="1" collapsed="false">
      <c r="A300" s="15" t="s">
        <v>676</v>
      </c>
      <c r="B300" s="15" t="s">
        <v>88</v>
      </c>
      <c r="C300" s="15" t="s">
        <v>604</v>
      </c>
      <c r="D300" s="15"/>
      <c r="E300" s="15"/>
      <c r="F300" s="15" t="s">
        <v>605</v>
      </c>
      <c r="G300" s="15" t="s">
        <v>606</v>
      </c>
      <c r="H300" s="15"/>
      <c r="I300" s="15" t="s">
        <v>607</v>
      </c>
      <c r="J300" s="15" t="s">
        <v>608</v>
      </c>
    </row>
    <row r="301" customFormat="false" ht="15" hidden="false" customHeight="false" outlineLevel="1" collapsed="false">
      <c r="A301" s="3" t="s">
        <v>677</v>
      </c>
      <c r="B301" s="12" t="s">
        <v>74</v>
      </c>
      <c r="C301" s="3" t="s">
        <v>678</v>
      </c>
      <c r="F301" s="12" t="s">
        <v>525</v>
      </c>
      <c r="G301" s="12" t="s">
        <v>614</v>
      </c>
      <c r="I301" s="12" t="s">
        <v>679</v>
      </c>
      <c r="J301" s="12" t="s">
        <v>680</v>
      </c>
    </row>
    <row r="302" customFormat="false" ht="15" hidden="false" customHeight="false" outlineLevel="1" collapsed="false">
      <c r="A302" s="3" t="s">
        <v>681</v>
      </c>
      <c r="B302" s="12" t="s">
        <v>74</v>
      </c>
      <c r="C302" s="41" t="n">
        <v>125</v>
      </c>
      <c r="F302" s="12" t="s">
        <v>525</v>
      </c>
      <c r="G302" s="12" t="s">
        <v>614</v>
      </c>
      <c r="I302" s="12" t="s">
        <v>679</v>
      </c>
      <c r="J302" s="12" t="s">
        <v>682</v>
      </c>
    </row>
    <row r="303" customFormat="false" ht="15" hidden="false" customHeight="false" outlineLevel="1" collapsed="false">
      <c r="A303" s="3" t="s">
        <v>683</v>
      </c>
      <c r="B303" s="12" t="s">
        <v>74</v>
      </c>
      <c r="C303" s="41" t="n">
        <v>120</v>
      </c>
      <c r="F303" s="12" t="s">
        <v>525</v>
      </c>
      <c r="G303" s="12" t="s">
        <v>614</v>
      </c>
      <c r="I303" s="12" t="s">
        <v>679</v>
      </c>
      <c r="J303" s="12" t="s">
        <v>684</v>
      </c>
    </row>
    <row r="304" customFormat="false" ht="15" hidden="false" customHeight="false" outlineLevel="1" collapsed="false">
      <c r="A304" s="3" t="s">
        <v>685</v>
      </c>
      <c r="B304" s="12" t="s">
        <v>74</v>
      </c>
      <c r="C304" s="3" t="s">
        <v>678</v>
      </c>
      <c r="F304" s="12" t="s">
        <v>525</v>
      </c>
      <c r="G304" s="12" t="s">
        <v>614</v>
      </c>
      <c r="I304" s="12" t="s">
        <v>679</v>
      </c>
      <c r="J304" s="12" t="s">
        <v>686</v>
      </c>
    </row>
    <row r="305" customFormat="false" ht="15" hidden="false" customHeight="false" outlineLevel="1" collapsed="false">
      <c r="A305" s="3" t="s">
        <v>687</v>
      </c>
      <c r="B305" s="12" t="s">
        <v>74</v>
      </c>
      <c r="C305" s="41" t="n">
        <v>151</v>
      </c>
      <c r="F305" s="12" t="s">
        <v>525</v>
      </c>
      <c r="G305" s="12" t="s">
        <v>614</v>
      </c>
      <c r="I305" s="12" t="s">
        <v>679</v>
      </c>
      <c r="J305" s="12" t="s">
        <v>688</v>
      </c>
    </row>
    <row r="306" customFormat="false" ht="15" hidden="false" customHeight="false" outlineLevel="1" collapsed="false">
      <c r="A306" s="15" t="s">
        <v>689</v>
      </c>
      <c r="B306" s="15" t="s">
        <v>88</v>
      </c>
      <c r="C306" s="15" t="s">
        <v>604</v>
      </c>
      <c r="D306" s="15"/>
      <c r="E306" s="15"/>
      <c r="F306" s="15" t="s">
        <v>605</v>
      </c>
      <c r="G306" s="15" t="s">
        <v>606</v>
      </c>
      <c r="H306" s="15"/>
      <c r="I306" s="15" t="s">
        <v>607</v>
      </c>
      <c r="J306" s="15" t="s">
        <v>608</v>
      </c>
    </row>
    <row r="307" customFormat="false" ht="15" hidden="false" customHeight="false" outlineLevel="1" collapsed="false">
      <c r="A307" s="3" t="s">
        <v>690</v>
      </c>
      <c r="B307" s="7"/>
      <c r="C307" s="4" t="s">
        <v>691</v>
      </c>
      <c r="F307" s="12" t="s">
        <v>525</v>
      </c>
      <c r="G307" s="7"/>
      <c r="I307" s="7" t="s">
        <v>692</v>
      </c>
      <c r="J307" s="7"/>
    </row>
    <row r="308" customFormat="false" ht="15" hidden="false" customHeight="false" outlineLevel="1" collapsed="false">
      <c r="A308" s="3" t="s">
        <v>693</v>
      </c>
      <c r="B308" s="7"/>
      <c r="C308" s="4" t="s">
        <v>694</v>
      </c>
      <c r="F308" s="12" t="s">
        <v>525</v>
      </c>
      <c r="G308" s="7"/>
      <c r="I308" s="7" t="s">
        <v>692</v>
      </c>
      <c r="J308" s="7"/>
    </row>
    <row r="309" customFormat="false" ht="15" hidden="false" customHeight="false" outlineLevel="1" collapsed="false">
      <c r="A309" s="3" t="s">
        <v>695</v>
      </c>
      <c r="B309" s="7"/>
      <c r="C309" s="4" t="s">
        <v>696</v>
      </c>
      <c r="F309" s="12" t="s">
        <v>525</v>
      </c>
      <c r="G309" s="7"/>
      <c r="I309" s="7" t="s">
        <v>692</v>
      </c>
      <c r="J309" s="7"/>
    </row>
    <row r="310" customFormat="false" ht="15" hidden="false" customHeight="false" outlineLevel="1" collapsed="false">
      <c r="A310" s="3" t="s">
        <v>697</v>
      </c>
      <c r="B310" s="7"/>
      <c r="C310" s="3" t="s">
        <v>698</v>
      </c>
      <c r="F310" s="12" t="s">
        <v>525</v>
      </c>
      <c r="G310" s="7"/>
      <c r="I310" s="7" t="s">
        <v>692</v>
      </c>
      <c r="J310" s="7"/>
    </row>
    <row r="311" customFormat="false" ht="15" hidden="false" customHeight="false" outlineLevel="1" collapsed="false">
      <c r="A311" s="3" t="s">
        <v>699</v>
      </c>
      <c r="B311" s="12" t="s">
        <v>77</v>
      </c>
      <c r="C311" s="23" t="n">
        <v>0.05</v>
      </c>
      <c r="I311" s="7" t="s">
        <v>700</v>
      </c>
    </row>
    <row r="312" customFormat="false" ht="15" hidden="false" customHeight="false" outlineLevel="1" collapsed="false">
      <c r="A312" s="3" t="s">
        <v>701</v>
      </c>
      <c r="B312" s="12" t="s">
        <v>105</v>
      </c>
      <c r="C312" s="23" t="n">
        <v>0.02</v>
      </c>
      <c r="I312" s="7" t="s">
        <v>702</v>
      </c>
    </row>
    <row r="314" customFormat="false" ht="15" hidden="false" customHeight="false" outlineLevel="0" collapsed="false">
      <c r="A314" s="8" t="s">
        <v>703</v>
      </c>
      <c r="B314" s="9"/>
      <c r="C314" s="9"/>
      <c r="D314" s="9"/>
      <c r="E314" s="9"/>
      <c r="F314" s="9"/>
      <c r="G314" s="9"/>
      <c r="H314" s="9"/>
    </row>
    <row r="315" customFormat="false" ht="15" hidden="false" customHeight="false" outlineLevel="1" collapsed="false">
      <c r="A315" s="15" t="s">
        <v>704</v>
      </c>
      <c r="B315" s="15" t="s">
        <v>88</v>
      </c>
      <c r="C315" s="16" t="s">
        <v>705</v>
      </c>
      <c r="D315" s="16" t="s">
        <v>706</v>
      </c>
      <c r="E315" s="16" t="s">
        <v>707</v>
      </c>
      <c r="F315" s="16" t="s">
        <v>708</v>
      </c>
      <c r="G315" s="16" t="s">
        <v>709</v>
      </c>
      <c r="H315" s="16" t="s">
        <v>710</v>
      </c>
      <c r="J315" s="15" t="s">
        <v>711</v>
      </c>
    </row>
    <row r="316" customFormat="false" ht="15" hidden="false" customHeight="false" outlineLevel="1" collapsed="false">
      <c r="A316" s="3" t="s">
        <v>712</v>
      </c>
      <c r="C316" s="29" t="n">
        <v>1</v>
      </c>
      <c r="D316" s="29" t="n">
        <v>1</v>
      </c>
      <c r="E316" s="29" t="n">
        <v>2</v>
      </c>
      <c r="F316" s="29" t="n">
        <v>2</v>
      </c>
      <c r="G316" s="29" t="n">
        <v>2</v>
      </c>
      <c r="H316" s="29" t="n">
        <v>2</v>
      </c>
      <c r="J316" s="7" t="s">
        <v>713</v>
      </c>
    </row>
    <row r="317" customFormat="false" ht="15" hidden="false" customHeight="false" outlineLevel="1" collapsed="false">
      <c r="A317" s="3" t="s">
        <v>714</v>
      </c>
      <c r="C317" s="19" t="n">
        <v>1</v>
      </c>
      <c r="J317" s="7" t="s">
        <v>715</v>
      </c>
    </row>
    <row r="318" customFormat="false" ht="15" hidden="false" customHeight="false" outlineLevel="1" collapsed="false">
      <c r="A318" s="3" t="s">
        <v>716</v>
      </c>
      <c r="B318" s="12" t="s">
        <v>93</v>
      </c>
      <c r="C318" s="49" t="n">
        <v>2.575</v>
      </c>
      <c r="J318" s="7" t="s">
        <v>717</v>
      </c>
    </row>
    <row r="319" customFormat="false" ht="15" hidden="false" customHeight="false" outlineLevel="1" collapsed="false">
      <c r="A319" s="3" t="s">
        <v>718</v>
      </c>
      <c r="B319" s="12" t="s">
        <v>179</v>
      </c>
      <c r="C319" s="22" t="n">
        <v>1500</v>
      </c>
      <c r="J319" s="12" t="s">
        <v>719</v>
      </c>
    </row>
    <row r="320" customFormat="false" ht="15" hidden="false" customHeight="false" outlineLevel="1" collapsed="false">
      <c r="A320" s="3" t="s">
        <v>720</v>
      </c>
      <c r="B320" s="12" t="s">
        <v>93</v>
      </c>
      <c r="C320" s="49"/>
      <c r="D320" s="49"/>
      <c r="E320" s="49"/>
      <c r="F320" s="49"/>
      <c r="G320" s="49"/>
      <c r="H320" s="49"/>
      <c r="J320" s="7" t="s">
        <v>721</v>
      </c>
    </row>
    <row r="321" customFormat="false" ht="15" hidden="false" customHeight="false" outlineLevel="1" collapsed="false">
      <c r="A321" s="3" t="s">
        <v>722</v>
      </c>
      <c r="B321" s="12" t="s">
        <v>93</v>
      </c>
      <c r="C321" s="49"/>
      <c r="D321" s="49"/>
      <c r="E321" s="49"/>
      <c r="F321" s="49"/>
      <c r="G321" s="49"/>
      <c r="H321" s="49"/>
    </row>
    <row r="322" customFormat="false" ht="15" hidden="false" customHeight="false" outlineLevel="1" collapsed="false">
      <c r="A322" s="3" t="s">
        <v>723</v>
      </c>
      <c r="B322" s="12" t="s">
        <v>93</v>
      </c>
      <c r="C322" s="49"/>
      <c r="D322" s="49"/>
      <c r="E322" s="49"/>
      <c r="F322" s="49"/>
      <c r="G322" s="49"/>
      <c r="H322" s="49"/>
    </row>
    <row r="323" customFormat="false" ht="15" hidden="false" customHeight="false" outlineLevel="1" collapsed="false">
      <c r="A323" s="3" t="s">
        <v>724</v>
      </c>
      <c r="B323" s="12" t="s">
        <v>93</v>
      </c>
      <c r="C323" s="49"/>
      <c r="D323" s="49"/>
      <c r="E323" s="49"/>
      <c r="F323" s="49"/>
      <c r="G323" s="49"/>
      <c r="H323" s="49"/>
    </row>
    <row r="324" customFormat="false" ht="15" hidden="false" customHeight="false" outlineLevel="1" collapsed="false">
      <c r="A324" s="3" t="s">
        <v>725</v>
      </c>
      <c r="B324" s="12" t="s">
        <v>179</v>
      </c>
      <c r="C324" s="22"/>
      <c r="D324" s="22"/>
      <c r="E324" s="22"/>
      <c r="F324" s="22"/>
      <c r="G324" s="22"/>
      <c r="H324" s="22"/>
    </row>
    <row r="325" customFormat="false" ht="15" hidden="false" customHeight="false" outlineLevel="1" collapsed="false">
      <c r="A325" s="3" t="s">
        <v>726</v>
      </c>
      <c r="C325" s="50"/>
      <c r="D325" s="50"/>
      <c r="E325" s="50"/>
      <c r="F325" s="50"/>
      <c r="G325" s="50"/>
      <c r="H325" s="50"/>
    </row>
    <row r="326" customFormat="false" ht="15" hidden="false" customHeight="false" outlineLevel="1" collapsed="false">
      <c r="A326" s="3" t="s">
        <v>727</v>
      </c>
      <c r="C326" s="50"/>
      <c r="D326" s="50"/>
      <c r="E326" s="50"/>
      <c r="F326" s="50"/>
      <c r="G326" s="50"/>
      <c r="H326" s="50"/>
    </row>
    <row r="327" customFormat="false" ht="15" hidden="false" customHeight="false" outlineLevel="1" collapsed="false">
      <c r="A327" s="3" t="s">
        <v>728</v>
      </c>
      <c r="C327" s="50"/>
      <c r="D327" s="50"/>
      <c r="E327" s="50"/>
      <c r="F327" s="50"/>
      <c r="G327" s="50"/>
      <c r="H327" s="50"/>
    </row>
    <row r="328" customFormat="false" ht="15" hidden="false" customHeight="false" outlineLevel="1" collapsed="false">
      <c r="A328" s="3" t="s">
        <v>729</v>
      </c>
      <c r="B328" s="12" t="s">
        <v>93</v>
      </c>
      <c r="C328" s="49" t="n">
        <v>3.45</v>
      </c>
      <c r="D328" s="49"/>
      <c r="E328" s="49"/>
      <c r="F328" s="49"/>
      <c r="G328" s="49"/>
      <c r="H328" s="49"/>
      <c r="J328" s="12" t="s">
        <v>730</v>
      </c>
    </row>
    <row r="329" customFormat="false" ht="15" hidden="false" customHeight="false" outlineLevel="1" collapsed="false">
      <c r="A329" s="3" t="s">
        <v>731</v>
      </c>
      <c r="B329" s="12" t="s">
        <v>93</v>
      </c>
      <c r="C329" s="49" t="n">
        <v>3.6</v>
      </c>
      <c r="D329" s="49"/>
      <c r="E329" s="49"/>
      <c r="F329" s="49"/>
      <c r="G329" s="49"/>
      <c r="H329" s="49"/>
    </row>
    <row r="330" customFormat="false" ht="15" hidden="false" customHeight="false" outlineLevel="1" collapsed="false">
      <c r="A330" s="3" t="s">
        <v>732</v>
      </c>
      <c r="B330" s="12" t="s">
        <v>93</v>
      </c>
      <c r="C330" s="49" t="n">
        <v>0.2</v>
      </c>
      <c r="D330" s="49"/>
      <c r="E330" s="49"/>
      <c r="F330" s="49"/>
      <c r="G330" s="49"/>
      <c r="H330" s="49"/>
      <c r="J330" s="12" t="s">
        <v>730</v>
      </c>
    </row>
    <row r="331" customFormat="false" ht="15" hidden="false" customHeight="false" outlineLevel="1" collapsed="false">
      <c r="A331" s="3" t="s">
        <v>733</v>
      </c>
      <c r="B331" s="12" t="s">
        <v>93</v>
      </c>
      <c r="C331" s="49" t="n">
        <v>0.26</v>
      </c>
      <c r="D331" s="49"/>
      <c r="E331" s="49"/>
      <c r="F331" s="49"/>
      <c r="G331" s="49"/>
      <c r="H331" s="49"/>
    </row>
    <row r="332" customFormat="false" ht="15" hidden="false" customHeight="false" outlineLevel="1" collapsed="false">
      <c r="A332" s="3" t="s">
        <v>734</v>
      </c>
      <c r="B332" s="12" t="s">
        <v>93</v>
      </c>
      <c r="C332" s="49" t="n">
        <v>11.5</v>
      </c>
      <c r="D332" s="49"/>
      <c r="E332" s="49"/>
      <c r="F332" s="49"/>
      <c r="G332" s="49"/>
      <c r="H332" s="49"/>
      <c r="J332" s="12" t="s">
        <v>730</v>
      </c>
    </row>
    <row r="333" customFormat="false" ht="15" hidden="false" customHeight="false" outlineLevel="1" collapsed="false">
      <c r="A333" s="3" t="s">
        <v>735</v>
      </c>
      <c r="B333" s="12" t="s">
        <v>93</v>
      </c>
      <c r="C333" s="49" t="n">
        <v>13.5</v>
      </c>
      <c r="D333" s="49"/>
      <c r="E333" s="49"/>
      <c r="F333" s="49"/>
      <c r="G333" s="49"/>
      <c r="H333" s="49"/>
    </row>
    <row r="334" customFormat="false" ht="15" hidden="false" customHeight="false" outlineLevel="1" collapsed="false">
      <c r="A334" s="3" t="s">
        <v>736</v>
      </c>
      <c r="C334" s="50"/>
      <c r="D334" s="51" t="s">
        <v>737</v>
      </c>
      <c r="E334" s="50"/>
      <c r="F334" s="50"/>
      <c r="G334" s="50"/>
      <c r="H334" s="50"/>
      <c r="J334" s="12" t="s">
        <v>738</v>
      </c>
    </row>
    <row r="335" customFormat="false" ht="15" hidden="false" customHeight="false" outlineLevel="1" collapsed="false">
      <c r="A335" s="3" t="s">
        <v>739</v>
      </c>
      <c r="B335" s="12" t="s">
        <v>93</v>
      </c>
      <c r="C335" s="49" t="n">
        <v>12.4</v>
      </c>
      <c r="D335" s="49" t="n">
        <v>13.2</v>
      </c>
      <c r="E335" s="49" t="n">
        <v>4.653</v>
      </c>
      <c r="J335" s="7" t="s">
        <v>740</v>
      </c>
    </row>
    <row r="336" customFormat="false" ht="15" hidden="false" customHeight="false" outlineLevel="1" collapsed="false">
      <c r="A336" s="3" t="s">
        <v>741</v>
      </c>
      <c r="B336" s="12" t="s">
        <v>93</v>
      </c>
      <c r="C336" s="49" t="n">
        <v>35</v>
      </c>
      <c r="D336" s="49" t="n">
        <v>39</v>
      </c>
      <c r="E336" s="49" t="n">
        <v>16.139</v>
      </c>
      <c r="J336" s="7" t="s">
        <v>740</v>
      </c>
    </row>
  </sheetData>
  <dataValidations count="1">
    <dataValidation allowBlank="false" error="請輸入 1–4" errorStyle="stop" errorTitle="錨定年度" operator="between" showDropDown="false" showErrorMessage="true" showInputMessage="false" sqref="C186" type="whole">
      <formula1>1</formula1>
      <formula2>4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B4C"/>
    <outlinePr summaryBelow="0" summaryRight="1"/>
    <pageSetUpPr fitToPage="false"/>
  </sheetPr>
  <dimension ref="A1:I9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42"/>
    <col collapsed="false" customWidth="true" hidden="false" outlineLevel="0" max="2" min="2" style="0" width="12"/>
    <col collapsed="false" customWidth="true" hidden="false" outlineLevel="0" max="7" min="3" style="0" width="13"/>
    <col collapsed="false" customWidth="true" hidden="false" outlineLevel="0" max="9" min="9" style="0" width="96"/>
  </cols>
  <sheetData>
    <row r="1" customFormat="false" ht="17.35" hidden="false" customHeight="false" outlineLevel="0" collapsed="false">
      <c r="A1" s="6" t="s">
        <v>742</v>
      </c>
    </row>
    <row r="2" customFormat="false" ht="15" hidden="false" customHeight="false" outlineLevel="0" collapsed="false">
      <c r="A2" s="12" t="s">
        <v>743</v>
      </c>
    </row>
    <row r="4" customFormat="false" ht="15" hidden="false" customHeight="false" outlineLevel="0" collapsed="false">
      <c r="A4" s="15" t="s">
        <v>87</v>
      </c>
      <c r="B4" s="15" t="s">
        <v>88</v>
      </c>
      <c r="C4" s="27" t="s">
        <v>89</v>
      </c>
      <c r="D4" s="27" t="s">
        <v>90</v>
      </c>
      <c r="E4" s="27" t="s">
        <v>91</v>
      </c>
      <c r="F4" s="27" t="s">
        <v>175</v>
      </c>
      <c r="G4" s="27" t="s">
        <v>176</v>
      </c>
      <c r="I4" s="15" t="s">
        <v>744</v>
      </c>
    </row>
    <row r="5" customFormat="false" ht="15" hidden="false" customHeight="false" outlineLevel="0" collapsed="false">
      <c r="A5" s="52" t="s">
        <v>745</v>
      </c>
      <c r="B5" s="9"/>
      <c r="C5" s="9"/>
      <c r="D5" s="9"/>
      <c r="E5" s="9"/>
      <c r="F5" s="9"/>
      <c r="G5" s="9"/>
      <c r="H5" s="9"/>
    </row>
    <row r="6" customFormat="false" ht="15" hidden="false" customHeight="false" outlineLevel="1" collapsed="false">
      <c r="A6" s="3" t="s">
        <v>746</v>
      </c>
      <c r="B6" s="12" t="s">
        <v>93</v>
      </c>
      <c r="C6" s="35" t="n">
        <f aca="false">輸入與假設!$C$225+輸入與假設!C$147</f>
        <v>37.800888825</v>
      </c>
      <c r="D6" s="35" t="n">
        <f aca="false">輸入與假設!D$147</f>
        <v>42.29920882</v>
      </c>
      <c r="E6" s="35" t="n">
        <f aca="false">輸入與假設!E$147</f>
        <v>32.51219448</v>
      </c>
      <c r="F6" s="35" t="n">
        <f aca="false">輸入與假設!F$147</f>
        <v>33.8277168</v>
      </c>
      <c r="G6" s="35" t="n">
        <f aca="false">輸入與假設!G$147</f>
        <v>35.89496616</v>
      </c>
      <c r="I6" s="12" t="s">
        <v>747</v>
      </c>
    </row>
    <row r="7" customFormat="false" ht="15" hidden="false" customHeight="false" outlineLevel="1" collapsed="false">
      <c r="A7" s="3" t="s">
        <v>748</v>
      </c>
      <c r="B7" s="12" t="s">
        <v>77</v>
      </c>
      <c r="C7" s="53" t="n">
        <f aca="false">輸入與假設!C$132</f>
        <v>0.08</v>
      </c>
      <c r="D7" s="53" t="n">
        <f aca="false">輸入與假設!D$132</f>
        <v>0.08</v>
      </c>
      <c r="E7" s="53" t="n">
        <f aca="false">輸入與假設!E$132</f>
        <v>0.08</v>
      </c>
      <c r="F7" s="53" t="n">
        <f aca="false">輸入與假設!F$132</f>
        <v>0.08</v>
      </c>
      <c r="G7" s="53" t="n">
        <f aca="false">輸入與假設!G$132</f>
        <v>0.08</v>
      </c>
    </row>
    <row r="8" customFormat="false" ht="15" hidden="false" customHeight="false" outlineLevel="1" collapsed="false">
      <c r="A8" s="3" t="s">
        <v>749</v>
      </c>
      <c r="B8" s="12" t="s">
        <v>93</v>
      </c>
      <c r="C8" s="35" t="n">
        <f aca="false">輸入與假設!C$147*C7</f>
        <v>1.732951106</v>
      </c>
      <c r="D8" s="35" t="n">
        <f aca="false">輸入與假設!D$147*D7</f>
        <v>3.3839367056</v>
      </c>
      <c r="E8" s="35" t="n">
        <f aca="false">輸入與假設!E$147*E7</f>
        <v>2.6009755584</v>
      </c>
      <c r="F8" s="35" t="n">
        <f aca="false">輸入與假設!F$147*F7</f>
        <v>2.706217344</v>
      </c>
      <c r="G8" s="35" t="n">
        <f aca="false">輸入與假設!G$147*G7</f>
        <v>2.8715972928</v>
      </c>
      <c r="I8" s="12" t="s">
        <v>750</v>
      </c>
    </row>
    <row r="9" customFormat="false" ht="15" hidden="false" customHeight="false" outlineLevel="1" collapsed="false">
      <c r="A9" s="4" t="s">
        <v>751</v>
      </c>
      <c r="B9" s="12" t="s">
        <v>93</v>
      </c>
      <c r="C9" s="35" t="n">
        <f aca="false">輸入與假設!$C$224+輸入與假設!C$147</f>
        <v>35.778888825</v>
      </c>
      <c r="D9" s="35" t="n">
        <f aca="false">輸入與假設!D$147</f>
        <v>42.29920882</v>
      </c>
      <c r="E9" s="35" t="n">
        <f aca="false">輸入與假設!E$147</f>
        <v>32.51219448</v>
      </c>
      <c r="F9" s="35" t="n">
        <f aca="false">輸入與假設!F$147</f>
        <v>33.8277168</v>
      </c>
      <c r="G9" s="35" t="n">
        <f aca="false">輸入與假設!G$147</f>
        <v>35.89496616</v>
      </c>
      <c r="I9" s="12" t="s">
        <v>752</v>
      </c>
    </row>
    <row r="10" customFormat="false" ht="15" hidden="false" customHeight="false" outlineLevel="1" collapsed="false">
      <c r="A10" s="3" t="s">
        <v>753</v>
      </c>
      <c r="B10" s="12" t="s">
        <v>93</v>
      </c>
      <c r="C10" s="43" t="n">
        <f aca="false">輸入與假設!C$133</f>
        <v>1.04</v>
      </c>
      <c r="D10" s="43" t="n">
        <f aca="false">輸入與假設!D$133</f>
        <v>2.339</v>
      </c>
      <c r="E10" s="43" t="n">
        <f aca="false">輸入與假設!E$133</f>
        <v>2.306</v>
      </c>
      <c r="F10" s="43" t="n">
        <f aca="false">輸入與假設!F$133</f>
        <v>2.373</v>
      </c>
      <c r="G10" s="43" t="n">
        <f aca="false">輸入與假設!G$133</f>
        <v>2.289</v>
      </c>
      <c r="I10" s="7" t="s">
        <v>754</v>
      </c>
    </row>
    <row r="11" customFormat="false" ht="15" hidden="false" customHeight="false" outlineLevel="1" collapsed="false">
      <c r="A11" s="3" t="s">
        <v>755</v>
      </c>
      <c r="B11" s="12" t="s">
        <v>93</v>
      </c>
      <c r="C11" s="43" t="n">
        <f aca="false">輸入與假設!C$134</f>
        <v>0.3</v>
      </c>
      <c r="D11" s="43" t="n">
        <f aca="false">輸入與假設!D$134</f>
        <v>1.6</v>
      </c>
      <c r="E11" s="43" t="n">
        <f aca="false">輸入與假設!E$134</f>
        <v>2.41935483870968</v>
      </c>
      <c r="F11" s="43" t="n">
        <f aca="false">輸入與假設!F$134</f>
        <v>2.75</v>
      </c>
      <c r="G11" s="43" t="n">
        <f aca="false">輸入與假設!G$134</f>
        <v>2.90153846153846</v>
      </c>
      <c r="I11" s="7" t="s">
        <v>756</v>
      </c>
    </row>
    <row r="12" customFormat="false" ht="15" hidden="false" customHeight="false" outlineLevel="1" collapsed="false">
      <c r="A12" s="3" t="s">
        <v>757</v>
      </c>
      <c r="B12" s="12" t="s">
        <v>93</v>
      </c>
      <c r="C12" s="35" t="n">
        <f aca="false">C10+C11</f>
        <v>1.34</v>
      </c>
      <c r="D12" s="35" t="n">
        <f aca="false">D10+D11</f>
        <v>3.939</v>
      </c>
      <c r="E12" s="35" t="n">
        <f aca="false">E10+E11</f>
        <v>4.72535483870968</v>
      </c>
      <c r="F12" s="35" t="n">
        <f aca="false">F10+F11</f>
        <v>5.123</v>
      </c>
      <c r="G12" s="35" t="n">
        <f aca="false">G10+G11</f>
        <v>5.19053846153846</v>
      </c>
    </row>
    <row r="13" customFormat="false" ht="15" hidden="false" customHeight="false" outlineLevel="1" collapsed="false">
      <c r="A13" s="3" t="s">
        <v>758</v>
      </c>
      <c r="B13" s="12" t="s">
        <v>93</v>
      </c>
      <c r="C13" s="43" t="n">
        <f aca="false">輸入與假設!C$172</f>
        <v>1.80589628695395</v>
      </c>
      <c r="D13" s="43" t="n">
        <f aca="false">輸入與假設!D$172</f>
        <v>2.46600676169447</v>
      </c>
      <c r="E13" s="43" t="n">
        <f aca="false">輸入與假設!E$172</f>
        <v>2.02009474796771</v>
      </c>
      <c r="F13" s="43" t="n">
        <f aca="false">輸入與假設!F$172</f>
        <v>1.73248149911395</v>
      </c>
      <c r="G13" s="43" t="n">
        <f aca="false">輸入與假設!G$172</f>
        <v>1.49513851973222</v>
      </c>
      <c r="I13" s="7" t="str">
        <f aca="false">"6/30 債務餘額的利息。FY26 全年利息＝1H 實際 1.176＋2H "&amp;TEXT(C13,"0.0")&amp;"＝"&amp;TEXT(1.176+C13,"0.00")&amp;"（見下方備忘）"</f>
        <v>6/30 債務餘額的利息。FY26 全年利息＝1H 實際 1.176＋2H 1.8＝2.98（見下方備忘）</v>
      </c>
    </row>
    <row r="14" customFormat="false" ht="15" hidden="false" customHeight="false" outlineLevel="1" collapsed="false">
      <c r="A14" s="3" t="s">
        <v>759</v>
      </c>
      <c r="B14" s="12" t="s">
        <v>93</v>
      </c>
      <c r="C14" s="35" t="n">
        <f aca="false">輸入與假設!$C$222</f>
        <v>3.127</v>
      </c>
      <c r="D14" s="35" t="n">
        <f aca="false">C41</f>
        <v>2</v>
      </c>
      <c r="E14" s="35" t="n">
        <f aca="false">D41</f>
        <v>2</v>
      </c>
      <c r="F14" s="35" t="n">
        <f aca="false">E41</f>
        <v>2</v>
      </c>
      <c r="G14" s="35" t="n">
        <f aca="false">F41</f>
        <v>2</v>
      </c>
      <c r="I14" s="12" t="s">
        <v>760</v>
      </c>
    </row>
    <row r="15" customFormat="false" ht="15" hidden="false" customHeight="false" outlineLevel="1" collapsed="false">
      <c r="A15" s="3" t="s">
        <v>761</v>
      </c>
      <c r="B15" s="12" t="s">
        <v>77</v>
      </c>
      <c r="C15" s="31" t="n">
        <f aca="false">IF(輸入與假設!$C$166=1,輸入與假設!C$171+MAX(0,輸入與假設!$C$165-450)/100*0.004,輸入與假設!C$171)</f>
        <v>0.09</v>
      </c>
      <c r="D15" s="31" t="n">
        <f aca="false">IF(輸入與假設!$C$166=1,輸入與假設!D$171+MAX(0,輸入與假設!$C$165-450)/100*0.004,輸入與假設!D$171)</f>
        <v>0.09</v>
      </c>
      <c r="E15" s="31" t="n">
        <f aca="false">IF(輸入與假設!$C$166=1,輸入與假設!E$171+MAX(0,輸入與假設!$C$165-450)/100*0.004,輸入與假設!E$171)</f>
        <v>0.09</v>
      </c>
      <c r="F15" s="31" t="n">
        <f aca="false">IF(輸入與假設!$C$166=1,輸入與假設!F$171+MAX(0,輸入與假設!$C$165-450)/100*0.004,輸入與假設!F$171)</f>
        <v>0.09</v>
      </c>
      <c r="G15" s="31" t="n">
        <f aca="false">IF(輸入與假設!$C$166=1,輸入與假設!G$171+MAX(0,輸入與假設!$C$165-450)/100*0.004,輸入與假設!G$171)</f>
        <v>0.09</v>
      </c>
      <c r="I15" s="12" t="s">
        <v>762</v>
      </c>
    </row>
    <row r="16" customFormat="false" ht="15" hidden="false" customHeight="false" outlineLevel="1" collapsed="false">
      <c r="A16" s="3" t="s">
        <v>763</v>
      </c>
      <c r="B16" s="12" t="s">
        <v>93</v>
      </c>
      <c r="C16" s="35" t="n">
        <f aca="false">C63</f>
        <v>0.69524722615232</v>
      </c>
      <c r="D16" s="35" t="n">
        <f aca="false">D63</f>
        <v>5.30764586996297</v>
      </c>
      <c r="E16" s="35" t="n">
        <f aca="false">E63</f>
        <v>7.04758112538818</v>
      </c>
      <c r="F16" s="35" t="n">
        <f aca="false">F63</f>
        <v>8.28722987914071</v>
      </c>
      <c r="G16" s="35" t="n">
        <f aca="false">G63</f>
        <v>8.38702261538865</v>
      </c>
      <c r="I16" s="7" t="s">
        <v>764</v>
      </c>
    </row>
    <row r="17" customFormat="false" ht="15" hidden="false" customHeight="false" outlineLevel="1" collapsed="false">
      <c r="A17" s="3" t="s">
        <v>765</v>
      </c>
      <c r="B17" s="12" t="s">
        <v>93</v>
      </c>
      <c r="C17" s="35" t="n">
        <f aca="false">C13+C16</f>
        <v>2.50114351310627</v>
      </c>
      <c r="D17" s="35" t="n">
        <f aca="false">D13+D16</f>
        <v>7.77365263165743</v>
      </c>
      <c r="E17" s="35" t="n">
        <f aca="false">E13+E16</f>
        <v>9.06767587335589</v>
      </c>
      <c r="F17" s="35" t="n">
        <f aca="false">F13+F16</f>
        <v>10.0197113782547</v>
      </c>
      <c r="G17" s="35" t="n">
        <f aca="false">G13+G16</f>
        <v>9.88216113512086</v>
      </c>
    </row>
    <row r="18" customFormat="false" ht="15" hidden="false" customHeight="false" outlineLevel="1" collapsed="false">
      <c r="A18" s="4" t="s">
        <v>766</v>
      </c>
      <c r="B18" s="12" t="s">
        <v>93</v>
      </c>
      <c r="C18" s="35" t="n">
        <f aca="false">輸入與假設!$C$226+輸入與假設!C$137</f>
        <v>1.938</v>
      </c>
      <c r="D18" s="35" t="n">
        <f aca="false">輸入與假設!D$137</f>
        <v>0.4</v>
      </c>
      <c r="E18" s="35" t="n">
        <f aca="false">輸入與假設!E$137</f>
        <v>0.3</v>
      </c>
      <c r="F18" s="35" t="n">
        <f aca="false">輸入與假設!F$137</f>
        <v>0.2</v>
      </c>
      <c r="G18" s="35" t="n">
        <f aca="false">輸入與假設!G$137</f>
        <v>0.2</v>
      </c>
      <c r="I18" s="12" t="s">
        <v>767</v>
      </c>
    </row>
    <row r="19" customFormat="false" ht="15" hidden="false" customHeight="false" outlineLevel="1" collapsed="false">
      <c r="A19" s="3" t="s">
        <v>768</v>
      </c>
      <c r="B19" s="12" t="s">
        <v>93</v>
      </c>
      <c r="C19" s="35" t="n">
        <f aca="false">0</f>
        <v>0</v>
      </c>
      <c r="D19" s="35" t="n">
        <f aca="false">0</f>
        <v>0</v>
      </c>
      <c r="E19" s="35" t="n">
        <f aca="false">0</f>
        <v>0</v>
      </c>
      <c r="F19" s="35" t="n">
        <f aca="false">0</f>
        <v>0</v>
      </c>
      <c r="G19" s="35" t="n">
        <f aca="false">0</f>
        <v>0</v>
      </c>
      <c r="I19" s="12" t="s">
        <v>769</v>
      </c>
    </row>
    <row r="20" customFormat="false" ht="15" hidden="false" customHeight="false" outlineLevel="1" collapsed="false">
      <c r="A20" s="3" t="s">
        <v>770</v>
      </c>
      <c r="B20" s="12" t="s">
        <v>93</v>
      </c>
      <c r="C20" s="35" t="n">
        <f aca="false">0</f>
        <v>0</v>
      </c>
      <c r="D20" s="35" t="n">
        <f aca="false">0</f>
        <v>0</v>
      </c>
      <c r="E20" s="35" t="n">
        <f aca="false">0</f>
        <v>0</v>
      </c>
      <c r="F20" s="35" t="n">
        <f aca="false">0</f>
        <v>0</v>
      </c>
      <c r="G20" s="35" t="n">
        <f aca="false">0</f>
        <v>0</v>
      </c>
    </row>
    <row r="21" customFormat="false" ht="15" hidden="false" customHeight="false" outlineLevel="1" collapsed="false">
      <c r="A21" s="3" t="s">
        <v>771</v>
      </c>
      <c r="B21" s="12" t="s">
        <v>93</v>
      </c>
      <c r="C21" s="35" t="n">
        <f aca="false">輸入與假設!$C$228+IF(輸入與假設!$C$156=1,輸入與假設!C$170,0)</f>
        <v>9.632</v>
      </c>
      <c r="D21" s="35" t="n">
        <f aca="false">IF(輸入與假設!$C$156=1,輸入與假設!D$170,0)</f>
        <v>6.184</v>
      </c>
      <c r="E21" s="35" t="n">
        <f aca="false">IF(輸入與假設!$C$156=1,輸入與假設!E$170,0)</f>
        <v>4.416</v>
      </c>
      <c r="F21" s="35" t="n">
        <f aca="false">IF(輸入與假設!$C$156=1,輸入與假設!F$170,0)</f>
        <v>2.421</v>
      </c>
      <c r="G21" s="35" t="n">
        <f aca="false">IF(輸入與假設!$C$156=1,輸入與假設!G$170,0)</f>
        <v>3.221</v>
      </c>
      <c r="I21" s="12" t="s">
        <v>772</v>
      </c>
    </row>
    <row r="22" customFormat="false" ht="15" hidden="false" customHeight="false" outlineLevel="1" collapsed="false">
      <c r="A22" s="4" t="s">
        <v>773</v>
      </c>
      <c r="B22" s="12" t="s">
        <v>93</v>
      </c>
      <c r="C22" s="35" t="n">
        <f aca="false">輸入與假設!$C$229</f>
        <v>0.492</v>
      </c>
      <c r="D22" s="35" t="n">
        <f aca="false">0</f>
        <v>0</v>
      </c>
      <c r="E22" s="35" t="n">
        <f aca="false">0</f>
        <v>0</v>
      </c>
      <c r="F22" s="35" t="n">
        <f aca="false">0</f>
        <v>0</v>
      </c>
      <c r="G22" s="35" t="n">
        <f aca="false">0</f>
        <v>0</v>
      </c>
      <c r="I22" s="12" t="s">
        <v>774</v>
      </c>
    </row>
    <row r="23" customFormat="false" ht="15" hidden="false" customHeight="false" outlineLevel="1" collapsed="false">
      <c r="A23" s="2" t="s">
        <v>775</v>
      </c>
      <c r="B23" s="12" t="s">
        <v>93</v>
      </c>
      <c r="C23" s="39" t="n">
        <f aca="false">C9+C12+C17+C18+C19+C20+C21+C22</f>
        <v>51.6820323381063</v>
      </c>
      <c r="D23" s="39" t="n">
        <f aca="false">D9+D12+D17+D18+D19+D20+D21+D22</f>
        <v>60.5958614516574</v>
      </c>
      <c r="E23" s="39" t="n">
        <f aca="false">E9+E12+E17+E18+E19+E20+E21+E22</f>
        <v>51.0212251920656</v>
      </c>
      <c r="F23" s="39" t="n">
        <f aca="false">F9+F12+F17+F18+F19+F20+F21+F22</f>
        <v>51.5914281782547</v>
      </c>
      <c r="G23" s="39" t="n">
        <f aca="false">G9+G12+G17+G18+G19+G20+G21+G22</f>
        <v>54.3886657566593</v>
      </c>
      <c r="I23" s="12" t="s">
        <v>776</v>
      </c>
    </row>
    <row r="24" customFormat="false" ht="15" hidden="false" customHeight="false" outlineLevel="0" collapsed="false">
      <c r="A24" s="52" t="s">
        <v>777</v>
      </c>
      <c r="B24" s="9"/>
      <c r="C24" s="9"/>
      <c r="D24" s="9"/>
      <c r="E24" s="9"/>
      <c r="F24" s="9"/>
      <c r="G24" s="9"/>
      <c r="H24" s="9"/>
    </row>
    <row r="25" customFormat="false" ht="15" hidden="false" customHeight="false" outlineLevel="1" collapsed="false">
      <c r="A25" s="4" t="s">
        <v>778</v>
      </c>
      <c r="B25" s="12" t="s">
        <v>93</v>
      </c>
      <c r="C25" s="43" t="n">
        <f aca="false">輸入與假設!$C$223</f>
        <v>3.663</v>
      </c>
      <c r="D25" s="43" t="n">
        <f aca="false">0</f>
        <v>0</v>
      </c>
      <c r="E25" s="43" t="n">
        <f aca="false">0</f>
        <v>0</v>
      </c>
      <c r="F25" s="43" t="n">
        <f aca="false">0</f>
        <v>0</v>
      </c>
      <c r="G25" s="43" t="n">
        <f aca="false">0</f>
        <v>0</v>
      </c>
      <c r="I25" s="12" t="s">
        <v>779</v>
      </c>
    </row>
    <row r="26" customFormat="false" ht="15" hidden="false" customHeight="false" outlineLevel="1" collapsed="false">
      <c r="A26" s="4" t="s">
        <v>780</v>
      </c>
      <c r="B26" s="12" t="s">
        <v>93</v>
      </c>
      <c r="C26" s="43" t="n">
        <f aca="false">運營_產能與收入!C36</f>
        <v>4.08178072503079</v>
      </c>
      <c r="D26" s="43" t="n">
        <f aca="false">運營_產能與收入!D36</f>
        <v>13.0071548330285</v>
      </c>
      <c r="E26" s="43" t="n">
        <f aca="false">運營_產能與收入!E36</f>
        <v>18.0525628758298</v>
      </c>
      <c r="F26" s="43" t="n">
        <f aca="false">運營_產能與收入!F36</f>
        <v>18.3899809064221</v>
      </c>
      <c r="G26" s="43" t="n">
        <f aca="false">運營_產能與收入!G36</f>
        <v>13.4273756081369</v>
      </c>
    </row>
    <row r="27" customFormat="false" ht="15" hidden="false" customHeight="false" outlineLevel="1" collapsed="false">
      <c r="A27" s="3" t="s">
        <v>781</v>
      </c>
      <c r="B27" s="12" t="s">
        <v>93</v>
      </c>
      <c r="C27" s="43" t="n">
        <f aca="false">運營_產能與收入!C37</f>
        <v>0</v>
      </c>
      <c r="D27" s="43" t="n">
        <f aca="false">運營_產能與收入!D37</f>
        <v>0</v>
      </c>
      <c r="E27" s="43" t="n">
        <f aca="false">運營_產能與收入!E37</f>
        <v>3.7021433701469</v>
      </c>
      <c r="F27" s="43" t="n">
        <f aca="false">運營_產能與收入!F37</f>
        <v>14.6488719817455</v>
      </c>
      <c r="G27" s="43" t="n">
        <f aca="false">運營_產能與收入!G37</f>
        <v>34.0610626182935</v>
      </c>
    </row>
    <row r="28" customFormat="false" ht="15" hidden="false" customHeight="false" outlineLevel="1" collapsed="false">
      <c r="A28" s="3" t="s">
        <v>782</v>
      </c>
      <c r="B28" s="12" t="s">
        <v>93</v>
      </c>
      <c r="C28" s="43" t="n">
        <f aca="false">輸入與假設!C$98</f>
        <v>0.201362148135035</v>
      </c>
      <c r="D28" s="43" t="n">
        <f aca="false">輸入與假設!D$98</f>
        <v>0.680865272380888</v>
      </c>
      <c r="E28" s="43" t="n">
        <f aca="false">輸入與假設!E$98</f>
        <v>1.27195665926828</v>
      </c>
      <c r="F28" s="43" t="n">
        <f aca="false">輸入與假設!F$98</f>
        <v>2.07248290439235</v>
      </c>
      <c r="G28" s="43" t="n">
        <f aca="false">輸入與假設!G$98</f>
        <v>2.91982205689621</v>
      </c>
    </row>
    <row r="29" customFormat="false" ht="15" hidden="false" customHeight="false" outlineLevel="1" collapsed="false">
      <c r="A29" s="3" t="s">
        <v>783</v>
      </c>
      <c r="B29" s="12" t="s">
        <v>93</v>
      </c>
      <c r="C29" s="35" t="n">
        <f aca="false">C8</f>
        <v>1.732951106</v>
      </c>
      <c r="D29" s="35" t="n">
        <f aca="false">D8</f>
        <v>3.3839367056</v>
      </c>
      <c r="E29" s="35" t="n">
        <f aca="false">E8</f>
        <v>2.6009755584</v>
      </c>
      <c r="F29" s="35" t="n">
        <f aca="false">F8</f>
        <v>2.706217344</v>
      </c>
      <c r="G29" s="35" t="n">
        <f aca="false">G8</f>
        <v>2.8715972928</v>
      </c>
    </row>
    <row r="30" customFormat="false" ht="15" hidden="false" customHeight="false" outlineLevel="1" collapsed="false">
      <c r="A30" s="2" t="s">
        <v>784</v>
      </c>
      <c r="B30" s="12" t="s">
        <v>93</v>
      </c>
      <c r="C30" s="39" t="n">
        <f aca="false">C25+C26+C27+C28+C29</f>
        <v>9.67909397916582</v>
      </c>
      <c r="D30" s="39" t="n">
        <f aca="false">D25+D26+D27+D28+D29</f>
        <v>17.0719568110094</v>
      </c>
      <c r="E30" s="39" t="n">
        <f aca="false">E25+E26+E27+E28+E29</f>
        <v>25.627638463645</v>
      </c>
      <c r="F30" s="39" t="n">
        <f aca="false">F25+F26+F27+F28+F29</f>
        <v>37.8175531365599</v>
      </c>
      <c r="G30" s="39" t="n">
        <f aca="false">G25+G26+G27+G28+G29</f>
        <v>53.2798575761266</v>
      </c>
    </row>
    <row r="31" customFormat="false" ht="15" hidden="false" customHeight="false" outlineLevel="1" collapsed="false">
      <c r="A31" s="3" t="s">
        <v>785</v>
      </c>
      <c r="B31" s="12" t="s">
        <v>93</v>
      </c>
      <c r="C31" s="35" t="n">
        <f aca="false">輸入與假設!$C$230+IF(輸入與假設!$C$153=1,輸入與假設!$C$152,0)</f>
        <v>9.182</v>
      </c>
      <c r="D31" s="35" t="n">
        <f aca="false">0</f>
        <v>0</v>
      </c>
      <c r="E31" s="35" t="n">
        <f aca="false">0</f>
        <v>0</v>
      </c>
      <c r="F31" s="35" t="n">
        <f aca="false">0</f>
        <v>0</v>
      </c>
      <c r="G31" s="35" t="n">
        <f aca="false">0</f>
        <v>0</v>
      </c>
      <c r="I31" s="12" t="s">
        <v>786</v>
      </c>
    </row>
    <row r="32" customFormat="false" ht="15" hidden="false" customHeight="false" outlineLevel="1" collapsed="false">
      <c r="A32" s="4" t="s">
        <v>787</v>
      </c>
      <c r="B32" s="12" t="s">
        <v>93</v>
      </c>
      <c r="C32" s="43" t="n">
        <f aca="false">輸入與假設!$C$227</f>
        <v>16.747</v>
      </c>
      <c r="D32" s="43" t="n">
        <f aca="false">0</f>
        <v>0</v>
      </c>
      <c r="E32" s="43" t="n">
        <f aca="false">0</f>
        <v>0</v>
      </c>
      <c r="F32" s="43" t="n">
        <f aca="false">0</f>
        <v>0</v>
      </c>
      <c r="G32" s="43" t="n">
        <f aca="false">0</f>
        <v>0</v>
      </c>
      <c r="I32" s="12" t="s">
        <v>788</v>
      </c>
    </row>
    <row r="33" customFormat="false" ht="15" hidden="false" customHeight="false" outlineLevel="1" collapsed="false">
      <c r="A33" s="3" t="s">
        <v>789</v>
      </c>
      <c r="B33" s="12" t="s">
        <v>93</v>
      </c>
      <c r="C33" s="35" t="n">
        <f aca="false">C58</f>
        <v>15.4499383589405</v>
      </c>
      <c r="D33" s="35" t="n">
        <f aca="false">D58</f>
        <v>43.5239046406481</v>
      </c>
      <c r="E33" s="35" t="n">
        <f aca="false">E58</f>
        <v>1.28750906617512</v>
      </c>
      <c r="F33" s="35" t="n">
        <f aca="false">F58</f>
        <v>13.7738750416947</v>
      </c>
      <c r="G33" s="35" t="n">
        <f aca="false">G58</f>
        <v>1.10880818053271</v>
      </c>
      <c r="I33" s="7" t="s">
        <v>790</v>
      </c>
    </row>
    <row r="34" customFormat="false" ht="15" hidden="false" customHeight="false" outlineLevel="1" collapsed="false">
      <c r="A34" s="3" t="s">
        <v>791</v>
      </c>
      <c r="B34" s="12" t="s">
        <v>93</v>
      </c>
      <c r="C34" s="35" t="n">
        <f aca="false">C61</f>
        <v>0</v>
      </c>
      <c r="D34" s="35" t="n">
        <f aca="false">D61</f>
        <v>0</v>
      </c>
      <c r="E34" s="35" t="n">
        <f aca="false">E61</f>
        <v>10.572249</v>
      </c>
      <c r="F34" s="35" t="n">
        <f aca="false">F61</f>
        <v>0</v>
      </c>
      <c r="G34" s="35" t="n">
        <f aca="false">G61</f>
        <v>0</v>
      </c>
      <c r="I34" s="7" t="s">
        <v>792</v>
      </c>
    </row>
    <row r="35" customFormat="false" ht="15" hidden="false" customHeight="false" outlineLevel="1" collapsed="false">
      <c r="A35" s="3" t="s">
        <v>793</v>
      </c>
      <c r="B35" s="12" t="s">
        <v>93</v>
      </c>
      <c r="C35" s="35" t="n">
        <f aca="false">C62</f>
        <v>0</v>
      </c>
      <c r="D35" s="35" t="n">
        <f aca="false">D62</f>
        <v>0</v>
      </c>
      <c r="E35" s="35" t="n">
        <f aca="false">E62</f>
        <v>13.5338286622454</v>
      </c>
      <c r="F35" s="35" t="n">
        <f aca="false">F62</f>
        <v>0</v>
      </c>
      <c r="G35" s="35" t="n">
        <f aca="false">G62</f>
        <v>0</v>
      </c>
      <c r="I35" s="7" t="s">
        <v>794</v>
      </c>
    </row>
    <row r="36" customFormat="false" ht="15" hidden="false" customHeight="false" outlineLevel="1" collapsed="false">
      <c r="A36" s="2" t="s">
        <v>795</v>
      </c>
      <c r="B36" s="12" t="s">
        <v>93</v>
      </c>
      <c r="C36" s="39" t="n">
        <f aca="false">C30+C31+C32+C33+C34+C35</f>
        <v>51.0580323381063</v>
      </c>
      <c r="D36" s="39" t="n">
        <f aca="false">D30+D31+D32+D33+D34+D35</f>
        <v>60.5958614516574</v>
      </c>
      <c r="E36" s="39" t="n">
        <f aca="false">E30+E31+E32+E33+E34+E35</f>
        <v>51.0212251920656</v>
      </c>
      <c r="F36" s="39" t="n">
        <f aca="false">F30+F31+F32+F33+F34+F35</f>
        <v>51.5914281782547</v>
      </c>
      <c r="G36" s="39" t="n">
        <f aca="false">G30+G31+G32+G33+G34+G35</f>
        <v>54.3886657566593</v>
      </c>
    </row>
    <row r="37" customFormat="false" ht="15" hidden="false" customHeight="false" outlineLevel="0" collapsed="false">
      <c r="A37" s="52" t="s">
        <v>796</v>
      </c>
      <c r="B37" s="9"/>
      <c r="C37" s="9"/>
      <c r="D37" s="9"/>
      <c r="E37" s="9"/>
      <c r="F37" s="9"/>
      <c r="G37" s="9"/>
      <c r="H37" s="9"/>
    </row>
    <row r="38" customFormat="false" ht="15" hidden="false" customHeight="false" outlineLevel="1" collapsed="false">
      <c r="A38" s="3" t="s">
        <v>797</v>
      </c>
      <c r="B38" s="12" t="s">
        <v>93</v>
      </c>
      <c r="C38" s="35" t="n">
        <f aca="false">輸入與假設!$C$151-(輸入與假設!$C$222+輸入與假設!$C$223+輸入與假設!$C$227+輸入與假設!$C$230-輸入與假設!$C$224-輸入與假設!$C$226-輸入與假設!$C$228-輸入與假設!$C$229)</f>
        <v>-0.502999999999997</v>
      </c>
      <c r="D38" s="35" t="n">
        <f aca="false">0</f>
        <v>0</v>
      </c>
      <c r="E38" s="35" t="n">
        <f aca="false">0</f>
        <v>0</v>
      </c>
      <c r="F38" s="35" t="n">
        <f aca="false">0</f>
        <v>0</v>
      </c>
      <c r="G38" s="35" t="n">
        <f aca="false">0</f>
        <v>0</v>
      </c>
      <c r="I38" s="7" t="s">
        <v>798</v>
      </c>
    </row>
    <row r="39" customFormat="false" ht="15" hidden="false" customHeight="false" outlineLevel="1" collapsed="false">
      <c r="A39" s="2" t="s">
        <v>799</v>
      </c>
      <c r="B39" s="12" t="s">
        <v>93</v>
      </c>
      <c r="C39" s="39" t="n">
        <f aca="false">C30-(C23-C21-C22)</f>
        <v>-31.8789383589405</v>
      </c>
      <c r="D39" s="39" t="n">
        <f aca="false">D30-(D23-D21-D22)</f>
        <v>-37.3399046406481</v>
      </c>
      <c r="E39" s="39" t="n">
        <f aca="false">E30-(E23-E21-E22)</f>
        <v>-20.9775867284206</v>
      </c>
      <c r="F39" s="39" t="n">
        <f aca="false">F30-(F23-F21-F22)</f>
        <v>-11.3528750416947</v>
      </c>
      <c r="G39" s="39" t="n">
        <f aca="false">G30-(G23-G21-G22)</f>
        <v>2.1121918194673</v>
      </c>
      <c r="I39" s="7" t="s">
        <v>800</v>
      </c>
    </row>
    <row r="40" customFormat="false" ht="15" hidden="false" customHeight="false" outlineLevel="1" collapsed="false">
      <c r="A40" s="3" t="s">
        <v>801</v>
      </c>
      <c r="B40" s="12" t="s">
        <v>93</v>
      </c>
      <c r="C40" s="35" t="n">
        <f aca="false">C36-C23+C38</f>
        <v>-1.127</v>
      </c>
      <c r="D40" s="35" t="n">
        <f aca="false">D36-D23+D38</f>
        <v>0</v>
      </c>
      <c r="E40" s="35" t="n">
        <f aca="false">E36-E23+E38</f>
        <v>0</v>
      </c>
      <c r="F40" s="35" t="n">
        <f aca="false">F36-F23+F38</f>
        <v>0</v>
      </c>
      <c r="G40" s="35" t="n">
        <f aca="false">G36-G23+G38</f>
        <v>0</v>
      </c>
    </row>
    <row r="41" customFormat="false" ht="15" hidden="false" customHeight="false" outlineLevel="1" collapsed="false">
      <c r="A41" s="2" t="s">
        <v>802</v>
      </c>
      <c r="B41" s="12" t="s">
        <v>93</v>
      </c>
      <c r="C41" s="39" t="n">
        <f aca="false">C14+C40</f>
        <v>2</v>
      </c>
      <c r="D41" s="39" t="n">
        <f aca="false">D14+D40</f>
        <v>2</v>
      </c>
      <c r="E41" s="39" t="n">
        <f aca="false">E14+E40</f>
        <v>2</v>
      </c>
      <c r="F41" s="39" t="n">
        <f aca="false">F14+F40</f>
        <v>2</v>
      </c>
      <c r="G41" s="39" t="n">
        <f aca="false">G14+G40</f>
        <v>2</v>
      </c>
      <c r="I41" s="7" t="s">
        <v>803</v>
      </c>
    </row>
    <row r="43" customFormat="false" ht="15" hidden="false" customHeight="false" outlineLevel="0" collapsed="false">
      <c r="A43" s="52" t="s">
        <v>804</v>
      </c>
      <c r="B43" s="9"/>
      <c r="C43" s="9"/>
      <c r="D43" s="9"/>
      <c r="E43" s="9"/>
      <c r="F43" s="9"/>
      <c r="G43" s="9"/>
      <c r="H43" s="9"/>
    </row>
    <row r="44" customFormat="false" ht="15" hidden="false" customHeight="false" outlineLevel="1" collapsed="false">
      <c r="A44" s="3" t="s">
        <v>805</v>
      </c>
      <c r="B44" s="12" t="s">
        <v>93</v>
      </c>
      <c r="C44" s="35" t="n">
        <f aca="false">C9+C12+C13+C18+C19+C20+C21+C22</f>
        <v>50.986785111954</v>
      </c>
      <c r="D44" s="35" t="n">
        <f aca="false">D9+D12+D13+D18+D19+D20+D21+D22</f>
        <v>55.2882155816945</v>
      </c>
      <c r="E44" s="35" t="n">
        <f aca="false">E9+E12+E13+E18+E19+E20+E21+E22</f>
        <v>43.9736440666774</v>
      </c>
      <c r="F44" s="35" t="n">
        <f aca="false">F9+F12+F13+F18+F19+F20+F21+F22</f>
        <v>43.304198299114</v>
      </c>
      <c r="G44" s="35" t="n">
        <f aca="false">G9+G12+G13+G18+G19+G20+G21+G22</f>
        <v>46.0016431412707</v>
      </c>
      <c r="I44" s="7" t="s">
        <v>806</v>
      </c>
    </row>
    <row r="45" customFormat="false" ht="15" hidden="false" customHeight="false" outlineLevel="1" collapsed="false">
      <c r="A45" s="3" t="s">
        <v>807</v>
      </c>
      <c r="B45" s="12" t="s">
        <v>93</v>
      </c>
      <c r="C45" s="35" t="n">
        <f aca="false">0</f>
        <v>0</v>
      </c>
      <c r="D45" s="35" t="n">
        <f aca="false">C67</f>
        <v>15.4499383589405</v>
      </c>
      <c r="E45" s="35" t="n">
        <f aca="false">D67</f>
        <v>58.9738429995885</v>
      </c>
      <c r="F45" s="35" t="n">
        <f aca="false">E67</f>
        <v>60.2613520657636</v>
      </c>
      <c r="G45" s="35" t="n">
        <f aca="false">F67</f>
        <v>74.0352271074584</v>
      </c>
    </row>
    <row r="46" customFormat="false" ht="15" hidden="false" customHeight="false" outlineLevel="1" collapsed="false">
      <c r="A46" s="3" t="s">
        <v>808</v>
      </c>
      <c r="B46" s="12" t="s">
        <v>77</v>
      </c>
      <c r="C46" s="54" t="n">
        <f aca="false">C15*運營_產能與收入!C7</f>
        <v>0.045</v>
      </c>
      <c r="D46" s="54" t="n">
        <f aca="false">D15*運營_產能與收入!D7</f>
        <v>0.09</v>
      </c>
      <c r="E46" s="54" t="n">
        <f aca="false">E15*運營_產能與收入!E7</f>
        <v>0.09</v>
      </c>
      <c r="F46" s="54" t="n">
        <f aca="false">F15*運營_產能與收入!F7</f>
        <v>0.09</v>
      </c>
      <c r="G46" s="54" t="n">
        <f aca="false">G15*運營_產能與收入!G7</f>
        <v>0.09</v>
      </c>
    </row>
    <row r="47" customFormat="false" ht="15" hidden="false" customHeight="false" outlineLevel="1" collapsed="false">
      <c r="A47" s="3" t="s">
        <v>809</v>
      </c>
      <c r="B47" s="12" t="s">
        <v>93</v>
      </c>
      <c r="C47" s="35" t="n">
        <f aca="false">0</f>
        <v>0</v>
      </c>
      <c r="D47" s="35" t="n">
        <f aca="false">C69</f>
        <v>0</v>
      </c>
      <c r="E47" s="35" t="n">
        <f aca="false">D69</f>
        <v>0</v>
      </c>
      <c r="F47" s="35" t="n">
        <f aca="false">E69</f>
        <v>13.5338286622454</v>
      </c>
      <c r="G47" s="35" t="n">
        <f aca="false">F69</f>
        <v>13.5338286622454</v>
      </c>
    </row>
    <row r="48" customFormat="false" ht="15" hidden="false" customHeight="false" outlineLevel="1" collapsed="false">
      <c r="A48" s="3" t="s">
        <v>810</v>
      </c>
      <c r="B48" s="12" t="s">
        <v>77</v>
      </c>
      <c r="C48" s="54" t="n">
        <f aca="false">(輸入與假設!$C$164+IF(輸入與假設!$C$166=1,MAX(0,輸入與假設!$C$165-輸入與假設!$C$167)/10000*輸入與假設!$C$168,0))*運營_產能與收入!C7</f>
        <v>0.06</v>
      </c>
      <c r="D48" s="54" t="n">
        <f aca="false">(輸入與假設!$C$164+IF(輸入與假設!$C$166=1,MAX(0,輸入與假設!$C$165-輸入與假設!$C$167)/10000*輸入與假設!$C$168,0))*運營_產能與收入!D7</f>
        <v>0.12</v>
      </c>
      <c r="E48" s="54" t="n">
        <f aca="false">(輸入與假設!$C$164+IF(輸入與假設!$C$166=1,MAX(0,輸入與假設!$C$165-輸入與假設!$C$167)/10000*輸入與假設!$C$168,0))*運營_產能與收入!E7</f>
        <v>0.12</v>
      </c>
      <c r="F48" s="54" t="n">
        <f aca="false">(輸入與假設!$C$164+IF(輸入與假設!$C$166=1,MAX(0,輸入與假設!$C$165-輸入與假設!$C$167)/10000*輸入與假設!$C$168,0))*運營_產能與收入!F7</f>
        <v>0.12</v>
      </c>
      <c r="G48" s="54" t="n">
        <f aca="false">(輸入與假設!$C$164+IF(輸入與假設!$C$166=1,MAX(0,輸入與假設!$C$165-輸入與假設!$C$167)/10000*輸入與假設!$C$168,0))*運營_產能與收入!G7</f>
        <v>0.12</v>
      </c>
    </row>
    <row r="49" customFormat="false" ht="15" hidden="false" customHeight="false" outlineLevel="1" collapsed="false">
      <c r="A49" s="3" t="s">
        <v>811</v>
      </c>
      <c r="B49" s="12" t="s">
        <v>93</v>
      </c>
      <c r="C49" s="35" t="n">
        <f aca="false">C14+C30+C31+C32+C38-C44-C46*C45-C48*C47</f>
        <v>-12.7546911327881</v>
      </c>
      <c r="D49" s="35" t="n">
        <f aca="false">D14+D30+D31+D32+D38-D44-D46*D45-D48*D47</f>
        <v>-37.6067532229897</v>
      </c>
      <c r="E49" s="35" t="n">
        <f aca="false">E14+E30+E31+E32+E38-E44-E46*E45-E48*E47</f>
        <v>-21.6536514729954</v>
      </c>
      <c r="F49" s="35" t="n">
        <f aca="false">F14+F30+F31+F32+F38-F44-F46*F45-F48*F47</f>
        <v>-10.5342262879422</v>
      </c>
      <c r="G49" s="35" t="n">
        <f aca="false">G14+G30+G31+G32+G38-G44-G46*G45-G48*G47</f>
        <v>0.990984555715235</v>
      </c>
    </row>
    <row r="50" customFormat="false" ht="15" hidden="false" customHeight="false" outlineLevel="1" collapsed="false">
      <c r="A50" s="2" t="s">
        <v>812</v>
      </c>
      <c r="B50" s="12" t="s">
        <v>93</v>
      </c>
      <c r="C50" s="39" t="n">
        <f aca="false">MAX(0,輸入與假設!$C$159-C49)</f>
        <v>14.7546911327881</v>
      </c>
      <c r="D50" s="39" t="n">
        <f aca="false">MAX(0,輸入與假設!$C$159-D49)</f>
        <v>39.6067532229897</v>
      </c>
      <c r="E50" s="39" t="n">
        <f aca="false">MAX(0,輸入與假設!$C$159-E49)</f>
        <v>23.6536514729954</v>
      </c>
      <c r="F50" s="39" t="n">
        <f aca="false">MAX(0,輸入與假設!$C$159-F49)</f>
        <v>12.5342262879422</v>
      </c>
      <c r="G50" s="39" t="n">
        <f aca="false">MAX(0,輸入與假設!$C$159-G49)</f>
        <v>1.00901544428476</v>
      </c>
    </row>
    <row r="51" customFormat="false" ht="15" hidden="false" customHeight="false" outlineLevel="1" collapsed="false">
      <c r="A51" s="3" t="s">
        <v>813</v>
      </c>
      <c r="B51" s="12" t="s">
        <v>93</v>
      </c>
      <c r="C51" s="35" t="n">
        <f aca="false">輸入與假設!$C$15+輸入與假設!$C$16</f>
        <v>128.7</v>
      </c>
      <c r="D51" s="35" t="n">
        <f aca="false">C53</f>
        <v>115.50825</v>
      </c>
      <c r="E51" s="35" t="n">
        <f aca="false">D53</f>
        <v>89.12475</v>
      </c>
      <c r="F51" s="35" t="n">
        <f aca="false">E53</f>
        <v>84.4993520657637</v>
      </c>
      <c r="G51" s="35" t="n">
        <f aca="false">F53</f>
        <v>112.973883853532</v>
      </c>
      <c r="I51" s="12" t="s">
        <v>814</v>
      </c>
    </row>
    <row r="52" customFormat="false" ht="15" hidden="false" customHeight="false" outlineLevel="1" collapsed="false">
      <c r="A52" s="3" t="s">
        <v>815</v>
      </c>
      <c r="B52" s="12" t="s">
        <v>93</v>
      </c>
      <c r="C52" s="35" t="n">
        <f aca="false">MAX(0,運營_產能與收入!C23/運營_產能與收入!C7-0)*輸入與假設!$C$158</f>
        <v>0</v>
      </c>
      <c r="D52" s="35" t="n">
        <f aca="false">MAX(0,運營_產能與收入!D23/運營_產能與收入!D7-運營_產能與收入!C23/運營_產能與收入!C7)*輸入與假設!$C$158</f>
        <v>0</v>
      </c>
      <c r="E52" s="35" t="n">
        <f aca="false">MAX(0,運營_產能與收入!E23/運營_產能與收入!E7-運營_產能與收入!D23/運營_產能與收入!D7)*輸入與假設!$C$158</f>
        <v>26.3932525822046</v>
      </c>
      <c r="F52" s="35" t="n">
        <f aca="false">MAX(0,運營_產能與收入!F23/運營_產能與收入!F7-運營_產能與收入!E23/運營_產能與收入!E7)*輸入與假設!$C$158</f>
        <v>73.5621028802612</v>
      </c>
      <c r="G52" s="35" t="n">
        <f aca="false">MAX(0,運營_產能與收入!G23/運營_產能與收入!G7-運營_產能與收入!F23/運營_產能與收入!F7)*輸入與假設!$C$158</f>
        <v>124.493969911926</v>
      </c>
    </row>
    <row r="53" customFormat="false" ht="15" hidden="false" customHeight="false" outlineLevel="1" collapsed="false">
      <c r="A53" s="3" t="s">
        <v>816</v>
      </c>
      <c r="B53" s="12" t="s">
        <v>93</v>
      </c>
      <c r="C53" s="35" t="n">
        <f aca="false">C51-運營_產能與收入!C17-運營_產能與收入!C23+C52</f>
        <v>115.50825</v>
      </c>
      <c r="D53" s="35" t="n">
        <f aca="false">D51-運營_產能與收入!D17-運營_產能與收入!D23+D52</f>
        <v>89.12475</v>
      </c>
      <c r="E53" s="35" t="n">
        <f aca="false">E51-運營_產能與收入!E17-運營_產能與收入!E23+E52</f>
        <v>84.4993520657637</v>
      </c>
      <c r="F53" s="35" t="n">
        <f aca="false">F51-運營_產能與收入!F17-運營_產能與收入!F23+F52</f>
        <v>112.973883853532</v>
      </c>
      <c r="G53" s="35" t="n">
        <f aca="false">G51-運營_產能與收入!G17-運營_產能與收入!G23+G52</f>
        <v>174.881738690579</v>
      </c>
      <c r="I53" s="7" t="s">
        <v>817</v>
      </c>
    </row>
    <row r="54" customFormat="false" ht="15" hidden="false" customHeight="false" outlineLevel="1" collapsed="false">
      <c r="A54" s="3" t="s">
        <v>818</v>
      </c>
      <c r="B54" s="12" t="s">
        <v>93</v>
      </c>
      <c r="C54" s="35" t="n">
        <f aca="false">IF(輸入與假設!$C$156=1,資產負債_既有債務!C30,35.551)+3.7</f>
        <v>34.838</v>
      </c>
      <c r="D54" s="35" t="n">
        <f aca="false">IF(輸入與假設!$C$156=1,資產負債_既有債務!D30,35.551)+3.7</f>
        <v>28.654</v>
      </c>
      <c r="E54" s="35" t="n">
        <f aca="false">IF(輸入與假設!$C$156=1,資產負債_既有債務!E30,35.551)+3.7</f>
        <v>24.238</v>
      </c>
      <c r="F54" s="35" t="n">
        <f aca="false">IF(輸入與假設!$C$156=1,資產負債_既有債務!F30,35.551)+3.7</f>
        <v>21.817</v>
      </c>
      <c r="G54" s="35" t="n">
        <f aca="false">IF(輸入與假設!$C$156=1,資產負債_既有債務!G30,35.551)+3.7</f>
        <v>18.596</v>
      </c>
      <c r="I54" s="7" t="s">
        <v>819</v>
      </c>
    </row>
    <row r="55" customFormat="false" ht="15" hidden="false" customHeight="false" outlineLevel="1" collapsed="false">
      <c r="A55" s="3" t="s">
        <v>820</v>
      </c>
      <c r="B55" s="12" t="s">
        <v>93</v>
      </c>
      <c r="C55" s="35" t="n">
        <f aca="false">輸入與假設!$C$157*C53</f>
        <v>115.50825</v>
      </c>
      <c r="D55" s="35" t="n">
        <f aca="false">輸入與假設!$C$157*D53</f>
        <v>89.12475</v>
      </c>
      <c r="E55" s="35" t="n">
        <f aca="false">輸入與假設!$C$157*E53</f>
        <v>84.4993520657637</v>
      </c>
      <c r="F55" s="35" t="n">
        <f aca="false">輸入與假設!$C$157*F53</f>
        <v>112.973883853532</v>
      </c>
      <c r="G55" s="35" t="n">
        <f aca="false">輸入與假設!$C$157*G53</f>
        <v>174.881738690579</v>
      </c>
    </row>
    <row r="56" customFormat="false" ht="15" hidden="false" customHeight="false" outlineLevel="1" collapsed="false">
      <c r="A56" s="3" t="s">
        <v>821</v>
      </c>
      <c r="B56" s="12" t="s">
        <v>93</v>
      </c>
      <c r="C56" s="35" t="n">
        <f aca="false">IF(輸入與假設!$C$155=1,輸入與假設!$C$154,0)</f>
        <v>10</v>
      </c>
      <c r="D56" s="35" t="n">
        <f aca="false">C68</f>
        <v>0</v>
      </c>
      <c r="E56" s="35" t="n">
        <f aca="false">D68</f>
        <v>0</v>
      </c>
      <c r="F56" s="35" t="n">
        <f aca="false">E68</f>
        <v>0</v>
      </c>
      <c r="G56" s="35" t="n">
        <f aca="false">F68</f>
        <v>0</v>
      </c>
    </row>
    <row r="57" customFormat="false" ht="15" hidden="false" customHeight="false" outlineLevel="1" collapsed="false">
      <c r="A57" s="3" t="s">
        <v>822</v>
      </c>
      <c r="B57" s="12" t="s">
        <v>93</v>
      </c>
      <c r="C57" s="35" t="n">
        <f aca="false">MAX(0,C55-(C54+C45),C56)</f>
        <v>80.67025</v>
      </c>
      <c r="D57" s="35" t="n">
        <f aca="false">MAX(0,D55-(D54+D45),D56)</f>
        <v>45.0208116410595</v>
      </c>
      <c r="E57" s="35" t="n">
        <f aca="false">MAX(0,E55-(E54+E45),E56)</f>
        <v>1.28750906617512</v>
      </c>
      <c r="F57" s="35" t="n">
        <f aca="false">MAX(0,F55-(F54+F45),F56)</f>
        <v>30.895531787768</v>
      </c>
      <c r="G57" s="35" t="n">
        <f aca="false">MAX(0,G55-(G54+G45),G56)</f>
        <v>82.250511583121</v>
      </c>
      <c r="I57" s="7" t="s">
        <v>823</v>
      </c>
    </row>
    <row r="58" customFormat="false" ht="15" hidden="false" customHeight="false" outlineLevel="1" collapsed="false">
      <c r="A58" s="2" t="s">
        <v>824</v>
      </c>
      <c r="B58" s="12" t="s">
        <v>93</v>
      </c>
      <c r="C58" s="39" t="n">
        <f aca="false">MIN(C57,C50/(1-C46))</f>
        <v>15.4499383589405</v>
      </c>
      <c r="D58" s="39" t="n">
        <f aca="false">MIN(D57,D50/(1-D46))</f>
        <v>43.5239046406481</v>
      </c>
      <c r="E58" s="39" t="n">
        <f aca="false">MIN(E57,E50/(1-E46))</f>
        <v>1.28750906617512</v>
      </c>
      <c r="F58" s="39" t="n">
        <f aca="false">MIN(F57,F50/(1-F46))</f>
        <v>13.7738750416947</v>
      </c>
      <c r="G58" s="39" t="n">
        <f aca="false">MIN(G57,G50/(1-G46))</f>
        <v>1.10880818053271</v>
      </c>
      <c r="I58" s="7" t="s">
        <v>825</v>
      </c>
    </row>
    <row r="59" customFormat="false" ht="15" hidden="false" customHeight="false" outlineLevel="1" collapsed="false">
      <c r="A59" s="3" t="s">
        <v>826</v>
      </c>
      <c r="B59" s="12" t="s">
        <v>93</v>
      </c>
      <c r="C59" s="35" t="n">
        <f aca="false">MAX(0,C50+C46*C58-C58)</f>
        <v>0</v>
      </c>
      <c r="D59" s="35" t="n">
        <f aca="false">MAX(0,D50+D46*D58-D58)</f>
        <v>0</v>
      </c>
      <c r="E59" s="35" t="n">
        <f aca="false">MAX(0,E50+E46*E58-E58)</f>
        <v>22.482018222776</v>
      </c>
      <c r="F59" s="35" t="n">
        <f aca="false">MAX(0,F50+F46*F58-F58)</f>
        <v>0</v>
      </c>
      <c r="G59" s="35" t="n">
        <f aca="false">MAX(0,G50+G46*G58-G58)</f>
        <v>0</v>
      </c>
    </row>
    <row r="60" customFormat="false" ht="15" hidden="false" customHeight="false" outlineLevel="1" collapsed="false">
      <c r="A60" s="3" t="s">
        <v>827</v>
      </c>
      <c r="B60" s="12" t="s">
        <v>93</v>
      </c>
      <c r="C60" s="35" t="n">
        <f aca="false">IF(輸入與假設!$C$162&gt;=9,1E+099,輸入與假設!$C$162*輸入與假設!$C$160*輸入與假設!$C$163*運營_產能與收入!C7)</f>
        <v>5.2861245</v>
      </c>
      <c r="D60" s="35" t="n">
        <f aca="false">IF(輸入與假設!$C$162&gt;=9,1E+099,輸入與假設!$C$162*輸入與假設!$C$160*輸入與假設!$C$163*運營_產能與收入!D7)</f>
        <v>10.572249</v>
      </c>
      <c r="E60" s="35" t="n">
        <f aca="false">IF(輸入與假設!$C$162&gt;=9,1E+099,輸入與假設!$C$162*輸入與假設!$C$160*輸入與假設!$C$163*運營_產能與收入!E7)</f>
        <v>10.572249</v>
      </c>
      <c r="F60" s="35" t="n">
        <f aca="false">IF(輸入與假設!$C$162&gt;=9,1E+099,輸入與假設!$C$162*輸入與假設!$C$160*輸入與假設!$C$163*運營_產能與收入!F7)</f>
        <v>10.572249</v>
      </c>
      <c r="G60" s="35" t="n">
        <f aca="false">IF(輸入與假設!$C$162&gt;=9,1E+099,輸入與假設!$C$162*輸入與假設!$C$160*輸入與假設!$C$163*運營_產能與收入!G7)</f>
        <v>10.572249</v>
      </c>
      <c r="I60" s="7" t="s">
        <v>828</v>
      </c>
    </row>
    <row r="61" customFormat="false" ht="15" hidden="false" customHeight="false" outlineLevel="1" collapsed="false">
      <c r="A61" s="2" t="s">
        <v>829</v>
      </c>
      <c r="B61" s="12" t="s">
        <v>93</v>
      </c>
      <c r="C61" s="39" t="n">
        <f aca="false">MIN(C59,C60)</f>
        <v>0</v>
      </c>
      <c r="D61" s="39" t="n">
        <f aca="false">MIN(D59,D60)</f>
        <v>0</v>
      </c>
      <c r="E61" s="39" t="n">
        <f aca="false">MIN(E59,E60)</f>
        <v>10.572249</v>
      </c>
      <c r="F61" s="39" t="n">
        <f aca="false">MIN(F59,F60)</f>
        <v>0</v>
      </c>
      <c r="G61" s="39" t="n">
        <f aca="false">MIN(G59,G60)</f>
        <v>0</v>
      </c>
    </row>
    <row r="62" customFormat="false" ht="15" hidden="false" customHeight="false" outlineLevel="1" collapsed="false">
      <c r="A62" s="2" t="s">
        <v>830</v>
      </c>
      <c r="B62" s="12" t="s">
        <v>93</v>
      </c>
      <c r="C62" s="39" t="n">
        <f aca="false">(C59-C61)/(1-C48)</f>
        <v>0</v>
      </c>
      <c r="D62" s="39" t="n">
        <f aca="false">(D59-D61)/(1-D48)</f>
        <v>0</v>
      </c>
      <c r="E62" s="39" t="n">
        <f aca="false">(E59-E61)/(1-E48)</f>
        <v>13.5338286622454</v>
      </c>
      <c r="F62" s="39" t="n">
        <f aca="false">(F59-F61)/(1-F48)</f>
        <v>0</v>
      </c>
      <c r="G62" s="39" t="n">
        <f aca="false">(G59-G61)/(1-G48)</f>
        <v>0</v>
      </c>
    </row>
    <row r="63" customFormat="false" ht="15" hidden="false" customHeight="false" outlineLevel="1" collapsed="false">
      <c r="A63" s="3" t="s">
        <v>831</v>
      </c>
      <c r="B63" s="12" t="s">
        <v>93</v>
      </c>
      <c r="C63" s="35" t="n">
        <f aca="false">C46*(C45+C58)+C48*(C47+C62)</f>
        <v>0.69524722615232</v>
      </c>
      <c r="D63" s="35" t="n">
        <f aca="false">D46*(D45+D58)+D48*(D47+D62)</f>
        <v>5.30764586996297</v>
      </c>
      <c r="E63" s="35" t="n">
        <f aca="false">E46*(E45+E58)+E48*(E47+E62)</f>
        <v>7.04758112538818</v>
      </c>
      <c r="F63" s="35" t="n">
        <f aca="false">F46*(F45+F58)+F48*(F47+F62)</f>
        <v>8.28722987914071</v>
      </c>
      <c r="G63" s="35" t="n">
        <f aca="false">G46*(G45+G58)+G48*(G47+G62)</f>
        <v>8.38702261538865</v>
      </c>
    </row>
    <row r="64" customFormat="false" ht="15" hidden="false" customHeight="false" outlineLevel="1" collapsed="false">
      <c r="A64" s="3" t="s">
        <v>832</v>
      </c>
      <c r="B64" s="12" t="s">
        <v>74</v>
      </c>
      <c r="C64" s="55" t="n">
        <f aca="false">輸入與假設!$C$160*(1-輸入與假設!$C$161)</f>
        <v>81.117</v>
      </c>
      <c r="D64" s="55" t="n">
        <f aca="false">輸入與假設!$C$160*(1-輸入與假設!$C$161)</f>
        <v>81.117</v>
      </c>
      <c r="E64" s="55" t="n">
        <f aca="false">輸入與假設!$C$160*(1-輸入與假設!$C$161)</f>
        <v>81.117</v>
      </c>
      <c r="F64" s="55" t="n">
        <f aca="false">輸入與假設!$C$160*(1-輸入與假設!$C$161)</f>
        <v>81.117</v>
      </c>
      <c r="G64" s="55" t="n">
        <f aca="false">輸入與假設!$C$160*(1-輸入與假設!$C$161)</f>
        <v>81.117</v>
      </c>
    </row>
    <row r="65" customFormat="false" ht="15" hidden="false" customHeight="false" outlineLevel="1" collapsed="false">
      <c r="A65" s="3" t="s">
        <v>833</v>
      </c>
      <c r="B65" s="12" t="s">
        <v>448</v>
      </c>
      <c r="C65" s="56" t="n">
        <f aca="false">C61/C64</f>
        <v>0</v>
      </c>
      <c r="D65" s="56" t="n">
        <f aca="false">D61/D64</f>
        <v>0</v>
      </c>
      <c r="E65" s="56" t="n">
        <f aca="false">E61/E64</f>
        <v>0.130333333333333</v>
      </c>
      <c r="F65" s="56" t="n">
        <f aca="false">F61/F64</f>
        <v>0</v>
      </c>
      <c r="G65" s="56" t="n">
        <f aca="false">G61/G64</f>
        <v>0</v>
      </c>
    </row>
    <row r="66" customFormat="false" ht="15" hidden="false" customHeight="false" outlineLevel="1" collapsed="false">
      <c r="A66" s="2" t="s">
        <v>834</v>
      </c>
      <c r="B66" s="12" t="s">
        <v>448</v>
      </c>
      <c r="C66" s="57" t="n">
        <f aca="false">C65</f>
        <v>0</v>
      </c>
      <c r="D66" s="57" t="n">
        <f aca="false">C66+D65</f>
        <v>0</v>
      </c>
      <c r="E66" s="57" t="n">
        <f aca="false">D66+E65</f>
        <v>0.130333333333333</v>
      </c>
      <c r="F66" s="57" t="n">
        <f aca="false">E66+F65</f>
        <v>0.130333333333333</v>
      </c>
      <c r="G66" s="57" t="n">
        <f aca="false">F66+G65</f>
        <v>0.130333333333333</v>
      </c>
    </row>
    <row r="67" customFormat="false" ht="15" hidden="false" customHeight="false" outlineLevel="1" collapsed="false">
      <c r="A67" s="3" t="s">
        <v>835</v>
      </c>
      <c r="B67" s="12" t="s">
        <v>93</v>
      </c>
      <c r="C67" s="35" t="n">
        <f aca="false">C45+C58</f>
        <v>15.4499383589405</v>
      </c>
      <c r="D67" s="35" t="n">
        <f aca="false">D45+D58</f>
        <v>58.9738429995885</v>
      </c>
      <c r="E67" s="35" t="n">
        <f aca="false">E45+E58</f>
        <v>60.2613520657636</v>
      </c>
      <c r="F67" s="35" t="n">
        <f aca="false">F45+F58</f>
        <v>74.0352271074584</v>
      </c>
      <c r="G67" s="35" t="n">
        <f aca="false">G45+G58</f>
        <v>75.1440352879911</v>
      </c>
    </row>
    <row r="68" customFormat="false" ht="15" hidden="false" customHeight="false" outlineLevel="1" collapsed="false">
      <c r="A68" s="3" t="s">
        <v>836</v>
      </c>
      <c r="B68" s="12" t="s">
        <v>93</v>
      </c>
      <c r="C68" s="35" t="n">
        <f aca="false">C56-MIN(C56,C58)</f>
        <v>0</v>
      </c>
      <c r="D68" s="35" t="n">
        <f aca="false">D56-MIN(D56,D58)</f>
        <v>0</v>
      </c>
      <c r="E68" s="35" t="n">
        <f aca="false">E56-MIN(E56,E58)</f>
        <v>0</v>
      </c>
      <c r="F68" s="35" t="n">
        <f aca="false">F56-MIN(F56,F58)</f>
        <v>0</v>
      </c>
      <c r="G68" s="35" t="n">
        <f aca="false">G56-MIN(G56,G58)</f>
        <v>0</v>
      </c>
    </row>
    <row r="69" customFormat="false" ht="15" hidden="false" customHeight="false" outlineLevel="1" collapsed="false">
      <c r="A69" s="3" t="s">
        <v>837</v>
      </c>
      <c r="B69" s="12" t="s">
        <v>93</v>
      </c>
      <c r="C69" s="35" t="n">
        <f aca="false">C47+C62</f>
        <v>0</v>
      </c>
      <c r="D69" s="35" t="n">
        <f aca="false">D47+D62</f>
        <v>0</v>
      </c>
      <c r="E69" s="35" t="n">
        <f aca="false">E47+E62</f>
        <v>13.5338286622454</v>
      </c>
      <c r="F69" s="35" t="n">
        <f aca="false">F47+F62</f>
        <v>13.5338286622454</v>
      </c>
      <c r="G69" s="35" t="n">
        <f aca="false">G47+G62</f>
        <v>13.5338286622454</v>
      </c>
    </row>
    <row r="70" customFormat="false" ht="15" hidden="false" customHeight="false" outlineLevel="1" collapsed="false">
      <c r="A70" s="2" t="s">
        <v>838</v>
      </c>
      <c r="B70" s="12" t="s">
        <v>93</v>
      </c>
      <c r="C70" s="39" t="n">
        <f aca="false">C54+C67+C69</f>
        <v>50.2879383589405</v>
      </c>
      <c r="D70" s="39" t="n">
        <f aca="false">D54+D67+D69</f>
        <v>87.6278429995885</v>
      </c>
      <c r="E70" s="39" t="n">
        <f aca="false">E54+E67+E69</f>
        <v>98.0331807280091</v>
      </c>
      <c r="F70" s="39" t="n">
        <f aca="false">F54+F67+F69</f>
        <v>109.386055769704</v>
      </c>
      <c r="G70" s="39" t="n">
        <f aca="false">G54+G67+G69</f>
        <v>107.273863950237</v>
      </c>
    </row>
    <row r="71" customFormat="false" ht="15" hidden="false" customHeight="false" outlineLevel="1" collapsed="false">
      <c r="A71" s="2" t="s">
        <v>839</v>
      </c>
      <c r="B71" s="12" t="s">
        <v>93</v>
      </c>
      <c r="C71" s="39" t="n">
        <f aca="false">C14+C30+C31+C32+C38-C44</f>
        <v>-12.7546911327881</v>
      </c>
      <c r="D71" s="39" t="n">
        <f aca="false">C71+D30+D31-D44</f>
        <v>-50.9709499034732</v>
      </c>
      <c r="E71" s="39" t="n">
        <f aca="false">D71+E30+E31-E44</f>
        <v>-69.3169555065056</v>
      </c>
      <c r="F71" s="39" t="n">
        <f aca="false">E71+F30+F31-F44</f>
        <v>-74.8036006690596</v>
      </c>
      <c r="G71" s="39" t="n">
        <f aca="false">F71+G30+G31-G44</f>
        <v>-67.5253862342037</v>
      </c>
      <c r="I71" s="7" t="s">
        <v>840</v>
      </c>
    </row>
    <row r="73" customFormat="false" ht="15" hidden="false" customHeight="false" outlineLevel="0" collapsed="true">
      <c r="A73" s="52" t="s">
        <v>841</v>
      </c>
      <c r="B73" s="9"/>
      <c r="C73" s="9"/>
      <c r="D73" s="9"/>
      <c r="E73" s="9"/>
      <c r="F73" s="9"/>
      <c r="G73" s="9"/>
      <c r="H73" s="9"/>
    </row>
    <row r="74" customFormat="false" ht="15" hidden="true" customHeight="false" outlineLevel="1" collapsed="false">
      <c r="A74" s="3" t="s">
        <v>842</v>
      </c>
      <c r="C74" s="58" t="n">
        <f aca="false">輸入與假設!$C$222</f>
        <v>3.127</v>
      </c>
    </row>
    <row r="75" customFormat="false" ht="15" hidden="true" customHeight="false" outlineLevel="1" collapsed="false">
      <c r="A75" s="3" t="s">
        <v>843</v>
      </c>
      <c r="C75" s="58" t="n">
        <f aca="false">SUM(C39:G39)</f>
        <v>-99.4371129502365</v>
      </c>
    </row>
    <row r="76" customFormat="false" ht="15" hidden="true" customHeight="false" outlineLevel="1" collapsed="false">
      <c r="A76" s="3" t="s">
        <v>844</v>
      </c>
      <c r="C76" s="58" t="n">
        <f aca="false">SUM(C31:G31)</f>
        <v>9.182</v>
      </c>
    </row>
    <row r="77" customFormat="false" ht="15" hidden="true" customHeight="false" outlineLevel="1" collapsed="false">
      <c r="A77" s="3" t="s">
        <v>845</v>
      </c>
      <c r="C77" s="58" t="n">
        <f aca="false">SUM(C32:G32)</f>
        <v>16.747</v>
      </c>
    </row>
    <row r="78" customFormat="false" ht="15" hidden="true" customHeight="false" outlineLevel="1" collapsed="false">
      <c r="A78" s="4" t="s">
        <v>846</v>
      </c>
      <c r="C78" s="58" t="n">
        <f aca="false">-SUM(C22:G22)</f>
        <v>-0.492</v>
      </c>
    </row>
    <row r="79" customFormat="false" ht="15" hidden="true" customHeight="false" outlineLevel="1" collapsed="false">
      <c r="A79" s="3" t="s">
        <v>847</v>
      </c>
      <c r="C79" s="58" t="n">
        <f aca="false">SUM(C38:G38)</f>
        <v>-0.502999999999997</v>
      </c>
    </row>
    <row r="80" customFormat="false" ht="15" hidden="true" customHeight="false" outlineLevel="1" collapsed="false">
      <c r="A80" s="3" t="s">
        <v>848</v>
      </c>
      <c r="C80" s="58" t="n">
        <f aca="false">SUM(C33:G33)+SUM(C34:G34)+SUM(C35:G35)</f>
        <v>99.2501129502365</v>
      </c>
    </row>
    <row r="81" customFormat="false" ht="15" hidden="true" customHeight="false" outlineLevel="1" collapsed="false">
      <c r="A81" s="3" t="s">
        <v>849</v>
      </c>
      <c r="C81" s="58" t="n">
        <f aca="false">-SUM(C21:G21)</f>
        <v>-25.874</v>
      </c>
    </row>
    <row r="82" customFormat="false" ht="15" hidden="true" customHeight="false" outlineLevel="1" collapsed="false">
      <c r="A82" s="2" t="s">
        <v>850</v>
      </c>
      <c r="C82" s="59" t="n">
        <f aca="false">SUM(C74:C81)</f>
        <v>1.99999999999999</v>
      </c>
    </row>
    <row r="83" customFormat="false" ht="15" hidden="true" customHeight="false" outlineLevel="1" collapsed="false">
      <c r="A83" s="3" t="s">
        <v>851</v>
      </c>
      <c r="C83" s="58" t="n">
        <f aca="false">G41</f>
        <v>2</v>
      </c>
    </row>
    <row r="84" customFormat="false" ht="15" hidden="true" customHeight="false" outlineLevel="1" collapsed="false">
      <c r="A84" s="2" t="s">
        <v>852</v>
      </c>
      <c r="C84" s="58" t="n">
        <f aca="false">C82-C83</f>
        <v>-1.15463194561016E-014</v>
      </c>
      <c r="I84" s="7" t="s">
        <v>853</v>
      </c>
    </row>
    <row r="86" customFormat="false" ht="15" hidden="false" customHeight="false" outlineLevel="0" collapsed="true">
      <c r="A86" s="8" t="s">
        <v>854</v>
      </c>
      <c r="B86" s="9"/>
      <c r="C86" s="9"/>
      <c r="D86" s="9"/>
      <c r="E86" s="9"/>
      <c r="F86" s="9"/>
      <c r="G86" s="9"/>
      <c r="H86" s="9"/>
    </row>
    <row r="87" customFormat="false" ht="15" hidden="true" customHeight="false" outlineLevel="1" collapsed="false">
      <c r="A87" s="4" t="s">
        <v>855</v>
      </c>
      <c r="C87" s="11" t="n">
        <f aca="false">運營_產能與收入!C27</f>
        <v>11.0494944849016</v>
      </c>
      <c r="I87" s="7" t="s">
        <v>856</v>
      </c>
    </row>
    <row r="88" customFormat="false" ht="15" hidden="true" customHeight="false" outlineLevel="1" collapsed="false">
      <c r="A88" s="4" t="s">
        <v>857</v>
      </c>
      <c r="C88" s="11" t="n">
        <f aca="false">C6</f>
        <v>37.800888825</v>
      </c>
      <c r="I88" s="7" t="s">
        <v>858</v>
      </c>
    </row>
    <row r="89" customFormat="false" ht="15" hidden="true" customHeight="false" outlineLevel="1" collapsed="false">
      <c r="A89" s="4" t="s">
        <v>859</v>
      </c>
      <c r="C89" s="11" t="n">
        <f aca="false">輸入與假設!$C$231+輸入與假設!C$172+C16</f>
        <v>3.67714351310627</v>
      </c>
      <c r="I89" s="12" t="s">
        <v>860</v>
      </c>
    </row>
    <row r="90" customFormat="false" ht="15" hidden="true" customHeight="false" outlineLevel="1" collapsed="false">
      <c r="A90" s="4" t="s">
        <v>861</v>
      </c>
      <c r="C90" s="11" t="n">
        <f aca="false">輸入與假設!$C$232+C12</f>
        <v>2.088</v>
      </c>
      <c r="I90" s="12" t="s">
        <v>862</v>
      </c>
    </row>
    <row r="91" customFormat="false" ht="15" hidden="true" customHeight="false" outlineLevel="1" collapsed="false">
      <c r="A91" s="4" t="s">
        <v>863</v>
      </c>
      <c r="C91" s="11" t="n">
        <f aca="false">C21</f>
        <v>9.632</v>
      </c>
      <c r="I91" s="12" t="s">
        <v>864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B4C"/>
    <outlinePr summaryBelow="0" summaryRight="1"/>
    <pageSetUpPr fitToPage="false"/>
  </sheetPr>
  <dimension ref="A1:Q1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44"/>
    <col collapsed="false" customWidth="true" hidden="false" outlineLevel="0" max="2" min="2" style="0" width="8"/>
    <col collapsed="false" customWidth="true" hidden="false" outlineLevel="0" max="12" min="3" style="0" width="14"/>
    <col collapsed="false" customWidth="true" hidden="false" outlineLevel="0" max="13" min="13" style="0" width="60"/>
  </cols>
  <sheetData>
    <row r="1" customFormat="false" ht="17.35" hidden="false" customHeight="false" outlineLevel="0" collapsed="false">
      <c r="A1" s="6" t="s">
        <v>865</v>
      </c>
    </row>
    <row r="2" customFormat="false" ht="15" hidden="false" customHeight="false" outlineLevel="0" collapsed="false">
      <c r="A2" s="7" t="s">
        <v>866</v>
      </c>
    </row>
    <row r="4" customFormat="false" ht="15" hidden="false" customHeight="false" outlineLevel="0" collapsed="false">
      <c r="A4" s="8" t="s">
        <v>867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</row>
    <row r="5" customFormat="false" ht="17.15" hidden="false" customHeight="false" outlineLevel="1" collapsed="false">
      <c r="A5" s="15" t="s">
        <v>868</v>
      </c>
      <c r="B5" s="15" t="s">
        <v>88</v>
      </c>
      <c r="C5" s="15" t="s">
        <v>869</v>
      </c>
      <c r="D5" s="15" t="s">
        <v>870</v>
      </c>
      <c r="E5" s="15" t="s">
        <v>871</v>
      </c>
      <c r="F5" s="15" t="s">
        <v>872</v>
      </c>
      <c r="G5" s="15" t="s">
        <v>873</v>
      </c>
      <c r="H5" s="15" t="s">
        <v>874</v>
      </c>
      <c r="I5" s="15" t="s">
        <v>875</v>
      </c>
      <c r="J5" s="15" t="s">
        <v>876</v>
      </c>
      <c r="K5" s="15" t="s">
        <v>877</v>
      </c>
      <c r="L5" s="15" t="s">
        <v>878</v>
      </c>
      <c r="M5" s="15" t="s">
        <v>879</v>
      </c>
      <c r="N5" s="15" t="s">
        <v>880</v>
      </c>
      <c r="O5" s="15" t="s">
        <v>876</v>
      </c>
      <c r="P5" s="15" t="s">
        <v>877</v>
      </c>
      <c r="Q5" s="15" t="s">
        <v>881</v>
      </c>
    </row>
    <row r="6" customFormat="false" ht="15" hidden="false" customHeight="false" outlineLevel="1" collapsed="false">
      <c r="A6" s="3" t="s">
        <v>882</v>
      </c>
      <c r="B6" s="12" t="s">
        <v>93</v>
      </c>
      <c r="C6" s="60" t="n">
        <f aca="false">INDEX($C$22:$H$22,輸入與假設!$C$317)</f>
        <v>2.99049816163385</v>
      </c>
      <c r="D6" s="60" t="n">
        <f aca="false">INDEX($C$41:$H$41,輸入與假設!$C$317)</f>
        <v>3.541</v>
      </c>
      <c r="E6" s="61" t="n">
        <f aca="false">INDEX($C$51:$H$51,輸入與假設!$C$317)</f>
        <v>-0.155465077200268</v>
      </c>
      <c r="F6" s="60" t="n">
        <f aca="false">IF(ISNUMBER(INDEX($C$31:$H$31,輸入與假設!$C$317)),INDEX($C$31:$H$31,輸入與假設!$C$317),"不適用")</f>
        <v>3.45</v>
      </c>
      <c r="G6" s="60" t="n">
        <f aca="false">INDEX($C$32:$H$32,輸入與假設!$C$317)</f>
        <v>3.6</v>
      </c>
      <c r="H6" s="61" t="n">
        <f aca="false">INDEX($C$52:$H$52,輸入與假設!$C$317)</f>
        <v>-0.151631727196071</v>
      </c>
      <c r="I6" s="60" t="str">
        <f aca="false">IF(ISNUMBER(INDEX($C$45:$H$45,輸入與假設!$C$317)),INDEX($C$45:$H$45,輸入與假設!$C$317),"待公布")</f>
        <v>待公布</v>
      </c>
      <c r="J6" s="61" t="str">
        <f aca="false">INDEX($C$53:$H$53,輸入與假設!$C$317)</f>
        <v/>
      </c>
      <c r="K6" s="61" t="str">
        <f aca="false">INDEX($C$54:$H$54,輸入與假設!$C$317)</f>
        <v/>
      </c>
      <c r="L6" s="61" t="str">
        <f aca="false">INDEX($C$55:$H$55,輸入與假設!$C$317)</f>
        <v/>
      </c>
      <c r="M6" s="61"/>
      <c r="N6" s="61"/>
      <c r="O6" s="61"/>
      <c r="P6" s="61"/>
      <c r="Q6" s="61"/>
    </row>
    <row r="7" customFormat="false" ht="15" hidden="false" customHeight="false" outlineLevel="1" collapsed="false">
      <c r="A7" s="3" t="s">
        <v>883</v>
      </c>
      <c r="B7" s="12" t="s">
        <v>93</v>
      </c>
      <c r="C7" s="60" t="n">
        <f aca="false">INDEX($C$28:$H$28,輸入與假設!$C$317)</f>
        <v>1.36848285382447</v>
      </c>
      <c r="D7" s="60" t="n">
        <f aca="false">INDEX($C$42:$H$42,輸入與假設!$C$317)</f>
        <v>2.047</v>
      </c>
      <c r="E7" s="60" t="n">
        <f aca="false">INDEX($C$56:$H$56,輸入與假設!$C$317)</f>
        <v>-0.678517146175534</v>
      </c>
      <c r="F7" s="62" t="s">
        <v>884</v>
      </c>
      <c r="G7" s="62" t="s">
        <v>884</v>
      </c>
      <c r="H7" s="60" t="str">
        <f aca="false">INDEX($C$57:$H$57,輸入與假設!$C$317)</f>
        <v>不適用</v>
      </c>
      <c r="I7" s="60" t="str">
        <f aca="false">IF(ISNUMBER(INDEX($C$46:$H$46,輸入與假設!$C$317)),INDEX($C$46:$H$46,輸入與假設!$C$317),"待公布")</f>
        <v>待公布</v>
      </c>
      <c r="J7" s="60" t="str">
        <f aca="false">INDEX($C$58:$H$58,輸入與假設!$C$317)</f>
        <v/>
      </c>
      <c r="K7" s="60" t="str">
        <f aca="false">INDEX($C$59:$H$59,輸入與假設!$C$317)</f>
        <v/>
      </c>
      <c r="L7" s="60" t="str">
        <f aca="false">INDEX($C$60:$H$60,輸入與假設!$C$317)</f>
        <v/>
      </c>
      <c r="M7" s="61" t="n">
        <f aca="false">INDEX($C$61:$H$61,輸入與假設!$C$317)</f>
        <v>-0.120474955567185</v>
      </c>
      <c r="N7" s="61" t="str">
        <f aca="false">INDEX($C$62:$H$62,輸入與假設!$C$317)</f>
        <v>不適用</v>
      </c>
      <c r="O7" s="61" t="str">
        <f aca="false">INDEX($C$63:$H$63,輸入與假設!$C$317)</f>
        <v/>
      </c>
      <c r="P7" s="61" t="str">
        <f aca="false">INDEX($C$64:$H$64,輸入與假設!$C$317)</f>
        <v/>
      </c>
      <c r="Q7" s="61" t="str">
        <f aca="false">INDEX($C$65:$H$65,輸入與假設!$C$317)</f>
        <v/>
      </c>
    </row>
    <row r="8" customFormat="false" ht="15" hidden="false" customHeight="false" outlineLevel="1" collapsed="false">
      <c r="A8" s="3" t="s">
        <v>885</v>
      </c>
      <c r="B8" s="12" t="s">
        <v>77</v>
      </c>
      <c r="C8" s="61" t="n">
        <f aca="false">INDEX($C$27:$H$27,輸入與假設!$C$317)</f>
        <v>0.457610331075007</v>
      </c>
      <c r="D8" s="61" t="n">
        <f aca="false">INDEX($C$43:$H$43,輸入與假設!$C$317)</f>
        <v>0.578085286642192</v>
      </c>
      <c r="E8" s="61" t="n">
        <f aca="false">INDEX($C$66:$H$66,輸入與假設!$C$317)</f>
        <v>-0.120474955567185</v>
      </c>
      <c r="F8" s="63" t="s">
        <v>884</v>
      </c>
      <c r="G8" s="63" t="s">
        <v>884</v>
      </c>
      <c r="H8" s="61" t="str">
        <f aca="false">INDEX($C$67:$H$67,輸入與假設!$C$317)</f>
        <v>不適用</v>
      </c>
      <c r="I8" s="61" t="str">
        <f aca="false">IF(ISNUMBER(INDEX($C$47:$H$47,輸入與假設!$C$317)),INDEX($C$47:$H$47,輸入與假設!$C$317),"待公布")</f>
        <v>待公布</v>
      </c>
      <c r="J8" s="61" t="str">
        <f aca="false">INDEX($C$68:$H$68,輸入與假設!$C$317)</f>
        <v/>
      </c>
      <c r="K8" s="61" t="str">
        <f aca="false">INDEX($C$69:$H$69,輸入與假設!$C$317)</f>
        <v/>
      </c>
      <c r="L8" s="61" t="str">
        <f aca="false">INDEX($C$70:$H$70,輸入與假設!$C$317)</f>
        <v/>
      </c>
      <c r="M8" s="61"/>
      <c r="N8" s="61"/>
      <c r="O8" s="61"/>
      <c r="P8" s="61"/>
      <c r="Q8" s="61"/>
    </row>
    <row r="9" customFormat="false" ht="15" hidden="false" customHeight="false" outlineLevel="1" collapsed="false">
      <c r="A9" s="3" t="s">
        <v>886</v>
      </c>
      <c r="B9" s="12" t="s">
        <v>93</v>
      </c>
      <c r="C9" s="60" t="n">
        <f aca="false">INDEX($C$30:$H$30,輸入與假設!$C$317)</f>
        <v>-0.804495154769284</v>
      </c>
      <c r="D9" s="62" t="s">
        <v>884</v>
      </c>
      <c r="E9" s="60" t="str">
        <f aca="false">INDEX($C$71:$H$71,輸入與假設!$C$317)</f>
        <v>不適用</v>
      </c>
      <c r="F9" s="60" t="n">
        <f aca="false">IF(ISNUMBER(INDEX($C$33:$H$33,輸入與假設!$C$317)),INDEX($C$33:$H$33,輸入與假設!$C$317),IF(INDEX($C$35:$H$35,輸入與假設!$C$317)&lt;&gt;"",INDEX($C$35:$H$35,輸入與假設!$C$317),"不適用"))</f>
        <v>0.2</v>
      </c>
      <c r="G9" s="60" t="n">
        <f aca="false">INDEX($C$34:$H$34,輸入與假設!$C$317)</f>
        <v>0.26</v>
      </c>
      <c r="H9" s="60" t="n">
        <f aca="false">INDEX($C$72:$H$72,輸入與假設!$C$317)</f>
        <v>-1.03449515476928</v>
      </c>
      <c r="I9" s="60" t="str">
        <f aca="false">IF(ISNUMBER(INDEX($C$48:$H$48,輸入與假設!$C$317)),INDEX($C$48:$H$48,輸入與假設!$C$317),"待公布")</f>
        <v>待公布</v>
      </c>
      <c r="J9" s="60" t="str">
        <f aca="false">INDEX($C$73:$H$73,輸入與假設!$C$317)</f>
        <v/>
      </c>
      <c r="K9" s="60" t="str">
        <f aca="false">INDEX($C$74:$H$74,輸入與假設!$C$317)</f>
        <v/>
      </c>
      <c r="L9" s="60" t="str">
        <f aca="false">INDEX($C$75:$H$75,輸入與假設!$C$317)</f>
        <v/>
      </c>
      <c r="M9" s="61" t="str">
        <f aca="false">INDEX($C$76:$H$76,輸入與假設!$C$317)</f>
        <v>不適用</v>
      </c>
      <c r="N9" s="61" t="n">
        <f aca="false">INDEX($C$77:$H$77,輸入與假設!$C$317)</f>
        <v>-0.33426533088656</v>
      </c>
      <c r="O9" s="61" t="str">
        <f aca="false">INDEX($C$78:$H$78,輸入與假設!$C$317)</f>
        <v/>
      </c>
      <c r="P9" s="61" t="str">
        <f aca="false">INDEX($C$79:$H$79,輸入與假設!$C$317)</f>
        <v/>
      </c>
      <c r="Q9" s="61" t="str">
        <f aca="false">INDEX($C$80:$H$80,輸入與假設!$C$317)</f>
        <v/>
      </c>
    </row>
    <row r="10" customFormat="false" ht="15" hidden="false" customHeight="false" outlineLevel="1" collapsed="false">
      <c r="A10" s="3" t="s">
        <v>887</v>
      </c>
      <c r="B10" s="12" t="s">
        <v>93</v>
      </c>
      <c r="C10" s="60" t="n">
        <f aca="false">INDEX($C$40:$H$40,輸入與假設!$C$317)</f>
        <v>12.5</v>
      </c>
      <c r="D10" s="62" t="s">
        <v>884</v>
      </c>
      <c r="E10" s="61" t="str">
        <f aca="false">INDEX($C$81:$H$81,輸入與假設!$C$317)</f>
        <v>不適用</v>
      </c>
      <c r="F10" s="60" t="n">
        <f aca="false">IF(ISNUMBER(INDEX($C$36:$H$36,輸入與假設!$C$317)),INDEX($C$36:$H$36,輸入與假設!$C$317),"不適用")</f>
        <v>11.5</v>
      </c>
      <c r="G10" s="60" t="n">
        <f aca="false">INDEX($C$37:$H$37,輸入與假設!$C$317)</f>
        <v>13.5</v>
      </c>
      <c r="H10" s="61" t="n">
        <f aca="false">INDEX($C$82:$H$82,輸入與假設!$C$317)</f>
        <v>0</v>
      </c>
      <c r="I10" s="60" t="str">
        <f aca="false">IF(ISNUMBER(INDEX($C$49:$H$49,輸入與假設!$C$317)),INDEX($C$49:$H$49,輸入與假設!$C$317),"待公布")</f>
        <v>待公布</v>
      </c>
      <c r="J10" s="61" t="str">
        <f aca="false">INDEX($C$83:$H$83,輸入與假設!$C$317)</f>
        <v/>
      </c>
      <c r="K10" s="61" t="str">
        <f aca="false">INDEX($C$84:$H$84,輸入與假設!$C$317)</f>
        <v/>
      </c>
      <c r="L10" s="61" t="str">
        <f aca="false">INDEX($C$85:$H$85,輸入與假設!$C$317)</f>
        <v/>
      </c>
      <c r="M10" s="61"/>
      <c r="N10" s="61"/>
      <c r="O10" s="61"/>
      <c r="P10" s="61"/>
      <c r="Q10" s="61"/>
    </row>
    <row r="11" customFormat="false" ht="15" hidden="false" customHeight="false" outlineLevel="1" collapsed="false">
      <c r="A11" s="3" t="s">
        <v>888</v>
      </c>
      <c r="B11" s="12" t="s">
        <v>179</v>
      </c>
      <c r="C11" s="64" t="n">
        <f aca="false">INDEX($C$19:$H$19,輸入與假設!$C$317)</f>
        <v>1675</v>
      </c>
      <c r="D11" s="65" t="s">
        <v>884</v>
      </c>
      <c r="E11" s="64" t="str">
        <f aca="false">INDEX($C$86:$H$86,輸入與假設!$C$317)</f>
        <v>不適用</v>
      </c>
      <c r="F11" s="65" t="s">
        <v>884</v>
      </c>
      <c r="G11" s="65" t="s">
        <v>884</v>
      </c>
      <c r="H11" s="64" t="str">
        <f aca="false">INDEX($C$87:$H$87,輸入與假設!$C$317)</f>
        <v>不適用</v>
      </c>
      <c r="I11" s="64" t="str">
        <f aca="false">IF(ISNUMBER(INDEX($C$50:$H$50,輸入與假設!$C$317)),INDEX($C$50:$H$50,輸入與假設!$C$317),"待公布")</f>
        <v>待公布</v>
      </c>
      <c r="J11" s="64" t="str">
        <f aca="false">INDEX($C$88:$H$88,輸入與假設!$C$317)</f>
        <v/>
      </c>
      <c r="K11" s="64" t="str">
        <f aca="false">INDEX($C$89:$H$89,輸入與假設!$C$317)</f>
        <v/>
      </c>
      <c r="L11" s="64" t="str">
        <f aca="false">INDEX($C$90:$H$90,輸入與假設!$C$317)</f>
        <v/>
      </c>
      <c r="M11" s="61"/>
      <c r="N11" s="61"/>
      <c r="O11" s="61"/>
      <c r="P11" s="61"/>
      <c r="Q11" s="61"/>
    </row>
    <row r="12" customFormat="false" ht="15" hidden="false" customHeight="false" outlineLevel="1" collapsed="false">
      <c r="A12" s="2" t="s">
        <v>889</v>
      </c>
      <c r="C12" s="2" t="str">
        <f aca="false">INDEX($C$16:$H$16,輸入與假設!$C$317)</f>
        <v>Q3'26</v>
      </c>
    </row>
    <row r="13" customFormat="false" ht="17.15" hidden="false" customHeight="false" outlineLevel="1" collapsed="false">
      <c r="A13" s="2" t="s">
        <v>890</v>
      </c>
      <c r="C13" s="0" t="str">
        <f aca="false">IF(INDEX($C$133:$H$133,輸入與假設!$C$317)="","無（差距皆在 "&amp;IF(ROUND(ABS(輸入與假設!$C$311)*100,4)=INT(ROUND(ABS(輸入與假設!$C$311)*100,4)),TEXT(ROUND(ABS(輸入與假設!$C$311)*100,4),"0"),TEXT(ROUND(ABS(輸入與假設!$C$311)*100,4),"0.0"))&amp;"%"&amp;" 以內）",INDEX($C$133:$H$133,輸入與假設!$C$317))</f>
        <v>營收 vs 共識 −15.5%：觀點（水準 −$0.795bn（2H26 模型 $6.396bn，共識合計 $8.247bn）；分配 +$0.244bn）；營收 vs 指引中點 −15.2%：觀點（水準 −$0.757bn（2H26 模型 $6.396bn，指引隱含 $8.147bn）；分配 +$0.223bn）；調整後 EBITDA vs 共識 −$0.68bn／−12.0pt：觀點（水準 −$0.824bn（2H26 模型 $2.953bn，共識合計 $4.944bn）；分配 +$0.146bn）；調整後營業利益 vs 指引中點 −$1.03bn／−33.4pt：已知限制（對照指引隱含折舊 1.82（＝共識 EBITDA 2.05 − 指引中點 0.23，Derived），模型折舊 2.17；缺口 −1.03 ≈ 折舊 −0.36 ＋ EBITDA −0.68；待辦 6 修正折舊）</v>
      </c>
    </row>
    <row r="15" customFormat="false" ht="15" hidden="false" customHeight="false" outlineLevel="0" collapsed="true">
      <c r="A15" s="8" t="s">
        <v>891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</row>
    <row r="16" customFormat="false" ht="15" hidden="true" customHeight="false" outlineLevel="1" collapsed="false">
      <c r="A16" s="15" t="s">
        <v>87</v>
      </c>
      <c r="B16" s="15" t="s">
        <v>88</v>
      </c>
      <c r="C16" s="16" t="s">
        <v>705</v>
      </c>
      <c r="D16" s="16" t="s">
        <v>706</v>
      </c>
      <c r="E16" s="16" t="s">
        <v>707</v>
      </c>
      <c r="F16" s="16" t="s">
        <v>708</v>
      </c>
      <c r="G16" s="16" t="s">
        <v>709</v>
      </c>
      <c r="H16" s="16" t="s">
        <v>710</v>
      </c>
    </row>
    <row r="17" customFormat="false" ht="15" hidden="true" customHeight="false" outlineLevel="1" collapsed="false">
      <c r="A17" s="3" t="s">
        <v>892</v>
      </c>
      <c r="C17" s="66" t="n">
        <f aca="false">輸入與假設!C$316</f>
        <v>1</v>
      </c>
      <c r="D17" s="66" t="n">
        <f aca="false">輸入與假設!D$316</f>
        <v>1</v>
      </c>
      <c r="E17" s="66" t="n">
        <f aca="false">輸入與假設!E$316</f>
        <v>2</v>
      </c>
      <c r="F17" s="66" t="n">
        <f aca="false">輸入與假設!F$316</f>
        <v>2</v>
      </c>
      <c r="G17" s="66" t="n">
        <f aca="false">輸入與假設!G$316</f>
        <v>2</v>
      </c>
      <c r="H17" s="66" t="n">
        <f aca="false">輸入與假設!H$316</f>
        <v>2</v>
      </c>
      <c r="J17" s="12" t="s">
        <v>893</v>
      </c>
    </row>
    <row r="18" customFormat="false" ht="15" hidden="true" customHeight="false" outlineLevel="1" collapsed="false">
      <c r="A18" s="3" t="s">
        <v>894</v>
      </c>
      <c r="C18" s="29" t="n">
        <v>1</v>
      </c>
      <c r="D18" s="29" t="n">
        <v>2</v>
      </c>
      <c r="E18" s="29" t="n">
        <v>3</v>
      </c>
      <c r="F18" s="29" t="n">
        <v>4</v>
      </c>
      <c r="G18" s="29" t="n">
        <v>5</v>
      </c>
      <c r="H18" s="29" t="n">
        <v>6</v>
      </c>
      <c r="J18" s="12" t="s">
        <v>895</v>
      </c>
    </row>
    <row r="19" customFormat="false" ht="15" hidden="true" customHeight="false" outlineLevel="1" collapsed="false">
      <c r="A19" s="3" t="s">
        <v>896</v>
      </c>
      <c r="B19" s="12" t="s">
        <v>179</v>
      </c>
      <c r="C19" s="29" t="n">
        <f aca="false">輸入與假設!$C$319+(輸入與假設!C$26-輸入與假設!$C$319)*1/2</f>
        <v>1675</v>
      </c>
      <c r="D19" s="29" t="n">
        <f aca="false">輸入與假設!$C$319+(輸入與假設!C$26-輸入與假設!$C$319)*2/2</f>
        <v>1850</v>
      </c>
      <c r="E19" s="29" t="n">
        <f aca="false">輸入與假設!C$26+(輸入與假設!D$26-輸入與假設!C$26)*1/4</f>
        <v>2162.5</v>
      </c>
      <c r="F19" s="29" t="n">
        <f aca="false">輸入與假設!C$26+(輸入與假設!D$26-輸入與假設!C$26)*2/4</f>
        <v>2475</v>
      </c>
      <c r="G19" s="29" t="n">
        <f aca="false">輸入與假設!C$26+(輸入與假設!D$26-輸入與假設!C$26)*3/4</f>
        <v>2787.5</v>
      </c>
      <c r="H19" s="29" t="n">
        <f aca="false">輸入與假設!C$26+(輸入與假設!D$26-輸入與假設!C$26)*4/4</f>
        <v>3100</v>
      </c>
      <c r="J19" s="7" t="s">
        <v>897</v>
      </c>
    </row>
    <row r="20" customFormat="false" ht="15" hidden="true" customHeight="false" outlineLevel="1" collapsed="false">
      <c r="A20" s="3" t="s">
        <v>898</v>
      </c>
      <c r="B20" s="12" t="s">
        <v>179</v>
      </c>
      <c r="C20" s="29" t="n">
        <f aca="false">輸入與假設!$C$20+(輸入與假設!C$27-輸入與假設!$C$20)*1/4</f>
        <v>1437.5</v>
      </c>
      <c r="D20" s="29" t="n">
        <f aca="false">輸入與假設!$C$20+(輸入與假設!C$27-輸入與假設!$C$20)*3/4</f>
        <v>1612.5</v>
      </c>
      <c r="E20" s="29" t="n">
        <f aca="false">輸入與假設!C$27+(輸入與假設!D$27-輸入與假設!C$27)*1/8</f>
        <v>1850</v>
      </c>
      <c r="F20" s="29" t="n">
        <f aca="false">輸入與假設!C$27+(輸入與假設!D$27-輸入與假設!C$27)*3/8</f>
        <v>2150</v>
      </c>
      <c r="G20" s="29" t="n">
        <f aca="false">輸入與假設!C$27+(輸入與假設!D$27-輸入與假設!C$27)*5/8</f>
        <v>2450</v>
      </c>
      <c r="H20" s="29" t="n">
        <f aca="false">輸入與假設!C$27+(輸入與假設!D$27-輸入與假設!C$27)*7/8</f>
        <v>2750</v>
      </c>
      <c r="J20" s="7" t="s">
        <v>899</v>
      </c>
    </row>
    <row r="21" customFormat="false" ht="15" hidden="true" customHeight="false" outlineLevel="1" collapsed="false">
      <c r="A21" s="3" t="s">
        <v>900</v>
      </c>
      <c r="B21" s="12" t="s">
        <v>179</v>
      </c>
      <c r="C21" s="29" t="n">
        <f aca="false">C19-輸入與假設!$C$319</f>
        <v>175</v>
      </c>
      <c r="D21" s="29" t="n">
        <f aca="false">D19-C19</f>
        <v>175</v>
      </c>
      <c r="E21" s="29" t="n">
        <f aca="false">E19-輸入與假設!C$26</f>
        <v>312.5</v>
      </c>
      <c r="F21" s="29" t="n">
        <f aca="false">F19-E19</f>
        <v>312.5</v>
      </c>
      <c r="G21" s="29" t="n">
        <f aca="false">G19-F19</f>
        <v>312.5</v>
      </c>
      <c r="H21" s="29" t="n">
        <f aca="false">H19-G19</f>
        <v>312.5</v>
      </c>
      <c r="J21" s="12" t="s">
        <v>901</v>
      </c>
    </row>
    <row r="22" customFormat="false" ht="15" hidden="true" customHeight="false" outlineLevel="1" collapsed="false">
      <c r="A22" s="3" t="s">
        <v>902</v>
      </c>
      <c r="B22" s="12" t="s">
        <v>93</v>
      </c>
      <c r="C22" s="35" t="n">
        <f aca="false">輸入與假設!$C$318+1*(損益!C8-2*輸入與假設!$C$318)/3</f>
        <v>2.99049816163385</v>
      </c>
      <c r="D22" s="35" t="n">
        <f aca="false">輸入與假設!$C$318+2*(損益!C8-2*輸入與假設!$C$318)/3</f>
        <v>3.4059963232677</v>
      </c>
      <c r="E22" s="35" t="n">
        <f aca="false">損益!D8*E20/(E20+F20+G20+H20)</f>
        <v>4.06192822530749</v>
      </c>
      <c r="F22" s="35" t="n">
        <f aca="false">損益!D8*F20/(E20+F20+G20+H20)</f>
        <v>4.72061928887086</v>
      </c>
      <c r="G22" s="35" t="n">
        <f aca="false">損益!D8*G20/(E20+F20+G20+H20)</f>
        <v>5.37931035243424</v>
      </c>
      <c r="H22" s="35" t="n">
        <f aca="false">損益!D8*H20/(E20+F20+G20+H20)</f>
        <v>6.03800141599762</v>
      </c>
      <c r="J22" s="7" t="s">
        <v>903</v>
      </c>
    </row>
    <row r="23" customFormat="false" ht="15" hidden="true" customHeight="false" outlineLevel="1" collapsed="false">
      <c r="A23" s="4" t="s">
        <v>904</v>
      </c>
      <c r="C23" s="60" t="n">
        <f aca="false">C22+D22</f>
        <v>6.39649448490155</v>
      </c>
      <c r="D23" s="60" t="n">
        <f aca="false">E22+F22+G22+H22</f>
        <v>20.1998592826102</v>
      </c>
      <c r="J23" s="7" t="s">
        <v>905</v>
      </c>
    </row>
    <row r="24" customFormat="false" ht="15" hidden="true" customHeight="false" outlineLevel="1" collapsed="false">
      <c r="A24" s="4" t="s">
        <v>906</v>
      </c>
      <c r="C24" s="60" t="n">
        <f aca="false">C22*C18+D22*D18</f>
        <v>9.80249080816926</v>
      </c>
      <c r="D24" s="60" t="n">
        <f aca="false">E22*E18+F22*F18+G22*G18+H22*H18</f>
        <v>94.1928220895628</v>
      </c>
      <c r="J24" s="7" t="s">
        <v>905</v>
      </c>
    </row>
    <row r="25" customFormat="false" ht="15" hidden="true" customHeight="false" outlineLevel="1" collapsed="false">
      <c r="A25" s="4" t="s">
        <v>907</v>
      </c>
      <c r="C25" s="60" t="n">
        <f aca="false">損益!C19</f>
        <v>2.9533729000456</v>
      </c>
      <c r="D25" s="60" t="n">
        <f aca="false">損益!D19</f>
        <v>9.81438269251001</v>
      </c>
      <c r="J25" s="7" t="s">
        <v>905</v>
      </c>
    </row>
    <row r="26" customFormat="false" ht="15" hidden="true" customHeight="false" outlineLevel="1" collapsed="false">
      <c r="A26" s="4" t="s">
        <v>908</v>
      </c>
      <c r="C26" s="67" t="n">
        <f aca="false">(C25*D24-C24*D25)/(C23*D24-C24*D23)</f>
        <v>0.449897186785661</v>
      </c>
      <c r="D26" s="67" t="n">
        <f aca="false">(C23*D25-D23*C25)/(C23*D24-C24*D23)</f>
        <v>0.00771314428934551</v>
      </c>
      <c r="J26" s="7" t="s">
        <v>909</v>
      </c>
    </row>
    <row r="27" customFormat="false" ht="15" hidden="true" customHeight="false" outlineLevel="1" collapsed="false">
      <c r="A27" s="4" t="s">
        <v>910</v>
      </c>
      <c r="B27" s="12" t="s">
        <v>77</v>
      </c>
      <c r="C27" s="31" t="n">
        <f aca="false">$C$26+$D$26*C18</f>
        <v>0.457610331075007</v>
      </c>
      <c r="D27" s="31" t="n">
        <f aca="false">$C$26+$D$26*D18</f>
        <v>0.465323475364352</v>
      </c>
      <c r="E27" s="31" t="n">
        <f aca="false">$C$26+$D$26*E18</f>
        <v>0.473036619653698</v>
      </c>
      <c r="F27" s="31" t="n">
        <f aca="false">$C$26+$D$26*F18</f>
        <v>0.480749763943043</v>
      </c>
      <c r="G27" s="31" t="n">
        <f aca="false">$C$26+$D$26*G18</f>
        <v>0.488462908232389</v>
      </c>
      <c r="H27" s="31" t="n">
        <f aca="false">$C$26+$D$26*H18</f>
        <v>0.496176052521734</v>
      </c>
      <c r="J27" s="7" t="s">
        <v>911</v>
      </c>
    </row>
    <row r="28" customFormat="false" ht="15" hidden="true" customHeight="false" outlineLevel="1" collapsed="false">
      <c r="A28" s="3" t="s">
        <v>912</v>
      </c>
      <c r="B28" s="12" t="s">
        <v>93</v>
      </c>
      <c r="C28" s="35" t="n">
        <f aca="false">C22*C27</f>
        <v>1.36848285382447</v>
      </c>
      <c r="D28" s="35" t="n">
        <f aca="false">D22*D27</f>
        <v>1.58489004622113</v>
      </c>
      <c r="E28" s="35" t="n">
        <f aca="false">E22*E27</f>
        <v>1.9214407969754</v>
      </c>
      <c r="F28" s="35" t="n">
        <f aca="false">F22*F27</f>
        <v>2.26943660878964</v>
      </c>
      <c r="G28" s="35" t="n">
        <f aca="false">G22*G27</f>
        <v>2.62759357903463</v>
      </c>
      <c r="H28" s="35" t="n">
        <f aca="false">H22*H27</f>
        <v>2.99591170771034</v>
      </c>
    </row>
    <row r="29" customFormat="false" ht="15" hidden="true" customHeight="false" outlineLevel="1" collapsed="false">
      <c r="A29" s="3" t="s">
        <v>913</v>
      </c>
      <c r="B29" s="12" t="s">
        <v>93</v>
      </c>
      <c r="C29" s="35" t="n">
        <f aca="false">(輸入與假設!C$145+輸入與假設!C$143*1/4)/輸入與假設!$C$124*輸入與假設!C$24/2</f>
        <v>2.17297800859375</v>
      </c>
      <c r="D29" s="35" t="n">
        <f aca="false">(輸入與假設!C$145+輸入與假設!C$143*3/4)/輸入與假設!$C$124*輸入與假設!C$24/2</f>
        <v>2.62426735911458</v>
      </c>
      <c r="E29" s="35" t="n">
        <f aca="false">(輸入與假設!D$145+輸入與假設!D$143*1/8)/輸入與假設!$C$124*輸入與假設!D$24/4</f>
        <v>3.07022041364583</v>
      </c>
      <c r="F29" s="35" t="n">
        <f aca="false">(輸入與假設!D$145+輸入與假設!D$143*3/8)/輸入與假設!$C$124*輸入與假設!D$24/4</f>
        <v>3.5108371721875</v>
      </c>
      <c r="G29" s="35" t="n">
        <f aca="false">(輸入與假設!D$145+輸入與假設!D$143*5/8)/輸入與假設!$C$124*輸入與假設!D$24/4</f>
        <v>3.95145393072917</v>
      </c>
      <c r="H29" s="35" t="n">
        <f aca="false">(輸入與假設!D$145+輸入與假設!D$143*7/8)/輸入與假設!$C$124*輸入與假設!D$24/4</f>
        <v>4.39207068927083</v>
      </c>
      <c r="J29" s="7" t="s">
        <v>914</v>
      </c>
    </row>
    <row r="30" customFormat="false" ht="15" hidden="true" customHeight="false" outlineLevel="1" collapsed="false">
      <c r="A30" s="3" t="s">
        <v>915</v>
      </c>
      <c r="B30" s="12" t="s">
        <v>93</v>
      </c>
      <c r="C30" s="35" t="n">
        <f aca="false">C28-C29</f>
        <v>-0.804495154769284</v>
      </c>
      <c r="D30" s="35" t="n">
        <f aca="false">D28-D29</f>
        <v>-1.03937731289345</v>
      </c>
      <c r="E30" s="35" t="n">
        <f aca="false">E28-E29</f>
        <v>-1.14877961667044</v>
      </c>
      <c r="F30" s="35" t="n">
        <f aca="false">F28-F29</f>
        <v>-1.24140056339786</v>
      </c>
      <c r="G30" s="35" t="n">
        <f aca="false">G28-G29</f>
        <v>-1.32386035169454</v>
      </c>
      <c r="H30" s="35" t="n">
        <f aca="false">H28-H29</f>
        <v>-1.39615898156049</v>
      </c>
      <c r="J30" s="7" t="s">
        <v>916</v>
      </c>
    </row>
    <row r="31" customFormat="false" ht="15" hidden="true" customHeight="false" outlineLevel="1" collapsed="false">
      <c r="A31" s="3" t="s">
        <v>917</v>
      </c>
      <c r="B31" s="12" t="s">
        <v>93</v>
      </c>
      <c r="C31" s="35" t="n">
        <f aca="false">IF(ISNUMBER(輸入與假設!C$328),輸入與假設!C$328,"不適用")</f>
        <v>3.45</v>
      </c>
      <c r="D31" s="35" t="str">
        <f aca="false">IF(ISNUMBER(輸入與假設!D$328),輸入與假設!D$328,"不適用")</f>
        <v>不適用</v>
      </c>
      <c r="E31" s="35" t="str">
        <f aca="false">IF(ISNUMBER(輸入與假設!E$328),輸入與假設!E$328,"不適用")</f>
        <v>不適用</v>
      </c>
      <c r="F31" s="35" t="str">
        <f aca="false">IF(ISNUMBER(輸入與假設!F$328),輸入與假設!F$328,"不適用")</f>
        <v>不適用</v>
      </c>
      <c r="G31" s="35" t="str">
        <f aca="false">IF(ISNUMBER(輸入與假設!G$328),輸入與假設!G$328,"不適用")</f>
        <v>不適用</v>
      </c>
      <c r="H31" s="35" t="str">
        <f aca="false">IF(ISNUMBER(輸入與假設!H$328),輸入與假設!H$328,"不適用")</f>
        <v>不適用</v>
      </c>
    </row>
    <row r="32" customFormat="false" ht="15" hidden="true" customHeight="false" outlineLevel="1" collapsed="false">
      <c r="A32" s="3" t="s">
        <v>918</v>
      </c>
      <c r="B32" s="12" t="s">
        <v>93</v>
      </c>
      <c r="C32" s="35" t="n">
        <f aca="false">IF(ISNUMBER(輸入與假設!C$329),輸入與假設!C$329,"不適用")</f>
        <v>3.6</v>
      </c>
      <c r="D32" s="35" t="str">
        <f aca="false">IF(ISNUMBER(輸入與假設!D$329),輸入與假設!D$329,"不適用")</f>
        <v>不適用</v>
      </c>
      <c r="E32" s="35" t="str">
        <f aca="false">IF(ISNUMBER(輸入與假設!E$329),輸入與假設!E$329,"不適用")</f>
        <v>不適用</v>
      </c>
      <c r="F32" s="35" t="str">
        <f aca="false">IF(ISNUMBER(輸入與假設!F$329),輸入與假設!F$329,"不適用")</f>
        <v>不適用</v>
      </c>
      <c r="G32" s="35" t="str">
        <f aca="false">IF(ISNUMBER(輸入與假設!G$329),輸入與假設!G$329,"不適用")</f>
        <v>不適用</v>
      </c>
      <c r="H32" s="35" t="str">
        <f aca="false">IF(ISNUMBER(輸入與假設!H$329),輸入與假設!H$329,"不適用")</f>
        <v>不適用</v>
      </c>
    </row>
    <row r="33" customFormat="false" ht="15" hidden="true" customHeight="false" outlineLevel="1" collapsed="false">
      <c r="A33" s="3" t="s">
        <v>919</v>
      </c>
      <c r="B33" s="12" t="s">
        <v>93</v>
      </c>
      <c r="C33" s="35" t="n">
        <f aca="false">IF(ISNUMBER(輸入與假設!C$330),輸入與假設!C$330,"不適用")</f>
        <v>0.2</v>
      </c>
      <c r="D33" s="35" t="str">
        <f aca="false">IF(ISNUMBER(輸入與假設!D$330),輸入與假設!D$330,"不適用")</f>
        <v>不適用</v>
      </c>
      <c r="E33" s="35" t="str">
        <f aca="false">IF(ISNUMBER(輸入與假設!E$330),輸入與假設!E$330,"不適用")</f>
        <v>不適用</v>
      </c>
      <c r="F33" s="35" t="str">
        <f aca="false">IF(ISNUMBER(輸入與假設!F$330),輸入與假設!F$330,"不適用")</f>
        <v>不適用</v>
      </c>
      <c r="G33" s="35" t="str">
        <f aca="false">IF(ISNUMBER(輸入與假設!G$330),輸入與假設!G$330,"不適用")</f>
        <v>不適用</v>
      </c>
      <c r="H33" s="35" t="str">
        <f aca="false">IF(ISNUMBER(輸入與假設!H$330),輸入與假設!H$330,"不適用")</f>
        <v>不適用</v>
      </c>
    </row>
    <row r="34" customFormat="false" ht="15" hidden="true" customHeight="false" outlineLevel="1" collapsed="false">
      <c r="A34" s="3" t="s">
        <v>920</v>
      </c>
      <c r="B34" s="12" t="s">
        <v>93</v>
      </c>
      <c r="C34" s="35" t="n">
        <f aca="false">IF(ISNUMBER(輸入與假設!C$331),輸入與假設!C$331,"不適用")</f>
        <v>0.26</v>
      </c>
      <c r="D34" s="35" t="str">
        <f aca="false">IF(ISNUMBER(輸入與假設!D$331),輸入與假設!D$331,"不適用")</f>
        <v>不適用</v>
      </c>
      <c r="E34" s="35" t="str">
        <f aca="false">IF(ISNUMBER(輸入與假設!E$331),輸入與假設!E$331,"不適用")</f>
        <v>不適用</v>
      </c>
      <c r="F34" s="35" t="str">
        <f aca="false">IF(ISNUMBER(輸入與假設!F$331),輸入與假設!F$331,"不適用")</f>
        <v>不適用</v>
      </c>
      <c r="G34" s="35" t="str">
        <f aca="false">IF(ISNUMBER(輸入與假設!G$331),輸入與假設!G$331,"不適用")</f>
        <v>不適用</v>
      </c>
      <c r="H34" s="35" t="str">
        <f aca="false">IF(ISNUMBER(輸入與假設!H$331),輸入與假設!H$331,"不適用")</f>
        <v>不適用</v>
      </c>
    </row>
    <row r="35" customFormat="false" ht="15" hidden="true" customHeight="false" outlineLevel="1" collapsed="false">
      <c r="A35" s="3" t="s">
        <v>921</v>
      </c>
      <c r="C35" s="46" t="str">
        <f aca="false">IF(ISTEXT(輸入與假設!C$334),輸入與假設!C$334,"")</f>
        <v/>
      </c>
      <c r="D35" s="46" t="str">
        <f aca="false">IF(ISTEXT(輸入與假設!D$334),輸入與假設!D$334,"")</f>
        <v>調整後營業利益率 low teens</v>
      </c>
      <c r="E35" s="46" t="str">
        <f aca="false">IF(ISTEXT(輸入與假設!E$334),輸入與假設!E$334,"")</f>
        <v/>
      </c>
      <c r="F35" s="46" t="str">
        <f aca="false">IF(ISTEXT(輸入與假設!F$334),輸入與假設!F$334,"")</f>
        <v/>
      </c>
      <c r="G35" s="46" t="str">
        <f aca="false">IF(ISTEXT(輸入與假設!G$334),輸入與假設!G$334,"")</f>
        <v/>
      </c>
      <c r="H35" s="46" t="str">
        <f aca="false">IF(ISTEXT(輸入與假設!H$334),輸入與假設!H$334,"")</f>
        <v/>
      </c>
      <c r="J35" s="7" t="s">
        <v>922</v>
      </c>
    </row>
    <row r="36" customFormat="false" ht="15" hidden="true" customHeight="false" outlineLevel="1" collapsed="false">
      <c r="A36" s="3" t="s">
        <v>923</v>
      </c>
      <c r="B36" s="12" t="s">
        <v>93</v>
      </c>
      <c r="C36" s="35" t="n">
        <f aca="false">IF(ISNUMBER(輸入與假設!C$332),輸入與假設!C$332,"不適用")</f>
        <v>11.5</v>
      </c>
      <c r="D36" s="35" t="str">
        <f aca="false">IF(ISNUMBER(輸入與假設!D$332),輸入與假設!D$332,"不適用")</f>
        <v>不適用</v>
      </c>
      <c r="E36" s="35" t="str">
        <f aca="false">IF(ISNUMBER(輸入與假設!E$332),輸入與假設!E$332,"不適用")</f>
        <v>不適用</v>
      </c>
      <c r="F36" s="35" t="str">
        <f aca="false">IF(ISNUMBER(輸入與假設!F$332),輸入與假設!F$332,"不適用")</f>
        <v>不適用</v>
      </c>
      <c r="G36" s="35" t="str">
        <f aca="false">IF(ISNUMBER(輸入與假設!G$332),輸入與假設!G$332,"不適用")</f>
        <v>不適用</v>
      </c>
      <c r="H36" s="35" t="str">
        <f aca="false">IF(ISNUMBER(輸入與假設!H$332),輸入與假設!H$332,"不適用")</f>
        <v>不適用</v>
      </c>
    </row>
    <row r="37" customFormat="false" ht="15" hidden="true" customHeight="false" outlineLevel="1" collapsed="false">
      <c r="A37" s="3" t="s">
        <v>924</v>
      </c>
      <c r="B37" s="12" t="s">
        <v>93</v>
      </c>
      <c r="C37" s="35" t="n">
        <f aca="false">IF(ISNUMBER(輸入與假設!C$333),輸入與假設!C$333,"不適用")</f>
        <v>13.5</v>
      </c>
      <c r="D37" s="35" t="str">
        <f aca="false">IF(ISNUMBER(輸入與假設!D$333),輸入與假設!D$333,"不適用")</f>
        <v>不適用</v>
      </c>
      <c r="E37" s="35" t="str">
        <f aca="false">IF(ISNUMBER(輸入與假設!E$333),輸入與假設!E$333,"不適用")</f>
        <v>不適用</v>
      </c>
      <c r="F37" s="35" t="str">
        <f aca="false">IF(ISNUMBER(輸入與假設!F$333),輸入與假設!F$333,"不適用")</f>
        <v>不適用</v>
      </c>
      <c r="G37" s="35" t="str">
        <f aca="false">IF(ISNUMBER(輸入與假設!G$333),輸入與假設!G$333,"不適用")</f>
        <v>不適用</v>
      </c>
      <c r="H37" s="35" t="str">
        <f aca="false">IF(ISNUMBER(輸入與假設!H$333),輸入與假設!H$333,"不適用")</f>
        <v>不適用</v>
      </c>
    </row>
    <row r="38" customFormat="false" ht="15" hidden="true" customHeight="false" outlineLevel="1" collapsed="false">
      <c r="A38" s="4" t="s">
        <v>925</v>
      </c>
      <c r="B38" s="12" t="s">
        <v>93</v>
      </c>
      <c r="C38" s="35" t="n">
        <f aca="false">IF(AND(ISNUMBER(C36),ISNUMBER(C37)),((C36+C37)/2),"")</f>
        <v>12.5</v>
      </c>
      <c r="D38" s="35" t="str">
        <f aca="false">IF(AND(ISNUMBER(D36),ISNUMBER(D37)),((D36+D37)/2),"")</f>
        <v/>
      </c>
      <c r="E38" s="35" t="str">
        <f aca="false">IF(AND(ISNUMBER(E36),ISNUMBER(E37)),((E36+E37)/2),"")</f>
        <v/>
      </c>
      <c r="F38" s="35" t="str">
        <f aca="false">IF(AND(ISNUMBER(F36),ISNUMBER(F37)),((F36+F37)/2),"")</f>
        <v/>
      </c>
      <c r="G38" s="35" t="str">
        <f aca="false">IF(AND(ISNUMBER(G36),ISNUMBER(G37)),((G36+G37)/2),"")</f>
        <v/>
      </c>
      <c r="H38" s="35" t="str">
        <f aca="false">IF(AND(ISNUMBER(H36),ISNUMBER(H37)),((H36+H37)/2),"")</f>
        <v/>
      </c>
      <c r="J38" s="7" t="s">
        <v>926</v>
      </c>
    </row>
    <row r="39" customFormat="false" ht="15" hidden="true" customHeight="false" outlineLevel="1" collapsed="false">
      <c r="A39" s="4" t="s">
        <v>927</v>
      </c>
      <c r="B39" s="12" t="s">
        <v>179</v>
      </c>
      <c r="C39" s="29" t="n">
        <f aca="false">IF(ISNUMBER(C38),0,C21)</f>
        <v>0</v>
      </c>
      <c r="D39" s="29" t="n">
        <f aca="false">IF(ISNUMBER(D38),0,D21)</f>
        <v>175</v>
      </c>
      <c r="E39" s="29" t="n">
        <f aca="false">IF(ISNUMBER(E38),0,E21)</f>
        <v>312.5</v>
      </c>
      <c r="F39" s="29" t="n">
        <f aca="false">IF(ISNUMBER(F38),0,F21)</f>
        <v>312.5</v>
      </c>
      <c r="G39" s="29" t="n">
        <f aca="false">IF(ISNUMBER(G38),0,G21)</f>
        <v>312.5</v>
      </c>
      <c r="H39" s="29" t="n">
        <f aca="false">IF(ISNUMBER(H38),0,H21)</f>
        <v>312.5</v>
      </c>
      <c r="J39" s="7" t="s">
        <v>928</v>
      </c>
    </row>
    <row r="40" customFormat="false" ht="15" hidden="true" customHeight="false" outlineLevel="1" collapsed="false">
      <c r="A40" s="4" t="s">
        <v>929</v>
      </c>
      <c r="B40" s="12" t="s">
        <v>93</v>
      </c>
      <c r="C40" s="35" t="n">
        <f aca="false">IF(ISNUMBER(C38),C38,IF((C39+D39)&gt;0,(輸入與假設!C$147-SUM(C38,D38))*C39/(C39+D39),(輸入與假設!C$147-SUM(C38,D38))/(2-COUNT(C38,D38))))</f>
        <v>12.5</v>
      </c>
      <c r="D40" s="35" t="n">
        <f aca="false">IF(ISNUMBER(D38),D38,IF((C39+D39)&gt;0,(輸入與假設!C$147-SUM(C38,D38))*D39/(C39+D39),(輸入與假設!C$147-SUM(C38,D38))/(2-COUNT(C38,D38))))</f>
        <v>9.161888825</v>
      </c>
      <c r="E40" s="35" t="n">
        <f aca="false">IF(ISNUMBER(E38),E38,IF((E39+F39+G39+H39)&gt;0,(輸入與假設!D$147-SUM(E38,F38,G38,H38))*E39/(E39+F39+G39+H39),(輸入與假設!D$147-SUM(E38,F38,G38,H38))/(4-COUNT(E38,F38,G38,H38))))</f>
        <v>10.574802205</v>
      </c>
      <c r="F40" s="35" t="n">
        <f aca="false">IF(ISNUMBER(F38),F38,IF((E39+F39+G39+H39)&gt;0,(輸入與假設!D$147-SUM(E38,F38,G38,H38))*F39/(E39+F39+G39+H39),(輸入與假設!D$147-SUM(E38,F38,G38,H38))/(4-COUNT(E38,F38,G38,H38))))</f>
        <v>10.574802205</v>
      </c>
      <c r="G40" s="35" t="n">
        <f aca="false">IF(ISNUMBER(G38),G38,IF((E39+F39+G39+H39)&gt;0,(輸入與假設!D$147-SUM(E38,F38,G38,H38))*G39/(E39+F39+G39+H39),(輸入與假設!D$147-SUM(E38,F38,G38,H38))/(4-COUNT(E38,F38,G38,H38))))</f>
        <v>10.574802205</v>
      </c>
      <c r="H40" s="35" t="n">
        <f aca="false">IF(ISNUMBER(H38),H38,IF((E39+F39+G39+H39)&gt;0,(輸入與假設!D$147-SUM(E38,F38,G38,H38))*H39/(E39+F39+G39+H39),(輸入與假設!D$147-SUM(E38,F38,G38,H38))/(4-COUNT(E38,F38,G38,H38))))</f>
        <v>10.574802205</v>
      </c>
      <c r="J40" s="7" t="s">
        <v>930</v>
      </c>
    </row>
    <row r="41" customFormat="false" ht="15" hidden="true" customHeight="false" outlineLevel="1" collapsed="false">
      <c r="A41" s="3" t="s">
        <v>931</v>
      </c>
      <c r="B41" s="12" t="s">
        <v>93</v>
      </c>
      <c r="C41" s="35" t="n">
        <f aca="false">IF(ISNUMBER(輸入與假設!$C$287),輸入與假設!$C$287,"不適用")</f>
        <v>3.541</v>
      </c>
      <c r="D41" s="35" t="n">
        <f aca="false">IF(ISNUMBER(輸入與假設!$D$287),輸入與假設!$D$287,"不適用")</f>
        <v>4.706</v>
      </c>
      <c r="E41" s="68" t="s">
        <v>884</v>
      </c>
      <c r="F41" s="68" t="s">
        <v>884</v>
      </c>
      <c r="G41" s="68" t="s">
        <v>884</v>
      </c>
      <c r="H41" s="68" t="s">
        <v>884</v>
      </c>
      <c r="J41" s="12" t="s">
        <v>932</v>
      </c>
    </row>
    <row r="42" customFormat="false" ht="15" hidden="true" customHeight="false" outlineLevel="1" collapsed="false">
      <c r="A42" s="3" t="s">
        <v>933</v>
      </c>
      <c r="B42" s="12" t="s">
        <v>93</v>
      </c>
      <c r="C42" s="68" t="n">
        <f aca="false">IF(ISNUMBER(輸入與假設!$C$288),輸入與假設!$C$288,"不適用")</f>
        <v>2.047</v>
      </c>
      <c r="D42" s="68" t="n">
        <f aca="false">IF(ISNUMBER(輸入與假設!$D$288),輸入與假設!$D$288,"不適用")</f>
        <v>2.897</v>
      </c>
      <c r="E42" s="68" t="s">
        <v>884</v>
      </c>
      <c r="F42" s="68" t="s">
        <v>884</v>
      </c>
      <c r="G42" s="68" t="s">
        <v>884</v>
      </c>
      <c r="H42" s="68" t="s">
        <v>884</v>
      </c>
      <c r="J42" s="12" t="s">
        <v>932</v>
      </c>
    </row>
    <row r="43" customFormat="false" ht="15" hidden="true" customHeight="false" outlineLevel="1" collapsed="false">
      <c r="A43" s="3" t="s">
        <v>934</v>
      </c>
      <c r="B43" s="12" t="s">
        <v>77</v>
      </c>
      <c r="C43" s="31" t="n">
        <f aca="false">IF(AND(ISNUMBER(輸入與假設!$C$288),ISNUMBER(輸入與假設!$C$287)),輸入與假設!$C$288/輸入與假設!$C$287,"不適用")</f>
        <v>0.578085286642192</v>
      </c>
      <c r="D43" s="31" t="n">
        <f aca="false">IF(AND(ISNUMBER(輸入與假設!$D$288),ISNUMBER(輸入與假設!$D$287)),輸入與假設!$D$288/輸入與假設!$D$287,"不適用")</f>
        <v>0.615597110072248</v>
      </c>
      <c r="E43" s="69" t="s">
        <v>884</v>
      </c>
      <c r="F43" s="69" t="s">
        <v>884</v>
      </c>
      <c r="G43" s="69" t="s">
        <v>884</v>
      </c>
      <c r="H43" s="69" t="s">
        <v>884</v>
      </c>
      <c r="J43" s="7" t="s">
        <v>935</v>
      </c>
    </row>
    <row r="44" customFormat="false" ht="15" hidden="true" customHeight="false" outlineLevel="1" collapsed="false">
      <c r="A44" s="3" t="s">
        <v>936</v>
      </c>
      <c r="B44" s="12" t="s">
        <v>93</v>
      </c>
      <c r="C44" s="68" t="n">
        <f aca="false">IF(ISNUMBER(輸入與假設!$C$289),輸入與假設!$C$289,"不適用")</f>
        <v>0.2408</v>
      </c>
      <c r="D44" s="68" t="n">
        <f aca="false">IF(ISNUMBER(輸入與假設!$D$289),輸入與假設!$D$289,"不適用")</f>
        <v>0.6805</v>
      </c>
      <c r="E44" s="68" t="s">
        <v>884</v>
      </c>
      <c r="F44" s="68" t="s">
        <v>884</v>
      </c>
      <c r="G44" s="68" t="s">
        <v>884</v>
      </c>
      <c r="H44" s="68" t="s">
        <v>884</v>
      </c>
      <c r="J44" s="7" t="s">
        <v>937</v>
      </c>
    </row>
    <row r="45" customFormat="false" ht="15" hidden="true" customHeight="false" outlineLevel="1" collapsed="false">
      <c r="A45" s="3" t="s">
        <v>938</v>
      </c>
      <c r="B45" s="12" t="s">
        <v>93</v>
      </c>
      <c r="C45" s="43" t="str">
        <f aca="false">IF(ISNUMBER(輸入與假設!C$320),輸入與假設!C$320,"")</f>
        <v/>
      </c>
      <c r="D45" s="43" t="str">
        <f aca="false">IF(ISNUMBER(輸入與假設!D$320),輸入與假設!D$320,"")</f>
        <v/>
      </c>
      <c r="E45" s="43" t="str">
        <f aca="false">IF(ISNUMBER(輸入與假設!E$320),輸入與假設!E$320,"")</f>
        <v/>
      </c>
      <c r="F45" s="43" t="str">
        <f aca="false">IF(ISNUMBER(輸入與假設!F$320),輸入與假設!F$320,"")</f>
        <v/>
      </c>
      <c r="G45" s="43" t="str">
        <f aca="false">IF(ISNUMBER(輸入與假設!G$320),輸入與假設!G$320,"")</f>
        <v/>
      </c>
      <c r="H45" s="43" t="str">
        <f aca="false">IF(ISNUMBER(輸入與假設!H$320),輸入與假設!H$320,"")</f>
        <v/>
      </c>
    </row>
    <row r="46" customFormat="false" ht="15" hidden="true" customHeight="false" outlineLevel="1" collapsed="false">
      <c r="A46" s="3" t="s">
        <v>939</v>
      </c>
      <c r="B46" s="12" t="s">
        <v>93</v>
      </c>
      <c r="C46" s="43" t="str">
        <f aca="false">IF(ISNUMBER(輸入與假設!C$321),輸入與假設!C$321,"")</f>
        <v/>
      </c>
      <c r="D46" s="43" t="str">
        <f aca="false">IF(ISNUMBER(輸入與假設!D$321),輸入與假設!D$321,"")</f>
        <v/>
      </c>
      <c r="E46" s="43" t="str">
        <f aca="false">IF(ISNUMBER(輸入與假設!E$321),輸入與假設!E$321,"")</f>
        <v/>
      </c>
      <c r="F46" s="43" t="str">
        <f aca="false">IF(ISNUMBER(輸入與假設!F$321),輸入與假設!F$321,"")</f>
        <v/>
      </c>
      <c r="G46" s="43" t="str">
        <f aca="false">IF(ISNUMBER(輸入與假設!G$321),輸入與假設!G$321,"")</f>
        <v/>
      </c>
      <c r="H46" s="43" t="str">
        <f aca="false">IF(ISNUMBER(輸入與假設!H$321),輸入與假設!H$321,"")</f>
        <v/>
      </c>
    </row>
    <row r="47" customFormat="false" ht="15" hidden="true" customHeight="false" outlineLevel="1" collapsed="false">
      <c r="A47" s="3" t="s">
        <v>940</v>
      </c>
      <c r="B47" s="12" t="s">
        <v>77</v>
      </c>
      <c r="C47" s="69" t="str">
        <f aca="false">IF(AND(ISNUMBER(輸入與假設!C$321),ISNUMBER(輸入與假設!C$320)),輸入與假設!C$321/輸入與假設!C$320,"")</f>
        <v/>
      </c>
      <c r="D47" s="69" t="str">
        <f aca="false">IF(AND(ISNUMBER(輸入與假設!D$321),ISNUMBER(輸入與假設!D$320)),輸入與假設!D$321/輸入與假設!D$320,"")</f>
        <v/>
      </c>
      <c r="E47" s="69" t="str">
        <f aca="false">IF(AND(ISNUMBER(輸入與假設!E$321),ISNUMBER(輸入與假設!E$320)),輸入與假設!E$321/輸入與假設!E$320,"")</f>
        <v/>
      </c>
      <c r="F47" s="69" t="str">
        <f aca="false">IF(AND(ISNUMBER(輸入與假設!F$321),ISNUMBER(輸入與假設!F$320)),輸入與假設!F$321/輸入與假設!F$320,"")</f>
        <v/>
      </c>
      <c r="G47" s="69" t="str">
        <f aca="false">IF(AND(ISNUMBER(輸入與假設!G$321),ISNUMBER(輸入與假設!G$320)),輸入與假設!G$321/輸入與假設!G$320,"")</f>
        <v/>
      </c>
      <c r="H47" s="69" t="str">
        <f aca="false">IF(AND(ISNUMBER(輸入與假設!H$321),ISNUMBER(輸入與假設!H$320)),輸入與假設!H$321/輸入與假設!H$320,"")</f>
        <v/>
      </c>
      <c r="J47" s="7" t="s">
        <v>941</v>
      </c>
    </row>
    <row r="48" customFormat="false" ht="15" hidden="true" customHeight="false" outlineLevel="1" collapsed="false">
      <c r="A48" s="3" t="s">
        <v>942</v>
      </c>
      <c r="B48" s="12" t="s">
        <v>93</v>
      </c>
      <c r="C48" s="43" t="str">
        <f aca="false">IF(ISNUMBER(輸入與假設!C$322),輸入與假設!C$322,"")</f>
        <v/>
      </c>
      <c r="D48" s="43" t="str">
        <f aca="false">IF(ISNUMBER(輸入與假設!D$322),輸入與假設!D$322,"")</f>
        <v/>
      </c>
      <c r="E48" s="43" t="str">
        <f aca="false">IF(ISNUMBER(輸入與假設!E$322),輸入與假設!E$322,"")</f>
        <v/>
      </c>
      <c r="F48" s="43" t="str">
        <f aca="false">IF(ISNUMBER(輸入與假設!F$322),輸入與假設!F$322,"")</f>
        <v/>
      </c>
      <c r="G48" s="43" t="str">
        <f aca="false">IF(ISNUMBER(輸入與假設!G$322),輸入與假設!G$322,"")</f>
        <v/>
      </c>
      <c r="H48" s="43" t="str">
        <f aca="false">IF(ISNUMBER(輸入與假設!H$322),輸入與假設!H$322,"")</f>
        <v/>
      </c>
    </row>
    <row r="49" customFormat="false" ht="15" hidden="true" customHeight="false" outlineLevel="1" collapsed="false">
      <c r="A49" s="3" t="s">
        <v>943</v>
      </c>
      <c r="B49" s="12" t="s">
        <v>93</v>
      </c>
      <c r="C49" s="43" t="str">
        <f aca="false">IF(ISNUMBER(輸入與假設!C$323),輸入與假設!C$323,"")</f>
        <v/>
      </c>
      <c r="D49" s="43" t="str">
        <f aca="false">IF(ISNUMBER(輸入與假設!D$323),輸入與假設!D$323,"")</f>
        <v/>
      </c>
      <c r="E49" s="43" t="str">
        <f aca="false">IF(ISNUMBER(輸入與假設!E$323),輸入與假設!E$323,"")</f>
        <v/>
      </c>
      <c r="F49" s="43" t="str">
        <f aca="false">IF(ISNUMBER(輸入與假設!F$323),輸入與假設!F$323,"")</f>
        <v/>
      </c>
      <c r="G49" s="43" t="str">
        <f aca="false">IF(ISNUMBER(輸入與假設!G$323),輸入與假設!G$323,"")</f>
        <v/>
      </c>
      <c r="H49" s="43" t="str">
        <f aca="false">IF(ISNUMBER(輸入與假設!H$323),輸入與假設!H$323,"")</f>
        <v/>
      </c>
    </row>
    <row r="50" customFormat="false" ht="15" hidden="true" customHeight="false" outlineLevel="1" collapsed="false">
      <c r="A50" s="3" t="s">
        <v>944</v>
      </c>
      <c r="B50" s="12" t="s">
        <v>179</v>
      </c>
      <c r="C50" s="43" t="str">
        <f aca="false">IF(ISNUMBER(輸入與假設!C$324),輸入與假設!C$324,"")</f>
        <v/>
      </c>
      <c r="D50" s="43" t="str">
        <f aca="false">IF(ISNUMBER(輸入與假設!D$324),輸入與假設!D$324,"")</f>
        <v/>
      </c>
      <c r="E50" s="43" t="str">
        <f aca="false">IF(ISNUMBER(輸入與假設!E$324),輸入與假設!E$324,"")</f>
        <v/>
      </c>
      <c r="F50" s="43" t="str">
        <f aca="false">IF(ISNUMBER(輸入與假設!F$324),輸入與假設!F$324,"")</f>
        <v/>
      </c>
      <c r="G50" s="43" t="str">
        <f aca="false">IF(ISNUMBER(輸入與假設!G$324),輸入與假設!G$324,"")</f>
        <v/>
      </c>
      <c r="H50" s="43" t="str">
        <f aca="false">IF(ISNUMBER(輸入與假設!H$324),輸入與假設!H$324,"")</f>
        <v/>
      </c>
    </row>
    <row r="51" customFormat="false" ht="15" hidden="true" customHeight="false" outlineLevel="1" collapsed="false">
      <c r="A51" s="3" t="s">
        <v>945</v>
      </c>
      <c r="B51" s="12" t="s">
        <v>77</v>
      </c>
      <c r="C51" s="69" t="n">
        <f aca="false">IF(AND(ISNUMBER(C22),ISNUMBER(C41),C41&lt;&gt;0),C22/(C41)-1,"不適用")</f>
        <v>-0.155465077200268</v>
      </c>
      <c r="D51" s="69" t="n">
        <f aca="false">IF(AND(ISNUMBER(D22),ISNUMBER(D41),D41&lt;&gt;0),D22/(D41)-1,"不適用")</f>
        <v>-0.276243875208733</v>
      </c>
      <c r="E51" s="69" t="str">
        <f aca="false">IF(AND(ISNUMBER(E22),ISNUMBER(E41),E41&lt;&gt;0),E22/(E41)-1,"不適用")</f>
        <v>不適用</v>
      </c>
      <c r="F51" s="69" t="str">
        <f aca="false">IF(AND(ISNUMBER(F22),ISNUMBER(F41),F41&lt;&gt;0),F22/(F41)-1,"不適用")</f>
        <v>不適用</v>
      </c>
      <c r="G51" s="69" t="str">
        <f aca="false">IF(AND(ISNUMBER(G22),ISNUMBER(G41),G41&lt;&gt;0),G22/(G41)-1,"不適用")</f>
        <v>不適用</v>
      </c>
      <c r="H51" s="69" t="str">
        <f aca="false">IF(AND(ISNUMBER(H22),ISNUMBER(H41),H41&lt;&gt;0),H22/(H41)-1,"不適用")</f>
        <v>不適用</v>
      </c>
    </row>
    <row r="52" customFormat="false" ht="15" hidden="true" customHeight="false" outlineLevel="1" collapsed="false">
      <c r="A52" s="3" t="s">
        <v>946</v>
      </c>
      <c r="B52" s="12" t="s">
        <v>77</v>
      </c>
      <c r="C52" s="69" t="n">
        <f aca="false">IF(AND(ISNUMBER(C22),ISNUMBER(C31),ISNUMBER(C32)),C22/(((C31+C32)/2))-1,"不適用")</f>
        <v>-0.151631727196071</v>
      </c>
      <c r="D52" s="69" t="str">
        <f aca="false">IF(AND(ISNUMBER(D22),ISNUMBER(D31),ISNUMBER(D32)),D22/(((D31+D32)/2))-1,"不適用")</f>
        <v>不適用</v>
      </c>
      <c r="E52" s="69" t="str">
        <f aca="false">IF(AND(ISNUMBER(E22),ISNUMBER(E31),ISNUMBER(E32)),E22/(((E31+E32)/2))-1,"不適用")</f>
        <v>不適用</v>
      </c>
      <c r="F52" s="69" t="str">
        <f aca="false">IF(AND(ISNUMBER(F22),ISNUMBER(F31),ISNUMBER(F32)),F22/(((F31+F32)/2))-1,"不適用")</f>
        <v>不適用</v>
      </c>
      <c r="G52" s="69" t="str">
        <f aca="false">IF(AND(ISNUMBER(G22),ISNUMBER(G31),ISNUMBER(G32)),G22/(((G31+G32)/2))-1,"不適用")</f>
        <v>不適用</v>
      </c>
      <c r="H52" s="69" t="str">
        <f aca="false">IF(AND(ISNUMBER(H22),ISNUMBER(H31),ISNUMBER(H32)),H22/(((H31+H32)/2))-1,"不適用")</f>
        <v>不適用</v>
      </c>
    </row>
    <row r="53" customFormat="false" ht="15" hidden="true" customHeight="false" outlineLevel="1" collapsed="false">
      <c r="A53" s="3" t="s">
        <v>947</v>
      </c>
      <c r="B53" s="12" t="s">
        <v>77</v>
      </c>
      <c r="C53" s="69" t="str">
        <f aca="false">IF(ISNUMBER(C45),IF(AND(ISNUMBER(C22),C22&lt;&gt;0),C45/(C22)-1,"不適用"),"")</f>
        <v/>
      </c>
      <c r="D53" s="69" t="str">
        <f aca="false">IF(ISNUMBER(D45),IF(AND(ISNUMBER(D22),D22&lt;&gt;0),D45/(D22)-1,"不適用"),"")</f>
        <v/>
      </c>
      <c r="E53" s="69" t="str">
        <f aca="false">IF(ISNUMBER(E45),IF(AND(ISNUMBER(E22),E22&lt;&gt;0),E45/(E22)-1,"不適用"),"")</f>
        <v/>
      </c>
      <c r="F53" s="69" t="str">
        <f aca="false">IF(ISNUMBER(F45),IF(AND(ISNUMBER(F22),F22&lt;&gt;0),F45/(F22)-1,"不適用"),"")</f>
        <v/>
      </c>
      <c r="G53" s="69" t="str">
        <f aca="false">IF(ISNUMBER(G45),IF(AND(ISNUMBER(G22),G22&lt;&gt;0),G45/(G22)-1,"不適用"),"")</f>
        <v/>
      </c>
      <c r="H53" s="69" t="str">
        <f aca="false">IF(ISNUMBER(H45),IF(AND(ISNUMBER(H22),H22&lt;&gt;0),H45/(H22)-1,"不適用"),"")</f>
        <v/>
      </c>
    </row>
    <row r="54" customFormat="false" ht="15" hidden="true" customHeight="false" outlineLevel="1" collapsed="false">
      <c r="A54" s="3" t="s">
        <v>948</v>
      </c>
      <c r="B54" s="12" t="s">
        <v>77</v>
      </c>
      <c r="C54" s="69" t="str">
        <f aca="false">IF(ISNUMBER(C45),IF(AND(ISNUMBER(C41),C41&lt;&gt;0),C45/(C41)-1,"不適用"),"")</f>
        <v/>
      </c>
      <c r="D54" s="69" t="str">
        <f aca="false">IF(ISNUMBER(D45),IF(AND(ISNUMBER(D41),D41&lt;&gt;0),D45/(D41)-1,"不適用"),"")</f>
        <v/>
      </c>
      <c r="E54" s="69" t="str">
        <f aca="false">IF(ISNUMBER(E45),IF(AND(ISNUMBER(E41),E41&lt;&gt;0),E45/(E41)-1,"不適用"),"")</f>
        <v/>
      </c>
      <c r="F54" s="69" t="str">
        <f aca="false">IF(ISNUMBER(F45),IF(AND(ISNUMBER(F41),F41&lt;&gt;0),F45/(F41)-1,"不適用"),"")</f>
        <v/>
      </c>
      <c r="G54" s="69" t="str">
        <f aca="false">IF(ISNUMBER(G45),IF(AND(ISNUMBER(G41),G41&lt;&gt;0),G45/(G41)-1,"不適用"),"")</f>
        <v/>
      </c>
      <c r="H54" s="69" t="str">
        <f aca="false">IF(ISNUMBER(H45),IF(AND(ISNUMBER(H41),H41&lt;&gt;0),H45/(H41)-1,"不適用"),"")</f>
        <v/>
      </c>
    </row>
    <row r="55" customFormat="false" ht="15" hidden="true" customHeight="false" outlineLevel="1" collapsed="false">
      <c r="A55" s="3" t="s">
        <v>949</v>
      </c>
      <c r="B55" s="12" t="s">
        <v>77</v>
      </c>
      <c r="C55" s="69" t="str">
        <f aca="false">IF(ISNUMBER(C45),IF(AND(ISNUMBER(C31),ISNUMBER(C32)),C45/(((C31+C32)/2))-1,"不適用"),"")</f>
        <v/>
      </c>
      <c r="D55" s="69" t="str">
        <f aca="false">IF(ISNUMBER(D45),IF(AND(ISNUMBER(D31),ISNUMBER(D32)),D45/(((D31+D32)/2))-1,"不適用"),"")</f>
        <v/>
      </c>
      <c r="E55" s="69" t="str">
        <f aca="false">IF(ISNUMBER(E45),IF(AND(ISNUMBER(E31),ISNUMBER(E32)),E45/(((E31+E32)/2))-1,"不適用"),"")</f>
        <v/>
      </c>
      <c r="F55" s="69" t="str">
        <f aca="false">IF(ISNUMBER(F45),IF(AND(ISNUMBER(F31),ISNUMBER(F32)),F45/(((F31+F32)/2))-1,"不適用"),"")</f>
        <v/>
      </c>
      <c r="G55" s="69" t="str">
        <f aca="false">IF(ISNUMBER(G45),IF(AND(ISNUMBER(G31),ISNUMBER(G32)),G45/(((G31+G32)/2))-1,"不適用"),"")</f>
        <v/>
      </c>
      <c r="H55" s="69" t="str">
        <f aca="false">IF(ISNUMBER(H45),IF(AND(ISNUMBER(H31),ISNUMBER(H32)),H45/(((H31+H32)/2))-1,"不適用"),"")</f>
        <v/>
      </c>
    </row>
    <row r="56" customFormat="false" ht="15" hidden="true" customHeight="false" outlineLevel="1" collapsed="false">
      <c r="A56" s="3" t="s">
        <v>950</v>
      </c>
      <c r="B56" s="12" t="s">
        <v>93</v>
      </c>
      <c r="C56" s="68" t="n">
        <f aca="false">IF(AND(ISNUMBER(C28),ISNUMBER(C42)),C28-(C42),"不適用")</f>
        <v>-0.678517146175534</v>
      </c>
      <c r="D56" s="68" t="n">
        <f aca="false">IF(AND(ISNUMBER(D28),ISNUMBER(D42)),D28-(D42),"不適用")</f>
        <v>-1.31210995377887</v>
      </c>
      <c r="E56" s="68" t="str">
        <f aca="false">IF(AND(ISNUMBER(E28),ISNUMBER(E42)),E28-(E42),"不適用")</f>
        <v>不適用</v>
      </c>
      <c r="F56" s="68" t="str">
        <f aca="false">IF(AND(ISNUMBER(F28),ISNUMBER(F42)),F28-(F42),"不適用")</f>
        <v>不適用</v>
      </c>
      <c r="G56" s="68" t="str">
        <f aca="false">IF(AND(ISNUMBER(G28),ISNUMBER(G42)),G28-(G42),"不適用")</f>
        <v>不適用</v>
      </c>
      <c r="H56" s="68" t="str">
        <f aca="false">IF(AND(ISNUMBER(H28),ISNUMBER(H42)),H28-(H42),"不適用")</f>
        <v>不適用</v>
      </c>
    </row>
    <row r="57" customFormat="false" ht="15" hidden="true" customHeight="false" outlineLevel="1" collapsed="false">
      <c r="A57" s="3" t="s">
        <v>951</v>
      </c>
      <c r="B57" s="12" t="s">
        <v>93</v>
      </c>
      <c r="C57" s="68" t="s">
        <v>884</v>
      </c>
      <c r="D57" s="68" t="s">
        <v>884</v>
      </c>
      <c r="E57" s="68" t="s">
        <v>884</v>
      </c>
      <c r="F57" s="68" t="s">
        <v>884</v>
      </c>
      <c r="G57" s="68" t="s">
        <v>884</v>
      </c>
      <c r="H57" s="68" t="s">
        <v>884</v>
      </c>
    </row>
    <row r="58" customFormat="false" ht="15" hidden="true" customHeight="false" outlineLevel="1" collapsed="false">
      <c r="A58" s="3" t="s">
        <v>952</v>
      </c>
      <c r="B58" s="12" t="s">
        <v>93</v>
      </c>
      <c r="C58" s="68" t="str">
        <f aca="false">IF(ISNUMBER(C46),IF(AND(ISNUMBER(C28)),C46-(C28),"不適用"),"")</f>
        <v/>
      </c>
      <c r="D58" s="68" t="str">
        <f aca="false">IF(ISNUMBER(D46),IF(AND(ISNUMBER(D28)),D46-(D28),"不適用"),"")</f>
        <v/>
      </c>
      <c r="E58" s="68" t="str">
        <f aca="false">IF(ISNUMBER(E46),IF(AND(ISNUMBER(E28)),E46-(E28),"不適用"),"")</f>
        <v/>
      </c>
      <c r="F58" s="68" t="str">
        <f aca="false">IF(ISNUMBER(F46),IF(AND(ISNUMBER(F28)),F46-(F28),"不適用"),"")</f>
        <v/>
      </c>
      <c r="G58" s="68" t="str">
        <f aca="false">IF(ISNUMBER(G46),IF(AND(ISNUMBER(G28)),G46-(G28),"不適用"),"")</f>
        <v/>
      </c>
      <c r="H58" s="68" t="str">
        <f aca="false">IF(ISNUMBER(H46),IF(AND(ISNUMBER(H28)),H46-(H28),"不適用"),"")</f>
        <v/>
      </c>
    </row>
    <row r="59" customFormat="false" ht="15" hidden="true" customHeight="false" outlineLevel="1" collapsed="false">
      <c r="A59" s="3" t="s">
        <v>953</v>
      </c>
      <c r="B59" s="12" t="s">
        <v>93</v>
      </c>
      <c r="C59" s="68" t="str">
        <f aca="false">IF(ISNUMBER(C46),IF(AND(ISNUMBER(C42)),C46-(C42),"不適用"),"")</f>
        <v/>
      </c>
      <c r="D59" s="68" t="str">
        <f aca="false">IF(ISNUMBER(D46),IF(AND(ISNUMBER(D42)),D46-(D42),"不適用"),"")</f>
        <v/>
      </c>
      <c r="E59" s="68" t="str">
        <f aca="false">IF(ISNUMBER(E46),IF(AND(ISNUMBER(E42)),E46-(E42),"不適用"),"")</f>
        <v/>
      </c>
      <c r="F59" s="68" t="str">
        <f aca="false">IF(ISNUMBER(F46),IF(AND(ISNUMBER(F42)),F46-(F42),"不適用"),"")</f>
        <v/>
      </c>
      <c r="G59" s="68" t="str">
        <f aca="false">IF(ISNUMBER(G46),IF(AND(ISNUMBER(G42)),G46-(G42),"不適用"),"")</f>
        <v/>
      </c>
      <c r="H59" s="68" t="str">
        <f aca="false">IF(ISNUMBER(H46),IF(AND(ISNUMBER(H42)),H46-(H42),"不適用"),"")</f>
        <v/>
      </c>
    </row>
    <row r="60" customFormat="false" ht="15" hidden="true" customHeight="false" outlineLevel="1" collapsed="false">
      <c r="A60" s="3" t="s">
        <v>954</v>
      </c>
      <c r="B60" s="12" t="s">
        <v>93</v>
      </c>
      <c r="C60" s="68" t="str">
        <f aca="false">IF(ISNUMBER(C46),"不適用","")</f>
        <v/>
      </c>
      <c r="D60" s="68" t="str">
        <f aca="false">IF(ISNUMBER(D46),"不適用","")</f>
        <v/>
      </c>
      <c r="E60" s="68" t="str">
        <f aca="false">IF(ISNUMBER(E46),"不適用","")</f>
        <v/>
      </c>
      <c r="F60" s="68" t="str">
        <f aca="false">IF(ISNUMBER(F46),"不適用","")</f>
        <v/>
      </c>
      <c r="G60" s="68" t="str">
        <f aca="false">IF(ISNUMBER(G46),"不適用","")</f>
        <v/>
      </c>
      <c r="H60" s="68" t="str">
        <f aca="false">IF(ISNUMBER(H46),"不適用","")</f>
        <v/>
      </c>
    </row>
    <row r="61" customFormat="false" ht="15" hidden="true" customHeight="false" outlineLevel="1" collapsed="false">
      <c r="A61" s="3" t="s">
        <v>955</v>
      </c>
      <c r="B61" s="12" t="s">
        <v>105</v>
      </c>
      <c r="C61" s="69" t="n">
        <f aca="false">IF(AND(ISNUMBER(C28),ISNUMBER(C22),C22&lt;&gt;0,ISNUMBER(C42),ISNUMBER(C41),C41&lt;&gt;0),C28/C22-C42/C41,"不適用")</f>
        <v>-0.120474955567185</v>
      </c>
      <c r="D61" s="69" t="n">
        <f aca="false">IF(AND(ISNUMBER(D28),ISNUMBER(D22),D22&lt;&gt;0,ISNUMBER(D42),ISNUMBER(D41),D41&lt;&gt;0),D28/D22-D42/D41,"不適用")</f>
        <v>-0.150273634707896</v>
      </c>
      <c r="E61" s="69" t="str">
        <f aca="false">IF(AND(ISNUMBER(E28),ISNUMBER(E22),E22&lt;&gt;0,ISNUMBER(E42),ISNUMBER(E41),E41&lt;&gt;0),E28/E22-E42/E41,"不適用")</f>
        <v>不適用</v>
      </c>
      <c r="F61" s="69" t="str">
        <f aca="false">IF(AND(ISNUMBER(F28),ISNUMBER(F22),F22&lt;&gt;0,ISNUMBER(F42),ISNUMBER(F41),F41&lt;&gt;0),F28/F22-F42/F41,"不適用")</f>
        <v>不適用</v>
      </c>
      <c r="G61" s="69" t="str">
        <f aca="false">IF(AND(ISNUMBER(G28),ISNUMBER(G22),G22&lt;&gt;0,ISNUMBER(G42),ISNUMBER(G41),G41&lt;&gt;0),G28/G22-G42/G41,"不適用")</f>
        <v>不適用</v>
      </c>
      <c r="H61" s="69" t="str">
        <f aca="false">IF(AND(ISNUMBER(H28),ISNUMBER(H22),H22&lt;&gt;0,ISNUMBER(H42),ISNUMBER(H41),H41&lt;&gt;0),H28/H22-H42/H41,"不適用")</f>
        <v>不適用</v>
      </c>
    </row>
    <row r="62" customFormat="false" ht="15" hidden="true" customHeight="false" outlineLevel="1" collapsed="false">
      <c r="A62" s="3" t="s">
        <v>956</v>
      </c>
      <c r="B62" s="12" t="s">
        <v>105</v>
      </c>
      <c r="C62" s="69" t="s">
        <v>884</v>
      </c>
      <c r="D62" s="69" t="s">
        <v>884</v>
      </c>
      <c r="E62" s="69" t="s">
        <v>884</v>
      </c>
      <c r="F62" s="69" t="s">
        <v>884</v>
      </c>
      <c r="G62" s="69" t="s">
        <v>884</v>
      </c>
      <c r="H62" s="69" t="s">
        <v>884</v>
      </c>
    </row>
    <row r="63" customFormat="false" ht="15" hidden="true" customHeight="false" outlineLevel="1" collapsed="false">
      <c r="A63" s="3" t="s">
        <v>957</v>
      </c>
      <c r="B63" s="12" t="s">
        <v>105</v>
      </c>
      <c r="C63" s="69" t="str">
        <f aca="false">IF(ISNUMBER(C46),IF(AND(ISNUMBER(C46),ISNUMBER(C45),C45&lt;&gt;0,ISNUMBER(C28),ISNUMBER(C22),C22&lt;&gt;0),C46/C45-C28/C22,"不適用"),"")</f>
        <v/>
      </c>
      <c r="D63" s="69" t="str">
        <f aca="false">IF(ISNUMBER(D46),IF(AND(ISNUMBER(D46),ISNUMBER(D45),D45&lt;&gt;0,ISNUMBER(D28),ISNUMBER(D22),D22&lt;&gt;0),D46/D45-D28/D22,"不適用"),"")</f>
        <v/>
      </c>
      <c r="E63" s="69" t="str">
        <f aca="false">IF(ISNUMBER(E46),IF(AND(ISNUMBER(E46),ISNUMBER(E45),E45&lt;&gt;0,ISNUMBER(E28),ISNUMBER(E22),E22&lt;&gt;0),E46/E45-E28/E22,"不適用"),"")</f>
        <v/>
      </c>
      <c r="F63" s="69" t="str">
        <f aca="false">IF(ISNUMBER(F46),IF(AND(ISNUMBER(F46),ISNUMBER(F45),F45&lt;&gt;0,ISNUMBER(F28),ISNUMBER(F22),F22&lt;&gt;0),F46/F45-F28/F22,"不適用"),"")</f>
        <v/>
      </c>
      <c r="G63" s="69" t="str">
        <f aca="false">IF(ISNUMBER(G46),IF(AND(ISNUMBER(G46),ISNUMBER(G45),G45&lt;&gt;0,ISNUMBER(G28),ISNUMBER(G22),G22&lt;&gt;0),G46/G45-G28/G22,"不適用"),"")</f>
        <v/>
      </c>
      <c r="H63" s="69" t="str">
        <f aca="false">IF(ISNUMBER(H46),IF(AND(ISNUMBER(H46),ISNUMBER(H45),H45&lt;&gt;0,ISNUMBER(H28),ISNUMBER(H22),H22&lt;&gt;0),H46/H45-H28/H22,"不適用"),"")</f>
        <v/>
      </c>
    </row>
    <row r="64" customFormat="false" ht="15" hidden="true" customHeight="false" outlineLevel="1" collapsed="false">
      <c r="A64" s="3" t="s">
        <v>958</v>
      </c>
      <c r="B64" s="12" t="s">
        <v>105</v>
      </c>
      <c r="C64" s="69" t="str">
        <f aca="false">IF(ISNUMBER(C46),IF(AND(ISNUMBER(C46),ISNUMBER(C45),C45&lt;&gt;0,ISNUMBER(C42),ISNUMBER(C41),C41&lt;&gt;0),C46/C45-C42/C41,"不適用"),"")</f>
        <v/>
      </c>
      <c r="D64" s="69" t="str">
        <f aca="false">IF(ISNUMBER(D46),IF(AND(ISNUMBER(D46),ISNUMBER(D45),D45&lt;&gt;0,ISNUMBER(D42),ISNUMBER(D41),D41&lt;&gt;0),D46/D45-D42/D41,"不適用"),"")</f>
        <v/>
      </c>
      <c r="E64" s="69" t="str">
        <f aca="false">IF(ISNUMBER(E46),IF(AND(ISNUMBER(E46),ISNUMBER(E45),E45&lt;&gt;0,ISNUMBER(E42),ISNUMBER(E41),E41&lt;&gt;0),E46/E45-E42/E41,"不適用"),"")</f>
        <v/>
      </c>
      <c r="F64" s="69" t="str">
        <f aca="false">IF(ISNUMBER(F46),IF(AND(ISNUMBER(F46),ISNUMBER(F45),F45&lt;&gt;0,ISNUMBER(F42),ISNUMBER(F41),F41&lt;&gt;0),F46/F45-F42/F41,"不適用"),"")</f>
        <v/>
      </c>
      <c r="G64" s="69" t="str">
        <f aca="false">IF(ISNUMBER(G46),IF(AND(ISNUMBER(G46),ISNUMBER(G45),G45&lt;&gt;0,ISNUMBER(G42),ISNUMBER(G41),G41&lt;&gt;0),G46/G45-G42/G41,"不適用"),"")</f>
        <v/>
      </c>
      <c r="H64" s="69" t="str">
        <f aca="false">IF(ISNUMBER(H46),IF(AND(ISNUMBER(H46),ISNUMBER(H45),H45&lt;&gt;0,ISNUMBER(H42),ISNUMBER(H41),H41&lt;&gt;0),H46/H45-H42/H41,"不適用"),"")</f>
        <v/>
      </c>
    </row>
    <row r="65" customFormat="false" ht="15" hidden="true" customHeight="false" outlineLevel="1" collapsed="false">
      <c r="A65" s="3" t="s">
        <v>959</v>
      </c>
      <c r="B65" s="12" t="s">
        <v>105</v>
      </c>
      <c r="C65" s="69" t="str">
        <f aca="false">IF(ISNUMBER(C46),"不適用","")</f>
        <v/>
      </c>
      <c r="D65" s="69" t="str">
        <f aca="false">IF(ISNUMBER(D46),"不適用","")</f>
        <v/>
      </c>
      <c r="E65" s="69" t="str">
        <f aca="false">IF(ISNUMBER(E46),"不適用","")</f>
        <v/>
      </c>
      <c r="F65" s="69" t="str">
        <f aca="false">IF(ISNUMBER(F46),"不適用","")</f>
        <v/>
      </c>
      <c r="G65" s="69" t="str">
        <f aca="false">IF(ISNUMBER(G46),"不適用","")</f>
        <v/>
      </c>
      <c r="H65" s="69" t="str">
        <f aca="false">IF(ISNUMBER(H46),"不適用","")</f>
        <v/>
      </c>
    </row>
    <row r="66" customFormat="false" ht="15" hidden="true" customHeight="false" outlineLevel="1" collapsed="false">
      <c r="A66" s="3" t="s">
        <v>960</v>
      </c>
      <c r="B66" s="12" t="s">
        <v>105</v>
      </c>
      <c r="C66" s="69" t="n">
        <f aca="false">IF(AND(ISNUMBER(C27),ISNUMBER(C43)),C27-(C43),"不適用")</f>
        <v>-0.120474955567185</v>
      </c>
      <c r="D66" s="69" t="n">
        <f aca="false">IF(AND(ISNUMBER(D27),ISNUMBER(D43)),D27-(D43),"不適用")</f>
        <v>-0.150273634707896</v>
      </c>
      <c r="E66" s="69" t="str">
        <f aca="false">IF(AND(ISNUMBER(E27),ISNUMBER(E43)),E27-(E43),"不適用")</f>
        <v>不適用</v>
      </c>
      <c r="F66" s="69" t="str">
        <f aca="false">IF(AND(ISNUMBER(F27),ISNUMBER(F43)),F27-(F43),"不適用")</f>
        <v>不適用</v>
      </c>
      <c r="G66" s="69" t="str">
        <f aca="false">IF(AND(ISNUMBER(G27),ISNUMBER(G43)),G27-(G43),"不適用")</f>
        <v>不適用</v>
      </c>
      <c r="H66" s="69" t="str">
        <f aca="false">IF(AND(ISNUMBER(H27),ISNUMBER(H43)),H27-(H43),"不適用")</f>
        <v>不適用</v>
      </c>
    </row>
    <row r="67" customFormat="false" ht="15" hidden="true" customHeight="false" outlineLevel="1" collapsed="false">
      <c r="A67" s="3" t="s">
        <v>961</v>
      </c>
      <c r="B67" s="12" t="s">
        <v>105</v>
      </c>
      <c r="C67" s="69" t="s">
        <v>884</v>
      </c>
      <c r="D67" s="69" t="s">
        <v>884</v>
      </c>
      <c r="E67" s="69" t="s">
        <v>884</v>
      </c>
      <c r="F67" s="69" t="s">
        <v>884</v>
      </c>
      <c r="G67" s="69" t="s">
        <v>884</v>
      </c>
      <c r="H67" s="69" t="s">
        <v>884</v>
      </c>
    </row>
    <row r="68" customFormat="false" ht="15" hidden="true" customHeight="false" outlineLevel="1" collapsed="false">
      <c r="A68" s="3" t="s">
        <v>962</v>
      </c>
      <c r="B68" s="12" t="s">
        <v>105</v>
      </c>
      <c r="C68" s="69" t="str">
        <f aca="false">IF(ISNUMBER(C47),IF(AND(ISNUMBER(C27)),C47-(C27),"不適用"),"")</f>
        <v/>
      </c>
      <c r="D68" s="69" t="str">
        <f aca="false">IF(ISNUMBER(D47),IF(AND(ISNUMBER(D27)),D47-(D27),"不適用"),"")</f>
        <v/>
      </c>
      <c r="E68" s="69" t="str">
        <f aca="false">IF(ISNUMBER(E47),IF(AND(ISNUMBER(E27)),E47-(E27),"不適用"),"")</f>
        <v/>
      </c>
      <c r="F68" s="69" t="str">
        <f aca="false">IF(ISNUMBER(F47),IF(AND(ISNUMBER(F27)),F47-(F27),"不適用"),"")</f>
        <v/>
      </c>
      <c r="G68" s="69" t="str">
        <f aca="false">IF(ISNUMBER(G47),IF(AND(ISNUMBER(G27)),G47-(G27),"不適用"),"")</f>
        <v/>
      </c>
      <c r="H68" s="69" t="str">
        <f aca="false">IF(ISNUMBER(H47),IF(AND(ISNUMBER(H27)),H47-(H27),"不適用"),"")</f>
        <v/>
      </c>
    </row>
    <row r="69" customFormat="false" ht="15" hidden="true" customHeight="false" outlineLevel="1" collapsed="false">
      <c r="A69" s="3" t="s">
        <v>963</v>
      </c>
      <c r="B69" s="12" t="s">
        <v>105</v>
      </c>
      <c r="C69" s="69" t="str">
        <f aca="false">IF(ISNUMBER(C47),IF(AND(ISNUMBER(C43)),C47-(C43),"不適用"),"")</f>
        <v/>
      </c>
      <c r="D69" s="69" t="str">
        <f aca="false">IF(ISNUMBER(D47),IF(AND(ISNUMBER(D43)),D47-(D43),"不適用"),"")</f>
        <v/>
      </c>
      <c r="E69" s="69" t="str">
        <f aca="false">IF(ISNUMBER(E47),IF(AND(ISNUMBER(E43)),E47-(E43),"不適用"),"")</f>
        <v/>
      </c>
      <c r="F69" s="69" t="str">
        <f aca="false">IF(ISNUMBER(F47),IF(AND(ISNUMBER(F43)),F47-(F43),"不適用"),"")</f>
        <v/>
      </c>
      <c r="G69" s="69" t="str">
        <f aca="false">IF(ISNUMBER(G47),IF(AND(ISNUMBER(G43)),G47-(G43),"不適用"),"")</f>
        <v/>
      </c>
      <c r="H69" s="69" t="str">
        <f aca="false">IF(ISNUMBER(H47),IF(AND(ISNUMBER(H43)),H47-(H43),"不適用"),"")</f>
        <v/>
      </c>
    </row>
    <row r="70" customFormat="false" ht="15" hidden="true" customHeight="false" outlineLevel="1" collapsed="false">
      <c r="A70" s="3" t="s">
        <v>964</v>
      </c>
      <c r="B70" s="12" t="s">
        <v>105</v>
      </c>
      <c r="C70" s="69" t="str">
        <f aca="false">IF(ISNUMBER(C47),"不適用","")</f>
        <v/>
      </c>
      <c r="D70" s="69" t="str">
        <f aca="false">IF(ISNUMBER(D47),"不適用","")</f>
        <v/>
      </c>
      <c r="E70" s="69" t="str">
        <f aca="false">IF(ISNUMBER(E47),"不適用","")</f>
        <v/>
      </c>
      <c r="F70" s="69" t="str">
        <f aca="false">IF(ISNUMBER(F47),"不適用","")</f>
        <v/>
      </c>
      <c r="G70" s="69" t="str">
        <f aca="false">IF(ISNUMBER(G47),"不適用","")</f>
        <v/>
      </c>
      <c r="H70" s="69" t="str">
        <f aca="false">IF(ISNUMBER(H47),"不適用","")</f>
        <v/>
      </c>
    </row>
    <row r="71" customFormat="false" ht="15" hidden="true" customHeight="false" outlineLevel="1" collapsed="false">
      <c r="A71" s="3" t="s">
        <v>965</v>
      </c>
      <c r="B71" s="12" t="s">
        <v>93</v>
      </c>
      <c r="C71" s="68" t="s">
        <v>884</v>
      </c>
      <c r="D71" s="68" t="s">
        <v>884</v>
      </c>
      <c r="E71" s="68" t="s">
        <v>884</v>
      </c>
      <c r="F71" s="68" t="s">
        <v>884</v>
      </c>
      <c r="G71" s="68" t="s">
        <v>884</v>
      </c>
      <c r="H71" s="68" t="s">
        <v>884</v>
      </c>
    </row>
    <row r="72" customFormat="false" ht="15" hidden="true" customHeight="false" outlineLevel="1" collapsed="false">
      <c r="A72" s="3" t="s">
        <v>966</v>
      </c>
      <c r="B72" s="12" t="s">
        <v>93</v>
      </c>
      <c r="C72" s="68" t="n">
        <f aca="false">IF(AND(ISNUMBER(C30),ISNUMBER(C33),ISNUMBER(C34)),C30-(((C33+C34)/2)),"不適用")</f>
        <v>-1.03449515476928</v>
      </c>
      <c r="D72" s="68" t="str">
        <f aca="false">IF(AND(ISNUMBER(D30),ISNUMBER(D33),ISNUMBER(D34)),D30-(((D33+D34)/2)),"不適用")</f>
        <v>不適用</v>
      </c>
      <c r="E72" s="68" t="str">
        <f aca="false">IF(AND(ISNUMBER(E30),ISNUMBER(E33),ISNUMBER(E34)),E30-(((E33+E34)/2)),"不適用")</f>
        <v>不適用</v>
      </c>
      <c r="F72" s="68" t="str">
        <f aca="false">IF(AND(ISNUMBER(F30),ISNUMBER(F33),ISNUMBER(F34)),F30-(((F33+F34)/2)),"不適用")</f>
        <v>不適用</v>
      </c>
      <c r="G72" s="68" t="str">
        <f aca="false">IF(AND(ISNUMBER(G30),ISNUMBER(G33),ISNUMBER(G34)),G30-(((G33+G34)/2)),"不適用")</f>
        <v>不適用</v>
      </c>
      <c r="H72" s="68" t="str">
        <f aca="false">IF(AND(ISNUMBER(H30),ISNUMBER(H33),ISNUMBER(H34)),H30-(((H33+H34)/2)),"不適用")</f>
        <v>不適用</v>
      </c>
    </row>
    <row r="73" customFormat="false" ht="15" hidden="true" customHeight="false" outlineLevel="1" collapsed="false">
      <c r="A73" s="3" t="s">
        <v>967</v>
      </c>
      <c r="B73" s="12" t="s">
        <v>93</v>
      </c>
      <c r="C73" s="68" t="str">
        <f aca="false">IF(ISNUMBER(C48),IF(AND(ISNUMBER(C30)),C48-(C30),"不適用"),"")</f>
        <v/>
      </c>
      <c r="D73" s="68" t="str">
        <f aca="false">IF(ISNUMBER(D48),IF(AND(ISNUMBER(D30)),D48-(D30),"不適用"),"")</f>
        <v/>
      </c>
      <c r="E73" s="68" t="str">
        <f aca="false">IF(ISNUMBER(E48),IF(AND(ISNUMBER(E30)),E48-(E30),"不適用"),"")</f>
        <v/>
      </c>
      <c r="F73" s="68" t="str">
        <f aca="false">IF(ISNUMBER(F48),IF(AND(ISNUMBER(F30)),F48-(F30),"不適用"),"")</f>
        <v/>
      </c>
      <c r="G73" s="68" t="str">
        <f aca="false">IF(ISNUMBER(G48),IF(AND(ISNUMBER(G30)),G48-(G30),"不適用"),"")</f>
        <v/>
      </c>
      <c r="H73" s="68" t="str">
        <f aca="false">IF(ISNUMBER(H48),IF(AND(ISNUMBER(H30)),H48-(H30),"不適用"),"")</f>
        <v/>
      </c>
    </row>
    <row r="74" customFormat="false" ht="15" hidden="true" customHeight="false" outlineLevel="1" collapsed="false">
      <c r="A74" s="3" t="s">
        <v>968</v>
      </c>
      <c r="B74" s="12" t="s">
        <v>93</v>
      </c>
      <c r="C74" s="68" t="str">
        <f aca="false">IF(ISNUMBER(C48),"不適用","")</f>
        <v/>
      </c>
      <c r="D74" s="68" t="str">
        <f aca="false">IF(ISNUMBER(D48),"不適用","")</f>
        <v/>
      </c>
      <c r="E74" s="68" t="str">
        <f aca="false">IF(ISNUMBER(E48),"不適用","")</f>
        <v/>
      </c>
      <c r="F74" s="68" t="str">
        <f aca="false">IF(ISNUMBER(F48),"不適用","")</f>
        <v/>
      </c>
      <c r="G74" s="68" t="str">
        <f aca="false">IF(ISNUMBER(G48),"不適用","")</f>
        <v/>
      </c>
      <c r="H74" s="68" t="str">
        <f aca="false">IF(ISNUMBER(H48),"不適用","")</f>
        <v/>
      </c>
    </row>
    <row r="75" customFormat="false" ht="15" hidden="true" customHeight="false" outlineLevel="1" collapsed="false">
      <c r="A75" s="3" t="s">
        <v>969</v>
      </c>
      <c r="B75" s="12" t="s">
        <v>93</v>
      </c>
      <c r="C75" s="68" t="str">
        <f aca="false">IF(ISNUMBER(C48),IF(AND(ISNUMBER(C33),ISNUMBER(C34)),C48-(((C33+C34)/2)),"不適用"),"")</f>
        <v/>
      </c>
      <c r="D75" s="68" t="str">
        <f aca="false">IF(ISNUMBER(D48),IF(AND(ISNUMBER(D33),ISNUMBER(D34)),D48-(((D33+D34)/2)),"不適用"),"")</f>
        <v/>
      </c>
      <c r="E75" s="68" t="str">
        <f aca="false">IF(ISNUMBER(E48),IF(AND(ISNUMBER(E33),ISNUMBER(E34)),E48-(((E33+E34)/2)),"不適用"),"")</f>
        <v/>
      </c>
      <c r="F75" s="68" t="str">
        <f aca="false">IF(ISNUMBER(F48),IF(AND(ISNUMBER(F33),ISNUMBER(F34)),F48-(((F33+F34)/2)),"不適用"),"")</f>
        <v/>
      </c>
      <c r="G75" s="68" t="str">
        <f aca="false">IF(ISNUMBER(G48),IF(AND(ISNUMBER(G33),ISNUMBER(G34)),G48-(((G33+G34)/2)),"不適用"),"")</f>
        <v/>
      </c>
      <c r="H75" s="68" t="str">
        <f aca="false">IF(ISNUMBER(H48),IF(AND(ISNUMBER(H33),ISNUMBER(H34)),H48-(((H33+H34)/2)),"不適用"),"")</f>
        <v/>
      </c>
    </row>
    <row r="76" customFormat="false" ht="15" hidden="true" customHeight="false" outlineLevel="1" collapsed="false">
      <c r="A76" s="3" t="s">
        <v>970</v>
      </c>
      <c r="B76" s="12" t="s">
        <v>105</v>
      </c>
      <c r="C76" s="69" t="s">
        <v>884</v>
      </c>
      <c r="D76" s="69" t="s">
        <v>884</v>
      </c>
      <c r="E76" s="69" t="s">
        <v>884</v>
      </c>
      <c r="F76" s="69" t="s">
        <v>884</v>
      </c>
      <c r="G76" s="69" t="s">
        <v>884</v>
      </c>
      <c r="H76" s="69" t="s">
        <v>884</v>
      </c>
    </row>
    <row r="77" customFormat="false" ht="15" hidden="true" customHeight="false" outlineLevel="1" collapsed="false">
      <c r="A77" s="3" t="s">
        <v>971</v>
      </c>
      <c r="B77" s="12" t="s">
        <v>105</v>
      </c>
      <c r="C77" s="69" t="n">
        <f aca="false">IF(AND(ISNUMBER(C30),ISNUMBER(C22),C22&lt;&gt;0,ISNUMBER(C33),ISNUMBER(C34),ISNUMBER(C31),ISNUMBER(C32)),C30/C22-((C33+C34)/2)/((C31+C32)/2),"不適用")</f>
        <v>-0.33426533088656</v>
      </c>
      <c r="D77" s="69" t="str">
        <f aca="false">IF(AND(ISNUMBER(D30),ISNUMBER(D22),D22&lt;&gt;0,ISNUMBER(D33),ISNUMBER(D34),ISNUMBER(D31),ISNUMBER(D32)),D30/D22-((D33+D34)/2)/((D31+D32)/2),"不適用")</f>
        <v>不適用</v>
      </c>
      <c r="E77" s="69" t="str">
        <f aca="false">IF(AND(ISNUMBER(E30),ISNUMBER(E22),E22&lt;&gt;0,ISNUMBER(E33),ISNUMBER(E34),ISNUMBER(E31),ISNUMBER(E32)),E30/E22-((E33+E34)/2)/((E31+E32)/2),"不適用")</f>
        <v>不適用</v>
      </c>
      <c r="F77" s="69" t="str">
        <f aca="false">IF(AND(ISNUMBER(F30),ISNUMBER(F22),F22&lt;&gt;0,ISNUMBER(F33),ISNUMBER(F34),ISNUMBER(F31),ISNUMBER(F32)),F30/F22-((F33+F34)/2)/((F31+F32)/2),"不適用")</f>
        <v>不適用</v>
      </c>
      <c r="G77" s="69" t="str">
        <f aca="false">IF(AND(ISNUMBER(G30),ISNUMBER(G22),G22&lt;&gt;0,ISNUMBER(G33),ISNUMBER(G34),ISNUMBER(G31),ISNUMBER(G32)),G30/G22-((G33+G34)/2)/((G31+G32)/2),"不適用")</f>
        <v>不適用</v>
      </c>
      <c r="H77" s="69" t="str">
        <f aca="false">IF(AND(ISNUMBER(H30),ISNUMBER(H22),H22&lt;&gt;0,ISNUMBER(H33),ISNUMBER(H34),ISNUMBER(H31),ISNUMBER(H32)),H30/H22-((H33+H34)/2)/((H31+H32)/2),"不適用")</f>
        <v>不適用</v>
      </c>
    </row>
    <row r="78" customFormat="false" ht="15" hidden="true" customHeight="false" outlineLevel="1" collapsed="false">
      <c r="A78" s="3" t="s">
        <v>972</v>
      </c>
      <c r="B78" s="12" t="s">
        <v>105</v>
      </c>
      <c r="C78" s="69" t="str">
        <f aca="false">IF(ISNUMBER(C48),IF(AND(ISNUMBER(C48),ISNUMBER(C45),C45&lt;&gt;0,ISNUMBER(C30),ISNUMBER(C22),C22&lt;&gt;0),C48/C45-C30/C22,"不適用"),"")</f>
        <v/>
      </c>
      <c r="D78" s="69" t="str">
        <f aca="false">IF(ISNUMBER(D48),IF(AND(ISNUMBER(D48),ISNUMBER(D45),D45&lt;&gt;0,ISNUMBER(D30),ISNUMBER(D22),D22&lt;&gt;0),D48/D45-D30/D22,"不適用"),"")</f>
        <v/>
      </c>
      <c r="E78" s="69" t="str">
        <f aca="false">IF(ISNUMBER(E48),IF(AND(ISNUMBER(E48),ISNUMBER(E45),E45&lt;&gt;0,ISNUMBER(E30),ISNUMBER(E22),E22&lt;&gt;0),E48/E45-E30/E22,"不適用"),"")</f>
        <v/>
      </c>
      <c r="F78" s="69" t="str">
        <f aca="false">IF(ISNUMBER(F48),IF(AND(ISNUMBER(F48),ISNUMBER(F45),F45&lt;&gt;0,ISNUMBER(F30),ISNUMBER(F22),F22&lt;&gt;0),F48/F45-F30/F22,"不適用"),"")</f>
        <v/>
      </c>
      <c r="G78" s="69" t="str">
        <f aca="false">IF(ISNUMBER(G48),IF(AND(ISNUMBER(G48),ISNUMBER(G45),G45&lt;&gt;0,ISNUMBER(G30),ISNUMBER(G22),G22&lt;&gt;0),G48/G45-G30/G22,"不適用"),"")</f>
        <v/>
      </c>
      <c r="H78" s="69" t="str">
        <f aca="false">IF(ISNUMBER(H48),IF(AND(ISNUMBER(H48),ISNUMBER(H45),H45&lt;&gt;0,ISNUMBER(H30),ISNUMBER(H22),H22&lt;&gt;0),H48/H45-H30/H22,"不適用"),"")</f>
        <v/>
      </c>
    </row>
    <row r="79" customFormat="false" ht="15" hidden="true" customHeight="false" outlineLevel="1" collapsed="false">
      <c r="A79" s="3" t="s">
        <v>973</v>
      </c>
      <c r="B79" s="12" t="s">
        <v>105</v>
      </c>
      <c r="C79" s="69" t="str">
        <f aca="false">IF(ISNUMBER(C48),"不適用","")</f>
        <v/>
      </c>
      <c r="D79" s="69" t="str">
        <f aca="false">IF(ISNUMBER(D48),"不適用","")</f>
        <v/>
      </c>
      <c r="E79" s="69" t="str">
        <f aca="false">IF(ISNUMBER(E48),"不適用","")</f>
        <v/>
      </c>
      <c r="F79" s="69" t="str">
        <f aca="false">IF(ISNUMBER(F48),"不適用","")</f>
        <v/>
      </c>
      <c r="G79" s="69" t="str">
        <f aca="false">IF(ISNUMBER(G48),"不適用","")</f>
        <v/>
      </c>
      <c r="H79" s="69" t="str">
        <f aca="false">IF(ISNUMBER(H48),"不適用","")</f>
        <v/>
      </c>
    </row>
    <row r="80" customFormat="false" ht="15" hidden="true" customHeight="false" outlineLevel="1" collapsed="false">
      <c r="A80" s="3" t="s">
        <v>974</v>
      </c>
      <c r="B80" s="12" t="s">
        <v>105</v>
      </c>
      <c r="C80" s="69" t="str">
        <f aca="false">IF(ISNUMBER(C48),IF(AND(ISNUMBER(C48),ISNUMBER(C45),C45&lt;&gt;0,ISNUMBER(C33),ISNUMBER(C34),ISNUMBER(C31),ISNUMBER(C32)),C48/C45-((C33+C34)/2)/((C31+C32)/2),"不適用"),"")</f>
        <v/>
      </c>
      <c r="D80" s="69" t="str">
        <f aca="false">IF(ISNUMBER(D48),IF(AND(ISNUMBER(D48),ISNUMBER(D45),D45&lt;&gt;0,ISNUMBER(D33),ISNUMBER(D34),ISNUMBER(D31),ISNUMBER(D32)),D48/D45-((D33+D34)/2)/((D31+D32)/2),"不適用"),"")</f>
        <v/>
      </c>
      <c r="E80" s="69" t="str">
        <f aca="false">IF(ISNUMBER(E48),IF(AND(ISNUMBER(E48),ISNUMBER(E45),E45&lt;&gt;0,ISNUMBER(E33),ISNUMBER(E34),ISNUMBER(E31),ISNUMBER(E32)),E48/E45-((E33+E34)/2)/((E31+E32)/2),"不適用"),"")</f>
        <v/>
      </c>
      <c r="F80" s="69" t="str">
        <f aca="false">IF(ISNUMBER(F48),IF(AND(ISNUMBER(F48),ISNUMBER(F45),F45&lt;&gt;0,ISNUMBER(F33),ISNUMBER(F34),ISNUMBER(F31),ISNUMBER(F32)),F48/F45-((F33+F34)/2)/((F31+F32)/2),"不適用"),"")</f>
        <v/>
      </c>
      <c r="G80" s="69" t="str">
        <f aca="false">IF(ISNUMBER(G48),IF(AND(ISNUMBER(G48),ISNUMBER(G45),G45&lt;&gt;0,ISNUMBER(G33),ISNUMBER(G34),ISNUMBER(G31),ISNUMBER(G32)),G48/G45-((G33+G34)/2)/((G31+G32)/2),"不適用"),"")</f>
        <v/>
      </c>
      <c r="H80" s="69" t="str">
        <f aca="false">IF(ISNUMBER(H48),IF(AND(ISNUMBER(H48),ISNUMBER(H45),H45&lt;&gt;0,ISNUMBER(H33),ISNUMBER(H34),ISNUMBER(H31),ISNUMBER(H32)),H48/H45-((H33+H34)/2)/((H31+H32)/2),"不適用"),"")</f>
        <v/>
      </c>
    </row>
    <row r="81" customFormat="false" ht="15" hidden="true" customHeight="false" outlineLevel="1" collapsed="false">
      <c r="A81" s="3" t="s">
        <v>975</v>
      </c>
      <c r="B81" s="12" t="s">
        <v>77</v>
      </c>
      <c r="C81" s="69" t="s">
        <v>884</v>
      </c>
      <c r="D81" s="69" t="s">
        <v>884</v>
      </c>
      <c r="E81" s="69" t="s">
        <v>884</v>
      </c>
      <c r="F81" s="69" t="s">
        <v>884</v>
      </c>
      <c r="G81" s="69" t="s">
        <v>884</v>
      </c>
      <c r="H81" s="69" t="s">
        <v>884</v>
      </c>
    </row>
    <row r="82" customFormat="false" ht="15" hidden="true" customHeight="false" outlineLevel="1" collapsed="false">
      <c r="A82" s="3" t="s">
        <v>976</v>
      </c>
      <c r="B82" s="12" t="s">
        <v>77</v>
      </c>
      <c r="C82" s="69" t="n">
        <f aca="false">IF(AND(ISNUMBER(C40),ISNUMBER(C36),ISNUMBER(C37)),C40/(((C36+C37)/2))-1,"不適用")</f>
        <v>0</v>
      </c>
      <c r="D82" s="69" t="str">
        <f aca="false">IF(AND(ISNUMBER(D40),ISNUMBER(D36),ISNUMBER(D37)),D40/(((D36+D37)/2))-1,"不適用")</f>
        <v>不適用</v>
      </c>
      <c r="E82" s="69" t="str">
        <f aca="false">IF(AND(ISNUMBER(E40),ISNUMBER(E36),ISNUMBER(E37)),E40/(((E36+E37)/2))-1,"不適用")</f>
        <v>不適用</v>
      </c>
      <c r="F82" s="69" t="str">
        <f aca="false">IF(AND(ISNUMBER(F40),ISNUMBER(F36),ISNUMBER(F37)),F40/(((F36+F37)/2))-1,"不適用")</f>
        <v>不適用</v>
      </c>
      <c r="G82" s="69" t="str">
        <f aca="false">IF(AND(ISNUMBER(G40),ISNUMBER(G36),ISNUMBER(G37)),G40/(((G36+G37)/2))-1,"不適用")</f>
        <v>不適用</v>
      </c>
      <c r="H82" s="69" t="str">
        <f aca="false">IF(AND(ISNUMBER(H40),ISNUMBER(H36),ISNUMBER(H37)),H40/(((H36+H37)/2))-1,"不適用")</f>
        <v>不適用</v>
      </c>
    </row>
    <row r="83" customFormat="false" ht="15" hidden="true" customHeight="false" outlineLevel="1" collapsed="false">
      <c r="A83" s="3" t="s">
        <v>977</v>
      </c>
      <c r="B83" s="12" t="s">
        <v>77</v>
      </c>
      <c r="C83" s="69" t="str">
        <f aca="false">IF(ISNUMBER(C49),IF(AND(ISNUMBER(C40),C40&lt;&gt;0),C49/(C40)-1,"不適用"),"")</f>
        <v/>
      </c>
      <c r="D83" s="69" t="str">
        <f aca="false">IF(ISNUMBER(D49),IF(AND(ISNUMBER(D40),D40&lt;&gt;0),D49/(D40)-1,"不適用"),"")</f>
        <v/>
      </c>
      <c r="E83" s="69" t="str">
        <f aca="false">IF(ISNUMBER(E49),IF(AND(ISNUMBER(E40),E40&lt;&gt;0),E49/(E40)-1,"不適用"),"")</f>
        <v/>
      </c>
      <c r="F83" s="69" t="str">
        <f aca="false">IF(ISNUMBER(F49),IF(AND(ISNUMBER(F40),F40&lt;&gt;0),F49/(F40)-1,"不適用"),"")</f>
        <v/>
      </c>
      <c r="G83" s="69" t="str">
        <f aca="false">IF(ISNUMBER(G49),IF(AND(ISNUMBER(G40),G40&lt;&gt;0),G49/(G40)-1,"不適用"),"")</f>
        <v/>
      </c>
      <c r="H83" s="69" t="str">
        <f aca="false">IF(ISNUMBER(H49),IF(AND(ISNUMBER(H40),H40&lt;&gt;0),H49/(H40)-1,"不適用"),"")</f>
        <v/>
      </c>
    </row>
    <row r="84" customFormat="false" ht="15" hidden="true" customHeight="false" outlineLevel="1" collapsed="false">
      <c r="A84" s="3" t="s">
        <v>978</v>
      </c>
      <c r="B84" s="12" t="s">
        <v>77</v>
      </c>
      <c r="C84" s="69" t="str">
        <f aca="false">IF(ISNUMBER(C49),"不適用","")</f>
        <v/>
      </c>
      <c r="D84" s="69" t="str">
        <f aca="false">IF(ISNUMBER(D49),"不適用","")</f>
        <v/>
      </c>
      <c r="E84" s="69" t="str">
        <f aca="false">IF(ISNUMBER(E49),"不適用","")</f>
        <v/>
      </c>
      <c r="F84" s="69" t="str">
        <f aca="false">IF(ISNUMBER(F49),"不適用","")</f>
        <v/>
      </c>
      <c r="G84" s="69" t="str">
        <f aca="false">IF(ISNUMBER(G49),"不適用","")</f>
        <v/>
      </c>
      <c r="H84" s="69" t="str">
        <f aca="false">IF(ISNUMBER(H49),"不適用","")</f>
        <v/>
      </c>
    </row>
    <row r="85" customFormat="false" ht="15" hidden="true" customHeight="false" outlineLevel="1" collapsed="false">
      <c r="A85" s="3" t="s">
        <v>979</v>
      </c>
      <c r="B85" s="12" t="s">
        <v>77</v>
      </c>
      <c r="C85" s="69" t="str">
        <f aca="false">IF(ISNUMBER(C49),IF(AND(ISNUMBER(C36),ISNUMBER(C37)),C49/(((C36+C37)/2))-1,"不適用"),"")</f>
        <v/>
      </c>
      <c r="D85" s="69" t="str">
        <f aca="false">IF(ISNUMBER(D49),IF(AND(ISNUMBER(D36),ISNUMBER(D37)),D49/(((D36+D37)/2))-1,"不適用"),"")</f>
        <v/>
      </c>
      <c r="E85" s="69" t="str">
        <f aca="false">IF(ISNUMBER(E49),IF(AND(ISNUMBER(E36),ISNUMBER(E37)),E49/(((E36+E37)/2))-1,"不適用"),"")</f>
        <v/>
      </c>
      <c r="F85" s="69" t="str">
        <f aca="false">IF(ISNUMBER(F49),IF(AND(ISNUMBER(F36),ISNUMBER(F37)),F49/(((F36+F37)/2))-1,"不適用"),"")</f>
        <v/>
      </c>
      <c r="G85" s="69" t="str">
        <f aca="false">IF(ISNUMBER(G49),IF(AND(ISNUMBER(G36),ISNUMBER(G37)),G49/(((G36+G37)/2))-1,"不適用"),"")</f>
        <v/>
      </c>
      <c r="H85" s="69" t="str">
        <f aca="false">IF(ISNUMBER(H49),IF(AND(ISNUMBER(H36),ISNUMBER(H37)),H49/(((H36+H37)/2))-1,"不適用"),"")</f>
        <v/>
      </c>
    </row>
    <row r="86" customFormat="false" ht="15" hidden="true" customHeight="false" outlineLevel="1" collapsed="false">
      <c r="A86" s="3" t="s">
        <v>980</v>
      </c>
      <c r="B86" s="12" t="s">
        <v>179</v>
      </c>
      <c r="C86" s="70" t="s">
        <v>884</v>
      </c>
      <c r="D86" s="70" t="s">
        <v>884</v>
      </c>
      <c r="E86" s="70" t="s">
        <v>884</v>
      </c>
      <c r="F86" s="70" t="s">
        <v>884</v>
      </c>
      <c r="G86" s="70" t="s">
        <v>884</v>
      </c>
      <c r="H86" s="70" t="s">
        <v>884</v>
      </c>
    </row>
    <row r="87" customFormat="false" ht="15" hidden="true" customHeight="false" outlineLevel="1" collapsed="false">
      <c r="A87" s="3" t="s">
        <v>981</v>
      </c>
      <c r="B87" s="12" t="s">
        <v>179</v>
      </c>
      <c r="C87" s="70" t="s">
        <v>884</v>
      </c>
      <c r="D87" s="70" t="s">
        <v>884</v>
      </c>
      <c r="E87" s="70" t="s">
        <v>884</v>
      </c>
      <c r="F87" s="70" t="s">
        <v>884</v>
      </c>
      <c r="G87" s="70" t="s">
        <v>884</v>
      </c>
      <c r="H87" s="70" t="s">
        <v>884</v>
      </c>
    </row>
    <row r="88" customFormat="false" ht="15" hidden="true" customHeight="false" outlineLevel="1" collapsed="false">
      <c r="A88" s="3" t="s">
        <v>982</v>
      </c>
      <c r="B88" s="12" t="s">
        <v>179</v>
      </c>
      <c r="C88" s="70" t="str">
        <f aca="false">IF(ISNUMBER(C50),IF(AND(ISNUMBER(C19)),C50-(C19),"不適用"),"")</f>
        <v/>
      </c>
      <c r="D88" s="70" t="str">
        <f aca="false">IF(ISNUMBER(D50),IF(AND(ISNUMBER(D19)),D50-(D19),"不適用"),"")</f>
        <v/>
      </c>
      <c r="E88" s="70" t="str">
        <f aca="false">IF(ISNUMBER(E50),IF(AND(ISNUMBER(E19)),E50-(E19),"不適用"),"")</f>
        <v/>
      </c>
      <c r="F88" s="70" t="str">
        <f aca="false">IF(ISNUMBER(F50),IF(AND(ISNUMBER(F19)),F50-(F19),"不適用"),"")</f>
        <v/>
      </c>
      <c r="G88" s="70" t="str">
        <f aca="false">IF(ISNUMBER(G50),IF(AND(ISNUMBER(G19)),G50-(G19),"不適用"),"")</f>
        <v/>
      </c>
      <c r="H88" s="70" t="str">
        <f aca="false">IF(ISNUMBER(H50),IF(AND(ISNUMBER(H19)),H50-(H19),"不適用"),"")</f>
        <v/>
      </c>
    </row>
    <row r="89" customFormat="false" ht="15" hidden="true" customHeight="false" outlineLevel="1" collapsed="false">
      <c r="A89" s="3" t="s">
        <v>983</v>
      </c>
      <c r="B89" s="12" t="s">
        <v>179</v>
      </c>
      <c r="C89" s="70" t="str">
        <f aca="false">IF(ISNUMBER(C50),"不適用","")</f>
        <v/>
      </c>
      <c r="D89" s="70" t="str">
        <f aca="false">IF(ISNUMBER(D50),"不適用","")</f>
        <v/>
      </c>
      <c r="E89" s="70" t="str">
        <f aca="false">IF(ISNUMBER(E50),"不適用","")</f>
        <v/>
      </c>
      <c r="F89" s="70" t="str">
        <f aca="false">IF(ISNUMBER(F50),"不適用","")</f>
        <v/>
      </c>
      <c r="G89" s="70" t="str">
        <f aca="false">IF(ISNUMBER(G50),"不適用","")</f>
        <v/>
      </c>
      <c r="H89" s="70" t="str">
        <f aca="false">IF(ISNUMBER(H50),"不適用","")</f>
        <v/>
      </c>
    </row>
    <row r="90" customFormat="false" ht="15" hidden="true" customHeight="false" outlineLevel="1" collapsed="false">
      <c r="A90" s="3" t="s">
        <v>984</v>
      </c>
      <c r="B90" s="12" t="s">
        <v>179</v>
      </c>
      <c r="C90" s="70" t="str">
        <f aca="false">IF(ISNUMBER(C50),"不適用","")</f>
        <v/>
      </c>
      <c r="D90" s="70" t="str">
        <f aca="false">IF(ISNUMBER(D50),"不適用","")</f>
        <v/>
      </c>
      <c r="E90" s="70" t="str">
        <f aca="false">IF(ISNUMBER(E50),"不適用","")</f>
        <v/>
      </c>
      <c r="F90" s="70" t="str">
        <f aca="false">IF(ISNUMBER(F50),"不適用","")</f>
        <v/>
      </c>
      <c r="G90" s="70" t="str">
        <f aca="false">IF(ISNUMBER(G50),"不適用","")</f>
        <v/>
      </c>
      <c r="H90" s="70" t="str">
        <f aca="false">IF(ISNUMBER(H50),"不適用","")</f>
        <v/>
      </c>
    </row>
    <row r="91" customFormat="false" ht="15" hidden="true" customHeight="false" outlineLevel="1" collapsed="false">
      <c r="A91" s="3" t="s">
        <v>985</v>
      </c>
      <c r="B91" s="12" t="s">
        <v>93</v>
      </c>
      <c r="C91" s="68" t="n">
        <f aca="false">IF(COUNT(C41,D41)=2,C41+D41,"不適用")</f>
        <v>8.247</v>
      </c>
      <c r="D91" s="68" t="n">
        <f aca="false">IF(COUNT(C41,D41)=2,C41+D41,"不適用")</f>
        <v>8.247</v>
      </c>
      <c r="E91" s="68" t="str">
        <f aca="false">IF(COUNT(E41,F41,G41,H41)=4,E41+F41+G41+H41,"不適用")</f>
        <v>不適用</v>
      </c>
      <c r="F91" s="68" t="str">
        <f aca="false">IF(COUNT(E41,F41,G41,H41)=4,E41+F41+G41+H41,"不適用")</f>
        <v>不適用</v>
      </c>
      <c r="G91" s="68" t="str">
        <f aca="false">IF(COUNT(E41,F41,G41,H41)=4,E41+F41+G41+H41,"不適用")</f>
        <v>不適用</v>
      </c>
      <c r="H91" s="68" t="str">
        <f aca="false">IF(COUNT(E41,F41,G41,H41)=4,E41+F41+G41+H41,"不適用")</f>
        <v>不適用</v>
      </c>
      <c r="J91" s="7" t="s">
        <v>986</v>
      </c>
    </row>
    <row r="92" customFormat="false" ht="15" hidden="true" customHeight="false" outlineLevel="1" collapsed="false">
      <c r="A92" s="3" t="s">
        <v>987</v>
      </c>
      <c r="B92" s="12" t="s">
        <v>93</v>
      </c>
      <c r="C92" s="68" t="n">
        <f aca="false">IF(AND(ISNUMBER(C91),C91&lt;&gt;0,ISNUMBER(C41),ISNUMBER(C22)),(損益!C8-C91)*(C41)/C91,"不適用")</f>
        <v>-0.794548324113447</v>
      </c>
      <c r="D92" s="68" t="n">
        <f aca="false">IF(AND(ISNUMBER(D91),D91&lt;&gt;0,ISNUMBER(D41),ISNUMBER(D22)),(損益!C8-D91)*(D41)/D91,"不適用")</f>
        <v>-1.055957190985</v>
      </c>
      <c r="E92" s="68" t="str">
        <f aca="false">IF(AND(ISNUMBER(E91),E91&lt;&gt;0,ISNUMBER(E41),ISNUMBER(E22)),(損益!D8-E91)*(E41)/E91,"不適用")</f>
        <v>不適用</v>
      </c>
      <c r="F92" s="68" t="str">
        <f aca="false">IF(AND(ISNUMBER(F91),F91&lt;&gt;0,ISNUMBER(F41),ISNUMBER(F22)),(損益!D8-F91)*(F41)/F91,"不適用")</f>
        <v>不適用</v>
      </c>
      <c r="G92" s="68" t="str">
        <f aca="false">IF(AND(ISNUMBER(G91),G91&lt;&gt;0,ISNUMBER(G41),ISNUMBER(G22)),(損益!D8-G91)*(G41)/G91,"不適用")</f>
        <v>不適用</v>
      </c>
      <c r="H92" s="68" t="str">
        <f aca="false">IF(AND(ISNUMBER(H91),H91&lt;&gt;0,ISNUMBER(H41),ISNUMBER(H22)),(損益!D8-H91)*(H41)/H91,"不適用")</f>
        <v>不適用</v>
      </c>
      <c r="J92" s="12" t="s">
        <v>988</v>
      </c>
    </row>
    <row r="93" customFormat="false" ht="15" hidden="true" customHeight="false" outlineLevel="1" collapsed="false">
      <c r="A93" s="3" t="s">
        <v>989</v>
      </c>
      <c r="B93" s="12" t="s">
        <v>93</v>
      </c>
      <c r="C93" s="68" t="n">
        <f aca="false">IF(AND(ISNUMBER(C91),C91&lt;&gt;0,ISNUMBER(C41),ISNUMBER(C22)),(C22/損益!C8-(C41)/C91)*損益!C8,"不適用")</f>
        <v>0.244046485747298</v>
      </c>
      <c r="D93" s="68" t="n">
        <f aca="false">IF(AND(ISNUMBER(D91),D91&lt;&gt;0,ISNUMBER(D41),ISNUMBER(D22)),(D22/損益!C8-(D41)/D91)*損益!C8,"不適用")</f>
        <v>-0.244046485747299</v>
      </c>
      <c r="E93" s="68" t="str">
        <f aca="false">IF(AND(ISNUMBER(E91),E91&lt;&gt;0,ISNUMBER(E41),ISNUMBER(E22)),(E22/損益!D8-(E41)/E91)*損益!D8,"不適用")</f>
        <v>不適用</v>
      </c>
      <c r="F93" s="68" t="str">
        <f aca="false">IF(AND(ISNUMBER(F91),F91&lt;&gt;0,ISNUMBER(F41),ISNUMBER(F22)),(F22/損益!D8-(F41)/F91)*損益!D8,"不適用")</f>
        <v>不適用</v>
      </c>
      <c r="G93" s="68" t="str">
        <f aca="false">IF(AND(ISNUMBER(G91),G91&lt;&gt;0,ISNUMBER(G41),ISNUMBER(G22)),(G22/損益!D8-(G41)/G91)*損益!D8,"不適用")</f>
        <v>不適用</v>
      </c>
      <c r="H93" s="68" t="str">
        <f aca="false">IF(AND(ISNUMBER(H91),H91&lt;&gt;0,ISNUMBER(H41),ISNUMBER(H22)),(H22/損益!D8-(H41)/H91)*損益!D8,"不適用")</f>
        <v>不適用</v>
      </c>
      <c r="J93" s="12" t="s">
        <v>990</v>
      </c>
    </row>
    <row r="94" customFormat="false" ht="15" hidden="true" customHeight="false" outlineLevel="1" collapsed="false">
      <c r="A94" s="3" t="s">
        <v>991</v>
      </c>
      <c r="B94" s="12" t="s">
        <v>93</v>
      </c>
      <c r="C94" s="68" t="n">
        <f aca="false">(輸入與假設!$C$335+輸入與假設!$D$335)/2-輸入與假設!$E$335</f>
        <v>8.147</v>
      </c>
      <c r="D94" s="68" t="n">
        <f aca="false">(輸入與假設!$C$335+輸入與假設!$D$335)/2-輸入與假設!$E$335</f>
        <v>8.147</v>
      </c>
      <c r="E94" s="68" t="s">
        <v>884</v>
      </c>
      <c r="F94" s="68" t="s">
        <v>884</v>
      </c>
      <c r="G94" s="68" t="s">
        <v>884</v>
      </c>
      <c r="H94" s="68" t="s">
        <v>884</v>
      </c>
      <c r="J94" s="7" t="s">
        <v>992</v>
      </c>
    </row>
    <row r="95" customFormat="false" ht="15" hidden="true" customHeight="false" outlineLevel="1" collapsed="false">
      <c r="A95" s="3" t="s">
        <v>993</v>
      </c>
      <c r="B95" s="12" t="s">
        <v>93</v>
      </c>
      <c r="C95" s="68" t="n">
        <f aca="false">IF(AND(ISNUMBER(C94),C94&lt;&gt;0,ISNUMBER(((C31+C32)/2)),ISNUMBER(C22)),(損益!C8-C94)*(((C31+C32)/2))/C94,"不適用")</f>
        <v>-0.757399280805453</v>
      </c>
      <c r="D95" s="68" t="str">
        <f aca="false">IF(AND(ISNUMBER(D94),D94&lt;&gt;0,ISNUMBER(((D31+D32)/2)),ISNUMBER(D22)),(損益!C8-D94)*(((D31+D32)/2))/D94,"不適用")</f>
        <v>不適用</v>
      </c>
      <c r="E95" s="68" t="str">
        <f aca="false">IF(AND(ISNUMBER(E94),E94&lt;&gt;0,ISNUMBER(((E31+E32)/2)),ISNUMBER(E22)),(損益!D8-E94)*(((E31+E32)/2))/E94,"不適用")</f>
        <v>不適用</v>
      </c>
      <c r="F95" s="68" t="str">
        <f aca="false">IF(AND(ISNUMBER(F94),F94&lt;&gt;0,ISNUMBER(((F31+F32)/2)),ISNUMBER(F22)),(損益!D8-F94)*(((F31+F32)/2))/F94,"不適用")</f>
        <v>不適用</v>
      </c>
      <c r="G95" s="68" t="str">
        <f aca="false">IF(AND(ISNUMBER(G94),G94&lt;&gt;0,ISNUMBER(((G31+G32)/2)),ISNUMBER(G22)),(損益!D8-G94)*(((G31+G32)/2))/G94,"不適用")</f>
        <v>不適用</v>
      </c>
      <c r="H95" s="68" t="str">
        <f aca="false">IF(AND(ISNUMBER(H94),H94&lt;&gt;0,ISNUMBER(((H31+H32)/2)),ISNUMBER(H22)),(損益!D8-H94)*(((H31+H32)/2))/H94,"不適用")</f>
        <v>不適用</v>
      </c>
      <c r="J95" s="12" t="s">
        <v>988</v>
      </c>
    </row>
    <row r="96" customFormat="false" ht="15" hidden="true" customHeight="false" outlineLevel="1" collapsed="false">
      <c r="A96" s="3" t="s">
        <v>994</v>
      </c>
      <c r="B96" s="12" t="s">
        <v>93</v>
      </c>
      <c r="C96" s="68" t="n">
        <f aca="false">IF(AND(ISNUMBER(C94),C94&lt;&gt;0,ISNUMBER(((C31+C32)/2)),ISNUMBER(C22)),(C22/損益!C8-(((C31+C32)/2))/C94)*損益!C8,"不適用")</f>
        <v>0.222897442439304</v>
      </c>
      <c r="D96" s="68" t="str">
        <f aca="false">IF(AND(ISNUMBER(D94),D94&lt;&gt;0,ISNUMBER(((D31+D32)/2)),ISNUMBER(D22)),(D22/損益!C8-(((D31+D32)/2))/D94)*損益!C8,"不適用")</f>
        <v>不適用</v>
      </c>
      <c r="E96" s="68" t="str">
        <f aca="false">IF(AND(ISNUMBER(E94),E94&lt;&gt;0,ISNUMBER(((E31+E32)/2)),ISNUMBER(E22)),(E22/損益!D8-(((E31+E32)/2))/E94)*損益!D8,"不適用")</f>
        <v>不適用</v>
      </c>
      <c r="F96" s="68" t="str">
        <f aca="false">IF(AND(ISNUMBER(F94),F94&lt;&gt;0,ISNUMBER(((F31+F32)/2)),ISNUMBER(F22)),(F22/損益!D8-(((F31+F32)/2))/F94)*損益!D8,"不適用")</f>
        <v>不適用</v>
      </c>
      <c r="G96" s="68" t="str">
        <f aca="false">IF(AND(ISNUMBER(G94),G94&lt;&gt;0,ISNUMBER(((G31+G32)/2)),ISNUMBER(G22)),(G22/損益!D8-(((G31+G32)/2))/G94)*損益!D8,"不適用")</f>
        <v>不適用</v>
      </c>
      <c r="H96" s="68" t="str">
        <f aca="false">IF(AND(ISNUMBER(H94),H94&lt;&gt;0,ISNUMBER(((H31+H32)/2)),ISNUMBER(H22)),(H22/損益!D8-(((H31+H32)/2))/H94)*損益!D8,"不適用")</f>
        <v>不適用</v>
      </c>
      <c r="J96" s="12" t="s">
        <v>990</v>
      </c>
    </row>
    <row r="97" customFormat="false" ht="15" hidden="true" customHeight="false" outlineLevel="1" collapsed="false">
      <c r="A97" s="3" t="s">
        <v>995</v>
      </c>
      <c r="C97" s="46" t="str">
        <f aca="false">IF(ISNUMBER(C51),IF(ABS(C51)&gt;輸入與假設!$C$311,IF(ISNUMBER(C92),IF(ABS(C93)&gt;ABS(C92),"營收 vs 共識 "&amp;IF(C51&lt;0,"−","+")&amp;TEXT(ABS(C51)*100,"#,##0.0")&amp;"%"&amp;"：拆法（分配 "&amp;IF(C93&lt;0,"−","+")&amp;IF(ABS(C93)&lt;0,"−","")&amp;"$"&amp;TEXT(ABS(ABS(C93)),"#,##0.000")&amp;"bn"&amp;"（Q3'26 占 2H26 "&amp;TEXT((C22/損益!C8)*100,"#,##0.0")&amp;"%"&amp;"，共識合計 "&amp;TEXT(((C41)/C91)*100,"#,##0.0")&amp;"%"&amp;"）；水準 "&amp;IF(C92&lt;0,"−","+")&amp;IF(ABS(C92)&lt;0,"−","")&amp;"$"&amp;TEXT(ABS(ABS(C92)),"#,##0.000")&amp;"bn"&amp;"）","營收 vs 共識 "&amp;IF(C51&lt;0,"−","+")&amp;TEXT(ABS(C51)*100,"#,##0.0")&amp;"%"&amp;"：觀點（水準 "&amp;IF(C92&lt;0,"−","+")&amp;IF(ABS(C92)&lt;0,"−","")&amp;"$"&amp;TEXT(ABS(ABS(C92)),"#,##0.000")&amp;"bn"&amp;"（2H26 模型 "&amp;IF(損益!C8&lt;0,"−","")&amp;"$"&amp;TEXT(ABS(損益!C8),"#,##0.000")&amp;"bn"&amp;"，共識合計 "&amp;IF(C91&lt;0,"−","")&amp;"$"&amp;TEXT(ABS(C91),"#,##0.000")&amp;"bn"&amp;"）；分配 "&amp;IF(C93&lt;0,"−","+")&amp;IF(ABS(C93)&lt;0,"−","")&amp;"$"&amp;TEXT(ABS(ABS(C93)),"#,##0.000")&amp;"bn"&amp;"）"),"營收 vs 共識 "&amp;IF(C51&lt;0,"−","+")&amp;TEXT(ABS(C51)*100,"#,##0.0")&amp;"%"&amp;"：未歸類（差異原因待補）"),""),"")</f>
        <v>營收 vs 共識 −15.5%：觀點（水準 −$0.795bn（2H26 模型 $6.396bn，共識合計 $8.247bn）；分配 +$0.244bn）</v>
      </c>
      <c r="D97" s="46" t="str">
        <f aca="false">IF(ISNUMBER(D51),IF(ABS(D51)&gt;輸入與假設!$C$311,IF(ISNUMBER(D92),IF(ABS(D93)&gt;ABS(D92),"營收 vs 共識 "&amp;IF(D51&lt;0,"−","+")&amp;TEXT(ABS(D51)*100,"#,##0.0")&amp;"%"&amp;"：拆法（分配 "&amp;IF(D93&lt;0,"−","+")&amp;IF(ABS(D93)&lt;0,"−","")&amp;"$"&amp;TEXT(ABS(ABS(D93)),"#,##0.000")&amp;"bn"&amp;"（Q4'26 占 2H26 "&amp;TEXT((D22/損益!C8)*100,"#,##0.0")&amp;"%"&amp;"，共識合計 "&amp;TEXT(((D41)/D91)*100,"#,##0.0")&amp;"%"&amp;"）；水準 "&amp;IF(D92&lt;0,"−","+")&amp;IF(ABS(D92)&lt;0,"−","")&amp;"$"&amp;TEXT(ABS(ABS(D92)),"#,##0.000")&amp;"bn"&amp;"）","營收 vs 共識 "&amp;IF(D51&lt;0,"−","+")&amp;TEXT(ABS(D51)*100,"#,##0.0")&amp;"%"&amp;"：觀點（水準 "&amp;IF(D92&lt;0,"−","+")&amp;IF(ABS(D92)&lt;0,"−","")&amp;"$"&amp;TEXT(ABS(ABS(D92)),"#,##0.000")&amp;"bn"&amp;"（2H26 模型 "&amp;IF(損益!C8&lt;0,"−","")&amp;"$"&amp;TEXT(ABS(損益!C8),"#,##0.000")&amp;"bn"&amp;"，共識合計 "&amp;IF(D91&lt;0,"−","")&amp;"$"&amp;TEXT(ABS(D91),"#,##0.000")&amp;"bn"&amp;"）；分配 "&amp;IF(D93&lt;0,"−","+")&amp;IF(ABS(D93)&lt;0,"−","")&amp;"$"&amp;TEXT(ABS(ABS(D93)),"#,##0.000")&amp;"bn"&amp;"）"),"營收 vs 共識 "&amp;IF(D51&lt;0,"−","+")&amp;TEXT(ABS(D51)*100,"#,##0.0")&amp;"%"&amp;"：未歸類（差異原因待補）"),""),"")</f>
        <v>營收 vs 共識 −27.6%：觀點（水準 −$1.056bn（2H26 模型 $6.396bn，共識合計 $8.247bn）；分配 −$0.244bn）</v>
      </c>
      <c r="E97" s="46" t="str">
        <f aca="false">IF(ISNUMBER(E51),IF(ABS(E51)&gt;輸入與假設!$C$311,IF(ISNUMBER(E92),IF(ABS(E93)&gt;ABS(E92),"營收 vs 共識 "&amp;IF(E51&lt;0,"−","+")&amp;TEXT(ABS(E51)*100,"#,##0.0")&amp;"%"&amp;"：拆法（分配 "&amp;IF(E93&lt;0,"−","+")&amp;IF(ABS(E93)&lt;0,"−","")&amp;"$"&amp;TEXT(ABS(ABS(E93)),"#,##0.000")&amp;"bn"&amp;"（Q1'27 占 FY27 "&amp;TEXT((E22/損益!D8)*100,"#,##0.0")&amp;"%"&amp;"，共識合計 "&amp;TEXT(((E41)/E91)*100,"#,##0.0")&amp;"%"&amp;"）；水準 "&amp;IF(E92&lt;0,"−","+")&amp;IF(ABS(E92)&lt;0,"−","")&amp;"$"&amp;TEXT(ABS(ABS(E92)),"#,##0.000")&amp;"bn"&amp;"）","營收 vs 共識 "&amp;IF(E51&lt;0,"−","+")&amp;TEXT(ABS(E51)*100,"#,##0.0")&amp;"%"&amp;"：觀點（水準 "&amp;IF(E92&lt;0,"−","+")&amp;IF(ABS(E92)&lt;0,"−","")&amp;"$"&amp;TEXT(ABS(ABS(E92)),"#,##0.000")&amp;"bn"&amp;"（FY27 模型 "&amp;IF(損益!D8&lt;0,"−","")&amp;"$"&amp;TEXT(ABS(損益!D8),"#,##0.000")&amp;"bn"&amp;"，共識合計 "&amp;IF(E91&lt;0,"−","")&amp;"$"&amp;TEXT(ABS(E91),"#,##0.000")&amp;"bn"&amp;"）；分配 "&amp;IF(E93&lt;0,"−","+")&amp;IF(ABS(E93)&lt;0,"−","")&amp;"$"&amp;TEXT(ABS(ABS(E93)),"#,##0.000")&amp;"bn"&amp;"）"),"營收 vs 共識 "&amp;IF(E51&lt;0,"−","+")&amp;TEXT(ABS(E51)*100,"#,##0.0")&amp;"%"&amp;"：未歸類（差異原因待補）"),""),"")</f>
        <v/>
      </c>
      <c r="F97" s="46" t="str">
        <f aca="false">IF(ISNUMBER(F51),IF(ABS(F51)&gt;輸入與假設!$C$311,IF(ISNUMBER(F92),IF(ABS(F93)&gt;ABS(F92),"營收 vs 共識 "&amp;IF(F51&lt;0,"−","+")&amp;TEXT(ABS(F51)*100,"#,##0.0")&amp;"%"&amp;"：拆法（分配 "&amp;IF(F93&lt;0,"−","+")&amp;IF(ABS(F93)&lt;0,"−","")&amp;"$"&amp;TEXT(ABS(ABS(F93)),"#,##0.000")&amp;"bn"&amp;"（Q2'27 占 FY27 "&amp;TEXT((F22/損益!D8)*100,"#,##0.0")&amp;"%"&amp;"，共識合計 "&amp;TEXT(((F41)/F91)*100,"#,##0.0")&amp;"%"&amp;"）；水準 "&amp;IF(F92&lt;0,"−","+")&amp;IF(ABS(F92)&lt;0,"−","")&amp;"$"&amp;TEXT(ABS(ABS(F92)),"#,##0.000")&amp;"bn"&amp;"）","營收 vs 共識 "&amp;IF(F51&lt;0,"−","+")&amp;TEXT(ABS(F51)*100,"#,##0.0")&amp;"%"&amp;"：觀點（水準 "&amp;IF(F92&lt;0,"−","+")&amp;IF(ABS(F92)&lt;0,"−","")&amp;"$"&amp;TEXT(ABS(ABS(F92)),"#,##0.000")&amp;"bn"&amp;"（FY27 模型 "&amp;IF(損益!D8&lt;0,"−","")&amp;"$"&amp;TEXT(ABS(損益!D8),"#,##0.000")&amp;"bn"&amp;"，共識合計 "&amp;IF(F91&lt;0,"−","")&amp;"$"&amp;TEXT(ABS(F91),"#,##0.000")&amp;"bn"&amp;"）；分配 "&amp;IF(F93&lt;0,"−","+")&amp;IF(ABS(F93)&lt;0,"−","")&amp;"$"&amp;TEXT(ABS(ABS(F93)),"#,##0.000")&amp;"bn"&amp;"）"),"營收 vs 共識 "&amp;IF(F51&lt;0,"−","+")&amp;TEXT(ABS(F51)*100,"#,##0.0")&amp;"%"&amp;"：未歸類（差異原因待補）"),""),"")</f>
        <v/>
      </c>
      <c r="G97" s="46" t="str">
        <f aca="false">IF(ISNUMBER(G51),IF(ABS(G51)&gt;輸入與假設!$C$311,IF(ISNUMBER(G92),IF(ABS(G93)&gt;ABS(G92),"營收 vs 共識 "&amp;IF(G51&lt;0,"−","+")&amp;TEXT(ABS(G51)*100,"#,##0.0")&amp;"%"&amp;"：拆法（分配 "&amp;IF(G93&lt;0,"−","+")&amp;IF(ABS(G93)&lt;0,"−","")&amp;"$"&amp;TEXT(ABS(ABS(G93)),"#,##0.000")&amp;"bn"&amp;"（Q3'27 占 FY27 "&amp;TEXT((G22/損益!D8)*100,"#,##0.0")&amp;"%"&amp;"，共識合計 "&amp;TEXT(((G41)/G91)*100,"#,##0.0")&amp;"%"&amp;"）；水準 "&amp;IF(G92&lt;0,"−","+")&amp;IF(ABS(G92)&lt;0,"−","")&amp;"$"&amp;TEXT(ABS(ABS(G92)),"#,##0.000")&amp;"bn"&amp;"）","營收 vs 共識 "&amp;IF(G51&lt;0,"−","+")&amp;TEXT(ABS(G51)*100,"#,##0.0")&amp;"%"&amp;"：觀點（水準 "&amp;IF(G92&lt;0,"−","+")&amp;IF(ABS(G92)&lt;0,"−","")&amp;"$"&amp;TEXT(ABS(ABS(G92)),"#,##0.000")&amp;"bn"&amp;"（FY27 模型 "&amp;IF(損益!D8&lt;0,"−","")&amp;"$"&amp;TEXT(ABS(損益!D8),"#,##0.000")&amp;"bn"&amp;"，共識合計 "&amp;IF(G91&lt;0,"−","")&amp;"$"&amp;TEXT(ABS(G91),"#,##0.000")&amp;"bn"&amp;"）；分配 "&amp;IF(G93&lt;0,"−","+")&amp;IF(ABS(G93)&lt;0,"−","")&amp;"$"&amp;TEXT(ABS(ABS(G93)),"#,##0.000")&amp;"bn"&amp;"）"),"營收 vs 共識 "&amp;IF(G51&lt;0,"−","+")&amp;TEXT(ABS(G51)*100,"#,##0.0")&amp;"%"&amp;"：未歸類（差異原因待補）"),""),"")</f>
        <v/>
      </c>
      <c r="H97" s="46" t="str">
        <f aca="false">IF(ISNUMBER(H51),IF(ABS(H51)&gt;輸入與假設!$C$311,IF(ISNUMBER(H92),IF(ABS(H93)&gt;ABS(H92),"營收 vs 共識 "&amp;IF(H51&lt;0,"−","+")&amp;TEXT(ABS(H51)*100,"#,##0.0")&amp;"%"&amp;"：拆法（分配 "&amp;IF(H93&lt;0,"−","+")&amp;IF(ABS(H93)&lt;0,"−","")&amp;"$"&amp;TEXT(ABS(ABS(H93)),"#,##0.000")&amp;"bn"&amp;"（Q4'27 占 FY27 "&amp;TEXT((H22/損益!D8)*100,"#,##0.0")&amp;"%"&amp;"，共識合計 "&amp;TEXT(((H41)/H91)*100,"#,##0.0")&amp;"%"&amp;"）；水準 "&amp;IF(H92&lt;0,"−","+")&amp;IF(ABS(H92)&lt;0,"−","")&amp;"$"&amp;TEXT(ABS(ABS(H92)),"#,##0.000")&amp;"bn"&amp;"）","營收 vs 共識 "&amp;IF(H51&lt;0,"−","+")&amp;TEXT(ABS(H51)*100,"#,##0.0")&amp;"%"&amp;"：觀點（水準 "&amp;IF(H92&lt;0,"−","+")&amp;IF(ABS(H92)&lt;0,"−","")&amp;"$"&amp;TEXT(ABS(ABS(H92)),"#,##0.000")&amp;"bn"&amp;"（FY27 模型 "&amp;IF(損益!D8&lt;0,"−","")&amp;"$"&amp;TEXT(ABS(損益!D8),"#,##0.000")&amp;"bn"&amp;"，共識合計 "&amp;IF(H91&lt;0,"−","")&amp;"$"&amp;TEXT(ABS(H91),"#,##0.000")&amp;"bn"&amp;"）；分配 "&amp;IF(H93&lt;0,"−","+")&amp;IF(ABS(H93)&lt;0,"−","")&amp;"$"&amp;TEXT(ABS(ABS(H93)),"#,##0.000")&amp;"bn"&amp;"）"),"營收 vs 共識 "&amp;IF(H51&lt;0,"−","+")&amp;TEXT(ABS(H51)*100,"#,##0.0")&amp;"%"&amp;"：未歸類（差異原因待補）"),""),"")</f>
        <v/>
      </c>
    </row>
    <row r="98" customFormat="false" ht="15" hidden="true" customHeight="false" outlineLevel="1" collapsed="false">
      <c r="A98" s="3" t="s">
        <v>996</v>
      </c>
      <c r="C98" s="46" t="str">
        <f aca="false">IF(ISNUMBER(C51),IF(ABS(C51)&gt;輸入與假設!$C$311,IF(ISNUMBER(C92),IF(ABS(C93)&gt;ABS(C92),"拆法","觀點"),"未歸類"),""),"")</f>
        <v>觀點</v>
      </c>
      <c r="D98" s="46" t="str">
        <f aca="false">IF(ISNUMBER(D51),IF(ABS(D51)&gt;輸入與假設!$C$311,IF(ISNUMBER(D92),IF(ABS(D93)&gt;ABS(D92),"拆法","觀點"),"未歸類"),""),"")</f>
        <v>觀點</v>
      </c>
      <c r="E98" s="46" t="str">
        <f aca="false">IF(ISNUMBER(E51),IF(ABS(E51)&gt;輸入與假設!$C$311,IF(ISNUMBER(E92),IF(ABS(E93)&gt;ABS(E92),"拆法","觀點"),"未歸類"),""),"")</f>
        <v/>
      </c>
      <c r="F98" s="46" t="str">
        <f aca="false">IF(ISNUMBER(F51),IF(ABS(F51)&gt;輸入與假設!$C$311,IF(ISNUMBER(F92),IF(ABS(F93)&gt;ABS(F92),"拆法","觀點"),"未歸類"),""),"")</f>
        <v/>
      </c>
      <c r="G98" s="46" t="str">
        <f aca="false">IF(ISNUMBER(G51),IF(ABS(G51)&gt;輸入與假設!$C$311,IF(ISNUMBER(G92),IF(ABS(G93)&gt;ABS(G92),"拆法","觀點"),"未歸類"),""),"")</f>
        <v/>
      </c>
      <c r="H98" s="46" t="str">
        <f aca="false">IF(ISNUMBER(H51),IF(ABS(H51)&gt;輸入與假設!$C$311,IF(ISNUMBER(H92),IF(ABS(H93)&gt;ABS(H92),"拆法","觀點"),"未歸類"),""),"")</f>
        <v/>
      </c>
    </row>
    <row r="99" customFormat="false" ht="15" hidden="true" customHeight="false" outlineLevel="1" collapsed="false">
      <c r="A99" s="3" t="s">
        <v>997</v>
      </c>
      <c r="C99" s="46" t="str">
        <f aca="false">IF(ISNUMBER(C52),IF(OR(ABS(C52)&gt;輸入與假設!$C$311,C22&gt;C32,C22&lt;C31),IF(ISNUMBER(C95),IF(ABS(C96)&gt;ABS(C95),"營收 vs 指引中點 "&amp;IF(C52&lt;0,"−","+")&amp;TEXT(ABS(C52)*100,"#,##0.0")&amp;"%"&amp;"：拆法（分配 "&amp;IF(C96&lt;0,"−","+")&amp;IF(ABS(C96)&lt;0,"−","")&amp;"$"&amp;TEXT(ABS(ABS(C96)),"#,##0.000")&amp;"bn"&amp;"（Q3'26 占 2H26 "&amp;TEXT((C22/損益!C8)*100,"#,##0.0")&amp;"%"&amp;"，指引隱含 "&amp;TEXT(((((C31+C32)/2))/C94)*100,"#,##0.0")&amp;"%"&amp;"）；水準 "&amp;IF(C95&lt;0,"−","+")&amp;IF(ABS(C95)&lt;0,"−","")&amp;"$"&amp;TEXT(ABS(ABS(C95)),"#,##0.000")&amp;"bn"&amp;"）","營收 vs 指引中點 "&amp;IF(C52&lt;0,"−","+")&amp;TEXT(ABS(C52)*100,"#,##0.0")&amp;"%"&amp;"：觀點（水準 "&amp;IF(C95&lt;0,"−","+")&amp;IF(ABS(C95)&lt;0,"−","")&amp;"$"&amp;TEXT(ABS(ABS(C95)),"#,##0.000")&amp;"bn"&amp;"（2H26 模型 "&amp;IF(損益!C8&lt;0,"−","")&amp;"$"&amp;TEXT(ABS(損益!C8),"#,##0.000")&amp;"bn"&amp;"，指引隱含 "&amp;IF(C94&lt;0,"−","")&amp;"$"&amp;TEXT(ABS(C94),"#,##0.000")&amp;"bn"&amp;"）；分配 "&amp;IF(C96&lt;0,"−","+")&amp;IF(ABS(C96)&lt;0,"−","")&amp;"$"&amp;TEXT(ABS(ABS(C96)),"#,##0.000")&amp;"bn"&amp;"）"),"營收 vs 指引中點 "&amp;IF(C52&lt;0,"−","+")&amp;TEXT(ABS(C52)*100,"#,##0.0")&amp;"%"&amp;"：未歸類（差異原因待補）"),""),"")</f>
        <v>營收 vs 指引中點 −15.2%：觀點（水準 −$0.757bn（2H26 模型 $6.396bn，指引隱含 $8.147bn）；分配 +$0.223bn）</v>
      </c>
      <c r="D99" s="46" t="str">
        <f aca="false">IF(ISNUMBER(D52),IF(OR(ABS(D52)&gt;輸入與假設!$C$311,D22&gt;D32,D22&lt;D31),IF(ISNUMBER(D95),IF(ABS(D96)&gt;ABS(D95),"營收 vs 指引中點 "&amp;IF(D52&lt;0,"−","+")&amp;TEXT(ABS(D52)*100,"#,##0.0")&amp;"%"&amp;"：拆法（分配 "&amp;IF(D96&lt;0,"−","+")&amp;IF(ABS(D96)&lt;0,"−","")&amp;"$"&amp;TEXT(ABS(ABS(D96)),"#,##0.000")&amp;"bn"&amp;"（Q4'26 占 2H26 "&amp;TEXT((D22/損益!C8)*100,"#,##0.0")&amp;"%"&amp;"，指引隱含 "&amp;TEXT(((((D31+D32)/2))/D94)*100,"#,##0.0")&amp;"%"&amp;"）；水準 "&amp;IF(D95&lt;0,"−","+")&amp;IF(ABS(D95)&lt;0,"−","")&amp;"$"&amp;TEXT(ABS(ABS(D95)),"#,##0.000")&amp;"bn"&amp;"）","營收 vs 指引中點 "&amp;IF(D52&lt;0,"−","+")&amp;TEXT(ABS(D52)*100,"#,##0.0")&amp;"%"&amp;"：觀點（水準 "&amp;IF(D95&lt;0,"−","+")&amp;IF(ABS(D95)&lt;0,"−","")&amp;"$"&amp;TEXT(ABS(ABS(D95)),"#,##0.000")&amp;"bn"&amp;"（2H26 模型 "&amp;IF(損益!C8&lt;0,"−","")&amp;"$"&amp;TEXT(ABS(損益!C8),"#,##0.000")&amp;"bn"&amp;"，指引隱含 "&amp;IF(D94&lt;0,"−","")&amp;"$"&amp;TEXT(ABS(D94),"#,##0.000")&amp;"bn"&amp;"）；分配 "&amp;IF(D96&lt;0,"−","+")&amp;IF(ABS(D96)&lt;0,"−","")&amp;"$"&amp;TEXT(ABS(ABS(D96)),"#,##0.000")&amp;"bn"&amp;"）"),"營收 vs 指引中點 "&amp;IF(D52&lt;0,"−","+")&amp;TEXT(ABS(D52)*100,"#,##0.0")&amp;"%"&amp;"：未歸類（差異原因待補）"),""),"")</f>
        <v/>
      </c>
      <c r="E99" s="46" t="str">
        <f aca="false">IF(ISNUMBER(E52),IF(OR(ABS(E52)&gt;輸入與假設!$C$311,E22&gt;E32,E22&lt;E31),IF(ISNUMBER(E95),IF(ABS(E96)&gt;ABS(E95),"營收 vs 指引中點 "&amp;IF(E52&lt;0,"−","+")&amp;TEXT(ABS(E52)*100,"#,##0.0")&amp;"%"&amp;"：拆法（分配 "&amp;IF(E96&lt;0,"−","+")&amp;IF(ABS(E96)&lt;0,"−","")&amp;"$"&amp;TEXT(ABS(ABS(E96)),"#,##0.000")&amp;"bn"&amp;"（Q1'27 占 FY27 "&amp;TEXT((E22/損益!D8)*100,"#,##0.0")&amp;"%"&amp;"，指引隱含 "&amp;TEXT(((((E31+E32)/2))/E94)*100,"#,##0.0")&amp;"%"&amp;"）；水準 "&amp;IF(E95&lt;0,"−","+")&amp;IF(ABS(E95)&lt;0,"−","")&amp;"$"&amp;TEXT(ABS(ABS(E95)),"#,##0.000")&amp;"bn"&amp;"）","營收 vs 指引中點 "&amp;IF(E52&lt;0,"−","+")&amp;TEXT(ABS(E52)*100,"#,##0.0")&amp;"%"&amp;"：觀點（水準 "&amp;IF(E95&lt;0,"−","+")&amp;IF(ABS(E95)&lt;0,"−","")&amp;"$"&amp;TEXT(ABS(ABS(E95)),"#,##0.000")&amp;"bn"&amp;"（FY27 模型 "&amp;IF(損益!D8&lt;0,"−","")&amp;"$"&amp;TEXT(ABS(損益!D8),"#,##0.000")&amp;"bn"&amp;"，指引隱含 "&amp;IF(E94&lt;0,"−","")&amp;"$"&amp;TEXT(ABS(E94),"#,##0.000")&amp;"bn"&amp;"）；分配 "&amp;IF(E96&lt;0,"−","+")&amp;IF(ABS(E96)&lt;0,"−","")&amp;"$"&amp;TEXT(ABS(ABS(E96)),"#,##0.000")&amp;"bn"&amp;"）"),"營收 vs 指引中點 "&amp;IF(E52&lt;0,"−","+")&amp;TEXT(ABS(E52)*100,"#,##0.0")&amp;"%"&amp;"：未歸類（差異原因待補）"),""),"")</f>
        <v/>
      </c>
      <c r="F99" s="46" t="str">
        <f aca="false">IF(ISNUMBER(F52),IF(OR(ABS(F52)&gt;輸入與假設!$C$311,F22&gt;F32,F22&lt;F31),IF(ISNUMBER(F95),IF(ABS(F96)&gt;ABS(F95),"營收 vs 指引中點 "&amp;IF(F52&lt;0,"−","+")&amp;TEXT(ABS(F52)*100,"#,##0.0")&amp;"%"&amp;"：拆法（分配 "&amp;IF(F96&lt;0,"−","+")&amp;IF(ABS(F96)&lt;0,"−","")&amp;"$"&amp;TEXT(ABS(ABS(F96)),"#,##0.000")&amp;"bn"&amp;"（Q2'27 占 FY27 "&amp;TEXT((F22/損益!D8)*100,"#,##0.0")&amp;"%"&amp;"，指引隱含 "&amp;TEXT(((((F31+F32)/2))/F94)*100,"#,##0.0")&amp;"%"&amp;"）；水準 "&amp;IF(F95&lt;0,"−","+")&amp;IF(ABS(F95)&lt;0,"−","")&amp;"$"&amp;TEXT(ABS(ABS(F95)),"#,##0.000")&amp;"bn"&amp;"）","營收 vs 指引中點 "&amp;IF(F52&lt;0,"−","+")&amp;TEXT(ABS(F52)*100,"#,##0.0")&amp;"%"&amp;"：觀點（水準 "&amp;IF(F95&lt;0,"−","+")&amp;IF(ABS(F95)&lt;0,"−","")&amp;"$"&amp;TEXT(ABS(ABS(F95)),"#,##0.000")&amp;"bn"&amp;"（FY27 模型 "&amp;IF(損益!D8&lt;0,"−","")&amp;"$"&amp;TEXT(ABS(損益!D8),"#,##0.000")&amp;"bn"&amp;"，指引隱含 "&amp;IF(F94&lt;0,"−","")&amp;"$"&amp;TEXT(ABS(F94),"#,##0.000")&amp;"bn"&amp;"）；分配 "&amp;IF(F96&lt;0,"−","+")&amp;IF(ABS(F96)&lt;0,"−","")&amp;"$"&amp;TEXT(ABS(ABS(F96)),"#,##0.000")&amp;"bn"&amp;"）"),"營收 vs 指引中點 "&amp;IF(F52&lt;0,"−","+")&amp;TEXT(ABS(F52)*100,"#,##0.0")&amp;"%"&amp;"：未歸類（差異原因待補）"),""),"")</f>
        <v/>
      </c>
      <c r="G99" s="46" t="str">
        <f aca="false">IF(ISNUMBER(G52),IF(OR(ABS(G52)&gt;輸入與假設!$C$311,G22&gt;G32,G22&lt;G31),IF(ISNUMBER(G95),IF(ABS(G96)&gt;ABS(G95),"營收 vs 指引中點 "&amp;IF(G52&lt;0,"−","+")&amp;TEXT(ABS(G52)*100,"#,##0.0")&amp;"%"&amp;"：拆法（分配 "&amp;IF(G96&lt;0,"−","+")&amp;IF(ABS(G96)&lt;0,"−","")&amp;"$"&amp;TEXT(ABS(ABS(G96)),"#,##0.000")&amp;"bn"&amp;"（Q3'27 占 FY27 "&amp;TEXT((G22/損益!D8)*100,"#,##0.0")&amp;"%"&amp;"，指引隱含 "&amp;TEXT(((((G31+G32)/2))/G94)*100,"#,##0.0")&amp;"%"&amp;"）；水準 "&amp;IF(G95&lt;0,"−","+")&amp;IF(ABS(G95)&lt;0,"−","")&amp;"$"&amp;TEXT(ABS(ABS(G95)),"#,##0.000")&amp;"bn"&amp;"）","營收 vs 指引中點 "&amp;IF(G52&lt;0,"−","+")&amp;TEXT(ABS(G52)*100,"#,##0.0")&amp;"%"&amp;"：觀點（水準 "&amp;IF(G95&lt;0,"−","+")&amp;IF(ABS(G95)&lt;0,"−","")&amp;"$"&amp;TEXT(ABS(ABS(G95)),"#,##0.000")&amp;"bn"&amp;"（FY27 模型 "&amp;IF(損益!D8&lt;0,"−","")&amp;"$"&amp;TEXT(ABS(損益!D8),"#,##0.000")&amp;"bn"&amp;"，指引隱含 "&amp;IF(G94&lt;0,"−","")&amp;"$"&amp;TEXT(ABS(G94),"#,##0.000")&amp;"bn"&amp;"）；分配 "&amp;IF(G96&lt;0,"−","+")&amp;IF(ABS(G96)&lt;0,"−","")&amp;"$"&amp;TEXT(ABS(ABS(G96)),"#,##0.000")&amp;"bn"&amp;"）"),"營收 vs 指引中點 "&amp;IF(G52&lt;0,"−","+")&amp;TEXT(ABS(G52)*100,"#,##0.0")&amp;"%"&amp;"：未歸類（差異原因待補）"),""),"")</f>
        <v/>
      </c>
      <c r="H99" s="46" t="str">
        <f aca="false">IF(ISNUMBER(H52),IF(OR(ABS(H52)&gt;輸入與假設!$C$311,H22&gt;H32,H22&lt;H31),IF(ISNUMBER(H95),IF(ABS(H96)&gt;ABS(H95),"營收 vs 指引中點 "&amp;IF(H52&lt;0,"−","+")&amp;TEXT(ABS(H52)*100,"#,##0.0")&amp;"%"&amp;"：拆法（分配 "&amp;IF(H96&lt;0,"−","+")&amp;IF(ABS(H96)&lt;0,"−","")&amp;"$"&amp;TEXT(ABS(ABS(H96)),"#,##0.000")&amp;"bn"&amp;"（Q4'27 占 FY27 "&amp;TEXT((H22/損益!D8)*100,"#,##0.0")&amp;"%"&amp;"，指引隱含 "&amp;TEXT(((((H31+H32)/2))/H94)*100,"#,##0.0")&amp;"%"&amp;"）；水準 "&amp;IF(H95&lt;0,"−","+")&amp;IF(ABS(H95)&lt;0,"−","")&amp;"$"&amp;TEXT(ABS(ABS(H95)),"#,##0.000")&amp;"bn"&amp;"）","營收 vs 指引中點 "&amp;IF(H52&lt;0,"−","+")&amp;TEXT(ABS(H52)*100,"#,##0.0")&amp;"%"&amp;"：觀點（水準 "&amp;IF(H95&lt;0,"−","+")&amp;IF(ABS(H95)&lt;0,"−","")&amp;"$"&amp;TEXT(ABS(ABS(H95)),"#,##0.000")&amp;"bn"&amp;"（FY27 模型 "&amp;IF(損益!D8&lt;0,"−","")&amp;"$"&amp;TEXT(ABS(損益!D8),"#,##0.000")&amp;"bn"&amp;"，指引隱含 "&amp;IF(H94&lt;0,"−","")&amp;"$"&amp;TEXT(ABS(H94),"#,##0.000")&amp;"bn"&amp;"）；分配 "&amp;IF(H96&lt;0,"−","+")&amp;IF(ABS(H96)&lt;0,"−","")&amp;"$"&amp;TEXT(ABS(ABS(H96)),"#,##0.000")&amp;"bn"&amp;"）"),"營收 vs 指引中點 "&amp;IF(H52&lt;0,"−","+")&amp;TEXT(ABS(H52)*100,"#,##0.0")&amp;"%"&amp;"：未歸類（差異原因待補）"),""),"")</f>
        <v/>
      </c>
    </row>
    <row r="100" customFormat="false" ht="15" hidden="true" customHeight="false" outlineLevel="1" collapsed="false">
      <c r="A100" s="3" t="s">
        <v>998</v>
      </c>
      <c r="C100" s="46" t="str">
        <f aca="false">IF(ISNUMBER(C52),IF(OR(ABS(C52)&gt;輸入與假設!$C$311,C22&gt;C32,C22&lt;C31),IF(ISNUMBER(C95),IF(ABS(C96)&gt;ABS(C95),"拆法","觀點"),"未歸類"),""),"")</f>
        <v>觀點</v>
      </c>
      <c r="D100" s="46" t="str">
        <f aca="false">IF(ISNUMBER(D52),IF(OR(ABS(D52)&gt;輸入與假設!$C$311,D22&gt;D32,D22&lt;D31),IF(ISNUMBER(D95),IF(ABS(D96)&gt;ABS(D95),"拆法","觀點"),"未歸類"),""),"")</f>
        <v/>
      </c>
      <c r="E100" s="46" t="str">
        <f aca="false">IF(ISNUMBER(E52),IF(OR(ABS(E52)&gt;輸入與假設!$C$311,E22&gt;E32,E22&lt;E31),IF(ISNUMBER(E95),IF(ABS(E96)&gt;ABS(E95),"拆法","觀點"),"未歸類"),""),"")</f>
        <v/>
      </c>
      <c r="F100" s="46" t="str">
        <f aca="false">IF(ISNUMBER(F52),IF(OR(ABS(F52)&gt;輸入與假設!$C$311,F22&gt;F32,F22&lt;F31),IF(ISNUMBER(F95),IF(ABS(F96)&gt;ABS(F95),"拆法","觀點"),"未歸類"),""),"")</f>
        <v/>
      </c>
      <c r="G100" s="46" t="str">
        <f aca="false">IF(ISNUMBER(G52),IF(OR(ABS(G52)&gt;輸入與假設!$C$311,G22&gt;G32,G22&lt;G31),IF(ISNUMBER(G95),IF(ABS(G96)&gt;ABS(G95),"拆法","觀點"),"未歸類"),""),"")</f>
        <v/>
      </c>
      <c r="H100" s="46" t="str">
        <f aca="false">IF(ISNUMBER(H52),IF(OR(ABS(H52)&gt;輸入與假設!$C$311,H22&gt;H32,H22&lt;H31),IF(ISNUMBER(H95),IF(ABS(H96)&gt;ABS(H95),"拆法","觀點"),"未歸類"),""),"")</f>
        <v/>
      </c>
    </row>
    <row r="101" customFormat="false" ht="15" hidden="true" customHeight="false" outlineLevel="1" collapsed="false">
      <c r="A101" s="3" t="s">
        <v>999</v>
      </c>
      <c r="C101" s="46"/>
      <c r="D101" s="46"/>
      <c r="E101" s="46"/>
      <c r="F101" s="46"/>
      <c r="G101" s="46"/>
      <c r="H101" s="46"/>
    </row>
    <row r="102" customFormat="false" ht="15" hidden="true" customHeight="false" outlineLevel="1" collapsed="false">
      <c r="A102" s="3" t="s">
        <v>1000</v>
      </c>
      <c r="C102" s="46"/>
      <c r="D102" s="46"/>
      <c r="E102" s="46"/>
      <c r="F102" s="46"/>
      <c r="G102" s="46"/>
      <c r="H102" s="46"/>
    </row>
    <row r="103" customFormat="false" ht="15" hidden="true" customHeight="false" outlineLevel="1" collapsed="false">
      <c r="A103" s="3" t="s">
        <v>1001</v>
      </c>
      <c r="B103" s="12" t="s">
        <v>93</v>
      </c>
      <c r="C103" s="68" t="n">
        <f aca="false">IF(COUNT(C42,D42)=2,C42+D42,"不適用")</f>
        <v>4.944</v>
      </c>
      <c r="D103" s="68" t="n">
        <f aca="false">IF(COUNT(C42,D42)=2,C42+D42,"不適用")</f>
        <v>4.944</v>
      </c>
      <c r="E103" s="68" t="str">
        <f aca="false">IF(COUNT(E42,F42,G42,H42)=4,E42+F42+G42+H42,"不適用")</f>
        <v>不適用</v>
      </c>
      <c r="F103" s="68" t="str">
        <f aca="false">IF(COUNT(E42,F42,G42,H42)=4,E42+F42+G42+H42,"不適用")</f>
        <v>不適用</v>
      </c>
      <c r="G103" s="68" t="str">
        <f aca="false">IF(COUNT(E42,F42,G42,H42)=4,E42+F42+G42+H42,"不適用")</f>
        <v>不適用</v>
      </c>
      <c r="H103" s="68" t="str">
        <f aca="false">IF(COUNT(E42,F42,G42,H42)=4,E42+F42+G42+H42,"不適用")</f>
        <v>不適用</v>
      </c>
      <c r="J103" s="7" t="s">
        <v>986</v>
      </c>
    </row>
    <row r="104" customFormat="false" ht="15" hidden="true" customHeight="false" outlineLevel="1" collapsed="false">
      <c r="A104" s="3" t="s">
        <v>1002</v>
      </c>
      <c r="B104" s="12" t="s">
        <v>93</v>
      </c>
      <c r="C104" s="68" t="n">
        <f aca="false">IF(AND(ISNUMBER(C103),C103&lt;&gt;0,ISNUMBER(C42),ISNUMBER(C28)),(損益!C19-C103)*(C42)/C103,"不適用")</f>
        <v>-0.824193704208467</v>
      </c>
      <c r="D104" s="68" t="n">
        <f aca="false">IF(AND(ISNUMBER(D103),D103&lt;&gt;0,ISNUMBER(D42),ISNUMBER(D28)),(損益!C19-D103)*(D42)/D103,"不適用")</f>
        <v>-1.16643339574593</v>
      </c>
      <c r="E104" s="68" t="str">
        <f aca="false">IF(AND(ISNUMBER(E103),E103&lt;&gt;0,ISNUMBER(E42),ISNUMBER(E28)),(損益!D19-E103)*(E42)/E103,"不適用")</f>
        <v>不適用</v>
      </c>
      <c r="F104" s="68" t="str">
        <f aca="false">IF(AND(ISNUMBER(F103),F103&lt;&gt;0,ISNUMBER(F42),ISNUMBER(F28)),(損益!D19-F103)*(F42)/F103,"不適用")</f>
        <v>不適用</v>
      </c>
      <c r="G104" s="68" t="str">
        <f aca="false">IF(AND(ISNUMBER(G103),G103&lt;&gt;0,ISNUMBER(G42),ISNUMBER(G28)),(損益!D19-G103)*(G42)/G103,"不適用")</f>
        <v>不適用</v>
      </c>
      <c r="H104" s="68" t="str">
        <f aca="false">IF(AND(ISNUMBER(H103),H103&lt;&gt;0,ISNUMBER(H42),ISNUMBER(H28)),(損益!D19-H103)*(H42)/H103,"不適用")</f>
        <v>不適用</v>
      </c>
      <c r="J104" s="12" t="s">
        <v>988</v>
      </c>
    </row>
    <row r="105" customFormat="false" ht="15" hidden="true" customHeight="false" outlineLevel="1" collapsed="false">
      <c r="A105" s="3" t="s">
        <v>1003</v>
      </c>
      <c r="B105" s="12" t="s">
        <v>93</v>
      </c>
      <c r="C105" s="68" t="n">
        <f aca="false">IF(AND(ISNUMBER(C103),C103&lt;&gt;0,ISNUMBER(C42),ISNUMBER(C28)),(C28/損益!C19-(C42)/C103)*損益!C19,"不適用")</f>
        <v>0.145676558032932</v>
      </c>
      <c r="D105" s="68" t="n">
        <f aca="false">IF(AND(ISNUMBER(D103),D103&lt;&gt;0,ISNUMBER(D42),ISNUMBER(D28)),(D28/損益!C19-(D42)/D103)*損益!C19,"不適用")</f>
        <v>-0.145676558032932</v>
      </c>
      <c r="E105" s="68" t="str">
        <f aca="false">IF(AND(ISNUMBER(E103),E103&lt;&gt;0,ISNUMBER(E42),ISNUMBER(E28)),(E28/損益!D19-(E42)/E103)*損益!D19,"不適用")</f>
        <v>不適用</v>
      </c>
      <c r="F105" s="68" t="str">
        <f aca="false">IF(AND(ISNUMBER(F103),F103&lt;&gt;0,ISNUMBER(F42),ISNUMBER(F28)),(F28/損益!D19-(F42)/F103)*損益!D19,"不適用")</f>
        <v>不適用</v>
      </c>
      <c r="G105" s="68" t="str">
        <f aca="false">IF(AND(ISNUMBER(G103),G103&lt;&gt;0,ISNUMBER(G42),ISNUMBER(G28)),(G28/損益!D19-(G42)/G103)*損益!D19,"不適用")</f>
        <v>不適用</v>
      </c>
      <c r="H105" s="68" t="str">
        <f aca="false">IF(AND(ISNUMBER(H103),H103&lt;&gt;0,ISNUMBER(H42),ISNUMBER(H28)),(H28/損益!D19-(H42)/H103)*損益!D19,"不適用")</f>
        <v>不適用</v>
      </c>
      <c r="J105" s="12" t="s">
        <v>990</v>
      </c>
    </row>
    <row r="106" customFormat="false" ht="15" hidden="true" customHeight="false" outlineLevel="1" collapsed="false">
      <c r="A106" s="3" t="s">
        <v>1004</v>
      </c>
      <c r="C106" s="46" t="str">
        <f aca="false">IF(ISNUMBER(C56),IF(IF(ISNUMBER(C61),ABS(C61)&gt;輸入與假設!$C$312,OR(AND(C42&lt;&gt;0,ABS(C56)&gt;輸入與假設!$C$311*ABS(C42)),AND(C42=0,C56&lt;&gt;0))),IF(ISNUMBER(C104),IF(ABS(C105)&gt;ABS(C104),"調整後 EBITDA vs 共識 "&amp;IF(C56&lt;0,"−","+")&amp;IF(ABS(C56)&lt;0,"−","")&amp;"$"&amp;TEXT(ABS(ABS(C56)),"#,##0.00")&amp;"bn"&amp;IF(ISNUMBER(C61),"／"&amp;IF(C61&lt;0,"−","+")&amp;TEXT(ABS(C61)*100,"#,##0.0")&amp;"pt","")&amp;"：拆法（分配 "&amp;IF(C105&lt;0,"−","+")&amp;IF(ABS(C105)&lt;0,"−","")&amp;"$"&amp;TEXT(ABS(ABS(C105)),"#,##0.000")&amp;"bn"&amp;"（Q3'26 占 2H26 "&amp;TEXT((C28/損益!C19)*100,"#,##0.0")&amp;"%"&amp;"，共識合計 "&amp;TEXT(((C42)/C103)*100,"#,##0.0")&amp;"%"&amp;"）；水準 "&amp;IF(C104&lt;0,"−","+")&amp;IF(ABS(C104)&lt;0,"−","")&amp;"$"&amp;TEXT(ABS(ABS(C104)),"#,##0.000")&amp;"bn"&amp;"）","調整後 EBITDA vs 共識 "&amp;IF(C56&lt;0,"−","+")&amp;IF(ABS(C56)&lt;0,"−","")&amp;"$"&amp;TEXT(ABS(ABS(C56)),"#,##0.00")&amp;"bn"&amp;IF(ISNUMBER(C61),"／"&amp;IF(C61&lt;0,"−","+")&amp;TEXT(ABS(C61)*100,"#,##0.0")&amp;"pt","")&amp;"：觀點（水準 "&amp;IF(C104&lt;0,"−","+")&amp;IF(ABS(C104)&lt;0,"−","")&amp;"$"&amp;TEXT(ABS(ABS(C104)),"#,##0.000")&amp;"bn"&amp;"（2H26 模型 "&amp;IF(損益!C19&lt;0,"−","")&amp;"$"&amp;TEXT(ABS(損益!C19),"#,##0.000")&amp;"bn"&amp;"，共識合計 "&amp;IF(C103&lt;0,"−","")&amp;"$"&amp;TEXT(ABS(C103),"#,##0.000")&amp;"bn"&amp;"）；分配 "&amp;IF(C105&lt;0,"−","+")&amp;IF(ABS(C105)&lt;0,"−","")&amp;"$"&amp;TEXT(ABS(ABS(C105)),"#,##0.000")&amp;"bn"&amp;"）"),"調整後 EBITDA vs 共識 "&amp;IF(C56&lt;0,"−","+")&amp;IF(ABS(C56)&lt;0,"−","")&amp;"$"&amp;TEXT(ABS(ABS(C56)),"#,##0.00")&amp;"bn"&amp;IF(ISNUMBER(C61),"／"&amp;IF(C61&lt;0,"−","+")&amp;TEXT(ABS(C61)*100,"#,##0.0")&amp;"pt","")&amp;"：未歸類（差異原因待補）"),""),"")</f>
        <v>調整後 EBITDA vs 共識 −$0.68bn／−12.0pt：觀點（水準 −$0.824bn（2H26 模型 $2.953bn，共識合計 $4.944bn）；分配 +$0.146bn）</v>
      </c>
      <c r="D106" s="46" t="str">
        <f aca="false">IF(ISNUMBER(D56),IF(IF(ISNUMBER(D61),ABS(D61)&gt;輸入與假設!$C$312,OR(AND(D42&lt;&gt;0,ABS(D56)&gt;輸入與假設!$C$311*ABS(D42)),AND(D42=0,D56&lt;&gt;0))),IF(ISNUMBER(D104),IF(ABS(D105)&gt;ABS(D104),"調整後 EBITDA vs 共識 "&amp;IF(D56&lt;0,"−","+")&amp;IF(ABS(D56)&lt;0,"−","")&amp;"$"&amp;TEXT(ABS(ABS(D56)),"#,##0.00")&amp;"bn"&amp;IF(ISNUMBER(D61),"／"&amp;IF(D61&lt;0,"−","+")&amp;TEXT(ABS(D61)*100,"#,##0.0")&amp;"pt","")&amp;"：拆法（分配 "&amp;IF(D105&lt;0,"−","+")&amp;IF(ABS(D105)&lt;0,"−","")&amp;"$"&amp;TEXT(ABS(ABS(D105)),"#,##0.000")&amp;"bn"&amp;"（Q4'26 占 2H26 "&amp;TEXT((D28/損益!C19)*100,"#,##0.0")&amp;"%"&amp;"，共識合計 "&amp;TEXT(((D42)/D103)*100,"#,##0.0")&amp;"%"&amp;"）；水準 "&amp;IF(D104&lt;0,"−","+")&amp;IF(ABS(D104)&lt;0,"−","")&amp;"$"&amp;TEXT(ABS(ABS(D104)),"#,##0.000")&amp;"bn"&amp;"）","調整後 EBITDA vs 共識 "&amp;IF(D56&lt;0,"−","+")&amp;IF(ABS(D56)&lt;0,"−","")&amp;"$"&amp;TEXT(ABS(ABS(D56)),"#,##0.00")&amp;"bn"&amp;IF(ISNUMBER(D61),"／"&amp;IF(D61&lt;0,"−","+")&amp;TEXT(ABS(D61)*100,"#,##0.0")&amp;"pt","")&amp;"：觀點（水準 "&amp;IF(D104&lt;0,"−","+")&amp;IF(ABS(D104)&lt;0,"−","")&amp;"$"&amp;TEXT(ABS(ABS(D104)),"#,##0.000")&amp;"bn"&amp;"（2H26 模型 "&amp;IF(損益!C19&lt;0,"−","")&amp;"$"&amp;TEXT(ABS(損益!C19),"#,##0.000")&amp;"bn"&amp;"，共識合計 "&amp;IF(D103&lt;0,"−","")&amp;"$"&amp;TEXT(ABS(D103),"#,##0.000")&amp;"bn"&amp;"）；分配 "&amp;IF(D105&lt;0,"−","+")&amp;IF(ABS(D105)&lt;0,"−","")&amp;"$"&amp;TEXT(ABS(ABS(D105)),"#,##0.000")&amp;"bn"&amp;"）"),"調整後 EBITDA vs 共識 "&amp;IF(D56&lt;0,"−","+")&amp;IF(ABS(D56)&lt;0,"−","")&amp;"$"&amp;TEXT(ABS(ABS(D56)),"#,##0.00")&amp;"bn"&amp;IF(ISNUMBER(D61),"／"&amp;IF(D61&lt;0,"−","+")&amp;TEXT(ABS(D61)*100,"#,##0.0")&amp;"pt","")&amp;"：未歸類（差異原因待補）"),""),"")</f>
        <v>調整後 EBITDA vs 共識 −$1.31bn／−15.0pt：觀點（水準 −$1.166bn（2H26 模型 $2.953bn，共識合計 $4.944bn）；分配 −$0.146bn）</v>
      </c>
      <c r="E106" s="46" t="str">
        <f aca="false">IF(ISNUMBER(E56),IF(IF(ISNUMBER(E61),ABS(E61)&gt;輸入與假設!$C$312,OR(AND(E42&lt;&gt;0,ABS(E56)&gt;輸入與假設!$C$311*ABS(E42)),AND(E42=0,E56&lt;&gt;0))),IF(ISNUMBER(E104),IF(ABS(E105)&gt;ABS(E104),"調整後 EBITDA vs 共識 "&amp;IF(E56&lt;0,"−","+")&amp;IF(ABS(E56)&lt;0,"−","")&amp;"$"&amp;TEXT(ABS(ABS(E56)),"#,##0.00")&amp;"bn"&amp;IF(ISNUMBER(E61),"／"&amp;IF(E61&lt;0,"−","+")&amp;TEXT(ABS(E61)*100,"#,##0.0")&amp;"pt","")&amp;"：拆法（分配 "&amp;IF(E105&lt;0,"−","+")&amp;IF(ABS(E105)&lt;0,"−","")&amp;"$"&amp;TEXT(ABS(ABS(E105)),"#,##0.000")&amp;"bn"&amp;"（Q1'27 占 FY27 "&amp;TEXT((E28/損益!D19)*100,"#,##0.0")&amp;"%"&amp;"，共識合計 "&amp;TEXT(((E42)/E103)*100,"#,##0.0")&amp;"%"&amp;"）；水準 "&amp;IF(E104&lt;0,"−","+")&amp;IF(ABS(E104)&lt;0,"−","")&amp;"$"&amp;TEXT(ABS(ABS(E104)),"#,##0.000")&amp;"bn"&amp;"）","調整後 EBITDA vs 共識 "&amp;IF(E56&lt;0,"−","+")&amp;IF(ABS(E56)&lt;0,"−","")&amp;"$"&amp;TEXT(ABS(ABS(E56)),"#,##0.00")&amp;"bn"&amp;IF(ISNUMBER(E61),"／"&amp;IF(E61&lt;0,"−","+")&amp;TEXT(ABS(E61)*100,"#,##0.0")&amp;"pt","")&amp;"：觀點（水準 "&amp;IF(E104&lt;0,"−","+")&amp;IF(ABS(E104)&lt;0,"−","")&amp;"$"&amp;TEXT(ABS(ABS(E104)),"#,##0.000")&amp;"bn"&amp;"（FY27 模型 "&amp;IF(損益!D19&lt;0,"−","")&amp;"$"&amp;TEXT(ABS(損益!D19),"#,##0.000")&amp;"bn"&amp;"，共識合計 "&amp;IF(E103&lt;0,"−","")&amp;"$"&amp;TEXT(ABS(E103),"#,##0.000")&amp;"bn"&amp;"）；分配 "&amp;IF(E105&lt;0,"−","+")&amp;IF(ABS(E105)&lt;0,"−","")&amp;"$"&amp;TEXT(ABS(ABS(E105)),"#,##0.000")&amp;"bn"&amp;"）"),"調整後 EBITDA vs 共識 "&amp;IF(E56&lt;0,"−","+")&amp;IF(ABS(E56)&lt;0,"−","")&amp;"$"&amp;TEXT(ABS(ABS(E56)),"#,##0.00")&amp;"bn"&amp;IF(ISNUMBER(E61),"／"&amp;IF(E61&lt;0,"−","+")&amp;TEXT(ABS(E61)*100,"#,##0.0")&amp;"pt","")&amp;"：未歸類（差異原因待補）"),""),"")</f>
        <v/>
      </c>
      <c r="F106" s="46" t="str">
        <f aca="false">IF(ISNUMBER(F56),IF(IF(ISNUMBER(F61),ABS(F61)&gt;輸入與假設!$C$312,OR(AND(F42&lt;&gt;0,ABS(F56)&gt;輸入與假設!$C$311*ABS(F42)),AND(F42=0,F56&lt;&gt;0))),IF(ISNUMBER(F104),IF(ABS(F105)&gt;ABS(F104),"調整後 EBITDA vs 共識 "&amp;IF(F56&lt;0,"−","+")&amp;IF(ABS(F56)&lt;0,"−","")&amp;"$"&amp;TEXT(ABS(ABS(F56)),"#,##0.00")&amp;"bn"&amp;IF(ISNUMBER(F61),"／"&amp;IF(F61&lt;0,"−","+")&amp;TEXT(ABS(F61)*100,"#,##0.0")&amp;"pt","")&amp;"：拆法（分配 "&amp;IF(F105&lt;0,"−","+")&amp;IF(ABS(F105)&lt;0,"−","")&amp;"$"&amp;TEXT(ABS(ABS(F105)),"#,##0.000")&amp;"bn"&amp;"（Q2'27 占 FY27 "&amp;TEXT((F28/損益!D19)*100,"#,##0.0")&amp;"%"&amp;"，共識合計 "&amp;TEXT(((F42)/F103)*100,"#,##0.0")&amp;"%"&amp;"）；水準 "&amp;IF(F104&lt;0,"−","+")&amp;IF(ABS(F104)&lt;0,"−","")&amp;"$"&amp;TEXT(ABS(ABS(F104)),"#,##0.000")&amp;"bn"&amp;"）","調整後 EBITDA vs 共識 "&amp;IF(F56&lt;0,"−","+")&amp;IF(ABS(F56)&lt;0,"−","")&amp;"$"&amp;TEXT(ABS(ABS(F56)),"#,##0.00")&amp;"bn"&amp;IF(ISNUMBER(F61),"／"&amp;IF(F61&lt;0,"−","+")&amp;TEXT(ABS(F61)*100,"#,##0.0")&amp;"pt","")&amp;"：觀點（水準 "&amp;IF(F104&lt;0,"−","+")&amp;IF(ABS(F104)&lt;0,"−","")&amp;"$"&amp;TEXT(ABS(ABS(F104)),"#,##0.000")&amp;"bn"&amp;"（FY27 模型 "&amp;IF(損益!D19&lt;0,"−","")&amp;"$"&amp;TEXT(ABS(損益!D19),"#,##0.000")&amp;"bn"&amp;"，共識合計 "&amp;IF(F103&lt;0,"−","")&amp;"$"&amp;TEXT(ABS(F103),"#,##0.000")&amp;"bn"&amp;"）；分配 "&amp;IF(F105&lt;0,"−","+")&amp;IF(ABS(F105)&lt;0,"−","")&amp;"$"&amp;TEXT(ABS(ABS(F105)),"#,##0.000")&amp;"bn"&amp;"）"),"調整後 EBITDA vs 共識 "&amp;IF(F56&lt;0,"−","+")&amp;IF(ABS(F56)&lt;0,"−","")&amp;"$"&amp;TEXT(ABS(ABS(F56)),"#,##0.00")&amp;"bn"&amp;IF(ISNUMBER(F61),"／"&amp;IF(F61&lt;0,"−","+")&amp;TEXT(ABS(F61)*100,"#,##0.0")&amp;"pt","")&amp;"：未歸類（差異原因待補）"),""),"")</f>
        <v/>
      </c>
      <c r="G106" s="46" t="str">
        <f aca="false">IF(ISNUMBER(G56),IF(IF(ISNUMBER(G61),ABS(G61)&gt;輸入與假設!$C$312,OR(AND(G42&lt;&gt;0,ABS(G56)&gt;輸入與假設!$C$311*ABS(G42)),AND(G42=0,G56&lt;&gt;0))),IF(ISNUMBER(G104),IF(ABS(G105)&gt;ABS(G104),"調整後 EBITDA vs 共識 "&amp;IF(G56&lt;0,"−","+")&amp;IF(ABS(G56)&lt;0,"−","")&amp;"$"&amp;TEXT(ABS(ABS(G56)),"#,##0.00")&amp;"bn"&amp;IF(ISNUMBER(G61),"／"&amp;IF(G61&lt;0,"−","+")&amp;TEXT(ABS(G61)*100,"#,##0.0")&amp;"pt","")&amp;"：拆法（分配 "&amp;IF(G105&lt;0,"−","+")&amp;IF(ABS(G105)&lt;0,"−","")&amp;"$"&amp;TEXT(ABS(ABS(G105)),"#,##0.000")&amp;"bn"&amp;"（Q3'27 占 FY27 "&amp;TEXT((G28/損益!D19)*100,"#,##0.0")&amp;"%"&amp;"，共識合計 "&amp;TEXT(((G42)/G103)*100,"#,##0.0")&amp;"%"&amp;"）；水準 "&amp;IF(G104&lt;0,"−","+")&amp;IF(ABS(G104)&lt;0,"−","")&amp;"$"&amp;TEXT(ABS(ABS(G104)),"#,##0.000")&amp;"bn"&amp;"）","調整後 EBITDA vs 共識 "&amp;IF(G56&lt;0,"−","+")&amp;IF(ABS(G56)&lt;0,"−","")&amp;"$"&amp;TEXT(ABS(ABS(G56)),"#,##0.00")&amp;"bn"&amp;IF(ISNUMBER(G61),"／"&amp;IF(G61&lt;0,"−","+")&amp;TEXT(ABS(G61)*100,"#,##0.0")&amp;"pt","")&amp;"：觀點（水準 "&amp;IF(G104&lt;0,"−","+")&amp;IF(ABS(G104)&lt;0,"−","")&amp;"$"&amp;TEXT(ABS(ABS(G104)),"#,##0.000")&amp;"bn"&amp;"（FY27 模型 "&amp;IF(損益!D19&lt;0,"−","")&amp;"$"&amp;TEXT(ABS(損益!D19),"#,##0.000")&amp;"bn"&amp;"，共識合計 "&amp;IF(G103&lt;0,"−","")&amp;"$"&amp;TEXT(ABS(G103),"#,##0.000")&amp;"bn"&amp;"）；分配 "&amp;IF(G105&lt;0,"−","+")&amp;IF(ABS(G105)&lt;0,"−","")&amp;"$"&amp;TEXT(ABS(ABS(G105)),"#,##0.000")&amp;"bn"&amp;"）"),"調整後 EBITDA vs 共識 "&amp;IF(G56&lt;0,"−","+")&amp;IF(ABS(G56)&lt;0,"−","")&amp;"$"&amp;TEXT(ABS(ABS(G56)),"#,##0.00")&amp;"bn"&amp;IF(ISNUMBER(G61),"／"&amp;IF(G61&lt;0,"−","+")&amp;TEXT(ABS(G61)*100,"#,##0.0")&amp;"pt","")&amp;"：未歸類（差異原因待補）"),""),"")</f>
        <v/>
      </c>
      <c r="H106" s="46" t="str">
        <f aca="false">IF(ISNUMBER(H56),IF(IF(ISNUMBER(H61),ABS(H61)&gt;輸入與假設!$C$312,OR(AND(H42&lt;&gt;0,ABS(H56)&gt;輸入與假設!$C$311*ABS(H42)),AND(H42=0,H56&lt;&gt;0))),IF(ISNUMBER(H104),IF(ABS(H105)&gt;ABS(H104),"調整後 EBITDA vs 共識 "&amp;IF(H56&lt;0,"−","+")&amp;IF(ABS(H56)&lt;0,"−","")&amp;"$"&amp;TEXT(ABS(ABS(H56)),"#,##0.00")&amp;"bn"&amp;IF(ISNUMBER(H61),"／"&amp;IF(H61&lt;0,"−","+")&amp;TEXT(ABS(H61)*100,"#,##0.0")&amp;"pt","")&amp;"：拆法（分配 "&amp;IF(H105&lt;0,"−","+")&amp;IF(ABS(H105)&lt;0,"−","")&amp;"$"&amp;TEXT(ABS(ABS(H105)),"#,##0.000")&amp;"bn"&amp;"（Q4'27 占 FY27 "&amp;TEXT((H28/損益!D19)*100,"#,##0.0")&amp;"%"&amp;"，共識合計 "&amp;TEXT(((H42)/H103)*100,"#,##0.0")&amp;"%"&amp;"）；水準 "&amp;IF(H104&lt;0,"−","+")&amp;IF(ABS(H104)&lt;0,"−","")&amp;"$"&amp;TEXT(ABS(ABS(H104)),"#,##0.000")&amp;"bn"&amp;"）","調整後 EBITDA vs 共識 "&amp;IF(H56&lt;0,"−","+")&amp;IF(ABS(H56)&lt;0,"−","")&amp;"$"&amp;TEXT(ABS(ABS(H56)),"#,##0.00")&amp;"bn"&amp;IF(ISNUMBER(H61),"／"&amp;IF(H61&lt;0,"−","+")&amp;TEXT(ABS(H61)*100,"#,##0.0")&amp;"pt","")&amp;"：觀點（水準 "&amp;IF(H104&lt;0,"−","+")&amp;IF(ABS(H104)&lt;0,"−","")&amp;"$"&amp;TEXT(ABS(ABS(H104)),"#,##0.000")&amp;"bn"&amp;"（FY27 模型 "&amp;IF(損益!D19&lt;0,"−","")&amp;"$"&amp;TEXT(ABS(損益!D19),"#,##0.000")&amp;"bn"&amp;"，共識合計 "&amp;IF(H103&lt;0,"−","")&amp;"$"&amp;TEXT(ABS(H103),"#,##0.000")&amp;"bn"&amp;"）；分配 "&amp;IF(H105&lt;0,"−","+")&amp;IF(ABS(H105)&lt;0,"−","")&amp;"$"&amp;TEXT(ABS(ABS(H105)),"#,##0.000")&amp;"bn"&amp;"）"),"調整後 EBITDA vs 共識 "&amp;IF(H56&lt;0,"−","+")&amp;IF(ABS(H56)&lt;0,"−","")&amp;"$"&amp;TEXT(ABS(ABS(H56)),"#,##0.00")&amp;"bn"&amp;IF(ISNUMBER(H61),"／"&amp;IF(H61&lt;0,"−","+")&amp;TEXT(ABS(H61)*100,"#,##0.0")&amp;"pt","")&amp;"：未歸類（差異原因待補）"),""),"")</f>
        <v/>
      </c>
    </row>
    <row r="107" customFormat="false" ht="15" hidden="true" customHeight="false" outlineLevel="1" collapsed="false">
      <c r="A107" s="3" t="s">
        <v>1005</v>
      </c>
      <c r="C107" s="46" t="str">
        <f aca="false">IF(ISNUMBER(C56),IF(IF(ISNUMBER(C61),ABS(C61)&gt;輸入與假設!$C$312,OR(AND(C42&lt;&gt;0,ABS(C56)&gt;輸入與假設!$C$311*ABS(C42)),AND(C42=0,C56&lt;&gt;0))),IF(ISNUMBER(C104),IF(ABS(C105)&gt;ABS(C104),"拆法","觀點"),"未歸類"),""),"")</f>
        <v>觀點</v>
      </c>
      <c r="D107" s="46" t="str">
        <f aca="false">IF(ISNUMBER(D56),IF(IF(ISNUMBER(D61),ABS(D61)&gt;輸入與假設!$C$312,OR(AND(D42&lt;&gt;0,ABS(D56)&gt;輸入與假設!$C$311*ABS(D42)),AND(D42=0,D56&lt;&gt;0))),IF(ISNUMBER(D104),IF(ABS(D105)&gt;ABS(D104),"拆法","觀點"),"未歸類"),""),"")</f>
        <v>觀點</v>
      </c>
      <c r="E107" s="46" t="str">
        <f aca="false">IF(ISNUMBER(E56),IF(IF(ISNUMBER(E61),ABS(E61)&gt;輸入與假設!$C$312,OR(AND(E42&lt;&gt;0,ABS(E56)&gt;輸入與假設!$C$311*ABS(E42)),AND(E42=0,E56&lt;&gt;0))),IF(ISNUMBER(E104),IF(ABS(E105)&gt;ABS(E104),"拆法","觀點"),"未歸類"),""),"")</f>
        <v/>
      </c>
      <c r="F107" s="46" t="str">
        <f aca="false">IF(ISNUMBER(F56),IF(IF(ISNUMBER(F61),ABS(F61)&gt;輸入與假設!$C$312,OR(AND(F42&lt;&gt;0,ABS(F56)&gt;輸入與假設!$C$311*ABS(F42)),AND(F42=0,F56&lt;&gt;0))),IF(ISNUMBER(F104),IF(ABS(F105)&gt;ABS(F104),"拆法","觀點"),"未歸類"),""),"")</f>
        <v/>
      </c>
      <c r="G107" s="46" t="str">
        <f aca="false">IF(ISNUMBER(G56),IF(IF(ISNUMBER(G61),ABS(G61)&gt;輸入與假設!$C$312,OR(AND(G42&lt;&gt;0,ABS(G56)&gt;輸入與假設!$C$311*ABS(G42)),AND(G42=0,G56&lt;&gt;0))),IF(ISNUMBER(G104),IF(ABS(G105)&gt;ABS(G104),"拆法","觀點"),"未歸類"),""),"")</f>
        <v/>
      </c>
      <c r="H107" s="46" t="str">
        <f aca="false">IF(ISNUMBER(H56),IF(IF(ISNUMBER(H61),ABS(H61)&gt;輸入與假設!$C$312,OR(AND(H42&lt;&gt;0,ABS(H56)&gt;輸入與假設!$C$311*ABS(H42)),AND(H42=0,H56&lt;&gt;0))),IF(ISNUMBER(H104),IF(ABS(H105)&gt;ABS(H104),"拆法","觀點"),"未歸類"),""),"")</f>
        <v/>
      </c>
    </row>
    <row r="108" customFormat="false" ht="15" hidden="true" customHeight="false" outlineLevel="1" collapsed="false">
      <c r="A108" s="3" t="s">
        <v>1006</v>
      </c>
      <c r="C108" s="46"/>
      <c r="D108" s="46"/>
      <c r="E108" s="46"/>
      <c r="F108" s="46"/>
      <c r="G108" s="46"/>
      <c r="H108" s="46"/>
    </row>
    <row r="109" customFormat="false" ht="15" hidden="true" customHeight="false" outlineLevel="1" collapsed="false">
      <c r="A109" s="3" t="s">
        <v>1007</v>
      </c>
      <c r="C109" s="46"/>
      <c r="D109" s="46"/>
      <c r="E109" s="46"/>
      <c r="F109" s="46"/>
      <c r="G109" s="46"/>
      <c r="H109" s="46"/>
    </row>
    <row r="110" customFormat="false" ht="15" hidden="true" customHeight="false" outlineLevel="1" collapsed="false">
      <c r="A110" s="3" t="s">
        <v>1008</v>
      </c>
      <c r="C110" s="46"/>
      <c r="D110" s="46"/>
      <c r="E110" s="46"/>
      <c r="F110" s="46"/>
      <c r="G110" s="46"/>
      <c r="H110" s="46"/>
    </row>
    <row r="111" customFormat="false" ht="15" hidden="true" customHeight="false" outlineLevel="1" collapsed="false">
      <c r="A111" s="3" t="s">
        <v>1009</v>
      </c>
      <c r="C111" s="46"/>
      <c r="D111" s="46"/>
      <c r="E111" s="46"/>
      <c r="F111" s="46"/>
      <c r="G111" s="46"/>
      <c r="H111" s="46"/>
    </row>
    <row r="112" customFormat="false" ht="15" hidden="true" customHeight="false" outlineLevel="1" collapsed="false">
      <c r="A112" s="3" t="s">
        <v>1010</v>
      </c>
      <c r="C112" s="46"/>
      <c r="D112" s="46"/>
      <c r="E112" s="46"/>
      <c r="F112" s="46"/>
      <c r="G112" s="46"/>
      <c r="H112" s="46"/>
    </row>
    <row r="113" customFormat="false" ht="15" hidden="true" customHeight="false" outlineLevel="1" collapsed="false">
      <c r="A113" s="3" t="s">
        <v>1011</v>
      </c>
      <c r="C113" s="46"/>
      <c r="D113" s="46"/>
      <c r="E113" s="46"/>
      <c r="F113" s="46"/>
      <c r="G113" s="46"/>
      <c r="H113" s="46"/>
    </row>
    <row r="114" customFormat="false" ht="15" hidden="true" customHeight="false" outlineLevel="1" collapsed="false">
      <c r="A114" s="3" t="s">
        <v>1012</v>
      </c>
      <c r="C114" s="46" t="str">
        <f aca="false">IF(ISNUMBER(C72),IF(OR(IF(ISNUMBER(C77),ABS(C77)&gt;輸入與假設!$C$312,OR(AND(((C33+C34)/2)&lt;&gt;0,ABS(C72)&gt;輸入與假設!$C$311*ABS(((C33+C34)/2))),AND(((C33+C34)/2)=0,C72&lt;&gt;0))),C30&gt;C34,C30&lt;C33),"調整後營業利益 vs 指引中點 "&amp;IF(C72&lt;0,"−","+")&amp;IF(ABS(C72)&lt;0,"−","")&amp;"$"&amp;TEXT(ABS(ABS(C72)),"#,##0.00")&amp;"bn"&amp;IF(ISNUMBER(C77),"／"&amp;IF(C77&lt;0,"−","+")&amp;TEXT(ABS(C77)*100,"#,##0.0")&amp;"pt","")&amp;"：已知限制（"&amp;"對照指引隱含折舊 "&amp;IF((輸入與假設!$C$288-((C33+C34)/2))&lt;0,"−","")&amp;TEXT(ABS((輸入與假設!$C$288-((C33+C34)/2))),"#,##0.00")&amp;"（＝共識 EBITDA "&amp;IF((輸入與假設!$C$288)&lt;0,"−","")&amp;TEXT(ABS((輸入與假設!$C$288)),"#,##0.00")&amp;" − 指引中點 "&amp;IF((((C33+C34)/2))&lt;0,"−","")&amp;TEXT(ABS((((C33+C34)/2))),"#,##0.00")&amp;"，Derived），模型折舊 "&amp;IF((C29)&lt;0,"−","")&amp;TEXT(ABS((C29)),"#,##0.00")&amp;"；缺口 "&amp;IF((C30-((C33+C34)/2))&lt;0,"−","+")&amp;TEXT(ABS((C30-((C33+C34)/2))),"#,##0.00")&amp;" ≈ 折舊 "&amp;IF((輸入與假設!$C$288-((C33+C34)/2)-C29)&lt;0,"−","+")&amp;TEXT(ABS((輸入與假設!$C$288-((C33+C34)/2)-C29)),"#,##0.00")&amp;" ＋ EBITDA "&amp;IF((C28-輸入與假設!$C$288)&lt;0,"−","+")&amp;TEXT(ABS((C28-輸入與假設!$C$288)),"#,##0.00")&amp;"；待辦 6 修正折舊"&amp;"）",""),"")</f>
        <v>調整後營業利益 vs 指引中點 −$1.03bn／−33.4pt：已知限制（對照指引隱含折舊 1.82（＝共識 EBITDA 2.05 − 指引中點 0.23，Derived），模型折舊 2.17；缺口 −1.03 ≈ 折舊 −0.36 ＋ EBITDA −0.68；待辦 6 修正折舊）</v>
      </c>
      <c r="D114" s="46" t="str">
        <f aca="false">IF(ISNUMBER(D72),IF(OR(IF(ISNUMBER(D77),ABS(D77)&gt;輸入與假設!$C$312,OR(AND(((D33+D34)/2)&lt;&gt;0,ABS(D72)&gt;輸入與假設!$C$311*ABS(((D33+D34)/2))),AND(((D33+D34)/2)=0,D72&lt;&gt;0))),D30&gt;D34,D30&lt;D33),"調整後營業利益 vs 指引中點 "&amp;IF(D72&lt;0,"−","+")&amp;IF(ABS(D72)&lt;0,"−","")&amp;"$"&amp;TEXT(ABS(ABS(D72)),"#,##0.00")&amp;"bn"&amp;IF(ISNUMBER(D77),"／"&amp;IF(D77&lt;0,"−","+")&amp;TEXT(ABS(D77)*100,"#,##0.0")&amp;"pt","")&amp;"：已知限制（"&amp;"對照指引隱含折舊 "&amp;"不適用"&amp;"（＝共識 EBITDA "&amp;IF((輸入與假設!$D$288)&lt;0,"−","")&amp;TEXT(ABS((輸入與假設!$D$288)),"#,##0.00")&amp;" − 指引中點 "&amp;"不適用"&amp;"，Derived），模型折舊 "&amp;IF((D29)&lt;0,"−","")&amp;TEXT(ABS((D29)),"#,##0.00")&amp;"；缺口 "&amp;"不適用"&amp;" ≈ 折舊 "&amp;"不適用"&amp;" ＋ EBITDA "&amp;IF((D28-輸入與假設!$D$288)&lt;0,"−","+")&amp;TEXT(ABS((D28-輸入與假設!$D$288)),"#,##0.00")&amp;"；待辦 6 修正折舊"&amp;"）",""),"")</f>
        <v/>
      </c>
      <c r="E114" s="46" t="str">
        <f aca="false">IF(ISNUMBER(E72),IF(OR(IF(ISNUMBER(E77),ABS(E77)&gt;輸入與假設!$C$312,OR(AND(((E33+E34)/2)&lt;&gt;0,ABS(E72)&gt;輸入與假設!$C$311*ABS(((E33+E34)/2))),AND(((E33+E34)/2)=0,E72&lt;&gt;0))),E30&gt;E34,E30&lt;E33),"調整後營業利益 vs 指引中點 "&amp;IF(E72&lt;0,"−","+")&amp;IF(ABS(E72)&lt;0,"−","")&amp;"$"&amp;TEXT(ABS(ABS(E72)),"#,##0.00")&amp;"bn"&amp;IF(ISNUMBER(E77),"／"&amp;IF(E77&lt;0,"−","+")&amp;TEXT(ABS(E77)*100,"#,##0.0")&amp;"pt","")&amp;"：已知限制（"&amp;"對照指引隱含折舊 "&amp;"不適用"&amp;"（＝共識 EBITDA "&amp;"不適用"&amp;" − 指引中點 "&amp;"不適用"&amp;"，Derived），模型折舊 "&amp;IF((E29)&lt;0,"−","")&amp;TEXT(ABS((E29)),"#,##0.00")&amp;"；缺口 "&amp;"不適用"&amp;" ≈ 折舊 "&amp;"不適用"&amp;" ＋ EBITDA "&amp;"不適用"&amp;"；待辦 6 修正折舊"&amp;"）",""),"")</f>
        <v/>
      </c>
      <c r="F114" s="46" t="str">
        <f aca="false">IF(ISNUMBER(F72),IF(OR(IF(ISNUMBER(F77),ABS(F77)&gt;輸入與假設!$C$312,OR(AND(((F33+F34)/2)&lt;&gt;0,ABS(F72)&gt;輸入與假設!$C$311*ABS(((F33+F34)/2))),AND(((F33+F34)/2)=0,F72&lt;&gt;0))),F30&gt;F34,F30&lt;F33),"調整後營業利益 vs 指引中點 "&amp;IF(F72&lt;0,"−","+")&amp;IF(ABS(F72)&lt;0,"−","")&amp;"$"&amp;TEXT(ABS(ABS(F72)),"#,##0.00")&amp;"bn"&amp;IF(ISNUMBER(F77),"／"&amp;IF(F77&lt;0,"−","+")&amp;TEXT(ABS(F77)*100,"#,##0.0")&amp;"pt","")&amp;"：已知限制（"&amp;"對照指引隱含折舊 "&amp;"不適用"&amp;"（＝共識 EBITDA "&amp;"不適用"&amp;" − 指引中點 "&amp;"不適用"&amp;"，Derived），模型折舊 "&amp;IF((F29)&lt;0,"−","")&amp;TEXT(ABS((F29)),"#,##0.00")&amp;"；缺口 "&amp;"不適用"&amp;" ≈ 折舊 "&amp;"不適用"&amp;" ＋ EBITDA "&amp;"不適用"&amp;"；待辦 6 修正折舊"&amp;"）",""),"")</f>
        <v/>
      </c>
      <c r="G114" s="46" t="str">
        <f aca="false">IF(ISNUMBER(G72),IF(OR(IF(ISNUMBER(G77),ABS(G77)&gt;輸入與假設!$C$312,OR(AND(((G33+G34)/2)&lt;&gt;0,ABS(G72)&gt;輸入與假設!$C$311*ABS(((G33+G34)/2))),AND(((G33+G34)/2)=0,G72&lt;&gt;0))),G30&gt;G34,G30&lt;G33),"調整後營業利益 vs 指引中點 "&amp;IF(G72&lt;0,"−","+")&amp;IF(ABS(G72)&lt;0,"−","")&amp;"$"&amp;TEXT(ABS(ABS(G72)),"#,##0.00")&amp;"bn"&amp;IF(ISNUMBER(G77),"／"&amp;IF(G77&lt;0,"−","+")&amp;TEXT(ABS(G77)*100,"#,##0.0")&amp;"pt","")&amp;"：已知限制（"&amp;"對照指引隱含折舊 "&amp;"不適用"&amp;"（＝共識 EBITDA "&amp;"不適用"&amp;" − 指引中點 "&amp;"不適用"&amp;"，Derived），模型折舊 "&amp;IF((G29)&lt;0,"−","")&amp;TEXT(ABS((G29)),"#,##0.00")&amp;"；缺口 "&amp;"不適用"&amp;" ≈ 折舊 "&amp;"不適用"&amp;" ＋ EBITDA "&amp;"不適用"&amp;"；待辦 6 修正折舊"&amp;"）",""),"")</f>
        <v/>
      </c>
      <c r="H114" s="46" t="str">
        <f aca="false">IF(ISNUMBER(H72),IF(OR(IF(ISNUMBER(H77),ABS(H77)&gt;輸入與假設!$C$312,OR(AND(((H33+H34)/2)&lt;&gt;0,ABS(H72)&gt;輸入與假設!$C$311*ABS(((H33+H34)/2))),AND(((H33+H34)/2)=0,H72&lt;&gt;0))),H30&gt;H34,H30&lt;H33),"調整後營業利益 vs 指引中點 "&amp;IF(H72&lt;0,"−","+")&amp;IF(ABS(H72)&lt;0,"−","")&amp;"$"&amp;TEXT(ABS(ABS(H72)),"#,##0.00")&amp;"bn"&amp;IF(ISNUMBER(H77),"／"&amp;IF(H77&lt;0,"−","+")&amp;TEXT(ABS(H77)*100,"#,##0.0")&amp;"pt","")&amp;"：已知限制（"&amp;"對照指引隱含折舊 "&amp;"不適用"&amp;"（＝共識 EBITDA "&amp;"不適用"&amp;" − 指引中點 "&amp;"不適用"&amp;"，Derived），模型折舊 "&amp;IF((H29)&lt;0,"−","")&amp;TEXT(ABS((H29)),"#,##0.00")&amp;"；缺口 "&amp;"不適用"&amp;" ≈ 折舊 "&amp;"不適用"&amp;" ＋ EBITDA "&amp;"不適用"&amp;"；待辦 6 修正折舊"&amp;"）",""),"")</f>
        <v/>
      </c>
    </row>
    <row r="115" customFormat="false" ht="15" hidden="true" customHeight="false" outlineLevel="1" collapsed="false">
      <c r="A115" s="3" t="s">
        <v>1013</v>
      </c>
      <c r="C115" s="46" t="str">
        <f aca="false">IF(ISNUMBER(C72),IF(OR(IF(ISNUMBER(C77),ABS(C77)&gt;輸入與假設!$C$312,OR(AND(((C33+C34)/2)&lt;&gt;0,ABS(C72)&gt;輸入與假設!$C$311*ABS(((C33+C34)/2))),AND(((C33+C34)/2)=0,C72&lt;&gt;0))),C30&gt;C34,C30&lt;C33),"已知限制",""),"")</f>
        <v>已知限制</v>
      </c>
      <c r="D115" s="46" t="str">
        <f aca="false">IF(ISNUMBER(D72),IF(OR(IF(ISNUMBER(D77),ABS(D77)&gt;輸入與假設!$C$312,OR(AND(((D33+D34)/2)&lt;&gt;0,ABS(D72)&gt;輸入與假設!$C$311*ABS(((D33+D34)/2))),AND(((D33+D34)/2)=0,D72&lt;&gt;0))),D30&gt;D34,D30&lt;D33),"已知限制",""),"")</f>
        <v/>
      </c>
      <c r="E115" s="46" t="str">
        <f aca="false">IF(ISNUMBER(E72),IF(OR(IF(ISNUMBER(E77),ABS(E77)&gt;輸入與假設!$C$312,OR(AND(((E33+E34)/2)&lt;&gt;0,ABS(E72)&gt;輸入與假設!$C$311*ABS(((E33+E34)/2))),AND(((E33+E34)/2)=0,E72&lt;&gt;0))),E30&gt;E34,E30&lt;E33),"已知限制",""),"")</f>
        <v/>
      </c>
      <c r="F115" s="46" t="str">
        <f aca="false">IF(ISNUMBER(F72),IF(OR(IF(ISNUMBER(F77),ABS(F77)&gt;輸入與假設!$C$312,OR(AND(((F33+F34)/2)&lt;&gt;0,ABS(F72)&gt;輸入與假設!$C$311*ABS(((F33+F34)/2))),AND(((F33+F34)/2)=0,F72&lt;&gt;0))),F30&gt;F34,F30&lt;F33),"已知限制",""),"")</f>
        <v/>
      </c>
      <c r="G115" s="46" t="str">
        <f aca="false">IF(ISNUMBER(G72),IF(OR(IF(ISNUMBER(G77),ABS(G77)&gt;輸入與假設!$C$312,OR(AND(((G33+G34)/2)&lt;&gt;0,ABS(G72)&gt;輸入與假設!$C$311*ABS(((G33+G34)/2))),AND(((G33+G34)/2)=0,G72&lt;&gt;0))),G30&gt;G34,G30&lt;G33),"已知限制",""),"")</f>
        <v/>
      </c>
      <c r="H115" s="46" t="str">
        <f aca="false">IF(ISNUMBER(H72),IF(OR(IF(ISNUMBER(H77),ABS(H77)&gt;輸入與假設!$C$312,OR(AND(((H33+H34)/2)&lt;&gt;0,ABS(H72)&gt;輸入與假設!$C$311*ABS(((H33+H34)/2))),AND(((H33+H34)/2)=0,H72&lt;&gt;0))),H30&gt;H34,H30&lt;H33),"已知限制",""),"")</f>
        <v/>
      </c>
    </row>
    <row r="116" customFormat="false" ht="15" hidden="true" customHeight="false" outlineLevel="1" collapsed="false">
      <c r="A116" s="3" t="s">
        <v>1014</v>
      </c>
      <c r="C116" s="46"/>
      <c r="D116" s="46"/>
      <c r="E116" s="46"/>
      <c r="F116" s="46"/>
      <c r="G116" s="46"/>
      <c r="H116" s="46"/>
    </row>
    <row r="117" customFormat="false" ht="15" hidden="true" customHeight="false" outlineLevel="1" collapsed="false">
      <c r="A117" s="3" t="s">
        <v>1015</v>
      </c>
      <c r="C117" s="46"/>
      <c r="D117" s="46"/>
      <c r="E117" s="46"/>
      <c r="F117" s="46"/>
      <c r="G117" s="46"/>
      <c r="H117" s="46"/>
    </row>
    <row r="118" customFormat="false" ht="15" hidden="true" customHeight="false" outlineLevel="1" collapsed="false">
      <c r="A118" s="3" t="s">
        <v>1016</v>
      </c>
      <c r="B118" s="12" t="s">
        <v>93</v>
      </c>
      <c r="C118" s="68" t="n">
        <f aca="false">(輸入與假設!$C$336+輸入與假設!$D$336)/2-輸入與假設!$E$336</f>
        <v>20.861</v>
      </c>
      <c r="D118" s="68" t="n">
        <f aca="false">(輸入與假設!$C$336+輸入與假設!$D$336)/2-輸入與假設!$E$336</f>
        <v>20.861</v>
      </c>
      <c r="E118" s="68" t="s">
        <v>884</v>
      </c>
      <c r="F118" s="68" t="s">
        <v>884</v>
      </c>
      <c r="G118" s="68" t="s">
        <v>884</v>
      </c>
      <c r="H118" s="68" t="s">
        <v>884</v>
      </c>
      <c r="J118" s="7" t="s">
        <v>992</v>
      </c>
    </row>
    <row r="119" customFormat="false" ht="15" hidden="true" customHeight="false" outlineLevel="1" collapsed="false">
      <c r="A119" s="3" t="s">
        <v>1017</v>
      </c>
      <c r="B119" s="12" t="s">
        <v>93</v>
      </c>
      <c r="C119" s="68" t="n">
        <f aca="false">IF(AND(ISNUMBER(C118),C118&lt;&gt;0,ISNUMBER(((C36+C37)/2)),ISNUMBER(C40)),(輸入與假設!C$147-C118)*(((C36+C37)/2))/C118,"不適用")</f>
        <v>0.479895993121136</v>
      </c>
      <c r="D119" s="68" t="str">
        <f aca="false">IF(AND(ISNUMBER(D118),D118&lt;&gt;0,ISNUMBER(((D36+D37)/2)),ISNUMBER(D40)),(輸入與假設!C$147-D118)*(((D36+D37)/2))/D118,"不適用")</f>
        <v>不適用</v>
      </c>
      <c r="E119" s="68" t="str">
        <f aca="false">IF(AND(ISNUMBER(E118),E118&lt;&gt;0,ISNUMBER(((E36+E37)/2)),ISNUMBER(E40)),(輸入與假設!D$147-E118)*(((E36+E37)/2))/E118,"不適用")</f>
        <v>不適用</v>
      </c>
      <c r="F119" s="68" t="str">
        <f aca="false">IF(AND(ISNUMBER(F118),F118&lt;&gt;0,ISNUMBER(((F36+F37)/2)),ISNUMBER(F40)),(輸入與假設!D$147-F118)*(((F36+F37)/2))/F118,"不適用")</f>
        <v>不適用</v>
      </c>
      <c r="G119" s="68" t="str">
        <f aca="false">IF(AND(ISNUMBER(G118),G118&lt;&gt;0,ISNUMBER(((G36+G37)/2)),ISNUMBER(G40)),(輸入與假設!D$147-G118)*(((G36+G37)/2))/G118,"不適用")</f>
        <v>不適用</v>
      </c>
      <c r="H119" s="68" t="str">
        <f aca="false">IF(AND(ISNUMBER(H118),H118&lt;&gt;0,ISNUMBER(((H36+H37)/2)),ISNUMBER(H40)),(輸入與假設!D$147-H118)*(((H36+H37)/2))/H118,"不適用")</f>
        <v>不適用</v>
      </c>
      <c r="J119" s="12" t="s">
        <v>988</v>
      </c>
    </row>
    <row r="120" customFormat="false" ht="15" hidden="true" customHeight="false" outlineLevel="1" collapsed="false">
      <c r="A120" s="3" t="s">
        <v>1018</v>
      </c>
      <c r="B120" s="12" t="s">
        <v>93</v>
      </c>
      <c r="C120" s="68" t="n">
        <f aca="false">IF(AND(ISNUMBER(C118),C118&lt;&gt;0,ISNUMBER(((C36+C37)/2)),ISNUMBER(C40)),(C40/輸入與假設!C$147-(((C36+C37)/2))/C118)*輸入與假設!C$147,"不適用")</f>
        <v>-0.479895993121136</v>
      </c>
      <c r="D120" s="68" t="str">
        <f aca="false">IF(AND(ISNUMBER(D118),D118&lt;&gt;0,ISNUMBER(((D36+D37)/2)),ISNUMBER(D40)),(D40/輸入與假設!C$147-(((D36+D37)/2))/D118)*輸入與假設!C$147,"不適用")</f>
        <v>不適用</v>
      </c>
      <c r="E120" s="68" t="str">
        <f aca="false">IF(AND(ISNUMBER(E118),E118&lt;&gt;0,ISNUMBER(((E36+E37)/2)),ISNUMBER(E40)),(E40/輸入與假設!D$147-(((E36+E37)/2))/E118)*輸入與假設!D$147,"不適用")</f>
        <v>不適用</v>
      </c>
      <c r="F120" s="68" t="str">
        <f aca="false">IF(AND(ISNUMBER(F118),F118&lt;&gt;0,ISNUMBER(((F36+F37)/2)),ISNUMBER(F40)),(F40/輸入與假設!D$147-(((F36+F37)/2))/F118)*輸入與假設!D$147,"不適用")</f>
        <v>不適用</v>
      </c>
      <c r="G120" s="68" t="str">
        <f aca="false">IF(AND(ISNUMBER(G118),G118&lt;&gt;0,ISNUMBER(((G36+G37)/2)),ISNUMBER(G40)),(G40/輸入與假設!D$147-(((G36+G37)/2))/G118)*輸入與假設!D$147,"不適用")</f>
        <v>不適用</v>
      </c>
      <c r="H120" s="68" t="str">
        <f aca="false">IF(AND(ISNUMBER(H118),H118&lt;&gt;0,ISNUMBER(((H36+H37)/2)),ISNUMBER(H40)),(H40/輸入與假設!D$147-(((H36+H37)/2))/H118)*輸入與假設!D$147,"不適用")</f>
        <v>不適用</v>
      </c>
      <c r="J120" s="12" t="s">
        <v>990</v>
      </c>
    </row>
    <row r="121" customFormat="false" ht="15" hidden="true" customHeight="false" outlineLevel="1" collapsed="false">
      <c r="A121" s="3" t="s">
        <v>1019</v>
      </c>
      <c r="C121" s="46"/>
      <c r="D121" s="46"/>
      <c r="E121" s="46"/>
      <c r="F121" s="46"/>
      <c r="G121" s="46"/>
      <c r="H121" s="46"/>
    </row>
    <row r="122" customFormat="false" ht="15" hidden="true" customHeight="false" outlineLevel="1" collapsed="false">
      <c r="A122" s="3" t="s">
        <v>1020</v>
      </c>
      <c r="C122" s="46"/>
      <c r="D122" s="46"/>
      <c r="E122" s="46"/>
      <c r="F122" s="46"/>
      <c r="G122" s="46"/>
      <c r="H122" s="46"/>
    </row>
    <row r="123" customFormat="false" ht="15" hidden="true" customHeight="false" outlineLevel="1" collapsed="false">
      <c r="A123" s="3" t="s">
        <v>1021</v>
      </c>
      <c r="C123" s="46" t="str">
        <f aca="false">IF(ISNUMBER(C82),IF(OR(ABS(C82)&gt;輸入與假設!$C$311,C40&gt;C37,C40&lt;C36),IF(ISNUMBER(C119),IF(ABS(C120)&gt;ABS(C119),"CapEx（毛額） vs 指引中點 "&amp;IF(C82&lt;0,"−","+")&amp;TEXT(ABS(C82)*100,"#,##0.0")&amp;"%"&amp;"：拆法（分配 "&amp;IF(C120&lt;0,"−","+")&amp;IF(ABS(C120)&lt;0,"−","")&amp;"$"&amp;TEXT(ABS(ABS(C120)),"#,##0.000")&amp;"bn"&amp;"（Q3'26 占 2H26 "&amp;TEXT((C40/輸入與假設!C$147)*100,"#,##0.0")&amp;"%"&amp;"，指引隱含 "&amp;TEXT(((((C36+C37)/2))/C118)*100,"#,##0.0")&amp;"%"&amp;"）；水準 "&amp;IF(C119&lt;0,"−","+")&amp;IF(ABS(C119)&lt;0,"−","")&amp;"$"&amp;TEXT(ABS(ABS(C119)),"#,##0.000")&amp;"bn"&amp;"）","CapEx（毛額） vs 指引中點 "&amp;IF(C82&lt;0,"−","+")&amp;TEXT(ABS(C82)*100,"#,##0.0")&amp;"%"&amp;"：觀點（水準 "&amp;IF(C119&lt;0,"−","+")&amp;IF(ABS(C119)&lt;0,"−","")&amp;"$"&amp;TEXT(ABS(ABS(C119)),"#,##0.000")&amp;"bn"&amp;"（2H26 模型 "&amp;IF(輸入與假設!C$147&lt;0,"−","")&amp;"$"&amp;TEXT(ABS(輸入與假設!C$147),"#,##0.000")&amp;"bn"&amp;"，指引隱含 "&amp;IF(C118&lt;0,"−","")&amp;"$"&amp;TEXT(ABS(C118),"#,##0.000")&amp;"bn"&amp;"）；分配 "&amp;IF(C120&lt;0,"−","+")&amp;IF(ABS(C120)&lt;0,"−","")&amp;"$"&amp;TEXT(ABS(ABS(C120)),"#,##0.000")&amp;"bn"&amp;"）"),"CapEx（毛額） vs 指引中點 "&amp;IF(C82&lt;0,"−","+")&amp;TEXT(ABS(C82)*100,"#,##0.0")&amp;"%"&amp;"：未歸類（差異原因待補）"),""),"")</f>
        <v/>
      </c>
      <c r="D123" s="46" t="str">
        <f aca="false">IF(ISNUMBER(D82),IF(OR(ABS(D82)&gt;輸入與假設!$C$311,D40&gt;D37,D40&lt;D36),IF(ISNUMBER(D119),IF(ABS(D120)&gt;ABS(D119),"CapEx（毛額） vs 指引中點 "&amp;IF(D82&lt;0,"−","+")&amp;TEXT(ABS(D82)*100,"#,##0.0")&amp;"%"&amp;"：拆法（分配 "&amp;IF(D120&lt;0,"−","+")&amp;IF(ABS(D120)&lt;0,"−","")&amp;"$"&amp;TEXT(ABS(ABS(D120)),"#,##0.000")&amp;"bn"&amp;"（Q4'26 占 2H26 "&amp;TEXT((D40/輸入與假設!C$147)*100,"#,##0.0")&amp;"%"&amp;"，指引隱含 "&amp;TEXT(((((D36+D37)/2))/D118)*100,"#,##0.0")&amp;"%"&amp;"）；水準 "&amp;IF(D119&lt;0,"−","+")&amp;IF(ABS(D119)&lt;0,"−","")&amp;"$"&amp;TEXT(ABS(ABS(D119)),"#,##0.000")&amp;"bn"&amp;"）","CapEx（毛額） vs 指引中點 "&amp;IF(D82&lt;0,"−","+")&amp;TEXT(ABS(D82)*100,"#,##0.0")&amp;"%"&amp;"：觀點（水準 "&amp;IF(D119&lt;0,"−","+")&amp;IF(ABS(D119)&lt;0,"−","")&amp;"$"&amp;TEXT(ABS(ABS(D119)),"#,##0.000")&amp;"bn"&amp;"（2H26 模型 "&amp;IF(輸入與假設!C$147&lt;0,"−","")&amp;"$"&amp;TEXT(ABS(輸入與假設!C$147),"#,##0.000")&amp;"bn"&amp;"，指引隱含 "&amp;IF(D118&lt;0,"−","")&amp;"$"&amp;TEXT(ABS(D118),"#,##0.000")&amp;"bn"&amp;"）；分配 "&amp;IF(D120&lt;0,"−","+")&amp;IF(ABS(D120)&lt;0,"−","")&amp;"$"&amp;TEXT(ABS(ABS(D120)),"#,##0.000")&amp;"bn"&amp;"）"),"CapEx（毛額） vs 指引中點 "&amp;IF(D82&lt;0,"−","+")&amp;TEXT(ABS(D82)*100,"#,##0.0")&amp;"%"&amp;"：未歸類（差異原因待補）"),""),"")</f>
        <v/>
      </c>
      <c r="E123" s="46" t="str">
        <f aca="false">IF(ISNUMBER(E82),IF(OR(ABS(E82)&gt;輸入與假設!$C$311,E40&gt;E37,E40&lt;E36),IF(ISNUMBER(E119),IF(ABS(E120)&gt;ABS(E119),"CapEx（毛額） vs 指引中點 "&amp;IF(E82&lt;0,"−","+")&amp;TEXT(ABS(E82)*100,"#,##0.0")&amp;"%"&amp;"：拆法（分配 "&amp;IF(E120&lt;0,"−","+")&amp;IF(ABS(E120)&lt;0,"−","")&amp;"$"&amp;TEXT(ABS(ABS(E120)),"#,##0.000")&amp;"bn"&amp;"（Q1'27 占 FY27 "&amp;TEXT((E40/輸入與假設!D$147)*100,"#,##0.0")&amp;"%"&amp;"，指引隱含 "&amp;TEXT(((((E36+E37)/2))/E118)*100,"#,##0.0")&amp;"%"&amp;"）；水準 "&amp;IF(E119&lt;0,"−","+")&amp;IF(ABS(E119)&lt;0,"−","")&amp;"$"&amp;TEXT(ABS(ABS(E119)),"#,##0.000")&amp;"bn"&amp;"）","CapEx（毛額） vs 指引中點 "&amp;IF(E82&lt;0,"−","+")&amp;TEXT(ABS(E82)*100,"#,##0.0")&amp;"%"&amp;"：觀點（水準 "&amp;IF(E119&lt;0,"−","+")&amp;IF(ABS(E119)&lt;0,"−","")&amp;"$"&amp;TEXT(ABS(ABS(E119)),"#,##0.000")&amp;"bn"&amp;"（FY27 模型 "&amp;IF(輸入與假設!D$147&lt;0,"−","")&amp;"$"&amp;TEXT(ABS(輸入與假設!D$147),"#,##0.000")&amp;"bn"&amp;"，指引隱含 "&amp;IF(E118&lt;0,"−","")&amp;"$"&amp;TEXT(ABS(E118),"#,##0.000")&amp;"bn"&amp;"）；分配 "&amp;IF(E120&lt;0,"−","+")&amp;IF(ABS(E120)&lt;0,"−","")&amp;"$"&amp;TEXT(ABS(ABS(E120)),"#,##0.000")&amp;"bn"&amp;"）"),"CapEx（毛額） vs 指引中點 "&amp;IF(E82&lt;0,"−","+")&amp;TEXT(ABS(E82)*100,"#,##0.0")&amp;"%"&amp;"：未歸類（差異原因待補）"),""),"")</f>
        <v/>
      </c>
      <c r="F123" s="46" t="str">
        <f aca="false">IF(ISNUMBER(F82),IF(OR(ABS(F82)&gt;輸入與假設!$C$311,F40&gt;F37,F40&lt;F36),IF(ISNUMBER(F119),IF(ABS(F120)&gt;ABS(F119),"CapEx（毛額） vs 指引中點 "&amp;IF(F82&lt;0,"−","+")&amp;TEXT(ABS(F82)*100,"#,##0.0")&amp;"%"&amp;"：拆法（分配 "&amp;IF(F120&lt;0,"−","+")&amp;IF(ABS(F120)&lt;0,"−","")&amp;"$"&amp;TEXT(ABS(ABS(F120)),"#,##0.000")&amp;"bn"&amp;"（Q2'27 占 FY27 "&amp;TEXT((F40/輸入與假設!D$147)*100,"#,##0.0")&amp;"%"&amp;"，指引隱含 "&amp;TEXT(((((F36+F37)/2))/F118)*100,"#,##0.0")&amp;"%"&amp;"）；水準 "&amp;IF(F119&lt;0,"−","+")&amp;IF(ABS(F119)&lt;0,"−","")&amp;"$"&amp;TEXT(ABS(ABS(F119)),"#,##0.000")&amp;"bn"&amp;"）","CapEx（毛額） vs 指引中點 "&amp;IF(F82&lt;0,"−","+")&amp;TEXT(ABS(F82)*100,"#,##0.0")&amp;"%"&amp;"：觀點（水準 "&amp;IF(F119&lt;0,"−","+")&amp;IF(ABS(F119)&lt;0,"−","")&amp;"$"&amp;TEXT(ABS(ABS(F119)),"#,##0.000")&amp;"bn"&amp;"（FY27 模型 "&amp;IF(輸入與假設!D$147&lt;0,"−","")&amp;"$"&amp;TEXT(ABS(輸入與假設!D$147),"#,##0.000")&amp;"bn"&amp;"，指引隱含 "&amp;IF(F118&lt;0,"−","")&amp;"$"&amp;TEXT(ABS(F118),"#,##0.000")&amp;"bn"&amp;"）；分配 "&amp;IF(F120&lt;0,"−","+")&amp;IF(ABS(F120)&lt;0,"−","")&amp;"$"&amp;TEXT(ABS(ABS(F120)),"#,##0.000")&amp;"bn"&amp;"）"),"CapEx（毛額） vs 指引中點 "&amp;IF(F82&lt;0,"−","+")&amp;TEXT(ABS(F82)*100,"#,##0.0")&amp;"%"&amp;"：未歸類（差異原因待補）"),""),"")</f>
        <v/>
      </c>
      <c r="G123" s="46" t="str">
        <f aca="false">IF(ISNUMBER(G82),IF(OR(ABS(G82)&gt;輸入與假設!$C$311,G40&gt;G37,G40&lt;G36),IF(ISNUMBER(G119),IF(ABS(G120)&gt;ABS(G119),"CapEx（毛額） vs 指引中點 "&amp;IF(G82&lt;0,"−","+")&amp;TEXT(ABS(G82)*100,"#,##0.0")&amp;"%"&amp;"：拆法（分配 "&amp;IF(G120&lt;0,"−","+")&amp;IF(ABS(G120)&lt;0,"−","")&amp;"$"&amp;TEXT(ABS(ABS(G120)),"#,##0.000")&amp;"bn"&amp;"（Q3'27 占 FY27 "&amp;TEXT((G40/輸入與假設!D$147)*100,"#,##0.0")&amp;"%"&amp;"，指引隱含 "&amp;TEXT(((((G36+G37)/2))/G118)*100,"#,##0.0")&amp;"%"&amp;"）；水準 "&amp;IF(G119&lt;0,"−","+")&amp;IF(ABS(G119)&lt;0,"−","")&amp;"$"&amp;TEXT(ABS(ABS(G119)),"#,##0.000")&amp;"bn"&amp;"）","CapEx（毛額） vs 指引中點 "&amp;IF(G82&lt;0,"−","+")&amp;TEXT(ABS(G82)*100,"#,##0.0")&amp;"%"&amp;"：觀點（水準 "&amp;IF(G119&lt;0,"−","+")&amp;IF(ABS(G119)&lt;0,"−","")&amp;"$"&amp;TEXT(ABS(ABS(G119)),"#,##0.000")&amp;"bn"&amp;"（FY27 模型 "&amp;IF(輸入與假設!D$147&lt;0,"−","")&amp;"$"&amp;TEXT(ABS(輸入與假設!D$147),"#,##0.000")&amp;"bn"&amp;"，指引隱含 "&amp;IF(G118&lt;0,"−","")&amp;"$"&amp;TEXT(ABS(G118),"#,##0.000")&amp;"bn"&amp;"）；分配 "&amp;IF(G120&lt;0,"−","+")&amp;IF(ABS(G120)&lt;0,"−","")&amp;"$"&amp;TEXT(ABS(ABS(G120)),"#,##0.000")&amp;"bn"&amp;"）"),"CapEx（毛額） vs 指引中點 "&amp;IF(G82&lt;0,"−","+")&amp;TEXT(ABS(G82)*100,"#,##0.0")&amp;"%"&amp;"：未歸類（差異原因待補）"),""),"")</f>
        <v/>
      </c>
      <c r="H123" s="46" t="str">
        <f aca="false">IF(ISNUMBER(H82),IF(OR(ABS(H82)&gt;輸入與假設!$C$311,H40&gt;H37,H40&lt;H36),IF(ISNUMBER(H119),IF(ABS(H120)&gt;ABS(H119),"CapEx（毛額） vs 指引中點 "&amp;IF(H82&lt;0,"−","+")&amp;TEXT(ABS(H82)*100,"#,##0.0")&amp;"%"&amp;"：拆法（分配 "&amp;IF(H120&lt;0,"−","+")&amp;IF(ABS(H120)&lt;0,"−","")&amp;"$"&amp;TEXT(ABS(ABS(H120)),"#,##0.000")&amp;"bn"&amp;"（Q4'27 占 FY27 "&amp;TEXT((H40/輸入與假設!D$147)*100,"#,##0.0")&amp;"%"&amp;"，指引隱含 "&amp;TEXT(((((H36+H37)/2))/H118)*100,"#,##0.0")&amp;"%"&amp;"）；水準 "&amp;IF(H119&lt;0,"−","+")&amp;IF(ABS(H119)&lt;0,"−","")&amp;"$"&amp;TEXT(ABS(ABS(H119)),"#,##0.000")&amp;"bn"&amp;"）","CapEx（毛額） vs 指引中點 "&amp;IF(H82&lt;0,"−","+")&amp;TEXT(ABS(H82)*100,"#,##0.0")&amp;"%"&amp;"：觀點（水準 "&amp;IF(H119&lt;0,"−","+")&amp;IF(ABS(H119)&lt;0,"−","")&amp;"$"&amp;TEXT(ABS(ABS(H119)),"#,##0.000")&amp;"bn"&amp;"（FY27 模型 "&amp;IF(輸入與假設!D$147&lt;0,"−","")&amp;"$"&amp;TEXT(ABS(輸入與假設!D$147),"#,##0.000")&amp;"bn"&amp;"，指引隱含 "&amp;IF(H118&lt;0,"−","")&amp;"$"&amp;TEXT(ABS(H118),"#,##0.000")&amp;"bn"&amp;"）；分配 "&amp;IF(H120&lt;0,"−","+")&amp;IF(ABS(H120)&lt;0,"−","")&amp;"$"&amp;TEXT(ABS(ABS(H120)),"#,##0.000")&amp;"bn"&amp;"）"),"CapEx（毛額） vs 指引中點 "&amp;IF(H82&lt;0,"−","+")&amp;TEXT(ABS(H82)*100,"#,##0.0")&amp;"%"&amp;"：未歸類（差異原因待補）"),""),"")</f>
        <v/>
      </c>
    </row>
    <row r="124" customFormat="false" ht="15" hidden="true" customHeight="false" outlineLevel="1" collapsed="false">
      <c r="A124" s="3" t="s">
        <v>1022</v>
      </c>
      <c r="C124" s="46" t="str">
        <f aca="false">IF(ISNUMBER(C82),IF(OR(ABS(C82)&gt;輸入與假設!$C$311,C40&gt;C37,C40&lt;C36),IF(ISNUMBER(C119),IF(ABS(C120)&gt;ABS(C119),"拆法","觀點"),"未歸類"),""),"")</f>
        <v/>
      </c>
      <c r="D124" s="46" t="str">
        <f aca="false">IF(ISNUMBER(D82),IF(OR(ABS(D82)&gt;輸入與假設!$C$311,D40&gt;D37,D40&lt;D36),IF(ISNUMBER(D119),IF(ABS(D120)&gt;ABS(D119),"拆法","觀點"),"未歸類"),""),"")</f>
        <v/>
      </c>
      <c r="E124" s="46" t="str">
        <f aca="false">IF(ISNUMBER(E82),IF(OR(ABS(E82)&gt;輸入與假設!$C$311,E40&gt;E37,E40&lt;E36),IF(ISNUMBER(E119),IF(ABS(E120)&gt;ABS(E119),"拆法","觀點"),"未歸類"),""),"")</f>
        <v/>
      </c>
      <c r="F124" s="46" t="str">
        <f aca="false">IF(ISNUMBER(F82),IF(OR(ABS(F82)&gt;輸入與假設!$C$311,F40&gt;F37,F40&lt;F36),IF(ISNUMBER(F119),IF(ABS(F120)&gt;ABS(F119),"拆法","觀點"),"未歸類"),""),"")</f>
        <v/>
      </c>
      <c r="G124" s="46" t="str">
        <f aca="false">IF(ISNUMBER(G82),IF(OR(ABS(G82)&gt;輸入與假設!$C$311,G40&gt;G37,G40&lt;G36),IF(ISNUMBER(G119),IF(ABS(G120)&gt;ABS(G119),"拆法","觀點"),"未歸類"),""),"")</f>
        <v/>
      </c>
      <c r="H124" s="46" t="str">
        <f aca="false">IF(ISNUMBER(H82),IF(OR(ABS(H82)&gt;輸入與假設!$C$311,H40&gt;H37,H40&lt;H36),IF(ISNUMBER(H119),IF(ABS(H120)&gt;ABS(H119),"拆法","觀點"),"未歸類"),""),"")</f>
        <v/>
      </c>
    </row>
    <row r="125" customFormat="false" ht="15" hidden="true" customHeight="false" outlineLevel="1" collapsed="false">
      <c r="A125" s="3" t="s">
        <v>1023</v>
      </c>
      <c r="C125" s="46"/>
      <c r="D125" s="46"/>
      <c r="E125" s="46"/>
      <c r="F125" s="46"/>
      <c r="G125" s="46"/>
      <c r="H125" s="46"/>
    </row>
    <row r="126" customFormat="false" ht="15" hidden="true" customHeight="false" outlineLevel="1" collapsed="false">
      <c r="A126" s="3" t="s">
        <v>1024</v>
      </c>
      <c r="C126" s="46"/>
      <c r="D126" s="46"/>
      <c r="E126" s="46"/>
      <c r="F126" s="46"/>
      <c r="G126" s="46"/>
      <c r="H126" s="46"/>
    </row>
    <row r="127" customFormat="false" ht="15" hidden="true" customHeight="false" outlineLevel="1" collapsed="false">
      <c r="A127" s="3" t="s">
        <v>1025</v>
      </c>
      <c r="C127" s="46"/>
      <c r="D127" s="46"/>
      <c r="E127" s="46"/>
      <c r="F127" s="46"/>
      <c r="G127" s="46"/>
      <c r="H127" s="46"/>
    </row>
    <row r="128" customFormat="false" ht="15" hidden="true" customHeight="false" outlineLevel="1" collapsed="false">
      <c r="A128" s="3" t="s">
        <v>1026</v>
      </c>
      <c r="C128" s="46"/>
      <c r="D128" s="46"/>
      <c r="E128" s="46"/>
      <c r="F128" s="46"/>
      <c r="G128" s="46"/>
      <c r="H128" s="46"/>
    </row>
    <row r="129" customFormat="false" ht="15" hidden="true" customHeight="false" outlineLevel="1" collapsed="false">
      <c r="A129" s="3" t="s">
        <v>1027</v>
      </c>
      <c r="C129" s="46"/>
      <c r="D129" s="46"/>
      <c r="E129" s="46"/>
      <c r="F129" s="46"/>
      <c r="G129" s="46"/>
      <c r="H129" s="46"/>
    </row>
    <row r="130" customFormat="false" ht="15" hidden="true" customHeight="false" outlineLevel="1" collapsed="false">
      <c r="A130" s="3" t="s">
        <v>1028</v>
      </c>
      <c r="C130" s="46"/>
      <c r="D130" s="46"/>
      <c r="E130" s="46"/>
      <c r="F130" s="46"/>
      <c r="G130" s="46"/>
      <c r="H130" s="46"/>
    </row>
    <row r="131" customFormat="false" ht="15" hidden="true" customHeight="false" outlineLevel="1" collapsed="false">
      <c r="A131" s="3" t="s">
        <v>1029</v>
      </c>
      <c r="C131" s="46"/>
      <c r="D131" s="46"/>
      <c r="E131" s="46"/>
      <c r="F131" s="46"/>
      <c r="G131" s="46"/>
      <c r="H131" s="46"/>
    </row>
    <row r="132" customFormat="false" ht="15" hidden="true" customHeight="false" outlineLevel="1" collapsed="false">
      <c r="A132" s="3" t="s">
        <v>1030</v>
      </c>
      <c r="C132" s="46"/>
      <c r="D132" s="46"/>
      <c r="E132" s="46"/>
      <c r="F132" s="46"/>
      <c r="G132" s="46"/>
      <c r="H132" s="46"/>
    </row>
    <row r="133" customFormat="false" ht="15" hidden="true" customHeight="false" outlineLevel="1" collapsed="false">
      <c r="A133" s="3" t="s">
        <v>1031</v>
      </c>
      <c r="C133" s="46" t="str">
        <f aca="false">MID(IF(C97&lt;&gt;"","；"&amp;C97,"")&amp;IF(C99&lt;&gt;"","；"&amp;C99,"")&amp;IF(C101&lt;&gt;"","；"&amp;C101,"")&amp;IF(C106&lt;&gt;"","；"&amp;C106,"")&amp;IF(C108&lt;&gt;"","；"&amp;C108,"")&amp;IF(C110&lt;&gt;"","；"&amp;C110,"")&amp;IF(C112&lt;&gt;"","；"&amp;C112,"")&amp;IF(C114&lt;&gt;"","；"&amp;C114,"")&amp;IF(C116&lt;&gt;"","；"&amp;C116,"")&amp;IF(C121&lt;&gt;"","；"&amp;C121,"")&amp;IF(C123&lt;&gt;"","；"&amp;C123,"")&amp;IF(C125&lt;&gt;"","；"&amp;C125,"")&amp;IF(C127&lt;&gt;"","；"&amp;C127,"")&amp;IF(C129&lt;&gt;"","；"&amp;C129,"")&amp;IF(C131&lt;&gt;"","；"&amp;C131,""),2,9999)</f>
        <v>營收 vs 共識 −15.5%：觀點（水準 −$0.795bn（2H26 模型 $6.396bn，共識合計 $8.247bn）；分配 +$0.244bn）；營收 vs 指引中點 −15.2%：觀點（水準 −$0.757bn（2H26 模型 $6.396bn，指引隱含 $8.147bn）；分配 +$0.223bn）；調整後 EBITDA vs 共識 −$0.68bn／−12.0pt：觀點（水準 −$0.824bn（2H26 模型 $2.953bn，共識合計 $4.944bn）；分配 +$0.146bn）；調整後營業利益 vs 指引中點 −$1.03bn／−33.4pt：已知限制（對照指引隱含折舊 1.82（＝共識 EBITDA 2.05 − 指引中點 0.23，Derived），模型折舊 2.17；缺口 −1.03 ≈ 折舊 −0.36 ＋ EBITDA −0.68；待辦 6 修正折舊）</v>
      </c>
      <c r="D133" s="46" t="str">
        <f aca="false">MID(IF(D97&lt;&gt;"","；"&amp;D97,"")&amp;IF(D99&lt;&gt;"","；"&amp;D99,"")&amp;IF(D101&lt;&gt;"","；"&amp;D101,"")&amp;IF(D106&lt;&gt;"","；"&amp;D106,"")&amp;IF(D108&lt;&gt;"","；"&amp;D108,"")&amp;IF(D110&lt;&gt;"","；"&amp;D110,"")&amp;IF(D112&lt;&gt;"","；"&amp;D112,"")&amp;IF(D114&lt;&gt;"","；"&amp;D114,"")&amp;IF(D116&lt;&gt;"","；"&amp;D116,"")&amp;IF(D121&lt;&gt;"","；"&amp;D121,"")&amp;IF(D123&lt;&gt;"","；"&amp;D123,"")&amp;IF(D125&lt;&gt;"","；"&amp;D125,"")&amp;IF(D127&lt;&gt;"","；"&amp;D127,"")&amp;IF(D129&lt;&gt;"","；"&amp;D129,"")&amp;IF(D131&lt;&gt;"","；"&amp;D131,""),2,9999)</f>
        <v>營收 vs 共識 −27.6%：觀點（水準 −$1.056bn（2H26 模型 $6.396bn，共識合計 $8.247bn）；分配 −$0.244bn）；調整後 EBITDA vs 共識 −$1.31bn／−15.0pt：觀點（水準 −$1.166bn（2H26 模型 $2.953bn，共識合計 $4.944bn）；分配 −$0.146bn）</v>
      </c>
      <c r="E133" s="46" t="str">
        <f aca="false">MID(IF(E97&lt;&gt;"","；"&amp;E97,"")&amp;IF(E99&lt;&gt;"","；"&amp;E99,"")&amp;IF(E101&lt;&gt;"","；"&amp;E101,"")&amp;IF(E106&lt;&gt;"","；"&amp;E106,"")&amp;IF(E108&lt;&gt;"","；"&amp;E108,"")&amp;IF(E110&lt;&gt;"","；"&amp;E110,"")&amp;IF(E112&lt;&gt;"","；"&amp;E112,"")&amp;IF(E114&lt;&gt;"","；"&amp;E114,"")&amp;IF(E116&lt;&gt;"","；"&amp;E116,"")&amp;IF(E121&lt;&gt;"","；"&amp;E121,"")&amp;IF(E123&lt;&gt;"","；"&amp;E123,"")&amp;IF(E125&lt;&gt;"","；"&amp;E125,"")&amp;IF(E127&lt;&gt;"","；"&amp;E127,"")&amp;IF(E129&lt;&gt;"","；"&amp;E129,"")&amp;IF(E131&lt;&gt;"","；"&amp;E131,""),2,9999)</f>
        <v/>
      </c>
      <c r="F133" s="46" t="str">
        <f aca="false">MID(IF(F97&lt;&gt;"","；"&amp;F97,"")&amp;IF(F99&lt;&gt;"","；"&amp;F99,"")&amp;IF(F101&lt;&gt;"","；"&amp;F101,"")&amp;IF(F106&lt;&gt;"","；"&amp;F106,"")&amp;IF(F108&lt;&gt;"","；"&amp;F108,"")&amp;IF(F110&lt;&gt;"","；"&amp;F110,"")&amp;IF(F112&lt;&gt;"","；"&amp;F112,"")&amp;IF(F114&lt;&gt;"","；"&amp;F114,"")&amp;IF(F116&lt;&gt;"","；"&amp;F116,"")&amp;IF(F121&lt;&gt;"","；"&amp;F121,"")&amp;IF(F123&lt;&gt;"","；"&amp;F123,"")&amp;IF(F125&lt;&gt;"","；"&amp;F125,"")&amp;IF(F127&lt;&gt;"","；"&amp;F127,"")&amp;IF(F129&lt;&gt;"","；"&amp;F129,"")&amp;IF(F131&lt;&gt;"","；"&amp;F131,""),2,9999)</f>
        <v/>
      </c>
      <c r="G133" s="46" t="str">
        <f aca="false">MID(IF(G97&lt;&gt;"","；"&amp;G97,"")&amp;IF(G99&lt;&gt;"","；"&amp;G99,"")&amp;IF(G101&lt;&gt;"","；"&amp;G101,"")&amp;IF(G106&lt;&gt;"","；"&amp;G106,"")&amp;IF(G108&lt;&gt;"","；"&amp;G108,"")&amp;IF(G110&lt;&gt;"","；"&amp;G110,"")&amp;IF(G112&lt;&gt;"","；"&amp;G112,"")&amp;IF(G114&lt;&gt;"","；"&amp;G114,"")&amp;IF(G116&lt;&gt;"","；"&amp;G116,"")&amp;IF(G121&lt;&gt;"","；"&amp;G121,"")&amp;IF(G123&lt;&gt;"","；"&amp;G123,"")&amp;IF(G125&lt;&gt;"","；"&amp;G125,"")&amp;IF(G127&lt;&gt;"","；"&amp;G127,"")&amp;IF(G129&lt;&gt;"","；"&amp;G129,"")&amp;IF(G131&lt;&gt;"","；"&amp;G131,""),2,9999)</f>
        <v/>
      </c>
      <c r="H133" s="46" t="str">
        <f aca="false">MID(IF(H97&lt;&gt;"","；"&amp;H97,"")&amp;IF(H99&lt;&gt;"","；"&amp;H99,"")&amp;IF(H101&lt;&gt;"","；"&amp;H101,"")&amp;IF(H106&lt;&gt;"","；"&amp;H106,"")&amp;IF(H108&lt;&gt;"","；"&amp;H108,"")&amp;IF(H110&lt;&gt;"","；"&amp;H110,"")&amp;IF(H112&lt;&gt;"","；"&amp;H112,"")&amp;IF(H114&lt;&gt;"","；"&amp;H114,"")&amp;IF(H116&lt;&gt;"","；"&amp;H116,"")&amp;IF(H121&lt;&gt;"","；"&amp;H121,"")&amp;IF(H123&lt;&gt;"","；"&amp;H123,"")&amp;IF(H125&lt;&gt;"","；"&amp;H125,"")&amp;IF(H127&lt;&gt;"","；"&amp;H127,"")&amp;IF(H129&lt;&gt;"","；"&amp;H129,"")&amp;IF(H131&lt;&gt;"","；"&amp;H131,""),2,9999)</f>
        <v/>
      </c>
    </row>
    <row r="134" customFormat="false" ht="15" hidden="true" customHeight="false" outlineLevel="1" collapsed="false">
      <c r="A134" s="3" t="s">
        <v>1032</v>
      </c>
      <c r="C134" s="46" t="str">
        <f aca="false">IF((C98&amp;IF(AND(C100&lt;&gt;"",C100&lt;&gt;C98),IF((C98)&lt;&gt;"","、","")&amp;C100,"")&amp;IF(AND(C102&lt;&gt;"",C102&lt;&gt;C98,C102&lt;&gt;C100),IF((C98&amp;C100)&lt;&gt;"","、","")&amp;C102,""))&lt;&gt;"","〔"&amp;(C98&amp;IF(AND(C100&lt;&gt;"",C100&lt;&gt;C98),IF((C98)&lt;&gt;"","、","")&amp;C100,"")&amp;IF(AND(C102&lt;&gt;"",C102&lt;&gt;C98,C102&lt;&gt;C100),IF((C98&amp;C100)&lt;&gt;"","、","")&amp;C102,""))&amp;"〕","")</f>
        <v>〔觀點〕</v>
      </c>
      <c r="D134" s="46" t="str">
        <f aca="false">IF((D98&amp;IF(AND(D100&lt;&gt;"",D100&lt;&gt;D98),IF((D98)&lt;&gt;"","、","")&amp;D100,"")&amp;IF(AND(D102&lt;&gt;"",D102&lt;&gt;D98,D102&lt;&gt;D100),IF((D98&amp;D100)&lt;&gt;"","、","")&amp;D102,""))&lt;&gt;"","〔"&amp;(D98&amp;IF(AND(D100&lt;&gt;"",D100&lt;&gt;D98),IF((D98)&lt;&gt;"","、","")&amp;D100,"")&amp;IF(AND(D102&lt;&gt;"",D102&lt;&gt;D98,D102&lt;&gt;D100),IF((D98&amp;D100)&lt;&gt;"","、","")&amp;D102,""))&amp;"〕","")</f>
        <v>〔觀點〕</v>
      </c>
      <c r="E134" s="46" t="str">
        <f aca="false">IF((E98&amp;IF(AND(E100&lt;&gt;"",E100&lt;&gt;E98),IF((E98)&lt;&gt;"","、","")&amp;E100,"")&amp;IF(AND(E102&lt;&gt;"",E102&lt;&gt;E98,E102&lt;&gt;E100),IF((E98&amp;E100)&lt;&gt;"","、","")&amp;E102,""))&lt;&gt;"","〔"&amp;(E98&amp;IF(AND(E100&lt;&gt;"",E100&lt;&gt;E98),IF((E98)&lt;&gt;"","、","")&amp;E100,"")&amp;IF(AND(E102&lt;&gt;"",E102&lt;&gt;E98,E102&lt;&gt;E100),IF((E98&amp;E100)&lt;&gt;"","、","")&amp;E102,""))&amp;"〕","")</f>
        <v/>
      </c>
      <c r="F134" s="46" t="str">
        <f aca="false">IF((F98&amp;IF(AND(F100&lt;&gt;"",F100&lt;&gt;F98),IF((F98)&lt;&gt;"","、","")&amp;F100,"")&amp;IF(AND(F102&lt;&gt;"",F102&lt;&gt;F98,F102&lt;&gt;F100),IF((F98&amp;F100)&lt;&gt;"","、","")&amp;F102,""))&lt;&gt;"","〔"&amp;(F98&amp;IF(AND(F100&lt;&gt;"",F100&lt;&gt;F98),IF((F98)&lt;&gt;"","、","")&amp;F100,"")&amp;IF(AND(F102&lt;&gt;"",F102&lt;&gt;F98,F102&lt;&gt;F100),IF((F98&amp;F100)&lt;&gt;"","、","")&amp;F102,""))&amp;"〕","")</f>
        <v/>
      </c>
      <c r="G134" s="46" t="str">
        <f aca="false">IF((G98&amp;IF(AND(G100&lt;&gt;"",G100&lt;&gt;G98),IF((G98)&lt;&gt;"","、","")&amp;G100,"")&amp;IF(AND(G102&lt;&gt;"",G102&lt;&gt;G98,G102&lt;&gt;G100),IF((G98&amp;G100)&lt;&gt;"","、","")&amp;G102,""))&lt;&gt;"","〔"&amp;(G98&amp;IF(AND(G100&lt;&gt;"",G100&lt;&gt;G98),IF((G98)&lt;&gt;"","、","")&amp;G100,"")&amp;IF(AND(G102&lt;&gt;"",G102&lt;&gt;G98,G102&lt;&gt;G100),IF((G98&amp;G100)&lt;&gt;"","、","")&amp;G102,""))&amp;"〕","")</f>
        <v/>
      </c>
      <c r="H134" s="46" t="str">
        <f aca="false">IF((H98&amp;IF(AND(H100&lt;&gt;"",H100&lt;&gt;H98),IF((H98)&lt;&gt;"","、","")&amp;H100,"")&amp;IF(AND(H102&lt;&gt;"",H102&lt;&gt;H98,H102&lt;&gt;H100),IF((H98&amp;H100)&lt;&gt;"","、","")&amp;H102,""))&lt;&gt;"","〔"&amp;(H98&amp;IF(AND(H100&lt;&gt;"",H100&lt;&gt;H98),IF((H98)&lt;&gt;"","、","")&amp;H100,"")&amp;IF(AND(H102&lt;&gt;"",H102&lt;&gt;H98,H102&lt;&gt;H100),IF((H98&amp;H100)&lt;&gt;"","、","")&amp;H102,""))&amp;"〕","")</f>
        <v/>
      </c>
    </row>
    <row r="135" customFormat="false" ht="15" hidden="true" customHeight="false" outlineLevel="1" collapsed="false">
      <c r="A135" s="3" t="s">
        <v>1033</v>
      </c>
      <c r="C135" s="46" t="str">
        <f aca="false">IF((C107&amp;IF(AND(C109&lt;&gt;"",C109&lt;&gt;C107),IF((C107)&lt;&gt;"","、","")&amp;C109,"")&amp;IF(AND(C111&lt;&gt;"",C111&lt;&gt;C107,C111&lt;&gt;C109),IF((C107&amp;C109)&lt;&gt;"","、","")&amp;C111,""))&lt;&gt;"","〔"&amp;(C107&amp;IF(AND(C109&lt;&gt;"",C109&lt;&gt;C107),IF((C107)&lt;&gt;"","、","")&amp;C109,"")&amp;IF(AND(C111&lt;&gt;"",C111&lt;&gt;C107,C111&lt;&gt;C109),IF((C107&amp;C109)&lt;&gt;"","、","")&amp;C111,""))&amp;"〕","")</f>
        <v>〔觀點〕</v>
      </c>
      <c r="D135" s="46" t="str">
        <f aca="false">IF((D107&amp;IF(AND(D109&lt;&gt;"",D109&lt;&gt;D107),IF((D107)&lt;&gt;"","、","")&amp;D109,"")&amp;IF(AND(D111&lt;&gt;"",D111&lt;&gt;D107,D111&lt;&gt;D109),IF((D107&amp;D109)&lt;&gt;"","、","")&amp;D111,""))&lt;&gt;"","〔"&amp;(D107&amp;IF(AND(D109&lt;&gt;"",D109&lt;&gt;D107),IF((D107)&lt;&gt;"","、","")&amp;D109,"")&amp;IF(AND(D111&lt;&gt;"",D111&lt;&gt;D107,D111&lt;&gt;D109),IF((D107&amp;D109)&lt;&gt;"","、","")&amp;D111,""))&amp;"〕","")</f>
        <v>〔觀點〕</v>
      </c>
      <c r="E135" s="46" t="str">
        <f aca="false">IF((E107&amp;IF(AND(E109&lt;&gt;"",E109&lt;&gt;E107),IF((E107)&lt;&gt;"","、","")&amp;E109,"")&amp;IF(AND(E111&lt;&gt;"",E111&lt;&gt;E107,E111&lt;&gt;E109),IF((E107&amp;E109)&lt;&gt;"","、","")&amp;E111,""))&lt;&gt;"","〔"&amp;(E107&amp;IF(AND(E109&lt;&gt;"",E109&lt;&gt;E107),IF((E107)&lt;&gt;"","、","")&amp;E109,"")&amp;IF(AND(E111&lt;&gt;"",E111&lt;&gt;E107,E111&lt;&gt;E109),IF((E107&amp;E109)&lt;&gt;"","、","")&amp;E111,""))&amp;"〕","")</f>
        <v/>
      </c>
      <c r="F135" s="46" t="str">
        <f aca="false">IF((F107&amp;IF(AND(F109&lt;&gt;"",F109&lt;&gt;F107),IF((F107)&lt;&gt;"","、","")&amp;F109,"")&amp;IF(AND(F111&lt;&gt;"",F111&lt;&gt;F107,F111&lt;&gt;F109),IF((F107&amp;F109)&lt;&gt;"","、","")&amp;F111,""))&lt;&gt;"","〔"&amp;(F107&amp;IF(AND(F109&lt;&gt;"",F109&lt;&gt;F107),IF((F107)&lt;&gt;"","、","")&amp;F109,"")&amp;IF(AND(F111&lt;&gt;"",F111&lt;&gt;F107,F111&lt;&gt;F109),IF((F107&amp;F109)&lt;&gt;"","、","")&amp;F111,""))&amp;"〕","")</f>
        <v/>
      </c>
      <c r="G135" s="46" t="str">
        <f aca="false">IF((G107&amp;IF(AND(G109&lt;&gt;"",G109&lt;&gt;G107),IF((G107)&lt;&gt;"","、","")&amp;G109,"")&amp;IF(AND(G111&lt;&gt;"",G111&lt;&gt;G107,G111&lt;&gt;G109),IF((G107&amp;G109)&lt;&gt;"","、","")&amp;G111,""))&lt;&gt;"","〔"&amp;(G107&amp;IF(AND(G109&lt;&gt;"",G109&lt;&gt;G107),IF((G107)&lt;&gt;"","、","")&amp;G109,"")&amp;IF(AND(G111&lt;&gt;"",G111&lt;&gt;G107,G111&lt;&gt;G109),IF((G107&amp;G109)&lt;&gt;"","、","")&amp;G111,""))&amp;"〕","")</f>
        <v/>
      </c>
      <c r="H135" s="46" t="str">
        <f aca="false">IF((H107&amp;IF(AND(H109&lt;&gt;"",H109&lt;&gt;H107),IF((H107)&lt;&gt;"","、","")&amp;H109,"")&amp;IF(AND(H111&lt;&gt;"",H111&lt;&gt;H107,H111&lt;&gt;H109),IF((H107&amp;H109)&lt;&gt;"","、","")&amp;H111,""))&lt;&gt;"","〔"&amp;(H107&amp;IF(AND(H109&lt;&gt;"",H109&lt;&gt;H107),IF((H107)&lt;&gt;"","、","")&amp;H109,"")&amp;IF(AND(H111&lt;&gt;"",H111&lt;&gt;H107,H111&lt;&gt;H109),IF((H107&amp;H109)&lt;&gt;"","、","")&amp;H111,""))&amp;"〕","")</f>
        <v/>
      </c>
    </row>
    <row r="136" customFormat="false" ht="15" hidden="true" customHeight="false" outlineLevel="1" collapsed="false">
      <c r="A136" s="3" t="s">
        <v>1034</v>
      </c>
      <c r="C136" s="46" t="str">
        <f aca="false">IF((C113&amp;IF(AND(C115&lt;&gt;"",C115&lt;&gt;C113),IF((C113)&lt;&gt;"","、","")&amp;C115,"")&amp;IF(AND(C117&lt;&gt;"",C117&lt;&gt;C113,C117&lt;&gt;C115),IF((C113&amp;C115)&lt;&gt;"","、","")&amp;C117,""))&lt;&gt;"","〔"&amp;(C113&amp;IF(AND(C115&lt;&gt;"",C115&lt;&gt;C113),IF((C113)&lt;&gt;"","、","")&amp;C115,"")&amp;IF(AND(C117&lt;&gt;"",C117&lt;&gt;C113,C117&lt;&gt;C115),IF((C113&amp;C115)&lt;&gt;"","、","")&amp;C117,""))&amp;"〕","")</f>
        <v>〔已知限制〕</v>
      </c>
      <c r="D136" s="46" t="str">
        <f aca="false">IF((D113&amp;IF(AND(D115&lt;&gt;"",D115&lt;&gt;D113),IF((D113)&lt;&gt;"","、","")&amp;D115,"")&amp;IF(AND(D117&lt;&gt;"",D117&lt;&gt;D113,D117&lt;&gt;D115),IF((D113&amp;D115)&lt;&gt;"","、","")&amp;D117,""))&lt;&gt;"","〔"&amp;(D113&amp;IF(AND(D115&lt;&gt;"",D115&lt;&gt;D113),IF((D113)&lt;&gt;"","、","")&amp;D115,"")&amp;IF(AND(D117&lt;&gt;"",D117&lt;&gt;D113,D117&lt;&gt;D115),IF((D113&amp;D115)&lt;&gt;"","、","")&amp;D117,""))&amp;"〕","")</f>
        <v/>
      </c>
      <c r="E136" s="46" t="str">
        <f aca="false">IF((E113&amp;IF(AND(E115&lt;&gt;"",E115&lt;&gt;E113),IF((E113)&lt;&gt;"","、","")&amp;E115,"")&amp;IF(AND(E117&lt;&gt;"",E117&lt;&gt;E113,E117&lt;&gt;E115),IF((E113&amp;E115)&lt;&gt;"","、","")&amp;E117,""))&lt;&gt;"","〔"&amp;(E113&amp;IF(AND(E115&lt;&gt;"",E115&lt;&gt;E113),IF((E113)&lt;&gt;"","、","")&amp;E115,"")&amp;IF(AND(E117&lt;&gt;"",E117&lt;&gt;E113,E117&lt;&gt;E115),IF((E113&amp;E115)&lt;&gt;"","、","")&amp;E117,""))&amp;"〕","")</f>
        <v/>
      </c>
      <c r="F136" s="46" t="str">
        <f aca="false">IF((F113&amp;IF(AND(F115&lt;&gt;"",F115&lt;&gt;F113),IF((F113)&lt;&gt;"","、","")&amp;F115,"")&amp;IF(AND(F117&lt;&gt;"",F117&lt;&gt;F113,F117&lt;&gt;F115),IF((F113&amp;F115)&lt;&gt;"","、","")&amp;F117,""))&lt;&gt;"","〔"&amp;(F113&amp;IF(AND(F115&lt;&gt;"",F115&lt;&gt;F113),IF((F113)&lt;&gt;"","、","")&amp;F115,"")&amp;IF(AND(F117&lt;&gt;"",F117&lt;&gt;F113,F117&lt;&gt;F115),IF((F113&amp;F115)&lt;&gt;"","、","")&amp;F117,""))&amp;"〕","")</f>
        <v/>
      </c>
      <c r="G136" s="46" t="str">
        <f aca="false">IF((G113&amp;IF(AND(G115&lt;&gt;"",G115&lt;&gt;G113),IF((G113)&lt;&gt;"","、","")&amp;G115,"")&amp;IF(AND(G117&lt;&gt;"",G117&lt;&gt;G113,G117&lt;&gt;G115),IF((G113&amp;G115)&lt;&gt;"","、","")&amp;G117,""))&lt;&gt;"","〔"&amp;(G113&amp;IF(AND(G115&lt;&gt;"",G115&lt;&gt;G113),IF((G113)&lt;&gt;"","、","")&amp;G115,"")&amp;IF(AND(G117&lt;&gt;"",G117&lt;&gt;G113,G117&lt;&gt;G115),IF((G113&amp;G115)&lt;&gt;"","、","")&amp;G117,""))&amp;"〕","")</f>
        <v/>
      </c>
      <c r="H136" s="46" t="str">
        <f aca="false">IF((H113&amp;IF(AND(H115&lt;&gt;"",H115&lt;&gt;H113),IF((H113)&lt;&gt;"","、","")&amp;H115,"")&amp;IF(AND(H117&lt;&gt;"",H117&lt;&gt;H113,H117&lt;&gt;H115),IF((H113&amp;H115)&lt;&gt;"","、","")&amp;H117,""))&lt;&gt;"","〔"&amp;(H113&amp;IF(AND(H115&lt;&gt;"",H115&lt;&gt;H113),IF((H113)&lt;&gt;"","、","")&amp;H115,"")&amp;IF(AND(H117&lt;&gt;"",H117&lt;&gt;H113,H117&lt;&gt;H115),IF((H113&amp;H115)&lt;&gt;"","、","")&amp;H117,""))&amp;"〕","")</f>
        <v/>
      </c>
    </row>
    <row r="137" customFormat="false" ht="15" hidden="true" customHeight="false" outlineLevel="1" collapsed="false">
      <c r="A137" s="3" t="s">
        <v>1035</v>
      </c>
      <c r="C137" s="46" t="str">
        <f aca="false">IF((C122&amp;IF(AND(C124&lt;&gt;"",C124&lt;&gt;C122),IF((C122)&lt;&gt;"","、","")&amp;C124,"")&amp;IF(AND(C126&lt;&gt;"",C126&lt;&gt;C122,C126&lt;&gt;C124),IF((C122&amp;C124)&lt;&gt;"","、","")&amp;C126,""))&lt;&gt;"","〔"&amp;(C122&amp;IF(AND(C124&lt;&gt;"",C124&lt;&gt;C122),IF((C122)&lt;&gt;"","、","")&amp;C124,"")&amp;IF(AND(C126&lt;&gt;"",C126&lt;&gt;C122,C126&lt;&gt;C124),IF((C122&amp;C124)&lt;&gt;"","、","")&amp;C126,""))&amp;"〕","")</f>
        <v/>
      </c>
      <c r="D137" s="46" t="str">
        <f aca="false">IF((D122&amp;IF(AND(D124&lt;&gt;"",D124&lt;&gt;D122),IF((D122)&lt;&gt;"","、","")&amp;D124,"")&amp;IF(AND(D126&lt;&gt;"",D126&lt;&gt;D122,D126&lt;&gt;D124),IF((D122&amp;D124)&lt;&gt;"","、","")&amp;D126,""))&lt;&gt;"","〔"&amp;(D122&amp;IF(AND(D124&lt;&gt;"",D124&lt;&gt;D122),IF((D122)&lt;&gt;"","、","")&amp;D124,"")&amp;IF(AND(D126&lt;&gt;"",D126&lt;&gt;D122,D126&lt;&gt;D124),IF((D122&amp;D124)&lt;&gt;"","、","")&amp;D126,""))&amp;"〕","")</f>
        <v/>
      </c>
      <c r="E137" s="46" t="str">
        <f aca="false">IF((E122&amp;IF(AND(E124&lt;&gt;"",E124&lt;&gt;E122),IF((E122)&lt;&gt;"","、","")&amp;E124,"")&amp;IF(AND(E126&lt;&gt;"",E126&lt;&gt;E122,E126&lt;&gt;E124),IF((E122&amp;E124)&lt;&gt;"","、","")&amp;E126,""))&lt;&gt;"","〔"&amp;(E122&amp;IF(AND(E124&lt;&gt;"",E124&lt;&gt;E122),IF((E122)&lt;&gt;"","、","")&amp;E124,"")&amp;IF(AND(E126&lt;&gt;"",E126&lt;&gt;E122,E126&lt;&gt;E124),IF((E122&amp;E124)&lt;&gt;"","、","")&amp;E126,""))&amp;"〕","")</f>
        <v/>
      </c>
      <c r="F137" s="46" t="str">
        <f aca="false">IF((F122&amp;IF(AND(F124&lt;&gt;"",F124&lt;&gt;F122),IF((F122)&lt;&gt;"","、","")&amp;F124,"")&amp;IF(AND(F126&lt;&gt;"",F126&lt;&gt;F122,F126&lt;&gt;F124),IF((F122&amp;F124)&lt;&gt;"","、","")&amp;F126,""))&lt;&gt;"","〔"&amp;(F122&amp;IF(AND(F124&lt;&gt;"",F124&lt;&gt;F122),IF((F122)&lt;&gt;"","、","")&amp;F124,"")&amp;IF(AND(F126&lt;&gt;"",F126&lt;&gt;F122,F126&lt;&gt;F124),IF((F122&amp;F124)&lt;&gt;"","、","")&amp;F126,""))&amp;"〕","")</f>
        <v/>
      </c>
      <c r="G137" s="46" t="str">
        <f aca="false">IF((G122&amp;IF(AND(G124&lt;&gt;"",G124&lt;&gt;G122),IF((G122)&lt;&gt;"","、","")&amp;G124,"")&amp;IF(AND(G126&lt;&gt;"",G126&lt;&gt;G122,G126&lt;&gt;G124),IF((G122&amp;G124)&lt;&gt;"","、","")&amp;G126,""))&lt;&gt;"","〔"&amp;(G122&amp;IF(AND(G124&lt;&gt;"",G124&lt;&gt;G122),IF((G122)&lt;&gt;"","、","")&amp;G124,"")&amp;IF(AND(G126&lt;&gt;"",G126&lt;&gt;G122,G126&lt;&gt;G124),IF((G122&amp;G124)&lt;&gt;"","、","")&amp;G126,""))&amp;"〕","")</f>
        <v/>
      </c>
      <c r="H137" s="46" t="str">
        <f aca="false">IF((H122&amp;IF(AND(H124&lt;&gt;"",H124&lt;&gt;H122),IF((H122)&lt;&gt;"","、","")&amp;H124,"")&amp;IF(AND(H126&lt;&gt;"",H126&lt;&gt;H122,H126&lt;&gt;H124),IF((H122&amp;H124)&lt;&gt;"","、","")&amp;H126,""))&lt;&gt;"","〔"&amp;(H122&amp;IF(AND(H124&lt;&gt;"",H124&lt;&gt;H122),IF((H122)&lt;&gt;"","、","")&amp;H124,"")&amp;IF(AND(H126&lt;&gt;"",H126&lt;&gt;H122,H126&lt;&gt;H124),IF((H122&amp;H124)&lt;&gt;"","、","")&amp;H126,""))&amp;"〕","")</f>
        <v/>
      </c>
    </row>
    <row r="138" customFormat="false" ht="15" hidden="true" customHeight="false" outlineLevel="1" collapsed="false">
      <c r="A138" s="3" t="s">
        <v>1036</v>
      </c>
      <c r="C138" s="46" t="str">
        <f aca="false">IF((C128&amp;IF(AND(C130&lt;&gt;"",C130&lt;&gt;C128),IF((C128)&lt;&gt;"","、","")&amp;C130,"")&amp;IF(AND(C132&lt;&gt;"",C132&lt;&gt;C128,C132&lt;&gt;C130),IF((C128&amp;C130)&lt;&gt;"","、","")&amp;C132,""))&lt;&gt;"","〔"&amp;(C128&amp;IF(AND(C130&lt;&gt;"",C130&lt;&gt;C128),IF((C128)&lt;&gt;"","、","")&amp;C130,"")&amp;IF(AND(C132&lt;&gt;"",C132&lt;&gt;C128,C132&lt;&gt;C130),IF((C128&amp;C130)&lt;&gt;"","、","")&amp;C132,""))&amp;"〕","")</f>
        <v/>
      </c>
      <c r="D138" s="46" t="str">
        <f aca="false">IF((D128&amp;IF(AND(D130&lt;&gt;"",D130&lt;&gt;D128),IF((D128)&lt;&gt;"","、","")&amp;D130,"")&amp;IF(AND(D132&lt;&gt;"",D132&lt;&gt;D128,D132&lt;&gt;D130),IF((D128&amp;D130)&lt;&gt;"","、","")&amp;D132,""))&lt;&gt;"","〔"&amp;(D128&amp;IF(AND(D130&lt;&gt;"",D130&lt;&gt;D128),IF((D128)&lt;&gt;"","、","")&amp;D130,"")&amp;IF(AND(D132&lt;&gt;"",D132&lt;&gt;D128,D132&lt;&gt;D130),IF((D128&amp;D130)&lt;&gt;"","、","")&amp;D132,""))&amp;"〕","")</f>
        <v/>
      </c>
      <c r="E138" s="46" t="str">
        <f aca="false">IF((E128&amp;IF(AND(E130&lt;&gt;"",E130&lt;&gt;E128),IF((E128)&lt;&gt;"","、","")&amp;E130,"")&amp;IF(AND(E132&lt;&gt;"",E132&lt;&gt;E128,E132&lt;&gt;E130),IF((E128&amp;E130)&lt;&gt;"","、","")&amp;E132,""))&lt;&gt;"","〔"&amp;(E128&amp;IF(AND(E130&lt;&gt;"",E130&lt;&gt;E128),IF((E128)&lt;&gt;"","、","")&amp;E130,"")&amp;IF(AND(E132&lt;&gt;"",E132&lt;&gt;E128,E132&lt;&gt;E130),IF((E128&amp;E130)&lt;&gt;"","、","")&amp;E132,""))&amp;"〕","")</f>
        <v/>
      </c>
      <c r="F138" s="46" t="str">
        <f aca="false">IF((F128&amp;IF(AND(F130&lt;&gt;"",F130&lt;&gt;F128),IF((F128)&lt;&gt;"","、","")&amp;F130,"")&amp;IF(AND(F132&lt;&gt;"",F132&lt;&gt;F128,F132&lt;&gt;F130),IF((F128&amp;F130)&lt;&gt;"","、","")&amp;F132,""))&lt;&gt;"","〔"&amp;(F128&amp;IF(AND(F130&lt;&gt;"",F130&lt;&gt;F128),IF((F128)&lt;&gt;"","、","")&amp;F130,"")&amp;IF(AND(F132&lt;&gt;"",F132&lt;&gt;F128,F132&lt;&gt;F130),IF((F128&amp;F130)&lt;&gt;"","、","")&amp;F132,""))&amp;"〕","")</f>
        <v/>
      </c>
      <c r="G138" s="46" t="str">
        <f aca="false">IF((G128&amp;IF(AND(G130&lt;&gt;"",G130&lt;&gt;G128),IF((G128)&lt;&gt;"","、","")&amp;G130,"")&amp;IF(AND(G132&lt;&gt;"",G132&lt;&gt;G128,G132&lt;&gt;G130),IF((G128&amp;G130)&lt;&gt;"","、","")&amp;G132,""))&lt;&gt;"","〔"&amp;(G128&amp;IF(AND(G130&lt;&gt;"",G130&lt;&gt;G128),IF((G128)&lt;&gt;"","、","")&amp;G130,"")&amp;IF(AND(G132&lt;&gt;"",G132&lt;&gt;G128,G132&lt;&gt;G130),IF((G128&amp;G130)&lt;&gt;"","、","")&amp;G132,""))&amp;"〕","")</f>
        <v/>
      </c>
      <c r="H138" s="46" t="str">
        <f aca="false">IF((H128&amp;IF(AND(H130&lt;&gt;"",H130&lt;&gt;H128),IF((H128)&lt;&gt;"","、","")&amp;H130,"")&amp;IF(AND(H132&lt;&gt;"",H132&lt;&gt;H128,H132&lt;&gt;H130),IF((H128&amp;H130)&lt;&gt;"","、","")&amp;H132,""))&lt;&gt;"","〔"&amp;(H128&amp;IF(AND(H130&lt;&gt;"",H130&lt;&gt;H128),IF((H128)&lt;&gt;"","、","")&amp;H130,"")&amp;IF(AND(H132&lt;&gt;"",H132&lt;&gt;H128,H132&lt;&gt;H130),IF((H128&amp;H130)&lt;&gt;"","、","")&amp;H132,""))&amp;"〕","")</f>
        <v/>
      </c>
    </row>
    <row r="139" customFormat="false" ht="15" hidden="true" customHeight="false" outlineLevel="1" collapsed="false">
      <c r="A139" s="3" t="s">
        <v>1037</v>
      </c>
      <c r="C139" s="46" t="str">
        <f aca="false">"營收：模型 "&amp;IF(ISNUMBER(C22),IF(C22&lt;0,"−","")&amp;"$"&amp;TEXT(ABS(C22),"#,##0.00")&amp;"bn","不適用")&amp;IF(ISNUMBER(C41),"｜共識 "&amp;IF(C41&lt;0,"−","")&amp;"$"&amp;TEXT(ABS(C41),"#,##0.00")&amp;"bn"&amp;"（"&amp;IF(ISNUMBER(C51),IF(C51&lt;0,"−","+")&amp;TEXT(ABS(C51)*100,"#,##0.0")&amp;"%","不適用")&amp;"）","")&amp;IF(AND(ISNUMBER(C31),ISNUMBER(C32)),"｜指引 "&amp;"$"&amp;IF(C31&lt;0,"−","")&amp;TEXT(ABS(C31),"#,##0.00")&amp;"–"&amp;IF(C32&lt;0,"−","")&amp;TEXT(ABS(C32),"#,##0.00")&amp;"bn"&amp;"（中點 "&amp;IF(ISNUMBER(C52),IF(C52&lt;0,"−","+")&amp;TEXT(ABS(C52)*100,"#,##0.0")&amp;"%","不適用")&amp;"，"&amp;IF(C22&gt;C32,"高於上緣",IF(C22&lt;C31,"低於下緣",IF(C22&gt;=(C31+C32)/2,"區間上半部","區間下半部")))&amp;"）","")&amp;IF(ISNUMBER(C45),"｜實際 "&amp;IF(C45&lt;0,"−","")&amp;"$"&amp;TEXT(ABS(C45),"#,##0.00")&amp;"bn"&amp;"（較模型 "&amp;IF(ISNUMBER(C53),IF(C53&lt;0,"−","+")&amp;TEXT(ABS(C53)*100,"#,##0.0")&amp;"%","不適用")&amp;IF(ISNUMBER(C41),"、較共識 "&amp;IF(ISNUMBER(C54),IF(C54&lt;0,"−","+")&amp;TEXT(ABS(C54)*100,"#,##0.0")&amp;"%","不適用"),"")&amp;IF(AND(ISNUMBER(C31),ISNUMBER(C32)),"、"&amp;IF(C45&gt;C32,"高於上緣",IF(C45&lt;C31,"低於下緣",IF(C45&gt;=(C31+C32)/2,"區間上半部","區間下半部"))),"")&amp;"）","")&amp;C134</f>
        <v>營收：模型 $2.99bn｜共識 $3.54bn（−15.5%）｜指引 $3.45–3.60bn（中點 −15.2%，低於下緣）〔觀點〕</v>
      </c>
      <c r="D139" s="46" t="str">
        <f aca="false">"營收：模型 "&amp;IF(ISNUMBER(D22),IF(D22&lt;0,"−","")&amp;"$"&amp;TEXT(ABS(D22),"#,##0.00")&amp;"bn","不適用")&amp;IF(ISNUMBER(D41),"｜共識 "&amp;IF(D41&lt;0,"−","")&amp;"$"&amp;TEXT(ABS(D41),"#,##0.00")&amp;"bn"&amp;"（"&amp;IF(ISNUMBER(D51),IF(D51&lt;0,"−","+")&amp;TEXT(ABS(D51)*100,"#,##0.0")&amp;"%","不適用")&amp;"）","")&amp;IF(AND(ISNUMBER(D31),ISNUMBER(D32)),"｜指引 "&amp;"$"&amp;IF(D31&lt;0,"−","")&amp;TEXT(ABS(D31),"#,##0.00")&amp;"–"&amp;IF(D32&lt;0,"−","")&amp;TEXT(ABS(D32),"#,##0.00")&amp;"bn"&amp;"（中點 "&amp;IF(ISNUMBER(D52),IF(D52&lt;0,"−","+")&amp;TEXT(ABS(D52)*100,"#,##0.0")&amp;"%","不適用")&amp;"，"&amp;IF(D22&gt;D32,"高於上緣",IF(D22&lt;D31,"低於下緣",IF(D22&gt;=(D31+D32)/2,"區間上半部","區間下半部")))&amp;"）","")&amp;IF(ISNUMBER(D45),"｜實際 "&amp;IF(D45&lt;0,"−","")&amp;"$"&amp;TEXT(ABS(D45),"#,##0.00")&amp;"bn"&amp;"（較模型 "&amp;IF(ISNUMBER(D53),IF(D53&lt;0,"−","+")&amp;TEXT(ABS(D53)*100,"#,##0.0")&amp;"%","不適用")&amp;IF(ISNUMBER(D41),"、較共識 "&amp;IF(ISNUMBER(D54),IF(D54&lt;0,"−","+")&amp;TEXT(ABS(D54)*100,"#,##0.0")&amp;"%","不適用"),"")&amp;IF(AND(ISNUMBER(D31),ISNUMBER(D32)),"、"&amp;IF(D45&gt;D32,"高於上緣",IF(D45&lt;D31,"低於下緣",IF(D45&gt;=(D31+D32)/2,"區間上半部","區間下半部"))),"")&amp;"）","")&amp;D134</f>
        <v>營收：模型 $3.41bn｜共識 $4.71bn（−27.6%）〔觀點〕</v>
      </c>
      <c r="E139" s="46" t="str">
        <f aca="false">"營收：模型 "&amp;IF(ISNUMBER(E22),IF(E22&lt;0,"−","")&amp;"$"&amp;TEXT(ABS(E22),"#,##0.00")&amp;"bn","不適用")&amp;IF(ISNUMBER(E41),"｜共識 "&amp;IF(E41&lt;0,"−","")&amp;"$"&amp;TEXT(ABS(E41),"#,##0.00")&amp;"bn"&amp;"（"&amp;IF(ISNUMBER(E51),IF(E51&lt;0,"−","+")&amp;TEXT(ABS(E51)*100,"#,##0.0")&amp;"%","不適用")&amp;"）","")&amp;IF(AND(ISNUMBER(E31),ISNUMBER(E32)),"｜指引 "&amp;"$"&amp;IF(E31&lt;0,"−","")&amp;TEXT(ABS(E31),"#,##0.00")&amp;"–"&amp;IF(E32&lt;0,"−","")&amp;TEXT(ABS(E32),"#,##0.00")&amp;"bn"&amp;"（中點 "&amp;IF(ISNUMBER(E52),IF(E52&lt;0,"−","+")&amp;TEXT(ABS(E52)*100,"#,##0.0")&amp;"%","不適用")&amp;"，"&amp;IF(E22&gt;E32,"高於上緣",IF(E22&lt;E31,"低於下緣",IF(E22&gt;=(E31+E32)/2,"區間上半部","區間下半部")))&amp;"）","")&amp;IF(ISNUMBER(E45),"｜實際 "&amp;IF(E45&lt;0,"−","")&amp;"$"&amp;TEXT(ABS(E45),"#,##0.00")&amp;"bn"&amp;"（較模型 "&amp;IF(ISNUMBER(E53),IF(E53&lt;0,"−","+")&amp;TEXT(ABS(E53)*100,"#,##0.0")&amp;"%","不適用")&amp;IF(ISNUMBER(E41),"、較共識 "&amp;IF(ISNUMBER(E54),IF(E54&lt;0,"−","+")&amp;TEXT(ABS(E54)*100,"#,##0.0")&amp;"%","不適用"),"")&amp;IF(AND(ISNUMBER(E31),ISNUMBER(E32)),"、"&amp;IF(E45&gt;E32,"高於上緣",IF(E45&lt;E31,"低於下緣",IF(E45&gt;=(E31+E32)/2,"區間上半部","區間下半部"))),"")&amp;"）","")&amp;E134</f>
        <v>營收：模型 $4.06bn</v>
      </c>
      <c r="F139" s="46" t="str">
        <f aca="false">"營收：模型 "&amp;IF(ISNUMBER(F22),IF(F22&lt;0,"−","")&amp;"$"&amp;TEXT(ABS(F22),"#,##0.00")&amp;"bn","不適用")&amp;IF(ISNUMBER(F41),"｜共識 "&amp;IF(F41&lt;0,"−","")&amp;"$"&amp;TEXT(ABS(F41),"#,##0.00")&amp;"bn"&amp;"（"&amp;IF(ISNUMBER(F51),IF(F51&lt;0,"−","+")&amp;TEXT(ABS(F51)*100,"#,##0.0")&amp;"%","不適用")&amp;"）","")&amp;IF(AND(ISNUMBER(F31),ISNUMBER(F32)),"｜指引 "&amp;"$"&amp;IF(F31&lt;0,"−","")&amp;TEXT(ABS(F31),"#,##0.00")&amp;"–"&amp;IF(F32&lt;0,"−","")&amp;TEXT(ABS(F32),"#,##0.00")&amp;"bn"&amp;"（中點 "&amp;IF(ISNUMBER(F52),IF(F52&lt;0,"−","+")&amp;TEXT(ABS(F52)*100,"#,##0.0")&amp;"%","不適用")&amp;"，"&amp;IF(F22&gt;F32,"高於上緣",IF(F22&lt;F31,"低於下緣",IF(F22&gt;=(F31+F32)/2,"區間上半部","區間下半部")))&amp;"）","")&amp;IF(ISNUMBER(F45),"｜實際 "&amp;IF(F45&lt;0,"−","")&amp;"$"&amp;TEXT(ABS(F45),"#,##0.00")&amp;"bn"&amp;"（較模型 "&amp;IF(ISNUMBER(F53),IF(F53&lt;0,"−","+")&amp;TEXT(ABS(F53)*100,"#,##0.0")&amp;"%","不適用")&amp;IF(ISNUMBER(F41),"、較共識 "&amp;IF(ISNUMBER(F54),IF(F54&lt;0,"−","+")&amp;TEXT(ABS(F54)*100,"#,##0.0")&amp;"%","不適用"),"")&amp;IF(AND(ISNUMBER(F31),ISNUMBER(F32)),"、"&amp;IF(F45&gt;F32,"高於上緣",IF(F45&lt;F31,"低於下緣",IF(F45&gt;=(F31+F32)/2,"區間上半部","區間下半部"))),"")&amp;"）","")&amp;F134</f>
        <v>營收：模型 $4.72bn</v>
      </c>
      <c r="G139" s="46" t="str">
        <f aca="false">"營收：模型 "&amp;IF(ISNUMBER(G22),IF(G22&lt;0,"−","")&amp;"$"&amp;TEXT(ABS(G22),"#,##0.00")&amp;"bn","不適用")&amp;IF(ISNUMBER(G41),"｜共識 "&amp;IF(G41&lt;0,"−","")&amp;"$"&amp;TEXT(ABS(G41),"#,##0.00")&amp;"bn"&amp;"（"&amp;IF(ISNUMBER(G51),IF(G51&lt;0,"−","+")&amp;TEXT(ABS(G51)*100,"#,##0.0")&amp;"%","不適用")&amp;"）","")&amp;IF(AND(ISNUMBER(G31),ISNUMBER(G32)),"｜指引 "&amp;"$"&amp;IF(G31&lt;0,"−","")&amp;TEXT(ABS(G31),"#,##0.00")&amp;"–"&amp;IF(G32&lt;0,"−","")&amp;TEXT(ABS(G32),"#,##0.00")&amp;"bn"&amp;"（中點 "&amp;IF(ISNUMBER(G52),IF(G52&lt;0,"−","+")&amp;TEXT(ABS(G52)*100,"#,##0.0")&amp;"%","不適用")&amp;"，"&amp;IF(G22&gt;G32,"高於上緣",IF(G22&lt;G31,"低於下緣",IF(G22&gt;=(G31+G32)/2,"區間上半部","區間下半部")))&amp;"）","")&amp;IF(ISNUMBER(G45),"｜實際 "&amp;IF(G45&lt;0,"−","")&amp;"$"&amp;TEXT(ABS(G45),"#,##0.00")&amp;"bn"&amp;"（較模型 "&amp;IF(ISNUMBER(G53),IF(G53&lt;0,"−","+")&amp;TEXT(ABS(G53)*100,"#,##0.0")&amp;"%","不適用")&amp;IF(ISNUMBER(G41),"、較共識 "&amp;IF(ISNUMBER(G54),IF(G54&lt;0,"−","+")&amp;TEXT(ABS(G54)*100,"#,##0.0")&amp;"%","不適用"),"")&amp;IF(AND(ISNUMBER(G31),ISNUMBER(G32)),"、"&amp;IF(G45&gt;G32,"高於上緣",IF(G45&lt;G31,"低於下緣",IF(G45&gt;=(G31+G32)/2,"區間上半部","區間下半部"))),"")&amp;"）","")&amp;G134</f>
        <v>營收：模型 $5.38bn</v>
      </c>
      <c r="H139" s="46" t="str">
        <f aca="false">"營收：模型 "&amp;IF(ISNUMBER(H22),IF(H22&lt;0,"−","")&amp;"$"&amp;TEXT(ABS(H22),"#,##0.00")&amp;"bn","不適用")&amp;IF(ISNUMBER(H41),"｜共識 "&amp;IF(H41&lt;0,"−","")&amp;"$"&amp;TEXT(ABS(H41),"#,##0.00")&amp;"bn"&amp;"（"&amp;IF(ISNUMBER(H51),IF(H51&lt;0,"−","+")&amp;TEXT(ABS(H51)*100,"#,##0.0")&amp;"%","不適用")&amp;"）","")&amp;IF(AND(ISNUMBER(H31),ISNUMBER(H32)),"｜指引 "&amp;"$"&amp;IF(H31&lt;0,"−","")&amp;TEXT(ABS(H31),"#,##0.00")&amp;"–"&amp;IF(H32&lt;0,"−","")&amp;TEXT(ABS(H32),"#,##0.00")&amp;"bn"&amp;"（中點 "&amp;IF(ISNUMBER(H52),IF(H52&lt;0,"−","+")&amp;TEXT(ABS(H52)*100,"#,##0.0")&amp;"%","不適用")&amp;"，"&amp;IF(H22&gt;H32,"高於上緣",IF(H22&lt;H31,"低於下緣",IF(H22&gt;=(H31+H32)/2,"區間上半部","區間下半部")))&amp;"）","")&amp;IF(ISNUMBER(H45),"｜實際 "&amp;IF(H45&lt;0,"−","")&amp;"$"&amp;TEXT(ABS(H45),"#,##0.00")&amp;"bn"&amp;"（較模型 "&amp;IF(ISNUMBER(H53),IF(H53&lt;0,"−","+")&amp;TEXT(ABS(H53)*100,"#,##0.0")&amp;"%","不適用")&amp;IF(ISNUMBER(H41),"、較共識 "&amp;IF(ISNUMBER(H54),IF(H54&lt;0,"−","+")&amp;TEXT(ABS(H54)*100,"#,##0.0")&amp;"%","不適用"),"")&amp;IF(AND(ISNUMBER(H31),ISNUMBER(H32)),"、"&amp;IF(H45&gt;H32,"高於上緣",IF(H45&lt;H31,"低於下緣",IF(H45&gt;=(H31+H32)/2,"區間上半部","區間下半部"))),"")&amp;"）","")&amp;H134</f>
        <v>營收：模型 $6.04bn</v>
      </c>
    </row>
    <row r="140" customFormat="false" ht="15" hidden="true" customHeight="false" outlineLevel="1" collapsed="false">
      <c r="A140" s="3" t="s">
        <v>1038</v>
      </c>
      <c r="C140" s="46" t="str">
        <f aca="false">"調整後 EBITDA：模型 "&amp;IF(ISNUMBER(C28),IF(C28&lt;0,"−","")&amp;"$"&amp;TEXT(ABS(C28),"#,##0.00")&amp;"bn","不適用")&amp;IF(ISNUMBER(C42),"｜共識 "&amp;IF(C42&lt;0,"−","")&amp;"$"&amp;TEXT(ABS(C42),"#,##0.00")&amp;"bn"&amp;"（"&amp;IF(ISNUMBER(C56),IF(C56&lt;0,"−","+")&amp;IF(ABS(C56)&lt;0,"−","")&amp;"$"&amp;TEXT(ABS(ABS(C56)),"#,##0.00")&amp;"bn"&amp;IF(ISNUMBER(C61),"／"&amp;IF(C61&lt;0,"−","+")&amp;TEXT(ABS(C61)*100,"#,##0.0")&amp;"pt",""),"不適用")&amp;"）","")&amp;IF(ISNUMBER(C46),"｜實際 "&amp;IF(C46&lt;0,"−","")&amp;"$"&amp;TEXT(ABS(C46),"#,##0.00")&amp;"bn"&amp;"（較模型 "&amp;IF(ISNUMBER(C58),IF(C58&lt;0,"−","+")&amp;IF(ABS(C58)&lt;0,"−","")&amp;"$"&amp;TEXT(ABS(ABS(C58)),"#,##0.00")&amp;"bn"&amp;IF(ISNUMBER(C63),"／"&amp;IF(C63&lt;0,"−","+")&amp;TEXT(ABS(C63)*100,"#,##0.0")&amp;"pt",""),"不適用")&amp;IF(ISNUMBER(C42),"、較共識 "&amp;IF(ISNUMBER(C59),IF(C59&lt;0,"−","+")&amp;IF(ABS(C59)&lt;0,"−","")&amp;"$"&amp;TEXT(ABS(ABS(C59)),"#,##0.00")&amp;"bn"&amp;IF(ISNUMBER(C64),"／"&amp;IF(C64&lt;0,"−","+")&amp;TEXT(ABS(C64)*100,"#,##0.0")&amp;"pt",""),"不適用"),"")&amp;"）","")&amp;C135</f>
        <v>調整後 EBITDA：模型 $1.37bn｜共識 $2.05bn（−$0.68bn／−12.0pt）〔觀點〕</v>
      </c>
      <c r="D140" s="46" t="str">
        <f aca="false">"調整後 EBITDA：模型 "&amp;IF(ISNUMBER(D28),IF(D28&lt;0,"−","")&amp;"$"&amp;TEXT(ABS(D28),"#,##0.00")&amp;"bn","不適用")&amp;IF(ISNUMBER(D42),"｜共識 "&amp;IF(D42&lt;0,"−","")&amp;"$"&amp;TEXT(ABS(D42),"#,##0.00")&amp;"bn"&amp;"（"&amp;IF(ISNUMBER(D56),IF(D56&lt;0,"−","+")&amp;IF(ABS(D56)&lt;0,"−","")&amp;"$"&amp;TEXT(ABS(ABS(D56)),"#,##0.00")&amp;"bn"&amp;IF(ISNUMBER(D61),"／"&amp;IF(D61&lt;0,"−","+")&amp;TEXT(ABS(D61)*100,"#,##0.0")&amp;"pt",""),"不適用")&amp;"）","")&amp;IF(ISNUMBER(D46),"｜實際 "&amp;IF(D46&lt;0,"−","")&amp;"$"&amp;TEXT(ABS(D46),"#,##0.00")&amp;"bn"&amp;"（較模型 "&amp;IF(ISNUMBER(D58),IF(D58&lt;0,"−","+")&amp;IF(ABS(D58)&lt;0,"−","")&amp;"$"&amp;TEXT(ABS(ABS(D58)),"#,##0.00")&amp;"bn"&amp;IF(ISNUMBER(D63),"／"&amp;IF(D63&lt;0,"−","+")&amp;TEXT(ABS(D63)*100,"#,##0.0")&amp;"pt",""),"不適用")&amp;IF(ISNUMBER(D42),"、較共識 "&amp;IF(ISNUMBER(D59),IF(D59&lt;0,"−","+")&amp;IF(ABS(D59)&lt;0,"−","")&amp;"$"&amp;TEXT(ABS(ABS(D59)),"#,##0.00")&amp;"bn"&amp;IF(ISNUMBER(D64),"／"&amp;IF(D64&lt;0,"−","+")&amp;TEXT(ABS(D64)*100,"#,##0.0")&amp;"pt",""),"不適用"),"")&amp;"）","")&amp;D135</f>
        <v>調整後 EBITDA：模型 $1.58bn｜共識 $2.90bn（−$1.31bn／−15.0pt）〔觀點〕</v>
      </c>
      <c r="E140" s="46" t="str">
        <f aca="false">"調整後 EBITDA：模型 "&amp;IF(ISNUMBER(E28),IF(E28&lt;0,"−","")&amp;"$"&amp;TEXT(ABS(E28),"#,##0.00")&amp;"bn","不適用")&amp;IF(ISNUMBER(E42),"｜共識 "&amp;IF(E42&lt;0,"−","")&amp;"$"&amp;TEXT(ABS(E42),"#,##0.00")&amp;"bn"&amp;"（"&amp;IF(ISNUMBER(E56),IF(E56&lt;0,"−","+")&amp;IF(ABS(E56)&lt;0,"−","")&amp;"$"&amp;TEXT(ABS(ABS(E56)),"#,##0.00")&amp;"bn"&amp;IF(ISNUMBER(E61),"／"&amp;IF(E61&lt;0,"−","+")&amp;TEXT(ABS(E61)*100,"#,##0.0")&amp;"pt",""),"不適用")&amp;"）","")&amp;IF(ISNUMBER(E46),"｜實際 "&amp;IF(E46&lt;0,"−","")&amp;"$"&amp;TEXT(ABS(E46),"#,##0.00")&amp;"bn"&amp;"（較模型 "&amp;IF(ISNUMBER(E58),IF(E58&lt;0,"−","+")&amp;IF(ABS(E58)&lt;0,"−","")&amp;"$"&amp;TEXT(ABS(ABS(E58)),"#,##0.00")&amp;"bn"&amp;IF(ISNUMBER(E63),"／"&amp;IF(E63&lt;0,"−","+")&amp;TEXT(ABS(E63)*100,"#,##0.0")&amp;"pt",""),"不適用")&amp;IF(ISNUMBER(E42),"、較共識 "&amp;IF(ISNUMBER(E59),IF(E59&lt;0,"−","+")&amp;IF(ABS(E59)&lt;0,"−","")&amp;"$"&amp;TEXT(ABS(ABS(E59)),"#,##0.00")&amp;"bn"&amp;IF(ISNUMBER(E64),"／"&amp;IF(E64&lt;0,"−","+")&amp;TEXT(ABS(E64)*100,"#,##0.0")&amp;"pt",""),"不適用"),"")&amp;"）","")&amp;E135</f>
        <v>調整後 EBITDA：模型 $1.92bn</v>
      </c>
      <c r="F140" s="46" t="str">
        <f aca="false">"調整後 EBITDA：模型 "&amp;IF(ISNUMBER(F28),IF(F28&lt;0,"−","")&amp;"$"&amp;TEXT(ABS(F28),"#,##0.00")&amp;"bn","不適用")&amp;IF(ISNUMBER(F42),"｜共識 "&amp;IF(F42&lt;0,"−","")&amp;"$"&amp;TEXT(ABS(F42),"#,##0.00")&amp;"bn"&amp;"（"&amp;IF(ISNUMBER(F56),IF(F56&lt;0,"−","+")&amp;IF(ABS(F56)&lt;0,"−","")&amp;"$"&amp;TEXT(ABS(ABS(F56)),"#,##0.00")&amp;"bn"&amp;IF(ISNUMBER(F61),"／"&amp;IF(F61&lt;0,"−","+")&amp;TEXT(ABS(F61)*100,"#,##0.0")&amp;"pt",""),"不適用")&amp;"）","")&amp;IF(ISNUMBER(F46),"｜實際 "&amp;IF(F46&lt;0,"−","")&amp;"$"&amp;TEXT(ABS(F46),"#,##0.00")&amp;"bn"&amp;"（較模型 "&amp;IF(ISNUMBER(F58),IF(F58&lt;0,"−","+")&amp;IF(ABS(F58)&lt;0,"−","")&amp;"$"&amp;TEXT(ABS(ABS(F58)),"#,##0.00")&amp;"bn"&amp;IF(ISNUMBER(F63),"／"&amp;IF(F63&lt;0,"−","+")&amp;TEXT(ABS(F63)*100,"#,##0.0")&amp;"pt",""),"不適用")&amp;IF(ISNUMBER(F42),"、較共識 "&amp;IF(ISNUMBER(F59),IF(F59&lt;0,"−","+")&amp;IF(ABS(F59)&lt;0,"−","")&amp;"$"&amp;TEXT(ABS(ABS(F59)),"#,##0.00")&amp;"bn"&amp;IF(ISNUMBER(F64),"／"&amp;IF(F64&lt;0,"−","+")&amp;TEXT(ABS(F64)*100,"#,##0.0")&amp;"pt",""),"不適用"),"")&amp;"）","")&amp;F135</f>
        <v>調整後 EBITDA：模型 $2.27bn</v>
      </c>
      <c r="G140" s="46" t="str">
        <f aca="false">"調整後 EBITDA：模型 "&amp;IF(ISNUMBER(G28),IF(G28&lt;0,"−","")&amp;"$"&amp;TEXT(ABS(G28),"#,##0.00")&amp;"bn","不適用")&amp;IF(ISNUMBER(G42),"｜共識 "&amp;IF(G42&lt;0,"−","")&amp;"$"&amp;TEXT(ABS(G42),"#,##0.00")&amp;"bn"&amp;"（"&amp;IF(ISNUMBER(G56),IF(G56&lt;0,"−","+")&amp;IF(ABS(G56)&lt;0,"−","")&amp;"$"&amp;TEXT(ABS(ABS(G56)),"#,##0.00")&amp;"bn"&amp;IF(ISNUMBER(G61),"／"&amp;IF(G61&lt;0,"−","+")&amp;TEXT(ABS(G61)*100,"#,##0.0")&amp;"pt",""),"不適用")&amp;"）","")&amp;IF(ISNUMBER(G46),"｜實際 "&amp;IF(G46&lt;0,"−","")&amp;"$"&amp;TEXT(ABS(G46),"#,##0.00")&amp;"bn"&amp;"（較模型 "&amp;IF(ISNUMBER(G58),IF(G58&lt;0,"−","+")&amp;IF(ABS(G58)&lt;0,"−","")&amp;"$"&amp;TEXT(ABS(ABS(G58)),"#,##0.00")&amp;"bn"&amp;IF(ISNUMBER(G63),"／"&amp;IF(G63&lt;0,"−","+")&amp;TEXT(ABS(G63)*100,"#,##0.0")&amp;"pt",""),"不適用")&amp;IF(ISNUMBER(G42),"、較共識 "&amp;IF(ISNUMBER(G59),IF(G59&lt;0,"−","+")&amp;IF(ABS(G59)&lt;0,"−","")&amp;"$"&amp;TEXT(ABS(ABS(G59)),"#,##0.00")&amp;"bn"&amp;IF(ISNUMBER(G64),"／"&amp;IF(G64&lt;0,"−","+")&amp;TEXT(ABS(G64)*100,"#,##0.0")&amp;"pt",""),"不適用"),"")&amp;"）","")&amp;G135</f>
        <v>調整後 EBITDA：模型 $2.63bn</v>
      </c>
      <c r="H140" s="46" t="str">
        <f aca="false">"調整後 EBITDA：模型 "&amp;IF(ISNUMBER(H28),IF(H28&lt;0,"−","")&amp;"$"&amp;TEXT(ABS(H28),"#,##0.00")&amp;"bn","不適用")&amp;IF(ISNUMBER(H42),"｜共識 "&amp;IF(H42&lt;0,"−","")&amp;"$"&amp;TEXT(ABS(H42),"#,##0.00")&amp;"bn"&amp;"（"&amp;IF(ISNUMBER(H56),IF(H56&lt;0,"−","+")&amp;IF(ABS(H56)&lt;0,"−","")&amp;"$"&amp;TEXT(ABS(ABS(H56)),"#,##0.00")&amp;"bn"&amp;IF(ISNUMBER(H61),"／"&amp;IF(H61&lt;0,"−","+")&amp;TEXT(ABS(H61)*100,"#,##0.0")&amp;"pt",""),"不適用")&amp;"）","")&amp;IF(ISNUMBER(H46),"｜實際 "&amp;IF(H46&lt;0,"−","")&amp;"$"&amp;TEXT(ABS(H46),"#,##0.00")&amp;"bn"&amp;"（較模型 "&amp;IF(ISNUMBER(H58),IF(H58&lt;0,"−","+")&amp;IF(ABS(H58)&lt;0,"−","")&amp;"$"&amp;TEXT(ABS(ABS(H58)),"#,##0.00")&amp;"bn"&amp;IF(ISNUMBER(H63),"／"&amp;IF(H63&lt;0,"−","+")&amp;TEXT(ABS(H63)*100,"#,##0.0")&amp;"pt",""),"不適用")&amp;IF(ISNUMBER(H42),"、較共識 "&amp;IF(ISNUMBER(H59),IF(H59&lt;0,"−","+")&amp;IF(ABS(H59)&lt;0,"−","")&amp;"$"&amp;TEXT(ABS(ABS(H59)),"#,##0.00")&amp;"bn"&amp;IF(ISNUMBER(H64),"／"&amp;IF(H64&lt;0,"−","+")&amp;TEXT(ABS(H64)*100,"#,##0.0")&amp;"pt",""),"不適用"),"")&amp;"）","")&amp;H135</f>
        <v>調整後 EBITDA：模型 $3.00bn</v>
      </c>
    </row>
    <row r="141" customFormat="false" ht="15" hidden="true" customHeight="false" outlineLevel="1" collapsed="false">
      <c r="A141" s="3" t="s">
        <v>1039</v>
      </c>
      <c r="C141" s="46" t="str">
        <f aca="false">"EBITDA 率：模型 "&amp;IF(ISNUMBER(C27),IF(C27&lt;0,"−","")&amp;TEXT(ABS(C27)*100,"#,##0.0")&amp;"%","不適用")&amp;IF(ISNUMBER(C43),"｜共識 "&amp;IF(C43&lt;0,"−","")&amp;TEXT(ABS(C43)*100,"#,##0.0")&amp;"%"&amp;"（"&amp;IF(ISNUMBER(C66),IF(C66&lt;0,"−","+")&amp;TEXT(ABS(C66)*100,"#,##0.0")&amp;"pt","不適用")&amp;"）","")&amp;IF(ISNUMBER(C47),"｜實際 "&amp;IF(C47&lt;0,"−","")&amp;TEXT(ABS(C47)*100,"#,##0.0")&amp;"%"&amp;"（較模型 "&amp;IF(ISNUMBER(C68),IF(C68&lt;0,"−","+")&amp;TEXT(ABS(C68)*100,"#,##0.0")&amp;"pt","不適用")&amp;IF(ISNUMBER(C43),"、較共識 "&amp;IF(ISNUMBER(C69),IF(C69&lt;0,"−","+")&amp;TEXT(ABS(C69)*100,"#,##0.0")&amp;"pt","不適用"),"")&amp;"）","")</f>
        <v>EBITDA 率：模型 45.8%｜共識 57.8%（−12.0pt）</v>
      </c>
      <c r="D141" s="46" t="str">
        <f aca="false">"EBITDA 率：模型 "&amp;IF(ISNUMBER(D27),IF(D27&lt;0,"−","")&amp;TEXT(ABS(D27)*100,"#,##0.0")&amp;"%","不適用")&amp;IF(ISNUMBER(D43),"｜共識 "&amp;IF(D43&lt;0,"−","")&amp;TEXT(ABS(D43)*100,"#,##0.0")&amp;"%"&amp;"（"&amp;IF(ISNUMBER(D66),IF(D66&lt;0,"−","+")&amp;TEXT(ABS(D66)*100,"#,##0.0")&amp;"pt","不適用")&amp;"）","")&amp;IF(ISNUMBER(D47),"｜實際 "&amp;IF(D47&lt;0,"−","")&amp;TEXT(ABS(D47)*100,"#,##0.0")&amp;"%"&amp;"（較模型 "&amp;IF(ISNUMBER(D68),IF(D68&lt;0,"−","+")&amp;TEXT(ABS(D68)*100,"#,##0.0")&amp;"pt","不適用")&amp;IF(ISNUMBER(D43),"、較共識 "&amp;IF(ISNUMBER(D69),IF(D69&lt;0,"−","+")&amp;TEXT(ABS(D69)*100,"#,##0.0")&amp;"pt","不適用"),"")&amp;"）","")</f>
        <v>EBITDA 率：模型 46.5%｜共識 61.6%（−15.0pt）</v>
      </c>
      <c r="E141" s="46" t="str">
        <f aca="false">"EBITDA 率：模型 "&amp;IF(ISNUMBER(E27),IF(E27&lt;0,"−","")&amp;TEXT(ABS(E27)*100,"#,##0.0")&amp;"%","不適用")&amp;IF(ISNUMBER(E43),"｜共識 "&amp;IF(E43&lt;0,"−","")&amp;TEXT(ABS(E43)*100,"#,##0.0")&amp;"%"&amp;"（"&amp;IF(ISNUMBER(E66),IF(E66&lt;0,"−","+")&amp;TEXT(ABS(E66)*100,"#,##0.0")&amp;"pt","不適用")&amp;"）","")&amp;IF(ISNUMBER(E47),"｜實際 "&amp;IF(E47&lt;0,"−","")&amp;TEXT(ABS(E47)*100,"#,##0.0")&amp;"%"&amp;"（較模型 "&amp;IF(ISNUMBER(E68),IF(E68&lt;0,"−","+")&amp;TEXT(ABS(E68)*100,"#,##0.0")&amp;"pt","不適用")&amp;IF(ISNUMBER(E43),"、較共識 "&amp;IF(ISNUMBER(E69),IF(E69&lt;0,"−","+")&amp;TEXT(ABS(E69)*100,"#,##0.0")&amp;"pt","不適用"),"")&amp;"）","")</f>
        <v>EBITDA 率：模型 47.3%</v>
      </c>
      <c r="F141" s="46" t="str">
        <f aca="false">"EBITDA 率：模型 "&amp;IF(ISNUMBER(F27),IF(F27&lt;0,"−","")&amp;TEXT(ABS(F27)*100,"#,##0.0")&amp;"%","不適用")&amp;IF(ISNUMBER(F43),"｜共識 "&amp;IF(F43&lt;0,"−","")&amp;TEXT(ABS(F43)*100,"#,##0.0")&amp;"%"&amp;"（"&amp;IF(ISNUMBER(F66),IF(F66&lt;0,"−","+")&amp;TEXT(ABS(F66)*100,"#,##0.0")&amp;"pt","不適用")&amp;"）","")&amp;IF(ISNUMBER(F47),"｜實際 "&amp;IF(F47&lt;0,"−","")&amp;TEXT(ABS(F47)*100,"#,##0.0")&amp;"%"&amp;"（較模型 "&amp;IF(ISNUMBER(F68),IF(F68&lt;0,"−","+")&amp;TEXT(ABS(F68)*100,"#,##0.0")&amp;"pt","不適用")&amp;IF(ISNUMBER(F43),"、較共識 "&amp;IF(ISNUMBER(F69),IF(F69&lt;0,"−","+")&amp;TEXT(ABS(F69)*100,"#,##0.0")&amp;"pt","不適用"),"")&amp;"）","")</f>
        <v>EBITDA 率：模型 48.1%</v>
      </c>
      <c r="G141" s="46" t="str">
        <f aca="false">"EBITDA 率：模型 "&amp;IF(ISNUMBER(G27),IF(G27&lt;0,"−","")&amp;TEXT(ABS(G27)*100,"#,##0.0")&amp;"%","不適用")&amp;IF(ISNUMBER(G43),"｜共識 "&amp;IF(G43&lt;0,"−","")&amp;TEXT(ABS(G43)*100,"#,##0.0")&amp;"%"&amp;"（"&amp;IF(ISNUMBER(G66),IF(G66&lt;0,"−","+")&amp;TEXT(ABS(G66)*100,"#,##0.0")&amp;"pt","不適用")&amp;"）","")&amp;IF(ISNUMBER(G47),"｜實際 "&amp;IF(G47&lt;0,"−","")&amp;TEXT(ABS(G47)*100,"#,##0.0")&amp;"%"&amp;"（較模型 "&amp;IF(ISNUMBER(G68),IF(G68&lt;0,"−","+")&amp;TEXT(ABS(G68)*100,"#,##0.0")&amp;"pt","不適用")&amp;IF(ISNUMBER(G43),"、較共識 "&amp;IF(ISNUMBER(G69),IF(G69&lt;0,"−","+")&amp;TEXT(ABS(G69)*100,"#,##0.0")&amp;"pt","不適用"),"")&amp;"）","")</f>
        <v>EBITDA 率：模型 48.8%</v>
      </c>
      <c r="H141" s="46" t="str">
        <f aca="false">"EBITDA 率：模型 "&amp;IF(ISNUMBER(H27),IF(H27&lt;0,"−","")&amp;TEXT(ABS(H27)*100,"#,##0.0")&amp;"%","不適用")&amp;IF(ISNUMBER(H43),"｜共識 "&amp;IF(H43&lt;0,"−","")&amp;TEXT(ABS(H43)*100,"#,##0.0")&amp;"%"&amp;"（"&amp;IF(ISNUMBER(H66),IF(H66&lt;0,"−","+")&amp;TEXT(ABS(H66)*100,"#,##0.0")&amp;"pt","不適用")&amp;"）","")&amp;IF(ISNUMBER(H47),"｜實際 "&amp;IF(H47&lt;0,"−","")&amp;TEXT(ABS(H47)*100,"#,##0.0")&amp;"%"&amp;"（較模型 "&amp;IF(ISNUMBER(H68),IF(H68&lt;0,"−","+")&amp;TEXT(ABS(H68)*100,"#,##0.0")&amp;"pt","不適用")&amp;IF(ISNUMBER(H43),"、較共識 "&amp;IF(ISNUMBER(H69),IF(H69&lt;0,"−","+")&amp;TEXT(ABS(H69)*100,"#,##0.0")&amp;"pt","不適用"),"")&amp;"）","")</f>
        <v>EBITDA 率：模型 49.6%</v>
      </c>
    </row>
    <row r="142" customFormat="false" ht="15" hidden="true" customHeight="false" outlineLevel="1" collapsed="false">
      <c r="A142" s="3" t="s">
        <v>1040</v>
      </c>
      <c r="C142" s="46" t="str">
        <f aca="false">"調整後營業利益：模型 "&amp;IF(ISNUMBER(C30),IF(C30&lt;0,"−","")&amp;"$"&amp;TEXT(ABS(C30),"#,##0.00")&amp;"bn","不適用")&amp;IF(AND(ISNUMBER(C33),ISNUMBER(C34)),"｜指引 "&amp;"$"&amp;IF(C33&lt;0,"−","")&amp;TEXT(ABS(C33),"#,##0.00")&amp;"–"&amp;IF(C34&lt;0,"−","")&amp;TEXT(ABS(C34),"#,##0.00")&amp;"bn"&amp;"（中點 "&amp;IF(ISNUMBER(C72),IF(C72&lt;0,"−","+")&amp;IF(ABS(C72)&lt;0,"−","")&amp;"$"&amp;TEXT(ABS(ABS(C72)),"#,##0.00")&amp;"bn"&amp;IF(ISNUMBER(C77),"／"&amp;IF(C77&lt;0,"−","+")&amp;TEXT(ABS(C77)*100,"#,##0.0")&amp;"pt",""),"不適用")&amp;"，"&amp;IF(C30&gt;C34,"高於上緣",IF(C30&lt;C33,"低於下緣",IF(C30&gt;=(C33+C34)/2,"區間上半部","區間下半部")))&amp;"）",IF(C35&lt;&gt;"","｜指引（文字）"&amp;C35,""))&amp;IF(ISNUMBER(C48),"｜實際 "&amp;IF(C48&lt;0,"−","")&amp;"$"&amp;TEXT(ABS(C48),"#,##0.00")&amp;"bn"&amp;"（較模型 "&amp;IF(ISNUMBER(C73),IF(C73&lt;0,"−","+")&amp;IF(ABS(C73)&lt;0,"−","")&amp;"$"&amp;TEXT(ABS(ABS(C73)),"#,##0.00")&amp;"bn"&amp;IF(ISNUMBER(C78),"／"&amp;IF(C78&lt;0,"−","+")&amp;TEXT(ABS(C78)*100,"#,##0.0")&amp;"pt",""),"不適用")&amp;IF(AND(ISNUMBER(C33),ISNUMBER(C34)),"、"&amp;IF(C48&gt;C34,"高於上緣",IF(C48&lt;C33,"低於下緣",IF(C48&gt;=(C33+C34)/2,"區間上半部","區間下半部"))),"")&amp;"）","")&amp;C136</f>
        <v>調整後營業利益：模型 −$0.80bn｜指引 $0.20–0.26bn（中點 −$1.03bn／−33.4pt，低於下緣）〔已知限制〕</v>
      </c>
      <c r="D142" s="46" t="str">
        <f aca="false">"調整後營業利益：模型 "&amp;IF(ISNUMBER(D30),IF(D30&lt;0,"−","")&amp;"$"&amp;TEXT(ABS(D30),"#,##0.00")&amp;"bn","不適用")&amp;IF(AND(ISNUMBER(D33),ISNUMBER(D34)),"｜指引 "&amp;"$"&amp;IF(D33&lt;0,"−","")&amp;TEXT(ABS(D33),"#,##0.00")&amp;"–"&amp;IF(D34&lt;0,"−","")&amp;TEXT(ABS(D34),"#,##0.00")&amp;"bn"&amp;"（中點 "&amp;IF(ISNUMBER(D72),IF(D72&lt;0,"−","+")&amp;IF(ABS(D72)&lt;0,"−","")&amp;"$"&amp;TEXT(ABS(ABS(D72)),"#,##0.00")&amp;"bn"&amp;IF(ISNUMBER(D77),"／"&amp;IF(D77&lt;0,"−","+")&amp;TEXT(ABS(D77)*100,"#,##0.0")&amp;"pt",""),"不適用")&amp;"，"&amp;IF(D30&gt;D34,"高於上緣",IF(D30&lt;D33,"低於下緣",IF(D30&gt;=(D33+D34)/2,"區間上半部","區間下半部")))&amp;"）",IF(D35&lt;&gt;"","｜指引（文字）"&amp;D35,""))&amp;IF(ISNUMBER(D48),"｜實際 "&amp;IF(D48&lt;0,"−","")&amp;"$"&amp;TEXT(ABS(D48),"#,##0.00")&amp;"bn"&amp;"（較模型 "&amp;IF(ISNUMBER(D73),IF(D73&lt;0,"−","+")&amp;IF(ABS(D73)&lt;0,"−","")&amp;"$"&amp;TEXT(ABS(ABS(D73)),"#,##0.00")&amp;"bn"&amp;IF(ISNUMBER(D78),"／"&amp;IF(D78&lt;0,"−","+")&amp;TEXT(ABS(D78)*100,"#,##0.0")&amp;"pt",""),"不適用")&amp;IF(AND(ISNUMBER(D33),ISNUMBER(D34)),"、"&amp;IF(D48&gt;D34,"高於上緣",IF(D48&lt;D33,"低於下緣",IF(D48&gt;=(D33+D34)/2,"區間上半部","區間下半部"))),"")&amp;"）","")&amp;D136</f>
        <v>調整後營業利益：模型 −$1.04bn｜指引（文字）調整後營業利益率 low teens</v>
      </c>
      <c r="E142" s="46" t="str">
        <f aca="false">"調整後營業利益：模型 "&amp;IF(ISNUMBER(E30),IF(E30&lt;0,"−","")&amp;"$"&amp;TEXT(ABS(E30),"#,##0.00")&amp;"bn","不適用")&amp;IF(AND(ISNUMBER(E33),ISNUMBER(E34)),"｜指引 "&amp;"$"&amp;IF(E33&lt;0,"−","")&amp;TEXT(ABS(E33),"#,##0.00")&amp;"–"&amp;IF(E34&lt;0,"−","")&amp;TEXT(ABS(E34),"#,##0.00")&amp;"bn"&amp;"（中點 "&amp;IF(ISNUMBER(E72),IF(E72&lt;0,"−","+")&amp;IF(ABS(E72)&lt;0,"−","")&amp;"$"&amp;TEXT(ABS(ABS(E72)),"#,##0.00")&amp;"bn"&amp;IF(ISNUMBER(E77),"／"&amp;IF(E77&lt;0,"−","+")&amp;TEXT(ABS(E77)*100,"#,##0.0")&amp;"pt",""),"不適用")&amp;"，"&amp;IF(E30&gt;E34,"高於上緣",IF(E30&lt;E33,"低於下緣",IF(E30&gt;=(E33+E34)/2,"區間上半部","區間下半部")))&amp;"）",IF(E35&lt;&gt;"","｜指引（文字）"&amp;E35,""))&amp;IF(ISNUMBER(E48),"｜實際 "&amp;IF(E48&lt;0,"−","")&amp;"$"&amp;TEXT(ABS(E48),"#,##0.00")&amp;"bn"&amp;"（較模型 "&amp;IF(ISNUMBER(E73),IF(E73&lt;0,"−","+")&amp;IF(ABS(E73)&lt;0,"−","")&amp;"$"&amp;TEXT(ABS(ABS(E73)),"#,##0.00")&amp;"bn"&amp;IF(ISNUMBER(E78),"／"&amp;IF(E78&lt;0,"−","+")&amp;TEXT(ABS(E78)*100,"#,##0.0")&amp;"pt",""),"不適用")&amp;IF(AND(ISNUMBER(E33),ISNUMBER(E34)),"、"&amp;IF(E48&gt;E34,"高於上緣",IF(E48&lt;E33,"低於下緣",IF(E48&gt;=(E33+E34)/2,"區間上半部","區間下半部"))),"")&amp;"）","")&amp;E136</f>
        <v>調整後營業利益：模型 −$1.15bn</v>
      </c>
      <c r="F142" s="46" t="str">
        <f aca="false">"調整後營業利益：模型 "&amp;IF(ISNUMBER(F30),IF(F30&lt;0,"−","")&amp;"$"&amp;TEXT(ABS(F30),"#,##0.00")&amp;"bn","不適用")&amp;IF(AND(ISNUMBER(F33),ISNUMBER(F34)),"｜指引 "&amp;"$"&amp;IF(F33&lt;0,"−","")&amp;TEXT(ABS(F33),"#,##0.00")&amp;"–"&amp;IF(F34&lt;0,"−","")&amp;TEXT(ABS(F34),"#,##0.00")&amp;"bn"&amp;"（中點 "&amp;IF(ISNUMBER(F72),IF(F72&lt;0,"−","+")&amp;IF(ABS(F72)&lt;0,"−","")&amp;"$"&amp;TEXT(ABS(ABS(F72)),"#,##0.00")&amp;"bn"&amp;IF(ISNUMBER(F77),"／"&amp;IF(F77&lt;0,"−","+")&amp;TEXT(ABS(F77)*100,"#,##0.0")&amp;"pt",""),"不適用")&amp;"，"&amp;IF(F30&gt;F34,"高於上緣",IF(F30&lt;F33,"低於下緣",IF(F30&gt;=(F33+F34)/2,"區間上半部","區間下半部")))&amp;"）",IF(F35&lt;&gt;"","｜指引（文字）"&amp;F35,""))&amp;IF(ISNUMBER(F48),"｜實際 "&amp;IF(F48&lt;0,"−","")&amp;"$"&amp;TEXT(ABS(F48),"#,##0.00")&amp;"bn"&amp;"（較模型 "&amp;IF(ISNUMBER(F73),IF(F73&lt;0,"−","+")&amp;IF(ABS(F73)&lt;0,"−","")&amp;"$"&amp;TEXT(ABS(ABS(F73)),"#,##0.00")&amp;"bn"&amp;IF(ISNUMBER(F78),"／"&amp;IF(F78&lt;0,"−","+")&amp;TEXT(ABS(F78)*100,"#,##0.0")&amp;"pt",""),"不適用")&amp;IF(AND(ISNUMBER(F33),ISNUMBER(F34)),"、"&amp;IF(F48&gt;F34,"高於上緣",IF(F48&lt;F33,"低於下緣",IF(F48&gt;=(F33+F34)/2,"區間上半部","區間下半部"))),"")&amp;"）","")&amp;F136</f>
        <v>調整後營業利益：模型 −$1.24bn</v>
      </c>
      <c r="G142" s="46" t="str">
        <f aca="false">"調整後營業利益：模型 "&amp;IF(ISNUMBER(G30),IF(G30&lt;0,"−","")&amp;"$"&amp;TEXT(ABS(G30),"#,##0.00")&amp;"bn","不適用")&amp;IF(AND(ISNUMBER(G33),ISNUMBER(G34)),"｜指引 "&amp;"$"&amp;IF(G33&lt;0,"−","")&amp;TEXT(ABS(G33),"#,##0.00")&amp;"–"&amp;IF(G34&lt;0,"−","")&amp;TEXT(ABS(G34),"#,##0.00")&amp;"bn"&amp;"（中點 "&amp;IF(ISNUMBER(G72),IF(G72&lt;0,"−","+")&amp;IF(ABS(G72)&lt;0,"−","")&amp;"$"&amp;TEXT(ABS(ABS(G72)),"#,##0.00")&amp;"bn"&amp;IF(ISNUMBER(G77),"／"&amp;IF(G77&lt;0,"−","+")&amp;TEXT(ABS(G77)*100,"#,##0.0")&amp;"pt",""),"不適用")&amp;"，"&amp;IF(G30&gt;G34,"高於上緣",IF(G30&lt;G33,"低於下緣",IF(G30&gt;=(G33+G34)/2,"區間上半部","區間下半部")))&amp;"）",IF(G35&lt;&gt;"","｜指引（文字）"&amp;G35,""))&amp;IF(ISNUMBER(G48),"｜實際 "&amp;IF(G48&lt;0,"−","")&amp;"$"&amp;TEXT(ABS(G48),"#,##0.00")&amp;"bn"&amp;"（較模型 "&amp;IF(ISNUMBER(G73),IF(G73&lt;0,"−","+")&amp;IF(ABS(G73)&lt;0,"−","")&amp;"$"&amp;TEXT(ABS(ABS(G73)),"#,##0.00")&amp;"bn"&amp;IF(ISNUMBER(G78),"／"&amp;IF(G78&lt;0,"−","+")&amp;TEXT(ABS(G78)*100,"#,##0.0")&amp;"pt",""),"不適用")&amp;IF(AND(ISNUMBER(G33),ISNUMBER(G34)),"、"&amp;IF(G48&gt;G34,"高於上緣",IF(G48&lt;G33,"低於下緣",IF(G48&gt;=(G33+G34)/2,"區間上半部","區間下半部"))),"")&amp;"）","")&amp;G136</f>
        <v>調整後營業利益：模型 −$1.32bn</v>
      </c>
      <c r="H142" s="46" t="str">
        <f aca="false">"調整後營業利益：模型 "&amp;IF(ISNUMBER(H30),IF(H30&lt;0,"−","")&amp;"$"&amp;TEXT(ABS(H30),"#,##0.00")&amp;"bn","不適用")&amp;IF(AND(ISNUMBER(H33),ISNUMBER(H34)),"｜指引 "&amp;"$"&amp;IF(H33&lt;0,"−","")&amp;TEXT(ABS(H33),"#,##0.00")&amp;"–"&amp;IF(H34&lt;0,"−","")&amp;TEXT(ABS(H34),"#,##0.00")&amp;"bn"&amp;"（中點 "&amp;IF(ISNUMBER(H72),IF(H72&lt;0,"−","+")&amp;IF(ABS(H72)&lt;0,"−","")&amp;"$"&amp;TEXT(ABS(ABS(H72)),"#,##0.00")&amp;"bn"&amp;IF(ISNUMBER(H77),"／"&amp;IF(H77&lt;0,"−","+")&amp;TEXT(ABS(H77)*100,"#,##0.0")&amp;"pt",""),"不適用")&amp;"，"&amp;IF(H30&gt;H34,"高於上緣",IF(H30&lt;H33,"低於下緣",IF(H30&gt;=(H33+H34)/2,"區間上半部","區間下半部")))&amp;"）",IF(H35&lt;&gt;"","｜指引（文字）"&amp;H35,""))&amp;IF(ISNUMBER(H48),"｜實際 "&amp;IF(H48&lt;0,"−","")&amp;"$"&amp;TEXT(ABS(H48),"#,##0.00")&amp;"bn"&amp;"（較模型 "&amp;IF(ISNUMBER(H73),IF(H73&lt;0,"−","+")&amp;IF(ABS(H73)&lt;0,"−","")&amp;"$"&amp;TEXT(ABS(ABS(H73)),"#,##0.00")&amp;"bn"&amp;IF(ISNUMBER(H78),"／"&amp;IF(H78&lt;0,"−","+")&amp;TEXT(ABS(H78)*100,"#,##0.0")&amp;"pt",""),"不適用")&amp;IF(AND(ISNUMBER(H33),ISNUMBER(H34)),"、"&amp;IF(H48&gt;H34,"高於上緣",IF(H48&lt;H33,"低於下緣",IF(H48&gt;=(H33+H34)/2,"區間上半部","區間下半部"))),"")&amp;"）","")&amp;H136</f>
        <v>調整後營業利益：模型 −$1.40bn</v>
      </c>
    </row>
    <row r="143" customFormat="false" ht="15" hidden="true" customHeight="false" outlineLevel="1" collapsed="false">
      <c r="A143" s="3" t="s">
        <v>1041</v>
      </c>
      <c r="C143" s="46" t="str">
        <f aca="false">"CapEx（毛額）：模型 "&amp;IF(ISNUMBER(C40),IF(C40&lt;0,"−","")&amp;"$"&amp;TEXT(ABS(C40),"#,##0.00")&amp;"bn","不適用")&amp;IF(AND(ISNUMBER(C36),ISNUMBER(C37)),"｜指引 "&amp;"$"&amp;IF(C36&lt;0,"−","")&amp;TEXT(ABS(C36),"#,##0.00")&amp;"–"&amp;IF(C37&lt;0,"−","")&amp;TEXT(ABS(C37),"#,##0.00")&amp;"bn"&amp;"（中點 "&amp;IF(ISNUMBER(C82),IF(C82&lt;0,"−","+")&amp;TEXT(ABS(C82)*100,"#,##0.0")&amp;"%","不適用")&amp;"，"&amp;IF(C40&gt;C37,"高於上緣",IF(C40&lt;C36,"低於下緣",IF(C40&gt;=(C36+C37)/2,"區間上半部","區間下半部")))&amp;"）","")&amp;IF(ISNUMBER(C49),"｜實際 "&amp;IF(C49&lt;0,"−","")&amp;"$"&amp;TEXT(ABS(C49),"#,##0.00")&amp;"bn"&amp;"（較模型 "&amp;IF(ISNUMBER(C83),IF(C83&lt;0,"−","+")&amp;TEXT(ABS(C83)*100,"#,##0.0")&amp;"%","不適用")&amp;IF(AND(ISNUMBER(C36),ISNUMBER(C37)),"、"&amp;IF(C49&gt;C37,"高於上緣",IF(C49&lt;C36,"低於下緣",IF(C49&gt;=(C36+C37)/2,"區間上半部","區間下半部"))),"")&amp;"）","")&amp;C137</f>
        <v>CapEx（毛額）：模型 $12.50bn｜指引 $11.50–13.50bn（中點 +0.0%，區間上半部）</v>
      </c>
      <c r="D143" s="46" t="str">
        <f aca="false">"CapEx（毛額）：模型 "&amp;IF(ISNUMBER(D40),IF(D40&lt;0,"−","")&amp;"$"&amp;TEXT(ABS(D40),"#,##0.00")&amp;"bn","不適用")&amp;IF(AND(ISNUMBER(D36),ISNUMBER(D37)),"｜指引 "&amp;"$"&amp;IF(D36&lt;0,"−","")&amp;TEXT(ABS(D36),"#,##0.00")&amp;"–"&amp;IF(D37&lt;0,"−","")&amp;TEXT(ABS(D37),"#,##0.00")&amp;"bn"&amp;"（中點 "&amp;IF(ISNUMBER(D82),IF(D82&lt;0,"−","+")&amp;TEXT(ABS(D82)*100,"#,##0.0")&amp;"%","不適用")&amp;"，"&amp;IF(D40&gt;D37,"高於上緣",IF(D40&lt;D36,"低於下緣",IF(D40&gt;=(D36+D37)/2,"區間上半部","區間下半部")))&amp;"）","")&amp;IF(ISNUMBER(D49),"｜實際 "&amp;IF(D49&lt;0,"−","")&amp;"$"&amp;TEXT(ABS(D49),"#,##0.00")&amp;"bn"&amp;"（較模型 "&amp;IF(ISNUMBER(D83),IF(D83&lt;0,"−","+")&amp;TEXT(ABS(D83)*100,"#,##0.0")&amp;"%","不適用")&amp;IF(AND(ISNUMBER(D36),ISNUMBER(D37)),"、"&amp;IF(D49&gt;D37,"高於上緣",IF(D49&lt;D36,"低於下緣",IF(D49&gt;=(D36+D37)/2,"區間上半部","區間下半部"))),"")&amp;"）","")&amp;D137</f>
        <v>CapEx（毛額）：模型 $9.16bn</v>
      </c>
      <c r="E143" s="46" t="str">
        <f aca="false">"CapEx（毛額）：模型 "&amp;IF(ISNUMBER(E40),IF(E40&lt;0,"−","")&amp;"$"&amp;TEXT(ABS(E40),"#,##0.00")&amp;"bn","不適用")&amp;IF(AND(ISNUMBER(E36),ISNUMBER(E37)),"｜指引 "&amp;"$"&amp;IF(E36&lt;0,"−","")&amp;TEXT(ABS(E36),"#,##0.00")&amp;"–"&amp;IF(E37&lt;0,"−","")&amp;TEXT(ABS(E37),"#,##0.00")&amp;"bn"&amp;"（中點 "&amp;IF(ISNUMBER(E82),IF(E82&lt;0,"−","+")&amp;TEXT(ABS(E82)*100,"#,##0.0")&amp;"%","不適用")&amp;"，"&amp;IF(E40&gt;E37,"高於上緣",IF(E40&lt;E36,"低於下緣",IF(E40&gt;=(E36+E37)/2,"區間上半部","區間下半部")))&amp;"）","")&amp;IF(ISNUMBER(E49),"｜實際 "&amp;IF(E49&lt;0,"−","")&amp;"$"&amp;TEXT(ABS(E49),"#,##0.00")&amp;"bn"&amp;"（較模型 "&amp;IF(ISNUMBER(E83),IF(E83&lt;0,"−","+")&amp;TEXT(ABS(E83)*100,"#,##0.0")&amp;"%","不適用")&amp;IF(AND(ISNUMBER(E36),ISNUMBER(E37)),"、"&amp;IF(E49&gt;E37,"高於上緣",IF(E49&lt;E36,"低於下緣",IF(E49&gt;=(E36+E37)/2,"區間上半部","區間下半部"))),"")&amp;"）","")&amp;E137</f>
        <v>CapEx（毛額）：模型 $10.57bn</v>
      </c>
      <c r="F143" s="46" t="str">
        <f aca="false">"CapEx（毛額）：模型 "&amp;IF(ISNUMBER(F40),IF(F40&lt;0,"−","")&amp;"$"&amp;TEXT(ABS(F40),"#,##0.00")&amp;"bn","不適用")&amp;IF(AND(ISNUMBER(F36),ISNUMBER(F37)),"｜指引 "&amp;"$"&amp;IF(F36&lt;0,"−","")&amp;TEXT(ABS(F36),"#,##0.00")&amp;"–"&amp;IF(F37&lt;0,"−","")&amp;TEXT(ABS(F37),"#,##0.00")&amp;"bn"&amp;"（中點 "&amp;IF(ISNUMBER(F82),IF(F82&lt;0,"−","+")&amp;TEXT(ABS(F82)*100,"#,##0.0")&amp;"%","不適用")&amp;"，"&amp;IF(F40&gt;F37,"高於上緣",IF(F40&lt;F36,"低於下緣",IF(F40&gt;=(F36+F37)/2,"區間上半部","區間下半部")))&amp;"）","")&amp;IF(ISNUMBER(F49),"｜實際 "&amp;IF(F49&lt;0,"−","")&amp;"$"&amp;TEXT(ABS(F49),"#,##0.00")&amp;"bn"&amp;"（較模型 "&amp;IF(ISNUMBER(F83),IF(F83&lt;0,"−","+")&amp;TEXT(ABS(F83)*100,"#,##0.0")&amp;"%","不適用")&amp;IF(AND(ISNUMBER(F36),ISNUMBER(F37)),"、"&amp;IF(F49&gt;F37,"高於上緣",IF(F49&lt;F36,"低於下緣",IF(F49&gt;=(F36+F37)/2,"區間上半部","區間下半部"))),"")&amp;"）","")&amp;F137</f>
        <v>CapEx（毛額）：模型 $10.57bn</v>
      </c>
      <c r="G143" s="46" t="str">
        <f aca="false">"CapEx（毛額）：模型 "&amp;IF(ISNUMBER(G40),IF(G40&lt;0,"−","")&amp;"$"&amp;TEXT(ABS(G40),"#,##0.00")&amp;"bn","不適用")&amp;IF(AND(ISNUMBER(G36),ISNUMBER(G37)),"｜指引 "&amp;"$"&amp;IF(G36&lt;0,"−","")&amp;TEXT(ABS(G36),"#,##0.00")&amp;"–"&amp;IF(G37&lt;0,"−","")&amp;TEXT(ABS(G37),"#,##0.00")&amp;"bn"&amp;"（中點 "&amp;IF(ISNUMBER(G82),IF(G82&lt;0,"−","+")&amp;TEXT(ABS(G82)*100,"#,##0.0")&amp;"%","不適用")&amp;"，"&amp;IF(G40&gt;G37,"高於上緣",IF(G40&lt;G36,"低於下緣",IF(G40&gt;=(G36+G37)/2,"區間上半部","區間下半部")))&amp;"）","")&amp;IF(ISNUMBER(G49),"｜實際 "&amp;IF(G49&lt;0,"−","")&amp;"$"&amp;TEXT(ABS(G49),"#,##0.00")&amp;"bn"&amp;"（較模型 "&amp;IF(ISNUMBER(G83),IF(G83&lt;0,"−","+")&amp;TEXT(ABS(G83)*100,"#,##0.0")&amp;"%","不適用")&amp;IF(AND(ISNUMBER(G36),ISNUMBER(G37)),"、"&amp;IF(G49&gt;G37,"高於上緣",IF(G49&lt;G36,"低於下緣",IF(G49&gt;=(G36+G37)/2,"區間上半部","區間下半部"))),"")&amp;"）","")&amp;G137</f>
        <v>CapEx（毛額）：模型 $10.57bn</v>
      </c>
      <c r="H143" s="46" t="str">
        <f aca="false">"CapEx（毛額）：模型 "&amp;IF(ISNUMBER(H40),IF(H40&lt;0,"−","")&amp;"$"&amp;TEXT(ABS(H40),"#,##0.00")&amp;"bn","不適用")&amp;IF(AND(ISNUMBER(H36),ISNUMBER(H37)),"｜指引 "&amp;"$"&amp;IF(H36&lt;0,"−","")&amp;TEXT(ABS(H36),"#,##0.00")&amp;"–"&amp;IF(H37&lt;0,"−","")&amp;TEXT(ABS(H37),"#,##0.00")&amp;"bn"&amp;"（中點 "&amp;IF(ISNUMBER(H82),IF(H82&lt;0,"−","+")&amp;TEXT(ABS(H82)*100,"#,##0.0")&amp;"%","不適用")&amp;"，"&amp;IF(H40&gt;H37,"高於上緣",IF(H40&lt;H36,"低於下緣",IF(H40&gt;=(H36+H37)/2,"區間上半部","區間下半部")))&amp;"）","")&amp;IF(ISNUMBER(H49),"｜實際 "&amp;IF(H49&lt;0,"−","")&amp;"$"&amp;TEXT(ABS(H49),"#,##0.00")&amp;"bn"&amp;"（較模型 "&amp;IF(ISNUMBER(H83),IF(H83&lt;0,"−","+")&amp;TEXT(ABS(H83)*100,"#,##0.0")&amp;"%","不適用")&amp;IF(AND(ISNUMBER(H36),ISNUMBER(H37)),"、"&amp;IF(H49&gt;H37,"高於上緣",IF(H49&lt;H36,"低於下緣",IF(H49&gt;=(H36+H37)/2,"區間上半部","區間下半部"))),"")&amp;"）","")&amp;H137</f>
        <v>CapEx（毛額）：模型 $10.57bn</v>
      </c>
    </row>
    <row r="144" customFormat="false" ht="15" hidden="true" customHeight="false" outlineLevel="1" collapsed="false">
      <c r="A144" s="3" t="s">
        <v>1042</v>
      </c>
      <c r="C144" s="46" t="str">
        <f aca="false">"季末 Accepted MW：模型 "&amp;IF(ISNUMBER(C19),IF(C19&lt;0,"−","")&amp;TEXT(ABS(C19),"#,##0")&amp;" MW","不適用")&amp;IF(ISNUMBER(C50),"｜實際 "&amp;IF(C50&lt;0,"−","")&amp;TEXT(ABS(C50),"#,##0")&amp;" MW"&amp;"（較模型 "&amp;IF(ISNUMBER(C88),IF(C88&lt;0,"−","+")&amp;IF(ABS(C88)&lt;0,"−","")&amp;TEXT(ABS(ABS(C88)),"#,##0")&amp;" MW","不適用")&amp;"）","")&amp;C138</f>
        <v>季末 Accepted MW：模型 1,675 MW</v>
      </c>
      <c r="D144" s="46" t="str">
        <f aca="false">"季末 Accepted MW：模型 "&amp;IF(ISNUMBER(D19),IF(D19&lt;0,"−","")&amp;TEXT(ABS(D19),"#,##0")&amp;" MW","不適用")&amp;IF(ISNUMBER(D50),"｜實際 "&amp;IF(D50&lt;0,"−","")&amp;TEXT(ABS(D50),"#,##0")&amp;" MW"&amp;"（較模型 "&amp;IF(ISNUMBER(D88),IF(D88&lt;0,"−","+")&amp;IF(ABS(D88)&lt;0,"−","")&amp;TEXT(ABS(ABS(D88)),"#,##0")&amp;" MW","不適用")&amp;"）","")&amp;D138</f>
        <v>季末 Accepted MW：模型 1,850 MW</v>
      </c>
      <c r="E144" s="46" t="str">
        <f aca="false">"季末 Accepted MW：模型 "&amp;IF(ISNUMBER(E19),IF(E19&lt;0,"−","")&amp;TEXT(ABS(E19),"#,##0")&amp;" MW","不適用")&amp;IF(ISNUMBER(E50),"｜實際 "&amp;IF(E50&lt;0,"−","")&amp;TEXT(ABS(E50),"#,##0")&amp;" MW"&amp;"（較模型 "&amp;IF(ISNUMBER(E88),IF(E88&lt;0,"−","+")&amp;IF(ABS(E88)&lt;0,"−","")&amp;TEXT(ABS(ABS(E88)),"#,##0")&amp;" MW","不適用")&amp;"）","")&amp;E138</f>
        <v>季末 Accepted MW：模型 2,163 MW</v>
      </c>
      <c r="F144" s="46" t="str">
        <f aca="false">"季末 Accepted MW：模型 "&amp;IF(ISNUMBER(F19),IF(F19&lt;0,"−","")&amp;TEXT(ABS(F19),"#,##0")&amp;" MW","不適用")&amp;IF(ISNUMBER(F50),"｜實際 "&amp;IF(F50&lt;0,"−","")&amp;TEXT(ABS(F50),"#,##0")&amp;" MW"&amp;"（較模型 "&amp;IF(ISNUMBER(F88),IF(F88&lt;0,"−","+")&amp;IF(ABS(F88)&lt;0,"−","")&amp;TEXT(ABS(ABS(F88)),"#,##0")&amp;" MW","不適用")&amp;"）","")&amp;F138</f>
        <v>季末 Accepted MW：模型 2,475 MW</v>
      </c>
      <c r="G144" s="46" t="str">
        <f aca="false">"季末 Accepted MW：模型 "&amp;IF(ISNUMBER(G19),IF(G19&lt;0,"−","")&amp;TEXT(ABS(G19),"#,##0")&amp;" MW","不適用")&amp;IF(ISNUMBER(G50),"｜實際 "&amp;IF(G50&lt;0,"−","")&amp;TEXT(ABS(G50),"#,##0")&amp;" MW"&amp;"（較模型 "&amp;IF(ISNUMBER(G88),IF(G88&lt;0,"−","+")&amp;IF(ABS(G88)&lt;0,"−","")&amp;TEXT(ABS(ABS(G88)),"#,##0")&amp;" MW","不適用")&amp;"）","")&amp;G138</f>
        <v>季末 Accepted MW：模型 2,788 MW</v>
      </c>
      <c r="H144" s="46" t="str">
        <f aca="false">"季末 Accepted MW：模型 "&amp;IF(ISNUMBER(H19),IF(H19&lt;0,"−","")&amp;TEXT(ABS(H19),"#,##0")&amp;" MW","不適用")&amp;IF(ISNUMBER(H50),"｜實際 "&amp;IF(H50&lt;0,"−","")&amp;TEXT(ABS(H50),"#,##0")&amp;" MW"&amp;"（較模型 "&amp;IF(ISNUMBER(H88),IF(H88&lt;0,"−","+")&amp;IF(ABS(H88)&lt;0,"−","")&amp;TEXT(ABS(ABS(H88)),"#,##0")&amp;" MW","不適用")&amp;"）","")&amp;H138</f>
        <v>季末 Accepted MW：模型 3,100 MW</v>
      </c>
    </row>
    <row r="145" customFormat="false" ht="15" hidden="true" customHeight="false" outlineLevel="1" collapsed="false"/>
    <row r="146" customFormat="false" ht="15" hidden="true" customHeight="false" outlineLevel="1" collapsed="false">
      <c r="A146" s="2" t="s">
        <v>1043</v>
      </c>
    </row>
    <row r="147" customFormat="false" ht="15" hidden="true" customHeight="false" outlineLevel="1" collapsed="false">
      <c r="A147" s="3" t="s">
        <v>1044</v>
      </c>
      <c r="C147" s="71" t="n">
        <f aca="false">C22+D22-損益!C8</f>
        <v>0</v>
      </c>
      <c r="D147" s="71" t="n">
        <f aca="false">E22+F22+G22+H22-損益!D8</f>
        <v>0</v>
      </c>
    </row>
    <row r="148" customFormat="false" ht="15" hidden="true" customHeight="false" outlineLevel="1" collapsed="false">
      <c r="A148" s="3" t="s">
        <v>1045</v>
      </c>
      <c r="C148" s="71" t="n">
        <f aca="false">C28+D28-損益!C19</f>
        <v>0</v>
      </c>
      <c r="D148" s="71" t="n">
        <f aca="false">E28+F28+G28+H28-損益!D19</f>
        <v>0</v>
      </c>
    </row>
    <row r="149" customFormat="false" ht="15" hidden="true" customHeight="false" outlineLevel="1" collapsed="false">
      <c r="A149" s="3" t="s">
        <v>1046</v>
      </c>
      <c r="C149" s="71" t="n">
        <f aca="false">C30+D30-損益!C10</f>
        <v>0</v>
      </c>
      <c r="D149" s="71" t="n">
        <f aca="false">E30+F30+G30+H30-損益!D10</f>
        <v>0</v>
      </c>
    </row>
    <row r="150" customFormat="false" ht="15" hidden="true" customHeight="false" outlineLevel="1" collapsed="false">
      <c r="A150" s="3" t="s">
        <v>1047</v>
      </c>
      <c r="C150" s="71" t="n">
        <f aca="false">C40+D40-輸入與假設!C$147</f>
        <v>0</v>
      </c>
      <c r="D150" s="71" t="n">
        <f aca="false">E40+F40+G40+H40-輸入與假設!D$147</f>
        <v>0</v>
      </c>
    </row>
    <row r="151" customFormat="false" ht="15" hidden="true" customHeight="false" outlineLevel="1" collapsed="false">
      <c r="A151" s="3" t="s">
        <v>1048</v>
      </c>
      <c r="C151" s="71" t="n">
        <f aca="false">C29+D29-輸入與假設!C$148</f>
        <v>0</v>
      </c>
      <c r="D151" s="71" t="n">
        <f aca="false">E29+F29+G29+H29-輸入與假設!D$148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5C61"/>
    <outlinePr summaryBelow="0" summaryRight="1"/>
    <pageSetUpPr fitToPage="false"/>
  </sheetPr>
  <dimension ref="A1:I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42"/>
    <col collapsed="false" customWidth="true" hidden="false" outlineLevel="0" max="2" min="2" style="0" width="12"/>
    <col collapsed="false" customWidth="true" hidden="false" outlineLevel="0" max="7" min="3" style="0" width="13"/>
    <col collapsed="false" customWidth="true" hidden="false" outlineLevel="0" max="9" min="9" style="0" width="96"/>
  </cols>
  <sheetData>
    <row r="1" customFormat="false" ht="21.6" hidden="false" customHeight="false" outlineLevel="0" collapsed="false">
      <c r="A1" s="6" t="s">
        <v>1049</v>
      </c>
    </row>
    <row r="2" customFormat="false" ht="15" hidden="false" customHeight="false" outlineLevel="0" collapsed="false">
      <c r="A2" s="7" t="s">
        <v>1050</v>
      </c>
    </row>
    <row r="3" customFormat="false" ht="15" hidden="false" customHeight="false" outlineLevel="0" collapsed="false">
      <c r="A3" s="12" t="s">
        <v>1051</v>
      </c>
    </row>
    <row r="5" customFormat="false" ht="15" hidden="false" customHeight="false" outlineLevel="0" collapsed="false">
      <c r="A5" s="15" t="s">
        <v>87</v>
      </c>
      <c r="B5" s="15" t="s">
        <v>88</v>
      </c>
      <c r="C5" s="27" t="s">
        <v>89</v>
      </c>
      <c r="D5" s="27" t="s">
        <v>90</v>
      </c>
      <c r="E5" s="27" t="s">
        <v>91</v>
      </c>
      <c r="F5" s="27" t="s">
        <v>175</v>
      </c>
      <c r="G5" s="27" t="s">
        <v>176</v>
      </c>
      <c r="I5" s="15" t="s">
        <v>744</v>
      </c>
    </row>
    <row r="6" customFormat="false" ht="15" hidden="false" customHeight="false" outlineLevel="0" collapsed="false">
      <c r="A6" s="3" t="s">
        <v>521</v>
      </c>
      <c r="B6" s="7"/>
      <c r="C6" s="68" t="str">
        <f aca="false">"2026-07-01~12-31"</f>
        <v>2026-07-01~12-31</v>
      </c>
      <c r="D6" s="68" t="str">
        <f aca="false">"2027 全年"</f>
        <v>2027 全年</v>
      </c>
      <c r="E6" s="68" t="str">
        <f aca="false">"2028 全年"</f>
        <v>2028 全年</v>
      </c>
      <c r="F6" s="68" t="str">
        <f aca="false">"2029 全年"</f>
        <v>2029 全年</v>
      </c>
      <c r="G6" s="68" t="str">
        <f aca="false">"2030 全年"</f>
        <v>2030 全年</v>
      </c>
      <c r="I6" s="12" t="s">
        <v>1052</v>
      </c>
    </row>
    <row r="7" customFormat="false" ht="15" hidden="false" customHeight="false" outlineLevel="0" collapsed="false">
      <c r="A7" s="3" t="s">
        <v>209</v>
      </c>
      <c r="B7" s="7"/>
      <c r="C7" s="43" t="n">
        <f aca="false">輸入與假設!C$24</f>
        <v>0.5</v>
      </c>
      <c r="D7" s="43" t="n">
        <f aca="false">輸入與假設!D$24</f>
        <v>1</v>
      </c>
      <c r="E7" s="43" t="n">
        <f aca="false">輸入與假設!E$24</f>
        <v>1</v>
      </c>
      <c r="F7" s="43" t="n">
        <f aca="false">輸入與假設!F$24</f>
        <v>1</v>
      </c>
      <c r="G7" s="43" t="n">
        <f aca="false">輸入與假設!G$24</f>
        <v>1</v>
      </c>
      <c r="I7" s="7" t="s">
        <v>1053</v>
      </c>
    </row>
    <row r="8" customFormat="false" ht="15" hidden="false" customHeight="false" outlineLevel="0" collapsed="false">
      <c r="A8" s="52" t="s">
        <v>1054</v>
      </c>
      <c r="B8" s="9"/>
      <c r="C8" s="9"/>
      <c r="D8" s="9"/>
      <c r="E8" s="9"/>
      <c r="F8" s="9"/>
      <c r="G8" s="9"/>
      <c r="H8" s="9"/>
    </row>
    <row r="9" customFormat="false" ht="15" hidden="false" customHeight="false" outlineLevel="1" collapsed="false">
      <c r="A9" s="4" t="s">
        <v>1055</v>
      </c>
      <c r="B9" s="12" t="s">
        <v>179</v>
      </c>
      <c r="C9" s="70" t="n">
        <f aca="false">MAX(0,輸入與假設!C$26)</f>
        <v>1850</v>
      </c>
      <c r="D9" s="70" t="n">
        <f aca="false">MAX(輸入與假設!D$26,C9)</f>
        <v>3100</v>
      </c>
      <c r="E9" s="70" t="n">
        <f aca="false">MAX(輸入與假設!E$26,D9)</f>
        <v>4000</v>
      </c>
      <c r="F9" s="70" t="n">
        <f aca="false">MAX(輸入與假設!F$26,E9)</f>
        <v>4800</v>
      </c>
      <c r="G9" s="70" t="n">
        <f aca="false">MAX(輸入與假設!G$26,F9)</f>
        <v>5600</v>
      </c>
      <c r="I9" s="7" t="s">
        <v>1056</v>
      </c>
    </row>
    <row r="10" customFormat="false" ht="15" hidden="false" customHeight="false" outlineLevel="1" collapsed="false">
      <c r="A10" s="4" t="s">
        <v>1057</v>
      </c>
      <c r="B10" s="12" t="s">
        <v>179</v>
      </c>
      <c r="C10" s="70" t="n">
        <f aca="false">MIN(MAX(0,輸入與假設!C$27),C9)</f>
        <v>1700</v>
      </c>
      <c r="D10" s="70" t="n">
        <f aca="false">MIN(MAX(0,輸入與假設!D$27),D9)</f>
        <v>2900</v>
      </c>
      <c r="E10" s="70" t="n">
        <f aca="false">MIN(MAX(0,輸入與假設!E$27),E9)</f>
        <v>3739</v>
      </c>
      <c r="F10" s="70" t="n">
        <f aca="false">MIN(MAX(0,輸入與假設!F$27),F9)</f>
        <v>4495</v>
      </c>
      <c r="G10" s="70" t="n">
        <f aca="false">MIN(MAX(0,輸入與假設!G$27),G9)</f>
        <v>5250</v>
      </c>
      <c r="I10" s="7" t="s">
        <v>1058</v>
      </c>
    </row>
    <row r="11" customFormat="false" ht="15" hidden="false" customHeight="false" outlineLevel="1" collapsed="false">
      <c r="A11" s="3" t="s">
        <v>1059</v>
      </c>
      <c r="B11" s="12" t="s">
        <v>179</v>
      </c>
      <c r="C11" s="70" t="n">
        <f aca="false">輸入與假設!$C$20</f>
        <v>1350</v>
      </c>
      <c r="D11" s="70" t="n">
        <f aca="false">C10</f>
        <v>1700</v>
      </c>
      <c r="E11" s="70" t="n">
        <f aca="false">D10</f>
        <v>2900</v>
      </c>
      <c r="F11" s="70" t="n">
        <f aca="false">E10</f>
        <v>3739</v>
      </c>
      <c r="G11" s="70" t="n">
        <f aca="false">F10</f>
        <v>4495</v>
      </c>
      <c r="I11" s="7" t="s">
        <v>1060</v>
      </c>
    </row>
    <row r="12" customFormat="false" ht="15" hidden="false" customHeight="false" outlineLevel="1" collapsed="false">
      <c r="A12" s="3" t="s">
        <v>1061</v>
      </c>
      <c r="B12" s="12" t="s">
        <v>179</v>
      </c>
      <c r="C12" s="70" t="n">
        <f aca="false">IF(輸入與假設!$C$21=1,(C11+C10)/2,C10)</f>
        <v>1525</v>
      </c>
      <c r="D12" s="70" t="n">
        <f aca="false">IF(輸入與假設!$C$21=1,(D11+D10)/2,D10)</f>
        <v>2300</v>
      </c>
      <c r="E12" s="70" t="n">
        <f aca="false">IF(輸入與假設!$C$21=1,(E11+E10)/2,E10)</f>
        <v>3319.5</v>
      </c>
      <c r="F12" s="70" t="n">
        <f aca="false">IF(輸入與假設!$C$21=1,(F11+F10)/2,F10)</f>
        <v>4117</v>
      </c>
      <c r="G12" s="70" t="n">
        <f aca="false">IF(輸入與假設!$C$21=1,(G11+G10)/2,G10)</f>
        <v>4872.5</v>
      </c>
      <c r="I12" s="7" t="s">
        <v>1062</v>
      </c>
    </row>
    <row r="13" customFormat="false" ht="15" hidden="false" customHeight="false" outlineLevel="1" collapsed="false">
      <c r="A13" s="3" t="s">
        <v>217</v>
      </c>
      <c r="B13" s="12" t="s">
        <v>77</v>
      </c>
      <c r="C13" s="53" t="n">
        <f aca="false">輸入與假設!C$28</f>
        <v>0.95</v>
      </c>
      <c r="D13" s="53" t="n">
        <f aca="false">輸入與假設!D$28</f>
        <v>0.95</v>
      </c>
      <c r="E13" s="53" t="n">
        <f aca="false">輸入與假設!E$28</f>
        <v>0.94</v>
      </c>
      <c r="F13" s="53" t="n">
        <f aca="false">輸入與假設!F$28</f>
        <v>0.93</v>
      </c>
      <c r="G13" s="53" t="n">
        <f aca="false">輸入與假設!G$28</f>
        <v>0.92</v>
      </c>
    </row>
    <row r="14" customFormat="false" ht="15" hidden="false" customHeight="false" outlineLevel="1" collapsed="false">
      <c r="A14" s="3" t="s">
        <v>219</v>
      </c>
      <c r="B14" s="12" t="s">
        <v>220</v>
      </c>
      <c r="C14" s="30" t="n">
        <f aca="false">輸入與假設!C$29</f>
        <v>0.00841621326647324</v>
      </c>
      <c r="D14" s="30" t="n">
        <f aca="false">輸入與假設!D$29</f>
        <v>0.00878712095313968</v>
      </c>
      <c r="E14" s="30" t="n">
        <f aca="false">輸入與假設!E$29</f>
        <v>0.0101287899807039</v>
      </c>
      <c r="F14" s="30" t="n">
        <f aca="false">輸入與假設!F$29</f>
        <v>0.0126972629009115</v>
      </c>
      <c r="G14" s="30" t="n">
        <f aca="false">輸入與假設!G$29</f>
        <v>0.016465206537042</v>
      </c>
    </row>
    <row r="15" customFormat="false" ht="15" hidden="false" customHeight="false" outlineLevel="1" collapsed="false">
      <c r="A15" s="3" t="s">
        <v>1063</v>
      </c>
      <c r="B15" s="12" t="s">
        <v>93</v>
      </c>
      <c r="C15" s="39" t="n">
        <f aca="false">C12*輸入與假設!C$29*輸入與假設!$C$22*輸入與假設!C$28*C7</f>
        <v>6.09649448490155</v>
      </c>
      <c r="D15" s="39" t="n">
        <f aca="false">D12*輸入與假設!D$29*輸入與假設!$C$22*輸入與假設!D$28*D7</f>
        <v>19.1998592826102</v>
      </c>
      <c r="E15" s="39" t="n">
        <f aca="false">E12*輸入與假設!E$29*輸入與假設!$C$22*輸入與假設!E$28*E7</f>
        <v>31.6051672404899</v>
      </c>
      <c r="F15" s="39" t="n">
        <f aca="false">F12*輸入與假設!F$29*輸入與假設!$C$22*輸入與假設!F$28*F7</f>
        <v>48.615407167639</v>
      </c>
      <c r="G15" s="39" t="n">
        <f aca="false">G12*輸入與假設!G$29*輸入與假設!$C$22*輸入與假設!G$28*G7</f>
        <v>73.808581343598</v>
      </c>
      <c r="I15" s="7" t="s">
        <v>1064</v>
      </c>
    </row>
    <row r="16" customFormat="false" ht="15" hidden="false" customHeight="false" outlineLevel="0" collapsed="false">
      <c r="A16" s="52" t="s">
        <v>1065</v>
      </c>
      <c r="B16" s="9"/>
      <c r="C16" s="9"/>
      <c r="D16" s="9"/>
      <c r="E16" s="9"/>
      <c r="F16" s="9"/>
      <c r="G16" s="9"/>
      <c r="H16" s="9"/>
    </row>
    <row r="17" customFormat="false" ht="15" hidden="false" customHeight="false" outlineLevel="1" collapsed="false">
      <c r="A17" s="3" t="s">
        <v>1066</v>
      </c>
      <c r="B17" s="12" t="s">
        <v>93</v>
      </c>
      <c r="C17" s="68" t="n">
        <f aca="false">(輸入與假設!$C$15+輸入與假設!$C$16)*(輸入與假設!C$25/輸入與假設!$C$18)*輸入與假設!$C$17</f>
        <v>13.19175</v>
      </c>
      <c r="D17" s="68" t="n">
        <f aca="false">(輸入與假設!$C$15+輸入與假設!$C$16)*(輸入與假設!D$25/輸入與假設!$C$18)*輸入與假設!$C$17</f>
        <v>26.3835</v>
      </c>
      <c r="E17" s="68" t="n">
        <f aca="false">(輸入與假設!$C$15+輸入與假設!$C$16)*(輸入與假設!E$25/輸入與假設!$C$18)*輸入與假設!$C$17</f>
        <v>25.74</v>
      </c>
      <c r="F17" s="68" t="n">
        <f aca="false">(輸入與假設!$C$15+輸入與假設!$C$16)*(輸入與假設!F$25/輸入與假設!$C$18)*輸入與假設!$C$17</f>
        <v>25.0965</v>
      </c>
      <c r="G17" s="68" t="n">
        <f aca="false">(輸入與假設!$C$15+輸入與假設!$C$16)*(輸入與假設!G$25/輸入與假設!$C$18)*輸入與假設!$C$17</f>
        <v>17.69625</v>
      </c>
      <c r="I17" s="7" t="s">
        <v>1067</v>
      </c>
    </row>
    <row r="18" customFormat="false" ht="15" hidden="false" customHeight="false" outlineLevel="0" collapsed="false">
      <c r="A18" s="52" t="s">
        <v>1068</v>
      </c>
      <c r="B18" s="9"/>
      <c r="C18" s="9"/>
      <c r="D18" s="9"/>
      <c r="E18" s="9"/>
      <c r="F18" s="9"/>
      <c r="G18" s="9"/>
      <c r="H18" s="9"/>
    </row>
    <row r="19" customFormat="false" ht="15" hidden="false" customHeight="false" outlineLevel="1" collapsed="false">
      <c r="A19" s="3" t="s">
        <v>1069</v>
      </c>
      <c r="B19" s="12" t="s">
        <v>93</v>
      </c>
      <c r="C19" s="39" t="n">
        <f aca="false">MAX(0,C17-C15)</f>
        <v>7.09525551509844</v>
      </c>
      <c r="D19" s="39" t="n">
        <f aca="false">MAX(0,D17-D15)</f>
        <v>7.18364071738979</v>
      </c>
      <c r="E19" s="39" t="n">
        <f aca="false">MAX(0,E17-E15)</f>
        <v>0</v>
      </c>
      <c r="F19" s="39" t="n">
        <f aca="false">MAX(0,F17-F15)</f>
        <v>0</v>
      </c>
      <c r="G19" s="39" t="n">
        <f aca="false">MAX(0,G17-G15)</f>
        <v>0</v>
      </c>
      <c r="I19" s="7" t="s">
        <v>1070</v>
      </c>
    </row>
    <row r="20" customFormat="false" ht="15" hidden="false" customHeight="false" outlineLevel="1" collapsed="false">
      <c r="A20" s="3" t="s">
        <v>1071</v>
      </c>
      <c r="B20" s="12" t="s">
        <v>93</v>
      </c>
      <c r="C20" s="68" t="n">
        <f aca="false">C17-C19</f>
        <v>6.09649448490155</v>
      </c>
      <c r="D20" s="68" t="n">
        <f aca="false">D17-D19</f>
        <v>19.1998592826102</v>
      </c>
      <c r="E20" s="68" t="n">
        <f aca="false">E17-E19</f>
        <v>25.74</v>
      </c>
      <c r="F20" s="68" t="n">
        <f aca="false">F17-F19</f>
        <v>25.0965</v>
      </c>
      <c r="G20" s="68" t="n">
        <f aca="false">G17-G19</f>
        <v>17.69625</v>
      </c>
      <c r="I20" s="7" t="s">
        <v>1072</v>
      </c>
    </row>
    <row r="21" customFormat="false" ht="15" hidden="false" customHeight="false" outlineLevel="1" collapsed="false">
      <c r="A21" s="3" t="s">
        <v>1073</v>
      </c>
      <c r="B21" s="12" t="s">
        <v>93</v>
      </c>
      <c r="C21" s="68" t="n">
        <f aca="false">MAX(0,C15-C17)</f>
        <v>0</v>
      </c>
      <c r="D21" s="68" t="n">
        <f aca="false">MAX(0,D15-D17)</f>
        <v>0</v>
      </c>
      <c r="E21" s="68" t="n">
        <f aca="false">MAX(0,E15-E17)</f>
        <v>5.8651672404899</v>
      </c>
      <c r="F21" s="68" t="n">
        <f aca="false">MAX(0,F15-F17)</f>
        <v>23.518907167639</v>
      </c>
      <c r="G21" s="68" t="n">
        <f aca="false">MAX(0,G15-G17)</f>
        <v>56.1123313435979</v>
      </c>
      <c r="I21" s="7" t="s">
        <v>1074</v>
      </c>
    </row>
    <row r="22" customFormat="false" ht="15" hidden="false" customHeight="false" outlineLevel="1" collapsed="false">
      <c r="A22" s="3" t="s">
        <v>222</v>
      </c>
      <c r="B22" s="12" t="s">
        <v>77</v>
      </c>
      <c r="C22" s="53" t="n">
        <f aca="false">輸入與假設!C$30</f>
        <v>1</v>
      </c>
      <c r="D22" s="53" t="n">
        <f aca="false">輸入與假設!D$30</f>
        <v>1</v>
      </c>
      <c r="E22" s="53" t="n">
        <f aca="false">輸入與假設!E$30</f>
        <v>0.9</v>
      </c>
      <c r="F22" s="53" t="n">
        <f aca="false">輸入與假設!F$30</f>
        <v>0.85</v>
      </c>
      <c r="G22" s="53" t="n">
        <f aca="false">輸入與假設!G$30</f>
        <v>0.8</v>
      </c>
    </row>
    <row r="23" customFormat="false" ht="15" hidden="false" customHeight="false" outlineLevel="1" collapsed="false">
      <c r="A23" s="3" t="s">
        <v>1075</v>
      </c>
      <c r="B23" s="12" t="s">
        <v>93</v>
      </c>
      <c r="C23" s="68" t="n">
        <f aca="false">C21*輸入與假設!C$30</f>
        <v>0</v>
      </c>
      <c r="D23" s="68" t="n">
        <f aca="false">D21*輸入與假設!D$30</f>
        <v>0</v>
      </c>
      <c r="E23" s="68" t="n">
        <f aca="false">E21*輸入與假設!E$30</f>
        <v>5.27865051644091</v>
      </c>
      <c r="F23" s="68" t="n">
        <f aca="false">F21*輸入與假設!F$30</f>
        <v>19.9910710924931</v>
      </c>
      <c r="G23" s="68" t="n">
        <f aca="false">G21*輸入與假設!G$30</f>
        <v>44.8898650748784</v>
      </c>
      <c r="I23" s="7" t="s">
        <v>1076</v>
      </c>
    </row>
    <row r="24" customFormat="false" ht="15" hidden="false" customHeight="false" outlineLevel="1" collapsed="false">
      <c r="A24" s="3" t="s">
        <v>1077</v>
      </c>
      <c r="B24" s="12" t="s">
        <v>93</v>
      </c>
      <c r="C24" s="68" t="n">
        <f aca="false">MAX(0,C15-C20-C23)</f>
        <v>0</v>
      </c>
      <c r="D24" s="68" t="n">
        <f aca="false">MAX(0,D15-D20-D23)</f>
        <v>0</v>
      </c>
      <c r="E24" s="68" t="n">
        <f aca="false">MAX(0,E15-E20-E23)</f>
        <v>0.58651672404899</v>
      </c>
      <c r="F24" s="68" t="n">
        <f aca="false">MAX(0,F15-F20-F23)</f>
        <v>3.52783607514585</v>
      </c>
      <c r="G24" s="68" t="n">
        <f aca="false">MAX(0,G15-G20-G23)</f>
        <v>11.2224662687196</v>
      </c>
      <c r="I24" s="7" t="s">
        <v>1078</v>
      </c>
    </row>
    <row r="25" customFormat="false" ht="15" hidden="false" customHeight="false" outlineLevel="1" collapsed="false">
      <c r="A25" s="3" t="s">
        <v>1079</v>
      </c>
      <c r="B25" s="12" t="s">
        <v>93</v>
      </c>
      <c r="C25" s="39" t="n">
        <f aca="false">C20+C23</f>
        <v>6.09649448490155</v>
      </c>
      <c r="D25" s="39" t="n">
        <f aca="false">D20+D23</f>
        <v>19.1998592826102</v>
      </c>
      <c r="E25" s="39" t="n">
        <f aca="false">E20+E23</f>
        <v>31.0186505164409</v>
      </c>
      <c r="F25" s="39" t="n">
        <f aca="false">F20+F23</f>
        <v>45.0875710924931</v>
      </c>
      <c r="G25" s="39" t="n">
        <f aca="false">G20+G23</f>
        <v>62.5861150748784</v>
      </c>
      <c r="I25" s="7" t="s">
        <v>1080</v>
      </c>
    </row>
    <row r="26" customFormat="false" ht="15" hidden="false" customHeight="false" outlineLevel="1" collapsed="false">
      <c r="A26" s="4" t="s">
        <v>1081</v>
      </c>
      <c r="B26" s="12" t="s">
        <v>93</v>
      </c>
      <c r="C26" s="43" t="n">
        <f aca="false">輸入與假設!$C$233</f>
        <v>4.653</v>
      </c>
      <c r="D26" s="43" t="n">
        <f aca="false">0</f>
        <v>0</v>
      </c>
      <c r="E26" s="43" t="n">
        <f aca="false">0</f>
        <v>0</v>
      </c>
      <c r="F26" s="43" t="n">
        <f aca="false">0</f>
        <v>0</v>
      </c>
      <c r="G26" s="43" t="n">
        <f aca="false">0</f>
        <v>0</v>
      </c>
      <c r="I26" s="12" t="s">
        <v>1082</v>
      </c>
    </row>
    <row r="27" customFormat="false" ht="15" hidden="false" customHeight="false" outlineLevel="1" collapsed="false">
      <c r="A27" s="4" t="s">
        <v>1083</v>
      </c>
      <c r="B27" s="12" t="s">
        <v>93</v>
      </c>
      <c r="C27" s="72" t="n">
        <f aca="false">C26+C25+輸入與假設!C$33</f>
        <v>11.0494944849016</v>
      </c>
      <c r="D27" s="39" t="n">
        <f aca="false">D26+D25+輸入與假設!D$33</f>
        <v>20.1998592826102</v>
      </c>
      <c r="E27" s="39" t="n">
        <f aca="false">E26+E25+輸入與假設!E$33</f>
        <v>32.8186505164409</v>
      </c>
      <c r="F27" s="39" t="n">
        <f aca="false">F26+F25+輸入與假設!F$33</f>
        <v>47.8875710924931</v>
      </c>
      <c r="G27" s="39" t="n">
        <f aca="false">G26+G25+輸入與假設!G$33</f>
        <v>66.3861150748784</v>
      </c>
      <c r="I27" s="12" t="s">
        <v>1084</v>
      </c>
    </row>
    <row r="28" customFormat="false" ht="15" hidden="false" customHeight="false" outlineLevel="0" collapsed="false">
      <c r="A28" s="52" t="s">
        <v>1085</v>
      </c>
      <c r="B28" s="9"/>
      <c r="C28" s="9"/>
      <c r="D28" s="9"/>
      <c r="E28" s="9"/>
      <c r="F28" s="9"/>
      <c r="G28" s="9"/>
      <c r="H28" s="9"/>
    </row>
    <row r="29" customFormat="false" ht="15" hidden="false" customHeight="false" outlineLevel="1" collapsed="false">
      <c r="A29" s="3" t="s">
        <v>224</v>
      </c>
      <c r="B29" s="12" t="s">
        <v>77</v>
      </c>
      <c r="C29" s="53" t="n">
        <f aca="false">輸入與假設!C$31</f>
        <v>0.005</v>
      </c>
      <c r="D29" s="53" t="n">
        <f aca="false">輸入與假設!D$31</f>
        <v>0.01</v>
      </c>
      <c r="E29" s="53" t="n">
        <f aca="false">輸入與假設!E$31</f>
        <v>0.015</v>
      </c>
      <c r="F29" s="53" t="n">
        <f aca="false">輸入與假設!F$31</f>
        <v>0.02</v>
      </c>
      <c r="G29" s="53" t="n">
        <f aca="false">輸入與假設!G$31</f>
        <v>0.025</v>
      </c>
    </row>
    <row r="30" customFormat="false" ht="15" hidden="false" customHeight="false" outlineLevel="1" collapsed="false">
      <c r="A30" s="3" t="s">
        <v>226</v>
      </c>
      <c r="B30" s="12" t="s">
        <v>77</v>
      </c>
      <c r="C30" s="53" t="n">
        <f aca="false">輸入與假設!C$32</f>
        <v>0.5</v>
      </c>
      <c r="D30" s="53" t="n">
        <f aca="false">輸入與假設!D$32</f>
        <v>0.5</v>
      </c>
      <c r="E30" s="53" t="n">
        <f aca="false">輸入與假設!E$32</f>
        <v>0.5</v>
      </c>
      <c r="F30" s="53" t="n">
        <f aca="false">輸入與假設!F$32</f>
        <v>0.5</v>
      </c>
      <c r="G30" s="53" t="n">
        <f aca="false">輸入與假設!G$32</f>
        <v>0.5</v>
      </c>
    </row>
    <row r="31" customFormat="false" ht="15" hidden="false" customHeight="false" outlineLevel="1" collapsed="false">
      <c r="A31" s="3" t="s">
        <v>1086</v>
      </c>
      <c r="B31" s="12" t="s">
        <v>93</v>
      </c>
      <c r="C31" s="68" t="n">
        <f aca="false">C20*輸入與假設!C$31*(1-輸入與假設!C$32)</f>
        <v>0.0152412362122539</v>
      </c>
      <c r="D31" s="68" t="n">
        <f aca="false">D20*輸入與假設!D$31*(1-輸入與假設!D$32)</f>
        <v>0.0959992964130511</v>
      </c>
      <c r="E31" s="68" t="n">
        <f aca="false">E20*輸入與假設!E$31*(1-輸入與假設!E$32)</f>
        <v>0.19305</v>
      </c>
      <c r="F31" s="68" t="n">
        <f aca="false">F20*輸入與假設!F$31*(1-輸入與假設!F$32)</f>
        <v>0.250965</v>
      </c>
      <c r="G31" s="68" t="n">
        <f aca="false">G20*輸入與假設!G$31*(1-輸入與假設!G$32)</f>
        <v>0.221203125</v>
      </c>
      <c r="I31" s="7" t="s">
        <v>1087</v>
      </c>
    </row>
    <row r="32" customFormat="false" ht="15" hidden="false" customHeight="false" outlineLevel="1" collapsed="false">
      <c r="A32" s="3" t="s">
        <v>1088</v>
      </c>
      <c r="B32" s="12" t="s">
        <v>93</v>
      </c>
      <c r="C32" s="68" t="n">
        <f aca="false">C20-C31</f>
        <v>6.0812532486893</v>
      </c>
      <c r="D32" s="68" t="n">
        <f aca="false">D20-D31</f>
        <v>19.1038599861972</v>
      </c>
      <c r="E32" s="68" t="n">
        <f aca="false">E20-E31</f>
        <v>25.54695</v>
      </c>
      <c r="F32" s="68" t="n">
        <f aca="false">F20-F31</f>
        <v>24.845535</v>
      </c>
      <c r="G32" s="68" t="n">
        <f aca="false">G20-G31</f>
        <v>17.475046875</v>
      </c>
    </row>
    <row r="33" customFormat="false" ht="15" hidden="false" customHeight="false" outlineLevel="1" collapsed="false">
      <c r="A33" s="4" t="s">
        <v>1089</v>
      </c>
      <c r="B33" s="12" t="s">
        <v>77</v>
      </c>
      <c r="C33" s="53" t="n">
        <f aca="false">輸入與假設!C$97</f>
        <v>0.46171741522123</v>
      </c>
      <c r="D33" s="53" t="n">
        <f aca="false">輸入與假設!D$97</f>
        <v>0.485863913960979</v>
      </c>
      <c r="E33" s="53" t="n">
        <f aca="false">輸入與假設!E$97</f>
        <v>0.562658763299117</v>
      </c>
      <c r="F33" s="53" t="n">
        <f aca="false">輸入與假設!F$97</f>
        <v>0.633192723864468</v>
      </c>
      <c r="G33" s="53" t="n">
        <f aca="false">輸入與假設!G$97</f>
        <v>0.690187115804694</v>
      </c>
      <c r="I33" s="7" t="s">
        <v>1090</v>
      </c>
    </row>
    <row r="34" customFormat="false" ht="15" hidden="false" customHeight="false" outlineLevel="1" collapsed="false">
      <c r="A34" s="3" t="s">
        <v>1091</v>
      </c>
      <c r="B34" s="12" t="s">
        <v>93</v>
      </c>
      <c r="C34" s="68" t="n">
        <f aca="false">C25+輸入與假設!C$33</f>
        <v>6.39649448490155</v>
      </c>
      <c r="D34" s="68" t="n">
        <f aca="false">D25+輸入與假設!D$33</f>
        <v>20.1998592826102</v>
      </c>
      <c r="E34" s="68" t="n">
        <f aca="false">E25+輸入與假設!E$33</f>
        <v>32.8186505164409</v>
      </c>
      <c r="F34" s="68" t="n">
        <f aca="false">F25+輸入與假設!F$33</f>
        <v>47.8875710924931</v>
      </c>
      <c r="G34" s="68" t="n">
        <f aca="false">G25+輸入與假設!G$33</f>
        <v>66.3861150748784</v>
      </c>
    </row>
    <row r="35" customFormat="false" ht="15" hidden="false" customHeight="false" outlineLevel="1" collapsed="false">
      <c r="A35" s="4" t="s">
        <v>1092</v>
      </c>
      <c r="B35" s="12" t="s">
        <v>77</v>
      </c>
      <c r="C35" s="73" t="n">
        <f aca="false">輸入與假設!C$97+各期收支!C12/MAX(0.01,C34)</f>
        <v>0.671207160450116</v>
      </c>
      <c r="D35" s="73" t="n">
        <f aca="false">輸入與假設!D$97+各期收支!D12/MAX(0.01,D34)</f>
        <v>0.680865272380888</v>
      </c>
      <c r="E35" s="73" t="n">
        <f aca="false">輸入與假設!E$97+各期收支!E12/MAX(0.01,E34)</f>
        <v>0.706642588482376</v>
      </c>
      <c r="F35" s="73" t="n">
        <f aca="false">輸入與假設!F$97+各期收支!F12/MAX(0.01,F34)</f>
        <v>0.740172465854412</v>
      </c>
      <c r="G35" s="73" t="n">
        <f aca="false">輸入與假設!G$97+各期收支!G12/MAX(0.01,G34)</f>
        <v>0.768374225499002</v>
      </c>
      <c r="I35" s="7" t="s">
        <v>1093</v>
      </c>
    </row>
    <row r="36" customFormat="false" ht="15" hidden="false" customHeight="false" outlineLevel="1" collapsed="false">
      <c r="A36" s="4" t="s">
        <v>1094</v>
      </c>
      <c r="B36" s="12" t="s">
        <v>93</v>
      </c>
      <c r="C36" s="39" t="n">
        <f aca="false">C32*C35</f>
        <v>4.08178072503079</v>
      </c>
      <c r="D36" s="39" t="n">
        <f aca="false">D32*D35</f>
        <v>13.0071548330285</v>
      </c>
      <c r="E36" s="39" t="n">
        <f aca="false">E32*E35</f>
        <v>18.0525628758298</v>
      </c>
      <c r="F36" s="39" t="n">
        <f aca="false">F32*F35</f>
        <v>18.3899809064221</v>
      </c>
      <c r="G36" s="39" t="n">
        <f aca="false">G32*G35</f>
        <v>13.4273756081369</v>
      </c>
      <c r="I36" s="12" t="s">
        <v>1095</v>
      </c>
    </row>
    <row r="37" customFormat="false" ht="15" hidden="false" customHeight="false" outlineLevel="1" collapsed="false">
      <c r="A37" s="3" t="s">
        <v>1096</v>
      </c>
      <c r="B37" s="12" t="s">
        <v>93</v>
      </c>
      <c r="C37" s="68" t="n">
        <f aca="false">C23*(1-輸入與假設!C$31*(1-輸入與假設!C$32))*C35</f>
        <v>0</v>
      </c>
      <c r="D37" s="68" t="n">
        <f aca="false">D23*(1-輸入與假設!D$31*(1-輸入與假設!D$32))*D35</f>
        <v>0</v>
      </c>
      <c r="E37" s="68" t="n">
        <f aca="false">E23*(1-輸入與假設!E$31*(1-輸入與假設!E$32))*E35</f>
        <v>3.7021433701469</v>
      </c>
      <c r="F37" s="68" t="n">
        <f aca="false">F23*(1-輸入與假設!F$31*(1-輸入與假設!F$32))*F35</f>
        <v>14.6488719817455</v>
      </c>
      <c r="G37" s="68" t="n">
        <f aca="false">G23*(1-輸入與假設!G$31*(1-輸入與假設!G$32))*G35</f>
        <v>34.0610626182935</v>
      </c>
      <c r="I37" s="7" t="s">
        <v>1097</v>
      </c>
    </row>
    <row r="38" customFormat="false" ht="15" hidden="false" customHeight="false" outlineLevel="1" collapsed="false"/>
    <row r="39" customFormat="false" ht="15" hidden="false" customHeight="false" outlineLevel="1" collapsed="false">
      <c r="A39" s="2" t="s">
        <v>1098</v>
      </c>
    </row>
    <row r="40" customFormat="false" ht="15" hidden="false" customHeight="false" outlineLevel="1" collapsed="false">
      <c r="A40" s="7" t="s">
        <v>1099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5C61"/>
    <outlinePr summaryBelow="0" summaryRight="1"/>
    <pageSetUpPr fitToPage="false"/>
  </sheetPr>
  <dimension ref="A1:K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30"/>
    <col collapsed="false" customWidth="true" hidden="false" outlineLevel="0" max="2" min="2" style="0" width="18"/>
    <col collapsed="false" customWidth="true" hidden="false" outlineLevel="0" max="4" min="3" style="0" width="10"/>
    <col collapsed="false" customWidth="true" hidden="false" outlineLevel="0" max="5" min="5" style="0" width="12"/>
    <col collapsed="false" customWidth="true" hidden="false" outlineLevel="0" max="6" min="6" style="0" width="8"/>
    <col collapsed="false" customWidth="true" hidden="false" outlineLevel="0" max="8" min="7" style="0" width="12"/>
    <col collapsed="false" customWidth="true" hidden="false" outlineLevel="0" max="9" min="9" style="0" width="18"/>
    <col collapsed="false" customWidth="true" hidden="false" outlineLevel="0" max="10" min="10" style="0" width="26"/>
    <col collapsed="false" customWidth="true" hidden="false" outlineLevel="0" max="11" min="11" style="0" width="60"/>
  </cols>
  <sheetData>
    <row r="1" customFormat="false" ht="21.6" hidden="false" customHeight="false" outlineLevel="0" collapsed="false">
      <c r="A1" s="6" t="s">
        <v>1100</v>
      </c>
    </row>
    <row r="2" customFormat="false" ht="15" hidden="false" customHeight="false" outlineLevel="0" collapsed="false">
      <c r="A2" s="12" t="s">
        <v>1101</v>
      </c>
    </row>
    <row r="4" customFormat="false" ht="17.15" hidden="false" customHeight="false" outlineLevel="0" collapsed="false">
      <c r="A4" s="15" t="s">
        <v>1102</v>
      </c>
      <c r="B4" s="15" t="s">
        <v>1103</v>
      </c>
      <c r="C4" s="15" t="s">
        <v>1104</v>
      </c>
      <c r="D4" s="15" t="s">
        <v>1105</v>
      </c>
      <c r="E4" s="15" t="s">
        <v>1106</v>
      </c>
      <c r="F4" s="15" t="s">
        <v>1107</v>
      </c>
      <c r="G4" s="15" t="s">
        <v>1108</v>
      </c>
      <c r="H4" s="15" t="s">
        <v>1109</v>
      </c>
      <c r="I4" s="15" t="s">
        <v>1110</v>
      </c>
      <c r="J4" s="16" t="s">
        <v>1111</v>
      </c>
      <c r="K4" s="15" t="s">
        <v>607</v>
      </c>
    </row>
    <row r="5" customFormat="false" ht="15" hidden="false" customHeight="false" outlineLevel="0" collapsed="false">
      <c r="A5" s="4" t="s">
        <v>1112</v>
      </c>
      <c r="B5" s="12" t="s">
        <v>1113</v>
      </c>
      <c r="C5" s="22" t="n">
        <v>526</v>
      </c>
      <c r="D5" s="22" t="n">
        <v>133</v>
      </c>
      <c r="E5" s="37" t="n">
        <v>15</v>
      </c>
      <c r="F5" s="22" t="n">
        <v>15</v>
      </c>
      <c r="G5" s="60" t="n">
        <f aca="false">E5/F5</f>
        <v>1</v>
      </c>
      <c r="H5" s="60" t="n">
        <f aca="false">G5/C5*1000</f>
        <v>1.90114068441065</v>
      </c>
      <c r="I5" s="12" t="s">
        <v>1114</v>
      </c>
      <c r="J5" s="7" t="s">
        <v>1115</v>
      </c>
      <c r="K5" s="12" t="s">
        <v>1116</v>
      </c>
    </row>
    <row r="6" customFormat="false" ht="15" hidden="false" customHeight="false" outlineLevel="0" collapsed="false">
      <c r="A6" s="4" t="s">
        <v>1117</v>
      </c>
      <c r="B6" s="12" t="s">
        <v>1118</v>
      </c>
      <c r="C6" s="22" t="n">
        <v>400</v>
      </c>
      <c r="D6" s="22" t="n">
        <v>250</v>
      </c>
      <c r="E6" s="37" t="n">
        <v>11</v>
      </c>
      <c r="F6" s="22" t="n">
        <v>15</v>
      </c>
      <c r="G6" s="60" t="n">
        <f aca="false">E6/F6</f>
        <v>0.733333333333333</v>
      </c>
      <c r="H6" s="60" t="n">
        <f aca="false">G6/C6*1000</f>
        <v>1.83333333333333</v>
      </c>
      <c r="I6" s="12" t="s">
        <v>1119</v>
      </c>
      <c r="J6" s="7" t="s">
        <v>1120</v>
      </c>
      <c r="K6" s="12" t="s">
        <v>1121</v>
      </c>
    </row>
    <row r="7" customFormat="false" ht="15" hidden="false" customHeight="false" outlineLevel="0" collapsed="false">
      <c r="A7" s="4" t="s">
        <v>1122</v>
      </c>
      <c r="B7" s="12" t="s">
        <v>1123</v>
      </c>
      <c r="C7" s="22" t="n">
        <v>590</v>
      </c>
      <c r="D7" s="22" t="n">
        <v>250</v>
      </c>
      <c r="E7" s="37" t="n">
        <v>10.2</v>
      </c>
      <c r="F7" s="22" t="n">
        <v>12</v>
      </c>
      <c r="G7" s="60" t="n">
        <f aca="false">E7/F7</f>
        <v>0.85</v>
      </c>
      <c r="H7" s="60" t="n">
        <f aca="false">G7/C7*1000</f>
        <v>1.4406779661017</v>
      </c>
      <c r="I7" s="12" t="s">
        <v>1124</v>
      </c>
      <c r="J7" s="7" t="s">
        <v>1125</v>
      </c>
      <c r="K7" s="12" t="s">
        <v>1126</v>
      </c>
    </row>
    <row r="8" customFormat="false" ht="15" hidden="false" customHeight="false" outlineLevel="0" collapsed="false">
      <c r="A8" s="4" t="s">
        <v>1127</v>
      </c>
      <c r="B8" s="12" t="s">
        <v>1128</v>
      </c>
      <c r="C8" s="74" t="s">
        <v>1129</v>
      </c>
      <c r="D8" s="22" t="n">
        <v>0</v>
      </c>
      <c r="E8" s="74" t="s">
        <v>1129</v>
      </c>
      <c r="F8" s="22" t="n">
        <v>15</v>
      </c>
      <c r="I8" s="7" t="s">
        <v>1130</v>
      </c>
      <c r="J8" s="12" t="s">
        <v>1131</v>
      </c>
      <c r="K8" s="12" t="s">
        <v>1132</v>
      </c>
    </row>
    <row r="9" customFormat="false" ht="15" hidden="false" customHeight="false" outlineLevel="0" collapsed="false">
      <c r="A9" s="2" t="s">
        <v>1133</v>
      </c>
      <c r="C9" s="75" t="n">
        <f aca="false">SUM(C5:C8)</f>
        <v>1516</v>
      </c>
      <c r="D9" s="75" t="n">
        <f aca="false">SUM(D5:D8)</f>
        <v>633</v>
      </c>
      <c r="E9" s="59" t="n">
        <f aca="false">SUM(E5:E8)</f>
        <v>36.2</v>
      </c>
      <c r="G9" s="59" t="n">
        <f aca="false">SUM(G5:G8)</f>
        <v>2.58333333333333</v>
      </c>
      <c r="H9" s="76" t="n">
        <f aca="false">G9/C9*1000</f>
        <v>1.70404573438874</v>
      </c>
      <c r="K9" s="7" t="s">
        <v>1134</v>
      </c>
    </row>
    <row r="11" customFormat="false" ht="15" hidden="false" customHeight="false" outlineLevel="0" collapsed="false">
      <c r="A11" s="52" t="s">
        <v>1135</v>
      </c>
      <c r="B11" s="9"/>
      <c r="C11" s="9"/>
      <c r="D11" s="9"/>
      <c r="E11" s="9"/>
      <c r="F11" s="9"/>
      <c r="G11" s="9"/>
      <c r="H11" s="9"/>
      <c r="I11" s="9"/>
      <c r="J11" s="9"/>
      <c r="K11" s="9"/>
    </row>
    <row r="12" customFormat="false" ht="15" hidden="false" customHeight="false" outlineLevel="1" collapsed="false">
      <c r="A12" s="4" t="s">
        <v>1136</v>
      </c>
      <c r="E12" s="24" t="n">
        <v>29.37</v>
      </c>
      <c r="K12" s="7" t="s">
        <v>1137</v>
      </c>
    </row>
    <row r="13" customFormat="false" ht="15" hidden="false" customHeight="false" outlineLevel="1" collapsed="false">
      <c r="A13" s="4" t="s">
        <v>1138</v>
      </c>
      <c r="E13" s="24" t="n">
        <v>35.5</v>
      </c>
      <c r="K13" s="12" t="s">
        <v>1139</v>
      </c>
    </row>
    <row r="14" customFormat="false" ht="15" hidden="false" customHeight="false" outlineLevel="1" collapsed="false">
      <c r="A14" s="4" t="s">
        <v>1140</v>
      </c>
      <c r="E14" s="24" t="n">
        <v>14.7</v>
      </c>
      <c r="K14" s="7" t="s">
        <v>1141</v>
      </c>
    </row>
    <row r="15" customFormat="false" ht="15" hidden="false" customHeight="false" outlineLevel="1" collapsed="false">
      <c r="A15" s="5" t="s">
        <v>1142</v>
      </c>
      <c r="E15" s="59" t="n">
        <f aca="false">SUM(E12:E14)</f>
        <v>79.57</v>
      </c>
      <c r="K15" s="7" t="s">
        <v>1143</v>
      </c>
    </row>
    <row r="16" customFormat="false" ht="15" hidden="false" customHeight="false" outlineLevel="1" collapsed="false">
      <c r="A16" s="3" t="s">
        <v>1144</v>
      </c>
      <c r="E16" s="58" t="n">
        <f aca="false">-E9</f>
        <v>-36.2</v>
      </c>
    </row>
    <row r="17" customFormat="false" ht="15" hidden="false" customHeight="false" outlineLevel="1" collapsed="false">
      <c r="A17" s="2" t="s">
        <v>1145</v>
      </c>
      <c r="E17" s="59" t="n">
        <f aca="false">E15+E16</f>
        <v>43.37</v>
      </c>
      <c r="K17" s="12" t="s">
        <v>1146</v>
      </c>
    </row>
    <row r="18" customFormat="false" ht="15" hidden="false" customHeight="false" outlineLevel="1" collapsed="false">
      <c r="A18" s="3" t="s">
        <v>1147</v>
      </c>
      <c r="E18" s="28" t="n">
        <f aca="false">E17/E15</f>
        <v>0.545054668845042</v>
      </c>
    </row>
    <row r="20" customFormat="false" ht="15" hidden="false" customHeight="false" outlineLevel="0" collapsed="false">
      <c r="A20" s="52" t="s">
        <v>1148</v>
      </c>
      <c r="B20" s="9"/>
      <c r="C20" s="9"/>
      <c r="D20" s="9"/>
      <c r="E20" s="9"/>
      <c r="F20" s="9"/>
      <c r="G20" s="9"/>
      <c r="H20" s="9"/>
      <c r="I20" s="9"/>
      <c r="J20" s="9"/>
      <c r="K20" s="9"/>
    </row>
    <row r="21" customFormat="false" ht="15" hidden="false" customHeight="false" outlineLevel="1" collapsed="false">
      <c r="A21" s="15" t="s">
        <v>87</v>
      </c>
      <c r="B21" s="15" t="s">
        <v>88</v>
      </c>
      <c r="C21" s="16" t="s">
        <v>89</v>
      </c>
      <c r="D21" s="16" t="s">
        <v>90</v>
      </c>
      <c r="E21" s="16" t="s">
        <v>91</v>
      </c>
      <c r="F21" s="16" t="s">
        <v>175</v>
      </c>
      <c r="G21" s="16" t="s">
        <v>176</v>
      </c>
    </row>
    <row r="22" customFormat="false" ht="15" hidden="false" customHeight="false" outlineLevel="1" collapsed="false">
      <c r="A22" s="3" t="s">
        <v>1149</v>
      </c>
      <c r="B22" s="12" t="s">
        <v>93</v>
      </c>
      <c r="C22" s="68" t="n">
        <f aca="false">各期收支!C12</f>
        <v>1.34</v>
      </c>
      <c r="D22" s="68" t="n">
        <f aca="false">各期收支!D12</f>
        <v>3.939</v>
      </c>
      <c r="E22" s="68" t="n">
        <f aca="false">各期收支!E12</f>
        <v>4.72535483870968</v>
      </c>
      <c r="F22" s="68" t="n">
        <f aca="false">各期收支!F12</f>
        <v>5.123</v>
      </c>
      <c r="G22" s="68" t="n">
        <f aca="false">各期收支!G12</f>
        <v>5.19053846153846</v>
      </c>
    </row>
    <row r="23" customFormat="false" ht="15" hidden="false" customHeight="false" outlineLevel="1" collapsed="false">
      <c r="A23" s="3" t="s">
        <v>1150</v>
      </c>
      <c r="B23" s="12" t="s">
        <v>179</v>
      </c>
      <c r="C23" s="70" t="n">
        <f aca="false">(輸入與假設!C$139+輸入與假設!C$26)/2</f>
        <v>1350</v>
      </c>
      <c r="D23" s="70" t="n">
        <f aca="false">(輸入與假設!D$139+輸入與假設!D$26)/2</f>
        <v>2475</v>
      </c>
      <c r="E23" s="70" t="n">
        <f aca="false">(輸入與假設!E$139+輸入與假設!E$26)/2</f>
        <v>3550</v>
      </c>
      <c r="F23" s="70" t="n">
        <f aca="false">(輸入與假設!F$139+輸入與假設!F$26)/2</f>
        <v>4400</v>
      </c>
      <c r="G23" s="70" t="n">
        <f aca="false">(輸入與假設!G$139+輸入與假設!G$26)/2</f>
        <v>5200</v>
      </c>
    </row>
    <row r="24" customFormat="false" ht="15" hidden="false" customHeight="false" outlineLevel="1" collapsed="false">
      <c r="A24" s="3" t="s">
        <v>209</v>
      </c>
      <c r="B24" s="7" t="s">
        <v>378</v>
      </c>
      <c r="C24" s="68" t="n">
        <f aca="false">輸入與假設!C$24</f>
        <v>0.5</v>
      </c>
      <c r="D24" s="68" t="n">
        <f aca="false">輸入與假設!D$24</f>
        <v>1</v>
      </c>
      <c r="E24" s="68" t="n">
        <f aca="false">輸入與假設!E$24</f>
        <v>1</v>
      </c>
      <c r="F24" s="68" t="n">
        <f aca="false">輸入與假設!F$24</f>
        <v>1</v>
      </c>
      <c r="G24" s="68" t="n">
        <f aca="false">輸入與假設!G$24</f>
        <v>1</v>
      </c>
    </row>
    <row r="25" customFormat="false" ht="15" hidden="false" customHeight="false" outlineLevel="1" collapsed="false">
      <c r="A25" s="2" t="s">
        <v>1151</v>
      </c>
      <c r="B25" s="12" t="s">
        <v>345</v>
      </c>
      <c r="C25" s="39" t="n">
        <f aca="false">C22/C24/C23*1000</f>
        <v>1.98518518518519</v>
      </c>
      <c r="D25" s="39" t="n">
        <f aca="false">D22/D24/D23*1000</f>
        <v>1.59151515151515</v>
      </c>
      <c r="E25" s="39" t="n">
        <f aca="false">E22/E24/E23*1000</f>
        <v>1.33108587005906</v>
      </c>
      <c r="F25" s="39" t="n">
        <f aca="false">F22/F24/F23*1000</f>
        <v>1.16431818181818</v>
      </c>
      <c r="G25" s="39" t="n">
        <f aca="false">G22/G24/G23*1000</f>
        <v>0.998180473372781</v>
      </c>
      <c r="K25" s="12" t="s">
        <v>1152</v>
      </c>
    </row>
    <row r="26" customFormat="false" ht="15" hidden="false" customHeight="false" outlineLevel="1" collapsed="false">
      <c r="A26" s="3" t="s">
        <v>1153</v>
      </c>
      <c r="C26" s="23" t="n">
        <v>0.85</v>
      </c>
      <c r="K26" s="7" t="s">
        <v>1154</v>
      </c>
    </row>
    <row r="27" customFormat="false" ht="15" hidden="false" customHeight="false" outlineLevel="1" collapsed="false">
      <c r="A27" s="3" t="s">
        <v>1155</v>
      </c>
      <c r="B27" s="12" t="s">
        <v>93</v>
      </c>
      <c r="C27" s="68" t="n">
        <f aca="false">C23*運營_站點!$H$9/1000*$C$26*C24</f>
        <v>0.977696240105541</v>
      </c>
      <c r="D27" s="68" t="n">
        <f aca="false">D23*運營_站點!$H$9/1000*$C$26*D24</f>
        <v>3.58488621372032</v>
      </c>
      <c r="E27" s="68" t="n">
        <f aca="false">E23*運營_站點!$H$9/1000*$C$26*E24</f>
        <v>5.14195800351803</v>
      </c>
      <c r="F27" s="68" t="n">
        <f aca="false">F23*運營_站點!$H$9/1000*$C$26*F24</f>
        <v>6.3731310466139</v>
      </c>
      <c r="G27" s="68" t="n">
        <f aca="false">G23*運營_站點!$H$9/1000*$C$26*G24</f>
        <v>7.53188214599824</v>
      </c>
      <c r="K27" s="7" t="s">
        <v>1156</v>
      </c>
    </row>
    <row r="28" customFormat="false" ht="15" hidden="false" customHeight="false" outlineLevel="1" collapsed="false">
      <c r="A28" s="2" t="s">
        <v>1157</v>
      </c>
      <c r="B28" s="12" t="s">
        <v>93</v>
      </c>
      <c r="C28" s="39" t="n">
        <f aca="false">C27-C22</f>
        <v>-0.362303759894459</v>
      </c>
      <c r="D28" s="39" t="n">
        <f aca="false">D27-D22</f>
        <v>-0.354113786279684</v>
      </c>
      <c r="E28" s="39" t="n">
        <f aca="false">E27-E22</f>
        <v>0.416603164808353</v>
      </c>
      <c r="F28" s="39" t="n">
        <f aca="false">F27-F22</f>
        <v>1.2501310466139</v>
      </c>
      <c r="G28" s="39" t="n">
        <f aca="false">G27-G22</f>
        <v>2.34134368445978</v>
      </c>
      <c r="K28" s="7" t="s">
        <v>1158</v>
      </c>
    </row>
    <row r="29" customFormat="false" ht="15" hidden="false" customHeight="false" outlineLevel="1" collapsed="false">
      <c r="A29" s="2" t="s">
        <v>1159</v>
      </c>
      <c r="C29" s="76" t="n">
        <f aca="false">SUM(C28:G28)</f>
        <v>3.29166034970789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5C61"/>
    <outlinePr summaryBelow="0" summaryRight="1"/>
    <pageSetUpPr fitToPage="false"/>
  </sheetPr>
  <dimension ref="A1:I18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2" outlineLevelCol="0"/>
  <cols>
    <col collapsed="false" customWidth="true" hidden="false" outlineLevel="0" max="1" min="1" style="0" width="52"/>
    <col collapsed="false" customWidth="true" hidden="false" outlineLevel="0" max="2" min="2" style="0" width="14"/>
    <col collapsed="false" customWidth="true" hidden="false" outlineLevel="0" max="7" min="3" style="0" width="13"/>
    <col collapsed="false" customWidth="true" hidden="false" outlineLevel="0" max="9" min="9" style="0" width="96"/>
  </cols>
  <sheetData>
    <row r="1" customFormat="false" ht="21.6" hidden="false" customHeight="false" outlineLevel="0" collapsed="false">
      <c r="A1" s="6" t="s">
        <v>1160</v>
      </c>
    </row>
    <row r="2" customFormat="false" ht="15" hidden="false" customHeight="false" outlineLevel="0" collapsed="false">
      <c r="A2" s="7" t="s">
        <v>1161</v>
      </c>
    </row>
    <row r="4" customFormat="false" ht="15" hidden="false" customHeight="false" outlineLevel="0" collapsed="false">
      <c r="A4" s="15" t="s">
        <v>87</v>
      </c>
      <c r="B4" s="15" t="s">
        <v>88</v>
      </c>
      <c r="C4" s="27" t="s">
        <v>89</v>
      </c>
      <c r="D4" s="27" t="s">
        <v>90</v>
      </c>
      <c r="E4" s="27" t="s">
        <v>91</v>
      </c>
      <c r="F4" s="27" t="s">
        <v>175</v>
      </c>
      <c r="G4" s="27" t="s">
        <v>176</v>
      </c>
      <c r="I4" s="15" t="s">
        <v>744</v>
      </c>
    </row>
    <row r="5" customFormat="false" ht="15" hidden="false" customHeight="false" outlineLevel="0" collapsed="false">
      <c r="A5" s="52" t="s">
        <v>1162</v>
      </c>
      <c r="B5" s="9"/>
      <c r="C5" s="9"/>
      <c r="D5" s="9"/>
      <c r="E5" s="9"/>
      <c r="F5" s="9"/>
      <c r="G5" s="9"/>
      <c r="H5" s="9"/>
    </row>
    <row r="6" customFormat="false" ht="15" hidden="false" customHeight="false" outlineLevel="1" collapsed="false">
      <c r="A6" s="3" t="s">
        <v>1163</v>
      </c>
      <c r="B6" s="12" t="s">
        <v>179</v>
      </c>
      <c r="C6" s="70" t="n">
        <f aca="false">IF(輸入與假設!$C$37=2,C50/SUMPRODUCT(C51:C55,輸入與假設!$E$65:$E$69),C50)</f>
        <v>1675</v>
      </c>
      <c r="D6" s="70" t="n">
        <f aca="false">IF(輸入與假設!$C$37=2,D50/SUMPRODUCT(D51:D55,輸入與假設!$E$65:$E$69),D50)</f>
        <v>2475</v>
      </c>
      <c r="E6" s="70" t="n">
        <f aca="false">IF(輸入與假設!$C$37=2,E50/SUMPRODUCT(E51:E55,輸入與假設!$E$65:$E$69),E50)</f>
        <v>3550</v>
      </c>
      <c r="F6" s="70" t="n">
        <f aca="false">IF(輸入與假設!$C$37=2,F50/SUMPRODUCT(F51:F55,輸入與假設!$E$65:$E$69),F50)</f>
        <v>4400</v>
      </c>
      <c r="G6" s="70" t="n">
        <f aca="false">IF(輸入與假設!$C$37=2,G50/SUMPRODUCT(G51:G55,輸入與假設!$E$65:$E$69),G50)</f>
        <v>5200</v>
      </c>
      <c r="I6" s="7" t="s">
        <v>1164</v>
      </c>
    </row>
    <row r="7" customFormat="false" ht="15" hidden="false" customHeight="false" outlineLevel="1" collapsed="false">
      <c r="A7" s="3" t="s">
        <v>1165</v>
      </c>
      <c r="B7" s="12" t="s">
        <v>179</v>
      </c>
      <c r="C7" s="70" t="n">
        <f aca="false">IF(輸入與假設!$C$37=2,C50/SUMPRODUCT(C51:C55,輸入與假設!$E$65:$E$69),C50)*SUMPRODUCT(C51:C55,輸入與假設!$E$65:$E$69)</f>
        <v>2010</v>
      </c>
      <c r="D7" s="70" t="n">
        <f aca="false">IF(輸入與假設!$C$37=2,D50/SUMPRODUCT(D51:D55,輸入與假設!$E$65:$E$69),D50)*SUMPRODUCT(D51:D55,輸入與假設!$E$65:$E$69)</f>
        <v>2970</v>
      </c>
      <c r="E7" s="70" t="n">
        <f aca="false">IF(輸入與假設!$C$37=2,E50/SUMPRODUCT(E51:E55,輸入與假設!$E$65:$E$69),E50)*SUMPRODUCT(E51:E55,輸入與假設!$E$65:$E$69)</f>
        <v>4260</v>
      </c>
      <c r="F7" s="70" t="n">
        <f aca="false">IF(輸入與假設!$C$37=2,F50/SUMPRODUCT(F51:F55,輸入與假設!$E$65:$E$69),F50)*SUMPRODUCT(F51:F55,輸入與假設!$E$65:$E$69)</f>
        <v>5280</v>
      </c>
      <c r="G7" s="70" t="n">
        <f aca="false">IF(輸入與假設!$C$37=2,G50/SUMPRODUCT(G51:G55,輸入與假設!$E$65:$E$69),G50)*SUMPRODUCT(G51:G55,輸入與假設!$E$65:$E$69)</f>
        <v>6240</v>
      </c>
      <c r="I7" s="12" t="s">
        <v>1166</v>
      </c>
    </row>
    <row r="8" customFormat="false" ht="15" hidden="false" customHeight="false" outlineLevel="1" collapsed="false">
      <c r="A8" s="2" t="s">
        <v>1167</v>
      </c>
      <c r="B8" s="12" t="s">
        <v>345</v>
      </c>
      <c r="C8" s="68" t="n">
        <f aca="false">運營_產能與收入!C34/MAX(0.000000001,C50)/輸入與假設!C$24*1000</f>
        <v>7.63760535510633</v>
      </c>
      <c r="D8" s="68" t="n">
        <f aca="false">運營_產能與收入!D34/MAX(0.000000001,D50)/輸入與假設!D$24*1000</f>
        <v>8.16155930610514</v>
      </c>
      <c r="E8" s="68" t="n">
        <f aca="false">運營_產能與收入!E34/MAX(0.000000001,E50)/輸入與假設!E$24*1000</f>
        <v>9.24469028632138</v>
      </c>
      <c r="F8" s="68" t="n">
        <f aca="false">運營_產能與收入!F34/MAX(0.000000001,F50)/輸入與假設!F$24*1000</f>
        <v>10.8835388846575</v>
      </c>
      <c r="G8" s="68" t="n">
        <f aca="false">運營_產能與收入!G34/MAX(0.000000001,G50)/輸入與假設!G$24*1000</f>
        <v>12.7665605913228</v>
      </c>
      <c r="I8" s="7" t="s">
        <v>1168</v>
      </c>
    </row>
    <row r="9" customFormat="false" ht="15" hidden="false" customHeight="false" outlineLevel="1" collapsed="false">
      <c r="A9" s="3" t="s">
        <v>1169</v>
      </c>
      <c r="B9" s="12" t="s">
        <v>345</v>
      </c>
      <c r="C9" s="68" t="n">
        <f aca="false">運營_產能與收入!C25/MAX(0.000000001,C50)/輸入與假設!C$24*1000</f>
        <v>7.27939639988245</v>
      </c>
      <c r="D9" s="68" t="n">
        <f aca="false">運營_產能與收入!D25/MAX(0.000000001,D50)/輸入與假設!D$24*1000</f>
        <v>7.75751890206473</v>
      </c>
      <c r="E9" s="68" t="n">
        <f aca="false">運營_產能與收入!E25/MAX(0.000000001,E50)/輸入與假設!E$24*1000</f>
        <v>8.73764803280026</v>
      </c>
      <c r="F9" s="68" t="n">
        <f aca="false">運營_產能與收入!F25/MAX(0.000000001,F50)/輸入與假設!F$24*1000</f>
        <v>10.2471752482939</v>
      </c>
      <c r="G9" s="68" t="n">
        <f aca="false">運營_產能與收入!G25/MAX(0.000000001,G50)/輸入與假設!G$24*1000</f>
        <v>12.0357913605535</v>
      </c>
    </row>
    <row r="10" customFormat="false" ht="15" hidden="false" customHeight="false" outlineLevel="1" collapsed="false">
      <c r="A10" s="3" t="s">
        <v>291</v>
      </c>
      <c r="B10" s="12" t="s">
        <v>345</v>
      </c>
      <c r="C10" s="68" t="n">
        <f aca="false">C61/MAX(0.000000001,C50)/輸入與假設!C$24*1000</f>
        <v>0.672768</v>
      </c>
      <c r="D10" s="68" t="n">
        <f aca="false">D61/MAX(0.000000001,D50)/輸入與假設!D$24*1000</f>
        <v>0.672768</v>
      </c>
      <c r="E10" s="68" t="n">
        <f aca="false">E61/MAX(0.000000001,E50)/輸入與假設!E$24*1000</f>
        <v>0.672768</v>
      </c>
      <c r="F10" s="68" t="n">
        <f aca="false">F61/MAX(0.000000001,F50)/輸入與假設!F$24*1000</f>
        <v>0.672768</v>
      </c>
      <c r="G10" s="68" t="n">
        <f aca="false">G61/MAX(0.000000001,G50)/輸入與假設!G$24*1000</f>
        <v>0.672768</v>
      </c>
      <c r="I10" s="7" t="s">
        <v>1170</v>
      </c>
    </row>
    <row r="11" customFormat="false" ht="15" hidden="false" customHeight="false" outlineLevel="1" collapsed="false">
      <c r="A11" s="4" t="s">
        <v>1171</v>
      </c>
      <c r="B11" s="12" t="s">
        <v>345</v>
      </c>
      <c r="C11" s="68" t="n">
        <f aca="false">C62/MAX(0.000000001,C50)/輸入與假設!C$24*1000</f>
        <v>0.936206901352657</v>
      </c>
      <c r="D11" s="68" t="n">
        <f aca="false">D62/MAX(0.000000001,D50)/輸入與假設!D$24*1000</f>
        <v>0.991538286572</v>
      </c>
      <c r="E11" s="68" t="n">
        <f aca="false">E62/MAX(0.000000001,E50)/輸入與假設!E$24*1000</f>
        <v>1.03236525669456</v>
      </c>
      <c r="F11" s="68" t="n">
        <f aca="false">F62/MAX(0.000000001,F50)/輸入與假設!F$24*1000</f>
        <v>1.05419610096948</v>
      </c>
      <c r="G11" s="68" t="n">
        <f aca="false">G62/MAX(0.000000001,G50)/輸入與假設!G$24*1000</f>
        <v>1.07595123797417</v>
      </c>
    </row>
    <row r="12" customFormat="false" ht="15" hidden="false" customHeight="false" outlineLevel="1" collapsed="false">
      <c r="A12" s="3" t="s">
        <v>1172</v>
      </c>
      <c r="B12" s="12" t="s">
        <v>345</v>
      </c>
      <c r="C12" s="68" t="n">
        <f aca="false">C63/MAX(0.000000001,C50)/輸入與假設!C$24*1000</f>
        <v>0.325</v>
      </c>
      <c r="D12" s="68" t="n">
        <f aca="false">D63/MAX(0.000000001,D50)/輸入與假設!D$24*1000</f>
        <v>0.325</v>
      </c>
      <c r="E12" s="68" t="n">
        <f aca="false">E63/MAX(0.000000001,E50)/輸入與假設!E$24*1000</f>
        <v>0.325</v>
      </c>
      <c r="F12" s="68" t="n">
        <f aca="false">F63/MAX(0.000000001,F50)/輸入與假設!F$24*1000</f>
        <v>0.325</v>
      </c>
      <c r="G12" s="68" t="n">
        <f aca="false">G63/MAX(0.000000001,G50)/輸入與假設!G$24*1000</f>
        <v>0.325</v>
      </c>
    </row>
    <row r="13" customFormat="false" ht="15" hidden="false" customHeight="false" outlineLevel="1" collapsed="false">
      <c r="A13" s="3" t="s">
        <v>1173</v>
      </c>
      <c r="B13" s="12" t="s">
        <v>345</v>
      </c>
      <c r="C13" s="68" t="n">
        <f aca="false">C64/MAX(0.000000001,C50)/輸入與假設!C$24*1000</f>
        <v>0.156034483558776</v>
      </c>
      <c r="D13" s="68" t="n">
        <f aca="false">D64/MAX(0.000000001,D50)/輸入與假設!D$24*1000</f>
        <v>0.165256381095333</v>
      </c>
      <c r="E13" s="68" t="n">
        <f aca="false">E64/MAX(0.000000001,E50)/輸入與假設!E$24*1000</f>
        <v>0.172060876115761</v>
      </c>
      <c r="F13" s="68" t="n">
        <f aca="false">F64/MAX(0.000000001,F50)/輸入與假設!F$24*1000</f>
        <v>0.17569935016158</v>
      </c>
      <c r="G13" s="68" t="n">
        <f aca="false">G64/MAX(0.000000001,G50)/輸入與假設!G$24*1000</f>
        <v>0.179325206329029</v>
      </c>
    </row>
    <row r="14" customFormat="false" ht="15" hidden="false" customHeight="false" outlineLevel="1" collapsed="false">
      <c r="A14" s="3" t="s">
        <v>1174</v>
      </c>
      <c r="B14" s="12" t="s">
        <v>345</v>
      </c>
      <c r="C14" s="68" t="n">
        <f aca="false">C67/MAX(0.000000001,C50)/輸入與假設!C$24*1000</f>
        <v>0.421180567155378</v>
      </c>
      <c r="D14" s="68" t="n">
        <f aca="false">D67/MAX(0.000000001,D50)/輸入與假設!D$24*1000</f>
        <v>0.450074338433759</v>
      </c>
      <c r="E14" s="68" t="n">
        <f aca="false">E67/MAX(0.000000001,E50)/輸入與假設!E$24*1000</f>
        <v>0.509804279867043</v>
      </c>
      <c r="F14" s="68" t="n">
        <f aca="false">F67/MAX(0.000000001,F50)/輸入與假設!F$24*1000</f>
        <v>0.600179620047133</v>
      </c>
      <c r="G14" s="68" t="n">
        <f aca="false">G67/MAX(0.000000001,G50)/輸入與假設!G$24*1000</f>
        <v>0.704020040375857</v>
      </c>
    </row>
    <row r="15" customFormat="false" ht="15" hidden="false" customHeight="false" outlineLevel="1" collapsed="false">
      <c r="A15" s="3" t="s">
        <v>1175</v>
      </c>
      <c r="B15" s="12" t="s">
        <v>345</v>
      </c>
      <c r="C15" s="68" t="n">
        <f aca="false">C70/MAX(0.000000001,C50)/輸入與假設!C$24*1000</f>
        <v>1.6</v>
      </c>
      <c r="D15" s="68" t="n">
        <f aca="false">D70/MAX(0.000000001,D50)/輸入與假設!D$24*1000</f>
        <v>1.59151515151515</v>
      </c>
      <c r="E15" s="68" t="n">
        <f aca="false">E70/MAX(0.000000001,E50)/輸入與假設!E$24*1000</f>
        <v>1.33108587005906</v>
      </c>
      <c r="F15" s="68" t="n">
        <f aca="false">F70/MAX(0.000000001,F50)/輸入與假設!F$24*1000</f>
        <v>1.16431818181818</v>
      </c>
      <c r="G15" s="68" t="n">
        <f aca="false">G70/MAX(0.000000001,G50)/輸入與假設!G$24*1000</f>
        <v>0.998180473372781</v>
      </c>
    </row>
    <row r="16" customFormat="false" ht="15" hidden="false" customHeight="false" outlineLevel="1" collapsed="false">
      <c r="A16" s="2" t="s">
        <v>1176</v>
      </c>
      <c r="B16" s="12" t="s">
        <v>345</v>
      </c>
      <c r="C16" s="68" t="n">
        <f aca="false">(運營_產能與收入!C34-運營_產能與收入!C34*輸入與假設!C$97)/MAX(0.000000001,C50)/輸入與假設!C$24*1000</f>
        <v>4.11118995206681</v>
      </c>
      <c r="D16" s="68" t="n">
        <f aca="false">(運營_產能與收入!D34-運營_產能與收入!D34*輸入與假設!D$97)/MAX(0.000000001,D50)/輸入與假設!D$24*1000</f>
        <v>4.19615215761624</v>
      </c>
      <c r="E16" s="68" t="n">
        <f aca="false">(運營_產能與收入!E34-運營_產能與收入!E34*輸入與假設!E$97)/MAX(0.000000001,E50)/輸入與假設!E$24*1000</f>
        <v>4.04308428273643</v>
      </c>
      <c r="F16" s="68" t="n">
        <f aca="false">(運營_產能與收入!F34-運營_產能與收入!F34*輸入與假設!F$97)/MAX(0.000000001,F50)/輸入與假設!F$24*1000</f>
        <v>3.99216125299637</v>
      </c>
      <c r="G16" s="68" t="n">
        <f aca="false">(運營_產能與收入!G34-運營_產能與收入!G34*輸入與假設!G$97)/MAX(0.000000001,G50)/輸入與假設!G$24*1000</f>
        <v>3.95524495805184</v>
      </c>
      <c r="I16" s="7" t="s">
        <v>1177</v>
      </c>
    </row>
    <row r="17" customFormat="false" ht="15" hidden="false" customHeight="false" outlineLevel="1" collapsed="false">
      <c r="A17" s="5" t="s">
        <v>1178</v>
      </c>
      <c r="B17" s="12" t="s">
        <v>345</v>
      </c>
      <c r="C17" s="68" t="n">
        <f aca="false">運營_產能與收入!C34*輸入與假設!C$97/MAX(0.000000001,C50)/輸入與假設!C$24*1000</f>
        <v>3.52641540303952</v>
      </c>
      <c r="D17" s="68" t="n">
        <f aca="false">運營_產能與收入!D34*輸入與假設!D$97/MAX(0.000000001,D50)/輸入與假設!D$24*1000</f>
        <v>3.96540714848889</v>
      </c>
      <c r="E17" s="68" t="n">
        <f aca="false">運營_產能與收入!E34*輸入與假設!E$97/MAX(0.000000001,E50)/輸入與假設!E$24*1000</f>
        <v>5.20160600358495</v>
      </c>
      <c r="F17" s="68" t="n">
        <f aca="false">運營_產能與收入!F34*輸入與假設!F$97/MAX(0.000000001,F50)/輸入與假設!F$24*1000</f>
        <v>6.89137763166116</v>
      </c>
      <c r="G17" s="68" t="n">
        <f aca="false">運營_產能與收入!G34*輸入與假設!G$97/MAX(0.000000001,G50)/輸入與假設!G$24*1000</f>
        <v>8.81131563327092</v>
      </c>
      <c r="I17" s="7" t="s">
        <v>1179</v>
      </c>
    </row>
    <row r="18" customFormat="false" ht="15" hidden="false" customHeight="false" outlineLevel="1" collapsed="false">
      <c r="A18" s="4" t="s">
        <v>1180</v>
      </c>
      <c r="B18" s="12" t="s">
        <v>345</v>
      </c>
      <c r="C18" s="68" t="n">
        <f aca="false">輸入與假設!C$148/MAX(0.000000001,C50)/輸入與假設!C$24*1000</f>
        <v>5.72805417039801</v>
      </c>
      <c r="D18" s="68" t="n">
        <f aca="false">輸入與假設!D$148/MAX(0.000000001,D50)/輸入與假設!D$24*1000</f>
        <v>6.03013422457912</v>
      </c>
      <c r="E18" s="68" t="n">
        <f aca="false">輸入與假設!E$148/MAX(0.000000001,E50)/輸入與假設!E$24*1000</f>
        <v>5.96024389131455</v>
      </c>
      <c r="F18" s="68" t="n">
        <f aca="false">輸入與假設!F$148/MAX(0.000000001,F50)/輸入與假設!F$24*1000</f>
        <v>5.99408458049242</v>
      </c>
      <c r="G18" s="68" t="n">
        <f aca="false">輸入與假設!G$148/MAX(0.000000001,G50)/輸入與假設!G$24*1000</f>
        <v>5.97242407195513</v>
      </c>
      <c r="I18" s="7" t="s">
        <v>1181</v>
      </c>
    </row>
    <row r="19" customFormat="false" ht="15" hidden="false" customHeight="false" outlineLevel="1" collapsed="false">
      <c r="A19" s="3" t="s">
        <v>1182</v>
      </c>
      <c r="B19" s="12" t="s">
        <v>345</v>
      </c>
      <c r="C19" s="68" t="n">
        <f aca="false">各期收支!C17/MAX(0.000000001,C50)/輸入與假設!C$24*1000</f>
        <v>2.98644001564928</v>
      </c>
      <c r="D19" s="68" t="n">
        <f aca="false">各期收支!D17/MAX(0.000000001,D50)/輸入與假設!D$24*1000</f>
        <v>3.14086975016462</v>
      </c>
      <c r="E19" s="68" t="n">
        <f aca="false">各期收支!E17/MAX(0.000000001,E50)/輸入與假設!E$24*1000</f>
        <v>2.55427489390307</v>
      </c>
      <c r="F19" s="68" t="n">
        <f aca="false">各期收支!F17/MAX(0.000000001,F50)/輸入與假設!F$24*1000</f>
        <v>2.27720713142151</v>
      </c>
      <c r="G19" s="68" t="n">
        <f aca="false">各期收支!G17/MAX(0.000000001,G50)/輸入與假設!G$24*1000</f>
        <v>1.90041560290786</v>
      </c>
      <c r="I19" s="7" t="s">
        <v>1183</v>
      </c>
    </row>
    <row r="20" customFormat="false" ht="15" hidden="false" customHeight="false" outlineLevel="1" collapsed="false">
      <c r="A20" s="2" t="s">
        <v>1184</v>
      </c>
      <c r="B20" s="12" t="s">
        <v>345</v>
      </c>
      <c r="C20" s="68" t="n">
        <f aca="false">C17-C18-C19</f>
        <v>-5.18807878300777</v>
      </c>
      <c r="D20" s="68" t="n">
        <f aca="false">D17-D18-D19</f>
        <v>-5.20559682625485</v>
      </c>
      <c r="E20" s="68" t="n">
        <f aca="false">E17-E18-E19</f>
        <v>-3.31291278163267</v>
      </c>
      <c r="F20" s="68" t="n">
        <f aca="false">F17-F18-F19</f>
        <v>-1.37991408025278</v>
      </c>
      <c r="G20" s="68" t="n">
        <f aca="false">G17-G18-G19</f>
        <v>0.938475958407936</v>
      </c>
      <c r="I20" s="7" t="s">
        <v>1185</v>
      </c>
    </row>
    <row r="21" customFormat="false" ht="15" hidden="false" customHeight="false" outlineLevel="1" collapsed="false">
      <c r="A21" s="3" t="s">
        <v>1186</v>
      </c>
      <c r="B21" s="12" t="s">
        <v>345</v>
      </c>
      <c r="C21" s="36" t="n">
        <f aca="false">輸入與假設!C$130*輸入與假設!$C$128</f>
        <v>34.759438</v>
      </c>
      <c r="D21" s="36" t="n">
        <f aca="false">輸入與假設!D$130*輸入與假設!$C$128</f>
        <v>37.515928</v>
      </c>
      <c r="E21" s="36" t="n">
        <f aca="false">輸入與假設!E$130*輸入與假設!$C$128</f>
        <v>37.586352</v>
      </c>
      <c r="F21" s="36" t="n">
        <f aca="false">輸入與假設!F$130*輸入與假設!$C$128</f>
        <v>37.586352</v>
      </c>
      <c r="G21" s="36" t="n">
        <f aca="false">輸入與假設!G$130*輸入與假設!$C$128</f>
        <v>37.586352</v>
      </c>
      <c r="I21" s="7" t="s">
        <v>1187</v>
      </c>
    </row>
    <row r="22" customFormat="false" ht="15" hidden="false" customHeight="false" outlineLevel="1" collapsed="false">
      <c r="A22" s="3" t="s">
        <v>1188</v>
      </c>
      <c r="B22" s="12" t="s">
        <v>345</v>
      </c>
      <c r="C22" s="68" t="n">
        <f aca="false">C8*C6/C7</f>
        <v>6.36467112925528</v>
      </c>
      <c r="D22" s="68" t="n">
        <f aca="false">D8*D6/D7</f>
        <v>6.80129942175428</v>
      </c>
      <c r="E22" s="68" t="n">
        <f aca="false">E8*E6/E7</f>
        <v>7.70390857193449</v>
      </c>
      <c r="F22" s="68" t="n">
        <f aca="false">F8*F6/F7</f>
        <v>9.06961573721461</v>
      </c>
      <c r="G22" s="68" t="n">
        <f aca="false">G8*G6/G7</f>
        <v>10.638800492769</v>
      </c>
    </row>
    <row r="23" customFormat="false" ht="15" hidden="false" customHeight="false" outlineLevel="1" collapsed="false">
      <c r="A23" s="3" t="s">
        <v>1189</v>
      </c>
      <c r="B23" s="12" t="s">
        <v>345</v>
      </c>
      <c r="C23" s="68" t="n">
        <f aca="false">C17*C6/C7</f>
        <v>2.93867950253293</v>
      </c>
      <c r="D23" s="68" t="n">
        <f aca="false">D17*D6/D7</f>
        <v>3.30450595707408</v>
      </c>
      <c r="E23" s="68" t="n">
        <f aca="false">E17*E6/E7</f>
        <v>4.33467166965413</v>
      </c>
      <c r="F23" s="68" t="n">
        <f aca="false">F17*F6/F7</f>
        <v>5.74281469305097</v>
      </c>
      <c r="G23" s="68" t="n">
        <f aca="false">G17*G6/G7</f>
        <v>7.34276302772577</v>
      </c>
    </row>
    <row r="24" customFormat="false" ht="15" hidden="false" customHeight="false" outlineLevel="1" collapsed="false">
      <c r="A24" s="7" t="s">
        <v>1190</v>
      </c>
    </row>
    <row r="25" customFormat="false" ht="15" hidden="false" customHeight="false" outlineLevel="1" collapsed="true">
      <c r="A25" s="20" t="s">
        <v>1191</v>
      </c>
      <c r="B25" s="21"/>
      <c r="C25" s="21"/>
      <c r="D25" s="21"/>
      <c r="E25" s="21"/>
      <c r="F25" s="21"/>
      <c r="G25" s="21"/>
      <c r="H25" s="21"/>
    </row>
    <row r="26" customFormat="false" ht="15" hidden="true" customHeight="false" outlineLevel="2" collapsed="false">
      <c r="A26" s="3" t="s">
        <v>1192</v>
      </c>
      <c r="B26" s="12" t="s">
        <v>179</v>
      </c>
      <c r="C26" s="70" t="n">
        <f aca="false">輸入與假設!$C$41</f>
        <v>1500</v>
      </c>
      <c r="D26" s="70" t="n">
        <f aca="false">C44</f>
        <v>1850</v>
      </c>
      <c r="E26" s="70" t="n">
        <f aca="false">D44</f>
        <v>3100</v>
      </c>
      <c r="F26" s="70" t="n">
        <f aca="false">E44</f>
        <v>4000</v>
      </c>
      <c r="G26" s="70" t="n">
        <f aca="false">F44</f>
        <v>4800</v>
      </c>
      <c r="I26" s="12" t="s">
        <v>1193</v>
      </c>
    </row>
    <row r="27" customFormat="false" ht="15" hidden="true" customHeight="false" outlineLevel="2" collapsed="false">
      <c r="A27" s="3" t="s">
        <v>1194</v>
      </c>
      <c r="B27" s="12" t="s">
        <v>179</v>
      </c>
      <c r="C27" s="70" t="n">
        <f aca="false">輸入與假設!$C$41*輸入與假設!$C$42</f>
        <v>409.0005</v>
      </c>
      <c r="D27" s="70" t="n">
        <f aca="false">C39</f>
        <v>409.0005</v>
      </c>
      <c r="E27" s="70" t="n">
        <f aca="false">D39</f>
        <v>409.0005</v>
      </c>
      <c r="F27" s="70" t="n">
        <f aca="false">E39</f>
        <v>409.0005</v>
      </c>
      <c r="G27" s="70" t="n">
        <f aca="false">F39</f>
        <v>309.0005</v>
      </c>
    </row>
    <row r="28" customFormat="false" ht="15" hidden="true" customHeight="false" outlineLevel="2" collapsed="false">
      <c r="A28" s="3" t="s">
        <v>1195</v>
      </c>
      <c r="B28" s="12" t="s">
        <v>179</v>
      </c>
      <c r="C28" s="70" t="n">
        <f aca="false">輸入與假設!$C$41*輸入與假設!$C$43</f>
        <v>440.5005</v>
      </c>
      <c r="D28" s="70" t="n">
        <f aca="false">C40</f>
        <v>510.5005</v>
      </c>
      <c r="E28" s="70" t="n">
        <f aca="false">D40</f>
        <v>510.5005</v>
      </c>
      <c r="F28" s="70" t="n">
        <f aca="false">E40</f>
        <v>510.5005</v>
      </c>
      <c r="G28" s="70" t="n">
        <f aca="false">F40</f>
        <v>510.5005</v>
      </c>
    </row>
    <row r="29" customFormat="false" ht="15" hidden="true" customHeight="false" outlineLevel="2" collapsed="false">
      <c r="A29" s="3" t="s">
        <v>1196</v>
      </c>
      <c r="B29" s="12" t="s">
        <v>179</v>
      </c>
      <c r="C29" s="70" t="n">
        <f aca="false">輸入與假設!$C$41*輸入與假設!$C$44</f>
        <v>650.499</v>
      </c>
      <c r="D29" s="70" t="n">
        <f aca="false">C41</f>
        <v>930.499</v>
      </c>
      <c r="E29" s="70" t="n">
        <f aca="false">D41</f>
        <v>1555.499</v>
      </c>
      <c r="F29" s="70" t="n">
        <f aca="false">E41</f>
        <v>1555.499</v>
      </c>
      <c r="G29" s="70" t="n">
        <f aca="false">F41</f>
        <v>1555.499</v>
      </c>
    </row>
    <row r="30" customFormat="false" ht="15" hidden="true" customHeight="false" outlineLevel="2" collapsed="false">
      <c r="A30" s="3" t="s">
        <v>1197</v>
      </c>
      <c r="B30" s="12" t="s">
        <v>179</v>
      </c>
      <c r="C30" s="70" t="n">
        <f aca="false">輸入與假設!$C$41*輸入與假設!$C$45</f>
        <v>0</v>
      </c>
      <c r="D30" s="70" t="n">
        <f aca="false">C42</f>
        <v>0</v>
      </c>
      <c r="E30" s="70" t="n">
        <f aca="false">D42</f>
        <v>625</v>
      </c>
      <c r="F30" s="70" t="n">
        <f aca="false">E42</f>
        <v>1525</v>
      </c>
      <c r="G30" s="70" t="n">
        <f aca="false">F42</f>
        <v>2425</v>
      </c>
    </row>
    <row r="31" customFormat="false" ht="15" hidden="true" customHeight="false" outlineLevel="2" collapsed="false">
      <c r="A31" s="3" t="s">
        <v>1198</v>
      </c>
      <c r="B31" s="12" t="s">
        <v>179</v>
      </c>
      <c r="C31" s="70" t="n">
        <f aca="false">輸入與假設!$C$41*輸入與假設!$C$46</f>
        <v>0</v>
      </c>
      <c r="D31" s="70" t="n">
        <f aca="false">C43</f>
        <v>0</v>
      </c>
      <c r="E31" s="70" t="n">
        <f aca="false">D43</f>
        <v>0</v>
      </c>
      <c r="F31" s="70" t="n">
        <f aca="false">E43</f>
        <v>0</v>
      </c>
      <c r="G31" s="70" t="n">
        <f aca="false">F43</f>
        <v>0</v>
      </c>
    </row>
    <row r="32" customFormat="false" ht="15" hidden="true" customHeight="false" outlineLevel="2" collapsed="false">
      <c r="A32" s="3" t="s">
        <v>1199</v>
      </c>
      <c r="B32" s="12" t="s">
        <v>179</v>
      </c>
      <c r="C32" s="70" t="n">
        <f aca="false">MIN(IF(2026-輸入與假設!$C$124=2023,輸入與假設!$C$125,IF(2026-輸入與假設!$C$124=2024,輸入與假設!$C$126-輸入與假設!$C$125,IF(2026-輸入與假設!$C$124=2025,輸入與假設!$C$19-輸入與假設!$C$126,0))),C26)</f>
        <v>0</v>
      </c>
      <c r="D32" s="70" t="n">
        <f aca="false">MIN(IF(2027-輸入與假設!$C$124=2023,輸入與假設!$C$125,IF(2027-輸入與假設!$C$124=2024,輸入與假設!$C$126-輸入與假設!$C$125,IF(2027-輸入與假設!$C$124=2025,輸入與假設!$C$19-輸入與假設!$C$126,0))),D26)</f>
        <v>0</v>
      </c>
      <c r="E32" s="70" t="n">
        <f aca="false">MIN(IF(2028-輸入與假設!$C$124=2023,輸入與假設!$C$125,IF(2028-輸入與假設!$C$124=2024,輸入與假設!$C$126-輸入與假設!$C$125,IF(2028-輸入與假設!$C$124=2025,輸入與假設!$C$19-輸入與假設!$C$126,0))),E26)</f>
        <v>0</v>
      </c>
      <c r="F32" s="70" t="n">
        <f aca="false">MIN(IF(2029-輸入與假設!$C$124=2023,輸入與假設!$C$125,IF(2029-輸入與假設!$C$124=2024,輸入與假設!$C$126-輸入與假設!$C$125,IF(2029-輸入與假設!$C$124=2025,輸入與假設!$C$19-輸入與假設!$C$126,0))),F26)</f>
        <v>100</v>
      </c>
      <c r="G32" s="70" t="n">
        <f aca="false">MIN(IF(2030-輸入與假設!$C$124=2023,輸入與假設!$C$125,IF(2030-輸入與假設!$C$124=2024,輸入與假設!$C$126-輸入與假設!$C$125,IF(2030-輸入與假設!$C$124=2025,輸入與假設!$C$19-輸入與假設!$C$126,0))),G26)</f>
        <v>260</v>
      </c>
      <c r="I32" s="7" t="s">
        <v>1200</v>
      </c>
    </row>
    <row r="33" customFormat="false" ht="15" hidden="true" customHeight="false" outlineLevel="2" collapsed="false">
      <c r="A33" s="3" t="s">
        <v>1201</v>
      </c>
      <c r="B33" s="12" t="s">
        <v>179</v>
      </c>
      <c r="C33" s="70" t="n">
        <f aca="false">MIN(C27,C32)</f>
        <v>0</v>
      </c>
      <c r="D33" s="70" t="n">
        <f aca="false">MIN(D27,D32)</f>
        <v>0</v>
      </c>
      <c r="E33" s="70" t="n">
        <f aca="false">MIN(E27,E32)</f>
        <v>0</v>
      </c>
      <c r="F33" s="70" t="n">
        <f aca="false">MIN(F27,F32)</f>
        <v>100</v>
      </c>
      <c r="G33" s="70" t="n">
        <f aca="false">MIN(G27,G32)</f>
        <v>260</v>
      </c>
    </row>
    <row r="34" customFormat="false" ht="15" hidden="true" customHeight="false" outlineLevel="2" collapsed="false">
      <c r="A34" s="3" t="s">
        <v>1202</v>
      </c>
      <c r="B34" s="12" t="s">
        <v>179</v>
      </c>
      <c r="C34" s="70" t="n">
        <f aca="false">MIN(C28,MAX(0,C32-SUM(C27:C27)))</f>
        <v>0</v>
      </c>
      <c r="D34" s="70" t="n">
        <f aca="false">MIN(D28,MAX(0,D32-SUM(D27:D27)))</f>
        <v>0</v>
      </c>
      <c r="E34" s="70" t="n">
        <f aca="false">MIN(E28,MAX(0,E32-SUM(E27:E27)))</f>
        <v>0</v>
      </c>
      <c r="F34" s="70" t="n">
        <f aca="false">MIN(F28,MAX(0,F32-SUM(F27:F27)))</f>
        <v>0</v>
      </c>
      <c r="G34" s="70" t="n">
        <f aca="false">MIN(G28,MAX(0,G32-SUM(G27:G27)))</f>
        <v>0</v>
      </c>
    </row>
    <row r="35" customFormat="false" ht="15" hidden="true" customHeight="false" outlineLevel="2" collapsed="false">
      <c r="A35" s="3" t="s">
        <v>1203</v>
      </c>
      <c r="B35" s="12" t="s">
        <v>179</v>
      </c>
      <c r="C35" s="70" t="n">
        <f aca="false">MIN(C29,MAX(0,C32-SUM(C27:C28)))</f>
        <v>0</v>
      </c>
      <c r="D35" s="70" t="n">
        <f aca="false">MIN(D29,MAX(0,D32-SUM(D27:D28)))</f>
        <v>0</v>
      </c>
      <c r="E35" s="70" t="n">
        <f aca="false">MIN(E29,MAX(0,E32-SUM(E27:E28)))</f>
        <v>0</v>
      </c>
      <c r="F35" s="70" t="n">
        <f aca="false">MIN(F29,MAX(0,F32-SUM(F27:F28)))</f>
        <v>0</v>
      </c>
      <c r="G35" s="70" t="n">
        <f aca="false">MIN(G29,MAX(0,G32-SUM(G27:G28)))</f>
        <v>0</v>
      </c>
    </row>
    <row r="36" customFormat="false" ht="15" hidden="true" customHeight="false" outlineLevel="2" collapsed="false">
      <c r="A36" s="3" t="s">
        <v>1204</v>
      </c>
      <c r="B36" s="12" t="s">
        <v>179</v>
      </c>
      <c r="C36" s="70" t="n">
        <f aca="false">MIN(C30,MAX(0,C32-SUM(C27:C29)))</f>
        <v>0</v>
      </c>
      <c r="D36" s="70" t="n">
        <f aca="false">MIN(D30,MAX(0,D32-SUM(D27:D29)))</f>
        <v>0</v>
      </c>
      <c r="E36" s="70" t="n">
        <f aca="false">MIN(E30,MAX(0,E32-SUM(E27:E29)))</f>
        <v>0</v>
      </c>
      <c r="F36" s="70" t="n">
        <f aca="false">MIN(F30,MAX(0,F32-SUM(F27:F29)))</f>
        <v>0</v>
      </c>
      <c r="G36" s="70" t="n">
        <f aca="false">MIN(G30,MAX(0,G32-SUM(G27:G29)))</f>
        <v>0</v>
      </c>
    </row>
    <row r="37" customFormat="false" ht="15" hidden="true" customHeight="false" outlineLevel="2" collapsed="false">
      <c r="A37" s="3" t="s">
        <v>1205</v>
      </c>
      <c r="B37" s="12" t="s">
        <v>179</v>
      </c>
      <c r="C37" s="70" t="n">
        <f aca="false">MIN(C31,MAX(0,C32-SUM(C27:C30)))</f>
        <v>0</v>
      </c>
      <c r="D37" s="70" t="n">
        <f aca="false">MIN(D31,MAX(0,D32-SUM(D27:D30)))</f>
        <v>0</v>
      </c>
      <c r="E37" s="70" t="n">
        <f aca="false">MIN(E31,MAX(0,E32-SUM(E27:E30)))</f>
        <v>0</v>
      </c>
      <c r="F37" s="70" t="n">
        <f aca="false">MIN(F31,MAX(0,F32-SUM(F27:F30)))</f>
        <v>0</v>
      </c>
      <c r="G37" s="70" t="n">
        <f aca="false">MIN(G31,MAX(0,G32-SUM(G27:G30)))</f>
        <v>0</v>
      </c>
    </row>
    <row r="38" customFormat="false" ht="15" hidden="true" customHeight="false" outlineLevel="2" collapsed="false">
      <c r="A38" s="3" t="s">
        <v>1206</v>
      </c>
      <c r="B38" s="12" t="s">
        <v>179</v>
      </c>
      <c r="C38" s="70" t="n">
        <f aca="false">MAX(0,運營_產能與收入!C9-C26)</f>
        <v>350</v>
      </c>
      <c r="D38" s="70" t="n">
        <f aca="false">MAX(0,運營_產能與收入!D9-D26)</f>
        <v>1250</v>
      </c>
      <c r="E38" s="70" t="n">
        <f aca="false">MAX(0,運營_產能與收入!E9-E26)</f>
        <v>900</v>
      </c>
      <c r="F38" s="70" t="n">
        <f aca="false">MAX(0,運營_產能與收入!F9-F26)</f>
        <v>800</v>
      </c>
      <c r="G38" s="70" t="n">
        <f aca="false">MAX(0,運營_產能與收入!G9-G26)</f>
        <v>800</v>
      </c>
    </row>
    <row r="39" customFormat="false" ht="15" hidden="true" customHeight="false" outlineLevel="2" collapsed="false">
      <c r="A39" s="3" t="s">
        <v>1207</v>
      </c>
      <c r="B39" s="12" t="s">
        <v>179</v>
      </c>
      <c r="C39" s="70" t="n">
        <f aca="false">C27-C33+輸入與假設!C58*(C38+C32)</f>
        <v>409.0005</v>
      </c>
      <c r="D39" s="70" t="n">
        <f aca="false">D27-D33+輸入與假設!D58*(D38+D32)</f>
        <v>409.0005</v>
      </c>
      <c r="E39" s="70" t="n">
        <f aca="false">E27-E33+輸入與假設!E58*(E38+E32)</f>
        <v>409.0005</v>
      </c>
      <c r="F39" s="70" t="n">
        <f aca="false">F27-F33+輸入與假設!F58*(F38+F32)</f>
        <v>309.0005</v>
      </c>
      <c r="G39" s="70" t="n">
        <f aca="false">G27-G33+輸入與假設!G58*(G38+G32)</f>
        <v>49.0005</v>
      </c>
    </row>
    <row r="40" customFormat="false" ht="15" hidden="true" customHeight="false" outlineLevel="2" collapsed="false">
      <c r="A40" s="3" t="s">
        <v>1208</v>
      </c>
      <c r="B40" s="12" t="s">
        <v>179</v>
      </c>
      <c r="C40" s="70" t="n">
        <f aca="false">C28-C34+輸入與假設!C59*(C38+C32)</f>
        <v>510.5005</v>
      </c>
      <c r="D40" s="70" t="n">
        <f aca="false">D28-D34+輸入與假設!D59*(D38+D32)</f>
        <v>510.5005</v>
      </c>
      <c r="E40" s="70" t="n">
        <f aca="false">E28-E34+輸入與假設!E59*(E38+E32)</f>
        <v>510.5005</v>
      </c>
      <c r="F40" s="70" t="n">
        <f aca="false">F28-F34+輸入與假設!F59*(F38+F32)</f>
        <v>510.5005</v>
      </c>
      <c r="G40" s="70" t="n">
        <f aca="false">G28-G34+輸入與假設!G59*(G38+G32)</f>
        <v>510.5005</v>
      </c>
    </row>
    <row r="41" customFormat="false" ht="15" hidden="true" customHeight="false" outlineLevel="2" collapsed="false">
      <c r="A41" s="3" t="s">
        <v>1209</v>
      </c>
      <c r="B41" s="12" t="s">
        <v>179</v>
      </c>
      <c r="C41" s="70" t="n">
        <f aca="false">C29-C35+輸入與假設!C60*(C38+C32)</f>
        <v>930.499</v>
      </c>
      <c r="D41" s="70" t="n">
        <f aca="false">D29-D35+輸入與假設!D60*(D38+D32)</f>
        <v>1555.499</v>
      </c>
      <c r="E41" s="70" t="n">
        <f aca="false">E29-E35+輸入與假設!E60*(E38+E32)</f>
        <v>1555.499</v>
      </c>
      <c r="F41" s="70" t="n">
        <f aca="false">F29-F35+輸入與假設!F60*(F38+F32)</f>
        <v>1555.499</v>
      </c>
      <c r="G41" s="70" t="n">
        <f aca="false">G29-G35+輸入與假設!G60*(G38+G32)</f>
        <v>1555.499</v>
      </c>
    </row>
    <row r="42" customFormat="false" ht="15" hidden="true" customHeight="false" outlineLevel="2" collapsed="false">
      <c r="A42" s="3" t="s">
        <v>1210</v>
      </c>
      <c r="B42" s="12" t="s">
        <v>179</v>
      </c>
      <c r="C42" s="70" t="n">
        <f aca="false">C30-C36+輸入與假設!C61*(C38+C32)</f>
        <v>0</v>
      </c>
      <c r="D42" s="70" t="n">
        <f aca="false">D30-D36+輸入與假設!D61*(D38+D32)</f>
        <v>625</v>
      </c>
      <c r="E42" s="70" t="n">
        <f aca="false">E30-E36+輸入與假設!E61*(E38+E32)</f>
        <v>1525</v>
      </c>
      <c r="F42" s="70" t="n">
        <f aca="false">F30-F36+輸入與假設!F61*(F38+F32)</f>
        <v>2425</v>
      </c>
      <c r="G42" s="70" t="n">
        <f aca="false">G30-G36+輸入與假設!G61*(G38+G32)</f>
        <v>3485</v>
      </c>
    </row>
    <row r="43" customFormat="false" ht="15" hidden="true" customHeight="false" outlineLevel="2" collapsed="false">
      <c r="A43" s="3" t="s">
        <v>1211</v>
      </c>
      <c r="B43" s="12" t="s">
        <v>179</v>
      </c>
      <c r="C43" s="70" t="n">
        <f aca="false">C31-C37+輸入與假設!C62*(C38+C32)</f>
        <v>0</v>
      </c>
      <c r="D43" s="70" t="n">
        <f aca="false">D31-D37+輸入與假設!D62*(D38+D32)</f>
        <v>0</v>
      </c>
      <c r="E43" s="70" t="n">
        <f aca="false">E31-E37+輸入與假設!E62*(E38+E32)</f>
        <v>0</v>
      </c>
      <c r="F43" s="70" t="n">
        <f aca="false">F31-F37+輸入與假設!F62*(F38+F32)</f>
        <v>0</v>
      </c>
      <c r="G43" s="70" t="n">
        <f aca="false">G31-G37+輸入與假設!G62*(G38+G32)</f>
        <v>0</v>
      </c>
    </row>
    <row r="44" customFormat="false" ht="15" hidden="true" customHeight="false" outlineLevel="2" collapsed="false">
      <c r="A44" s="3" t="s">
        <v>1212</v>
      </c>
      <c r="B44" s="12" t="s">
        <v>179</v>
      </c>
      <c r="C44" s="70" t="n">
        <f aca="false">SUM(C39:C43)</f>
        <v>1850</v>
      </c>
      <c r="D44" s="70" t="n">
        <f aca="false">SUM(D39:D43)</f>
        <v>3100</v>
      </c>
      <c r="E44" s="70" t="n">
        <f aca="false">SUM(E39:E43)</f>
        <v>4000</v>
      </c>
      <c r="F44" s="70" t="n">
        <f aca="false">SUM(F39:F43)</f>
        <v>4800</v>
      </c>
      <c r="G44" s="70" t="n">
        <f aca="false">SUM(G39:G43)</f>
        <v>5600</v>
      </c>
    </row>
    <row r="45" customFormat="false" ht="15" hidden="true" customHeight="false" outlineLevel="2" collapsed="false">
      <c r="A45" s="3" t="s">
        <v>1213</v>
      </c>
      <c r="B45" s="12" t="s">
        <v>179</v>
      </c>
      <c r="C45" s="70" t="n">
        <f aca="false">(C27+C39)/2</f>
        <v>409.0005</v>
      </c>
      <c r="D45" s="70" t="n">
        <f aca="false">(D27+D39)/2</f>
        <v>409.0005</v>
      </c>
      <c r="E45" s="70" t="n">
        <f aca="false">(E27+E39)/2</f>
        <v>409.0005</v>
      </c>
      <c r="F45" s="70" t="n">
        <f aca="false">(F27+F39)/2</f>
        <v>359.0005</v>
      </c>
      <c r="G45" s="70" t="n">
        <f aca="false">(G27+G39)/2</f>
        <v>179.0005</v>
      </c>
    </row>
    <row r="46" customFormat="false" ht="15" hidden="true" customHeight="false" outlineLevel="2" collapsed="false">
      <c r="A46" s="3" t="s">
        <v>1214</v>
      </c>
      <c r="B46" s="12" t="s">
        <v>179</v>
      </c>
      <c r="C46" s="70" t="n">
        <f aca="false">(C28+C40)/2</f>
        <v>475.5005</v>
      </c>
      <c r="D46" s="70" t="n">
        <f aca="false">(D28+D40)/2</f>
        <v>510.5005</v>
      </c>
      <c r="E46" s="70" t="n">
        <f aca="false">(E28+E40)/2</f>
        <v>510.5005</v>
      </c>
      <c r="F46" s="70" t="n">
        <f aca="false">(F28+F40)/2</f>
        <v>510.5005</v>
      </c>
      <c r="G46" s="70" t="n">
        <f aca="false">(G28+G40)/2</f>
        <v>510.5005</v>
      </c>
    </row>
    <row r="47" customFormat="false" ht="15" hidden="true" customHeight="false" outlineLevel="2" collapsed="false">
      <c r="A47" s="3" t="s">
        <v>1215</v>
      </c>
      <c r="B47" s="12" t="s">
        <v>179</v>
      </c>
      <c r="C47" s="70" t="n">
        <f aca="false">(C29+C41)/2</f>
        <v>790.499</v>
      </c>
      <c r="D47" s="70" t="n">
        <f aca="false">(D29+D41)/2</f>
        <v>1242.999</v>
      </c>
      <c r="E47" s="70" t="n">
        <f aca="false">(E29+E41)/2</f>
        <v>1555.499</v>
      </c>
      <c r="F47" s="70" t="n">
        <f aca="false">(F29+F41)/2</f>
        <v>1555.499</v>
      </c>
      <c r="G47" s="70" t="n">
        <f aca="false">(G29+G41)/2</f>
        <v>1555.499</v>
      </c>
    </row>
    <row r="48" customFormat="false" ht="15" hidden="true" customHeight="false" outlineLevel="2" collapsed="false">
      <c r="A48" s="3" t="s">
        <v>1216</v>
      </c>
      <c r="B48" s="12" t="s">
        <v>179</v>
      </c>
      <c r="C48" s="70" t="n">
        <f aca="false">(C30+C42)/2</f>
        <v>0</v>
      </c>
      <c r="D48" s="70" t="n">
        <f aca="false">(D30+D42)/2</f>
        <v>312.5</v>
      </c>
      <c r="E48" s="70" t="n">
        <f aca="false">(E30+E42)/2</f>
        <v>1075</v>
      </c>
      <c r="F48" s="70" t="n">
        <f aca="false">(F30+F42)/2</f>
        <v>1975</v>
      </c>
      <c r="G48" s="70" t="n">
        <f aca="false">(G30+G42)/2</f>
        <v>2955</v>
      </c>
    </row>
    <row r="49" customFormat="false" ht="15" hidden="true" customHeight="false" outlineLevel="2" collapsed="false">
      <c r="A49" s="3" t="s">
        <v>1217</v>
      </c>
      <c r="B49" s="12" t="s">
        <v>179</v>
      </c>
      <c r="C49" s="70" t="n">
        <f aca="false">(C31+C43)/2</f>
        <v>0</v>
      </c>
      <c r="D49" s="70" t="n">
        <f aca="false">(D31+D43)/2</f>
        <v>0</v>
      </c>
      <c r="E49" s="70" t="n">
        <f aca="false">(E31+E43)/2</f>
        <v>0</v>
      </c>
      <c r="F49" s="70" t="n">
        <f aca="false">(F31+F43)/2</f>
        <v>0</v>
      </c>
      <c r="G49" s="70" t="n">
        <f aca="false">(G31+G43)/2</f>
        <v>0</v>
      </c>
    </row>
    <row r="50" customFormat="false" ht="15" hidden="true" customHeight="false" outlineLevel="2" collapsed="false">
      <c r="A50" s="3" t="s">
        <v>1218</v>
      </c>
      <c r="B50" s="12" t="s">
        <v>179</v>
      </c>
      <c r="C50" s="77" t="n">
        <f aca="false">SUM(C45:C49)</f>
        <v>1675</v>
      </c>
      <c r="D50" s="77" t="n">
        <f aca="false">SUM(D45:D49)</f>
        <v>2475</v>
      </c>
      <c r="E50" s="77" t="n">
        <f aca="false">SUM(E45:E49)</f>
        <v>3550</v>
      </c>
      <c r="F50" s="77" t="n">
        <f aca="false">SUM(F45:F49)</f>
        <v>4400</v>
      </c>
      <c r="G50" s="77" t="n">
        <f aca="false">SUM(G45:G49)</f>
        <v>5200</v>
      </c>
      <c r="I50" s="7" t="s">
        <v>1219</v>
      </c>
    </row>
    <row r="51" customFormat="false" ht="15" hidden="true" customHeight="false" outlineLevel="2" collapsed="false">
      <c r="A51" s="3" t="s">
        <v>1220</v>
      </c>
      <c r="B51" s="12" t="s">
        <v>77</v>
      </c>
      <c r="C51" s="69" t="n">
        <f aca="false">C45/MAX(C50,0.000000001)</f>
        <v>0.244179402985075</v>
      </c>
      <c r="D51" s="69" t="n">
        <f aca="false">D45/MAX(D50,0.000000001)</f>
        <v>0.165252727272727</v>
      </c>
      <c r="E51" s="69" t="n">
        <f aca="false">E45/MAX(E50,0.000000001)</f>
        <v>0.115211408450704</v>
      </c>
      <c r="F51" s="69" t="n">
        <f aca="false">F45/MAX(F50,0.000000001)</f>
        <v>0.0815910227272727</v>
      </c>
      <c r="G51" s="69" t="n">
        <f aca="false">G45/MAX(G50,0.000000001)</f>
        <v>0.0344231730769231</v>
      </c>
    </row>
    <row r="52" customFormat="false" ht="15" hidden="true" customHeight="false" outlineLevel="2" collapsed="false">
      <c r="A52" s="3" t="s">
        <v>1221</v>
      </c>
      <c r="B52" s="12" t="s">
        <v>77</v>
      </c>
      <c r="C52" s="69" t="n">
        <f aca="false">C46/MAX(C50,0.000000001)</f>
        <v>0.283880895522388</v>
      </c>
      <c r="D52" s="69" t="n">
        <f aca="false">D46/MAX(D50,0.000000001)</f>
        <v>0.206262828282828</v>
      </c>
      <c r="E52" s="69" t="n">
        <f aca="false">E46/MAX(E50,0.000000001)</f>
        <v>0.143802957746479</v>
      </c>
      <c r="F52" s="69" t="n">
        <f aca="false">F46/MAX(F50,0.000000001)</f>
        <v>0.116022840909091</v>
      </c>
      <c r="G52" s="69" t="n">
        <f aca="false">G46/MAX(G50,0.000000001)</f>
        <v>0.0981731730769231</v>
      </c>
    </row>
    <row r="53" customFormat="false" ht="15" hidden="true" customHeight="false" outlineLevel="2" collapsed="false">
      <c r="A53" s="3" t="s">
        <v>1222</v>
      </c>
      <c r="B53" s="12" t="s">
        <v>77</v>
      </c>
      <c r="C53" s="69" t="n">
        <f aca="false">C47/MAX(C50,0.000000001)</f>
        <v>0.471939701492537</v>
      </c>
      <c r="D53" s="69" t="n">
        <f aca="false">D47/MAX(D50,0.000000001)</f>
        <v>0.502221818181818</v>
      </c>
      <c r="E53" s="69" t="n">
        <f aca="false">E47/MAX(E50,0.000000001)</f>
        <v>0.438168732394366</v>
      </c>
      <c r="F53" s="69" t="n">
        <f aca="false">F47/MAX(F50,0.000000001)</f>
        <v>0.3535225</v>
      </c>
      <c r="G53" s="69" t="n">
        <f aca="false">G47/MAX(G50,0.000000001)</f>
        <v>0.299134423076923</v>
      </c>
    </row>
    <row r="54" customFormat="false" ht="15" hidden="true" customHeight="false" outlineLevel="2" collapsed="false">
      <c r="A54" s="3" t="s">
        <v>1223</v>
      </c>
      <c r="B54" s="12" t="s">
        <v>77</v>
      </c>
      <c r="C54" s="69" t="n">
        <f aca="false">C48/MAX(C50,0.000000001)</f>
        <v>0</v>
      </c>
      <c r="D54" s="69" t="n">
        <f aca="false">D48/MAX(D50,0.000000001)</f>
        <v>0.126262626262626</v>
      </c>
      <c r="E54" s="69" t="n">
        <f aca="false">E48/MAX(E50,0.000000001)</f>
        <v>0.302816901408451</v>
      </c>
      <c r="F54" s="69" t="n">
        <f aca="false">F48/MAX(F50,0.000000001)</f>
        <v>0.448863636363636</v>
      </c>
      <c r="G54" s="69" t="n">
        <f aca="false">G48/MAX(G50,0.000000001)</f>
        <v>0.568269230769231</v>
      </c>
    </row>
    <row r="55" customFormat="false" ht="15" hidden="true" customHeight="false" outlineLevel="2" collapsed="false">
      <c r="A55" s="3" t="s">
        <v>1224</v>
      </c>
      <c r="B55" s="12" t="s">
        <v>77</v>
      </c>
      <c r="C55" s="69" t="n">
        <f aca="false">C49/MAX(C50,0.000000001)</f>
        <v>0</v>
      </c>
      <c r="D55" s="69" t="n">
        <f aca="false">D49/MAX(D50,0.000000001)</f>
        <v>0</v>
      </c>
      <c r="E55" s="69" t="n">
        <f aca="false">E49/MAX(E50,0.000000001)</f>
        <v>0</v>
      </c>
      <c r="F55" s="69" t="n">
        <f aca="false">F49/MAX(F50,0.000000001)</f>
        <v>0</v>
      </c>
      <c r="G55" s="69" t="n">
        <f aca="false">G49/MAX(G50,0.000000001)</f>
        <v>0</v>
      </c>
    </row>
    <row r="56" customFormat="false" ht="15" hidden="false" customHeight="false" outlineLevel="1" collapsed="true">
      <c r="A56" s="20" t="s">
        <v>1225</v>
      </c>
      <c r="B56" s="21"/>
      <c r="C56" s="21"/>
      <c r="D56" s="21"/>
      <c r="E56" s="21"/>
      <c r="F56" s="21"/>
      <c r="G56" s="21"/>
      <c r="H56" s="21"/>
    </row>
    <row r="57" customFormat="false" ht="15" hidden="true" customHeight="false" outlineLevel="2" collapsed="false">
      <c r="A57" s="3" t="s">
        <v>1226</v>
      </c>
      <c r="B57" s="12" t="s">
        <v>345</v>
      </c>
      <c r="C57" s="56" t="n">
        <f aca="false">SUMPRODUCT(C51:C55,輸入與假設!$C$71:$C$75)</f>
        <v>0.672768</v>
      </c>
      <c r="D57" s="56" t="n">
        <f aca="false">SUMPRODUCT(D51:D55,輸入與假設!$C$71:$C$75)</f>
        <v>0.672768</v>
      </c>
      <c r="E57" s="56" t="n">
        <f aca="false">SUMPRODUCT(E51:E55,輸入與假設!$C$71:$C$75)</f>
        <v>0.672768</v>
      </c>
      <c r="F57" s="56" t="n">
        <f aca="false">SUMPRODUCT(F51:F55,輸入與假設!$C$71:$C$75)</f>
        <v>0.672768</v>
      </c>
      <c r="G57" s="56" t="n">
        <f aca="false">SUMPRODUCT(G51:G55,輸入與假設!$C$71:$C$75)</f>
        <v>0.672768</v>
      </c>
      <c r="I57" s="12" t="s">
        <v>1227</v>
      </c>
    </row>
    <row r="58" customFormat="false" ht="15" hidden="true" customHeight="false" outlineLevel="2" collapsed="false">
      <c r="A58" s="3" t="s">
        <v>1228</v>
      </c>
      <c r="B58" s="12" t="s">
        <v>345</v>
      </c>
      <c r="C58" s="56" t="n">
        <f aca="false">SUMPRODUCT(C51:C55,輸入與假設!$D$71:$D$75)</f>
        <v>0.936206901352657</v>
      </c>
      <c r="D58" s="56" t="n">
        <f aca="false">SUMPRODUCT(D51:D55,輸入與假設!$D$71:$D$75)</f>
        <v>0.991538286572</v>
      </c>
      <c r="E58" s="56" t="n">
        <f aca="false">SUMPRODUCT(E51:E55,輸入與假設!$D$71:$D$75)</f>
        <v>1.03236525669456</v>
      </c>
      <c r="F58" s="56" t="n">
        <f aca="false">SUMPRODUCT(F51:F55,輸入與假設!$D$71:$D$75)</f>
        <v>1.05419610096948</v>
      </c>
      <c r="G58" s="56" t="n">
        <f aca="false">SUMPRODUCT(G51:G55,輸入與假設!$D$71:$D$75)</f>
        <v>1.07595123797417</v>
      </c>
      <c r="I58" s="12" t="s">
        <v>1229</v>
      </c>
    </row>
    <row r="59" customFormat="false" ht="15" hidden="true" customHeight="false" outlineLevel="2" collapsed="false">
      <c r="A59" s="3" t="s">
        <v>1230</v>
      </c>
      <c r="B59" s="12" t="s">
        <v>345</v>
      </c>
      <c r="C59" s="56" t="n">
        <f aca="false">SUMPRODUCT(C51:C55,輸入與假設!$E$71:$E$75)</f>
        <v>0.325</v>
      </c>
      <c r="D59" s="56" t="n">
        <f aca="false">SUMPRODUCT(D51:D55,輸入與假設!$E$71:$E$75)</f>
        <v>0.325</v>
      </c>
      <c r="E59" s="56" t="n">
        <f aca="false">SUMPRODUCT(E51:E55,輸入與假設!$E$71:$E$75)</f>
        <v>0.325</v>
      </c>
      <c r="F59" s="56" t="n">
        <f aca="false">SUMPRODUCT(F51:F55,輸入與假設!$E$71:$E$75)</f>
        <v>0.325</v>
      </c>
      <c r="G59" s="56" t="n">
        <f aca="false">SUMPRODUCT(G51:G55,輸入與假設!$E$71:$E$75)</f>
        <v>0.325</v>
      </c>
      <c r="I59" s="12" t="s">
        <v>1231</v>
      </c>
    </row>
    <row r="60" customFormat="false" ht="15" hidden="true" customHeight="false" outlineLevel="2" collapsed="false">
      <c r="A60" s="3" t="s">
        <v>1232</v>
      </c>
      <c r="B60" s="12" t="s">
        <v>345</v>
      </c>
      <c r="C60" s="56" t="n">
        <f aca="false">SUMPRODUCT(C51:C55,輸入與假設!$F$71:$F$75)</f>
        <v>0.156034483558776</v>
      </c>
      <c r="D60" s="56" t="n">
        <f aca="false">SUMPRODUCT(D51:D55,輸入與假設!$F$71:$F$75)</f>
        <v>0.165256381095333</v>
      </c>
      <c r="E60" s="56" t="n">
        <f aca="false">SUMPRODUCT(E51:E55,輸入與假設!$F$71:$F$75)</f>
        <v>0.172060876115761</v>
      </c>
      <c r="F60" s="56" t="n">
        <f aca="false">SUMPRODUCT(F51:F55,輸入與假設!$F$71:$F$75)</f>
        <v>0.17569935016158</v>
      </c>
      <c r="G60" s="56" t="n">
        <f aca="false">SUMPRODUCT(G51:G55,輸入與假設!$F$71:$F$75)</f>
        <v>0.179325206329029</v>
      </c>
      <c r="I60" s="12" t="s">
        <v>1233</v>
      </c>
    </row>
    <row r="61" customFormat="false" ht="15" hidden="true" customHeight="false" outlineLevel="2" collapsed="false">
      <c r="A61" s="3" t="s">
        <v>1234</v>
      </c>
      <c r="B61" s="12" t="s">
        <v>93</v>
      </c>
      <c r="C61" s="68" t="n">
        <f aca="false">C50*C57/1000*輸入與假設!C$24</f>
        <v>0.5634432</v>
      </c>
      <c r="D61" s="68" t="n">
        <f aca="false">D50*D57/1000*輸入與假設!D$24</f>
        <v>1.6651008</v>
      </c>
      <c r="E61" s="68" t="n">
        <f aca="false">E50*E57/1000*輸入與假設!E$24</f>
        <v>2.3883264</v>
      </c>
      <c r="F61" s="68" t="n">
        <f aca="false">F50*F57/1000*輸入與假設!F$24</f>
        <v>2.9601792</v>
      </c>
      <c r="G61" s="68" t="n">
        <f aca="false">G50*G57/1000*輸入與假設!G$24</f>
        <v>3.4983936</v>
      </c>
      <c r="I61" s="7" t="s">
        <v>1235</v>
      </c>
    </row>
    <row r="62" customFormat="false" ht="15" hidden="true" customHeight="false" outlineLevel="2" collapsed="false">
      <c r="A62" s="4" t="s">
        <v>1236</v>
      </c>
      <c r="B62" s="12" t="s">
        <v>93</v>
      </c>
      <c r="C62" s="68" t="n">
        <f aca="false">C50*C58/1000*輸入與假設!C$24</f>
        <v>0.78407327988285</v>
      </c>
      <c r="D62" s="68" t="n">
        <f aca="false">D50*D58/1000*輸入與假設!D$24</f>
        <v>2.4540572592657</v>
      </c>
      <c r="E62" s="68" t="n">
        <f aca="false">E50*E58/1000*輸入與假設!E$24</f>
        <v>3.6648966612657</v>
      </c>
      <c r="F62" s="68" t="n">
        <f aca="false">F50*F58/1000*輸入與假設!F$24</f>
        <v>4.6384628442657</v>
      </c>
      <c r="G62" s="68" t="n">
        <f aca="false">G50*G58/1000*輸入與假設!G$24</f>
        <v>5.5949464374657</v>
      </c>
    </row>
    <row r="63" customFormat="false" ht="15" hidden="true" customHeight="false" outlineLevel="2" collapsed="false">
      <c r="A63" s="3" t="s">
        <v>1237</v>
      </c>
      <c r="B63" s="12" t="s">
        <v>93</v>
      </c>
      <c r="C63" s="68" t="n">
        <f aca="false">C50*C59/1000*輸入與假設!C$24</f>
        <v>0.2721875</v>
      </c>
      <c r="D63" s="68" t="n">
        <f aca="false">D50*D59/1000*輸入與假設!D$24</f>
        <v>0.804375</v>
      </c>
      <c r="E63" s="68" t="n">
        <f aca="false">E50*E59/1000*輸入與假設!E$24</f>
        <v>1.15375</v>
      </c>
      <c r="F63" s="68" t="n">
        <f aca="false">F50*F59/1000*輸入與假設!F$24</f>
        <v>1.43</v>
      </c>
      <c r="G63" s="68" t="n">
        <f aca="false">G50*G59/1000*輸入與假設!G$24</f>
        <v>1.69</v>
      </c>
    </row>
    <row r="64" customFormat="false" ht="15" hidden="true" customHeight="false" outlineLevel="2" collapsed="false">
      <c r="A64" s="3" t="s">
        <v>1238</v>
      </c>
      <c r="B64" s="12" t="s">
        <v>93</v>
      </c>
      <c r="C64" s="68" t="n">
        <f aca="false">C50*C60/1000*輸入與假設!C$24</f>
        <v>0.130678879980475</v>
      </c>
      <c r="D64" s="68" t="n">
        <f aca="false">D50*D60/1000*輸入與假設!D$24</f>
        <v>0.40900954321095</v>
      </c>
      <c r="E64" s="68" t="n">
        <f aca="false">E50*E60/1000*輸入與假設!E$24</f>
        <v>0.61081611021095</v>
      </c>
      <c r="F64" s="68" t="n">
        <f aca="false">F50*F60/1000*輸入與假設!F$24</f>
        <v>0.77307714071095</v>
      </c>
      <c r="G64" s="68" t="n">
        <f aca="false">G50*G60/1000*輸入與假設!G$24</f>
        <v>0.93249107291095</v>
      </c>
    </row>
    <row r="65" customFormat="false" ht="15" hidden="true" customHeight="false" outlineLevel="2" collapsed="false">
      <c r="A65" s="3" t="s">
        <v>1091</v>
      </c>
      <c r="B65" s="12" t="s">
        <v>93</v>
      </c>
      <c r="C65" s="43" t="n">
        <f aca="false">運營_產能與收入!C34</f>
        <v>6.39649448490155</v>
      </c>
      <c r="D65" s="43" t="n">
        <f aca="false">運營_產能與收入!D34</f>
        <v>20.1998592826102</v>
      </c>
      <c r="E65" s="43" t="n">
        <f aca="false">運營_產能與收入!E34</f>
        <v>32.8186505164409</v>
      </c>
      <c r="F65" s="43" t="n">
        <f aca="false">運營_產能與收入!F34</f>
        <v>47.8875710924931</v>
      </c>
      <c r="G65" s="43" t="n">
        <f aca="false">運營_產能與收入!G34</f>
        <v>66.3861150748784</v>
      </c>
    </row>
    <row r="66" customFormat="false" ht="15" hidden="true" customHeight="false" outlineLevel="2" collapsed="false">
      <c r="A66" s="3" t="s">
        <v>1239</v>
      </c>
      <c r="B66" s="12" t="s">
        <v>77</v>
      </c>
      <c r="C66" s="53" t="n">
        <f aca="false">輸入與假設!$C$117</f>
        <v>0.0551456310679611</v>
      </c>
      <c r="D66" s="53" t="n">
        <f aca="false">輸入與假設!$C$117</f>
        <v>0.0551456310679611</v>
      </c>
      <c r="E66" s="53" t="n">
        <f aca="false">輸入與假設!$C$117</f>
        <v>0.0551456310679611</v>
      </c>
      <c r="F66" s="53" t="n">
        <f aca="false">輸入與假設!$C$117</f>
        <v>0.0551456310679611</v>
      </c>
      <c r="G66" s="53" t="n">
        <f aca="false">輸入與假設!$C$117</f>
        <v>0.0551456310679611</v>
      </c>
      <c r="I66" s="12" t="s">
        <v>1240</v>
      </c>
    </row>
    <row r="67" customFormat="false" ht="15" hidden="true" customHeight="false" outlineLevel="2" collapsed="false">
      <c r="A67" s="3" t="s">
        <v>1241</v>
      </c>
      <c r="B67" s="12" t="s">
        <v>93</v>
      </c>
      <c r="C67" s="68" t="n">
        <f aca="false">C65*C66</f>
        <v>0.352738724992629</v>
      </c>
      <c r="D67" s="68" t="n">
        <f aca="false">D65*D66</f>
        <v>1.11393398762355</v>
      </c>
      <c r="E67" s="68" t="n">
        <f aca="false">E65*E66</f>
        <v>1.809805193528</v>
      </c>
      <c r="F67" s="68" t="n">
        <f aca="false">F65*F66</f>
        <v>2.64079032820739</v>
      </c>
      <c r="G67" s="68" t="n">
        <f aca="false">G65*G66</f>
        <v>3.66090420995446</v>
      </c>
    </row>
    <row r="68" customFormat="false" ht="15" hidden="true" customHeight="false" outlineLevel="2" collapsed="false">
      <c r="A68" s="3" t="s">
        <v>1242</v>
      </c>
      <c r="B68" s="12" t="s">
        <v>93</v>
      </c>
      <c r="C68" s="39" t="n">
        <f aca="false">C61+C62+C63+C64+C67</f>
        <v>2.10312158485595</v>
      </c>
      <c r="D68" s="39" t="n">
        <f aca="false">D61+D62+D63+D64+D67</f>
        <v>6.4464765901002</v>
      </c>
      <c r="E68" s="39" t="n">
        <f aca="false">E61+E62+E63+E64+E67</f>
        <v>9.62759436500465</v>
      </c>
      <c r="F68" s="39" t="n">
        <f aca="false">F61+F62+F63+F64+F67</f>
        <v>12.442509513184</v>
      </c>
      <c r="G68" s="39" t="n">
        <f aca="false">G61+G62+G63+G64+G67</f>
        <v>15.3767353203311</v>
      </c>
      <c r="I68" s="7" t="s">
        <v>1243</v>
      </c>
    </row>
    <row r="69" customFormat="false" ht="15" hidden="true" customHeight="false" outlineLevel="2" collapsed="false">
      <c r="A69" s="3" t="s">
        <v>1244</v>
      </c>
      <c r="B69" s="12" t="s">
        <v>77</v>
      </c>
      <c r="C69" s="69" t="n">
        <f aca="false">1-C68/MAX(0.01,C65)</f>
        <v>0.671207160450116</v>
      </c>
      <c r="D69" s="69" t="n">
        <f aca="false">1-D68/MAX(0.01,D65)</f>
        <v>0.680865272380888</v>
      </c>
      <c r="E69" s="69" t="n">
        <f aca="false">1-E68/MAX(0.01,E65)</f>
        <v>0.706642588482376</v>
      </c>
      <c r="F69" s="69" t="n">
        <f aca="false">1-F68/MAX(0.01,F65)</f>
        <v>0.740172465854412</v>
      </c>
      <c r="G69" s="69" t="n">
        <f aca="false">1-G68/MAX(0.01,G65)</f>
        <v>0.768374225499002</v>
      </c>
      <c r="I69" s="7" t="s">
        <v>1245</v>
      </c>
    </row>
    <row r="70" customFormat="false" ht="15" hidden="true" customHeight="false" outlineLevel="2" collapsed="false">
      <c r="A70" s="3" t="s">
        <v>1246</v>
      </c>
      <c r="B70" s="12" t="s">
        <v>93</v>
      </c>
      <c r="C70" s="43" t="n">
        <f aca="false">各期收支!C12</f>
        <v>1.34</v>
      </c>
      <c r="D70" s="43" t="n">
        <f aca="false">各期收支!D12</f>
        <v>3.939</v>
      </c>
      <c r="E70" s="43" t="n">
        <f aca="false">各期收支!E12</f>
        <v>4.72535483870968</v>
      </c>
      <c r="F70" s="43" t="n">
        <f aca="false">各期收支!F12</f>
        <v>5.123</v>
      </c>
      <c r="G70" s="43" t="n">
        <f aca="false">各期收支!G12</f>
        <v>5.19053846153846</v>
      </c>
      <c r="I70" s="7" t="s">
        <v>1247</v>
      </c>
    </row>
    <row r="71" customFormat="false" ht="15" hidden="true" customHeight="false" outlineLevel="2" collapsed="false">
      <c r="A71" s="3" t="s">
        <v>1248</v>
      </c>
      <c r="B71" s="12" t="s">
        <v>77</v>
      </c>
      <c r="C71" s="73" t="n">
        <f aca="false">C69-C70/MAX(0.01,C65)</f>
        <v>0.46171741522123</v>
      </c>
      <c r="D71" s="73" t="n">
        <f aca="false">D69-D70/MAX(0.01,D65)</f>
        <v>0.485863913960979</v>
      </c>
      <c r="E71" s="73" t="n">
        <f aca="false">E69-E70/MAX(0.01,E65)</f>
        <v>0.562658763299117</v>
      </c>
      <c r="F71" s="73" t="n">
        <f aca="false">F69-F70/MAX(0.01,F65)</f>
        <v>0.633192723864468</v>
      </c>
      <c r="G71" s="73" t="n">
        <f aca="false">G69-G70/MAX(0.01,G65)</f>
        <v>0.690187115804694</v>
      </c>
    </row>
    <row r="72" customFormat="false" ht="15" hidden="true" customHeight="false" outlineLevel="2" collapsed="false">
      <c r="A72" s="4" t="s">
        <v>1249</v>
      </c>
      <c r="B72" s="12" t="s">
        <v>77</v>
      </c>
      <c r="C72" s="53" t="n">
        <f aca="false">輸入與假設!C$97</f>
        <v>0.46171741522123</v>
      </c>
      <c r="D72" s="53" t="n">
        <f aca="false">輸入與假設!D$97</f>
        <v>0.485863913960979</v>
      </c>
      <c r="E72" s="53" t="n">
        <f aca="false">輸入與假設!E$97</f>
        <v>0.562658763299117</v>
      </c>
      <c r="F72" s="53" t="n">
        <f aca="false">輸入與假設!F$97</f>
        <v>0.633192723864468</v>
      </c>
      <c r="G72" s="53" t="n">
        <f aca="false">輸入與假設!G$97</f>
        <v>0.690187115804694</v>
      </c>
      <c r="I72" s="7" t="s">
        <v>1250</v>
      </c>
    </row>
    <row r="73" customFormat="false" ht="15" hidden="false" customHeight="false" outlineLevel="1" collapsed="true">
      <c r="A73" s="20" t="s">
        <v>1251</v>
      </c>
      <c r="B73" s="21"/>
      <c r="C73" s="21"/>
      <c r="D73" s="21"/>
      <c r="E73" s="21"/>
      <c r="F73" s="21"/>
      <c r="G73" s="21"/>
      <c r="H73" s="21"/>
    </row>
    <row r="74" customFormat="false" ht="15" hidden="true" customHeight="false" outlineLevel="2" collapsed="false">
      <c r="A74" s="3" t="s">
        <v>1252</v>
      </c>
      <c r="B74" s="12" t="s">
        <v>345</v>
      </c>
      <c r="C74" s="43" t="n">
        <f aca="false">輸入與假設!C$29*輸入與假設!$C$22*1000</f>
        <v>8.41621326647324</v>
      </c>
      <c r="D74" s="43" t="n">
        <f aca="false">輸入與假設!D$29*輸入與假設!$C$22*1000</f>
        <v>8.78712095313968</v>
      </c>
      <c r="E74" s="43" t="n">
        <f aca="false">輸入與假設!E$29*輸入與假設!$C$22*1000</f>
        <v>10.1287899807039</v>
      </c>
      <c r="F74" s="43" t="n">
        <f aca="false">輸入與假設!F$29*輸入與假設!$C$22*1000</f>
        <v>12.6972629009115</v>
      </c>
      <c r="G74" s="43" t="n">
        <f aca="false">輸入與假設!G$29*輸入與假設!$C$22*1000</f>
        <v>16.465206537042</v>
      </c>
      <c r="I74" s="7" t="s">
        <v>1253</v>
      </c>
    </row>
    <row r="75" customFormat="false" ht="15" hidden="true" customHeight="false" outlineLevel="2" collapsed="false">
      <c r="A75" s="3" t="s">
        <v>1254</v>
      </c>
      <c r="B75" s="12" t="s">
        <v>345</v>
      </c>
      <c r="C75" s="68" t="n">
        <f aca="false">C74*輸入與假設!C$28</f>
        <v>7.99540260314958</v>
      </c>
      <c r="D75" s="68" t="n">
        <f aca="false">D74*輸入與假設!D$28</f>
        <v>8.3477649054827</v>
      </c>
      <c r="E75" s="68" t="n">
        <f aca="false">E74*輸入與假設!E$28</f>
        <v>9.5210625818617</v>
      </c>
      <c r="F75" s="68" t="n">
        <f aca="false">F74*輸入與假設!F$28</f>
        <v>11.8084544978477</v>
      </c>
      <c r="G75" s="68" t="n">
        <f aca="false">G74*輸入與假設!G$28</f>
        <v>15.1479900140786</v>
      </c>
    </row>
    <row r="76" customFormat="false" ht="15" hidden="true" customHeight="false" outlineLevel="2" collapsed="false">
      <c r="A76" s="3" t="s">
        <v>1255</v>
      </c>
      <c r="B76" s="12" t="s">
        <v>345</v>
      </c>
      <c r="C76" s="24" t="n">
        <v>11.2</v>
      </c>
      <c r="D76" s="24" t="n">
        <v>11.5</v>
      </c>
      <c r="E76" s="24" t="n">
        <v>11.5</v>
      </c>
      <c r="F76" s="24" t="n">
        <v>11</v>
      </c>
      <c r="G76" s="24" t="n">
        <v>10.5</v>
      </c>
      <c r="I76" s="12" t="s">
        <v>1256</v>
      </c>
    </row>
    <row r="77" customFormat="false" ht="15" hidden="true" customHeight="false" outlineLevel="2" collapsed="false">
      <c r="A77" s="3" t="s">
        <v>1257</v>
      </c>
      <c r="B77" s="12" t="s">
        <v>345</v>
      </c>
      <c r="C77" s="68" t="n">
        <f aca="false">(18.5+19.5)/2/1.85</f>
        <v>10.2702702702703</v>
      </c>
      <c r="D77" s="68"/>
      <c r="E77" s="68"/>
      <c r="F77" s="68"/>
      <c r="G77" s="68"/>
      <c r="I77" s="7" t="s">
        <v>1258</v>
      </c>
    </row>
    <row r="78" customFormat="false" ht="15" hidden="true" customHeight="false" outlineLevel="2" collapsed="false">
      <c r="A78" s="3" t="s">
        <v>1259</v>
      </c>
      <c r="B78" s="7" t="s">
        <v>1260</v>
      </c>
      <c r="C78" s="36" t="n">
        <f aca="false">SUMPRODUCT(C51:C55,輸入與假設!$C$77:$C$81)</f>
        <v>547.613291283582</v>
      </c>
      <c r="D78" s="36" t="n">
        <f aca="false">SUMPRODUCT(D51:D55,輸入與假設!$C$77:$C$81)</f>
        <v>503.577884</v>
      </c>
      <c r="E78" s="36" t="n">
        <f aca="false">SUMPRODUCT(E51:E55,輸入與假設!$C$77:$C$81)</f>
        <v>456.619736028169</v>
      </c>
      <c r="F78" s="36" t="n">
        <f aca="false">SUMPRODUCT(F51:F55,輸入與假設!$C$77:$C$81)</f>
        <v>419.924377931818</v>
      </c>
      <c r="G78" s="36" t="n">
        <f aca="false">SUMPRODUCT(G51:G55,輸入與假設!$C$77:$C$81)</f>
        <v>385.447642865385</v>
      </c>
      <c r="I78" s="12" t="s">
        <v>1261</v>
      </c>
    </row>
    <row r="79" customFormat="false" ht="15" hidden="true" customHeight="false" outlineLevel="2" collapsed="false">
      <c r="A79" s="4" t="s">
        <v>1262</v>
      </c>
      <c r="B79" s="12" t="s">
        <v>345</v>
      </c>
      <c r="C79" s="68" t="s">
        <v>884</v>
      </c>
      <c r="D79" s="68" t="s">
        <v>884</v>
      </c>
      <c r="E79" s="68" t="s">
        <v>884</v>
      </c>
      <c r="F79" s="68" t="s">
        <v>884</v>
      </c>
      <c r="G79" s="68" t="s">
        <v>884</v>
      </c>
      <c r="I79" s="7" t="s">
        <v>1263</v>
      </c>
    </row>
    <row r="80" customFormat="false" ht="15" hidden="true" customHeight="false" outlineLevel="2" collapsed="false">
      <c r="A80" s="3" t="s">
        <v>1264</v>
      </c>
      <c r="B80" s="12" t="s">
        <v>1265</v>
      </c>
      <c r="C80" s="55" t="n">
        <f aca="false">C74*1000000/MAX(0.000000001,C78*8760)</f>
        <v>1.75444050461805</v>
      </c>
      <c r="D80" s="55" t="n">
        <f aca="false">D74*1000000/MAX(0.000000001,D78*8760)</f>
        <v>1.99193815115371</v>
      </c>
      <c r="E80" s="55" t="n">
        <f aca="false">E74*1000000/MAX(0.000000001,E78*8760)</f>
        <v>2.53220452988911</v>
      </c>
      <c r="F80" s="55" t="n">
        <f aca="false">F74*1000000/MAX(0.000000001,F78*8760)</f>
        <v>3.45171490734271</v>
      </c>
      <c r="G80" s="55" t="n">
        <f aca="false">G74*1000000/MAX(0.000000001,G78*8760)</f>
        <v>4.87638158417794</v>
      </c>
      <c r="I80" s="7" t="s">
        <v>1266</v>
      </c>
    </row>
    <row r="81" customFormat="false" ht="15" hidden="true" customHeight="false" outlineLevel="2" collapsed="false">
      <c r="A81" s="3" t="s">
        <v>1267</v>
      </c>
      <c r="B81" s="12" t="s">
        <v>1265</v>
      </c>
      <c r="C81" s="55" t="n">
        <f aca="false">SUMPRODUCT(C51:C55,輸入與假設!$C$77:$C$81,輸入與假設!$D$77:$D$81)/MAX(0.000000001,C78)</f>
        <v>2.30847434818164</v>
      </c>
      <c r="D81" s="55" t="n">
        <f aca="false">SUMPRODUCT(D51:D55,輸入與假設!$C$77:$C$81,輸入與假設!$D$77:$D$81)/MAX(0.000000001,D78)</f>
        <v>2.62097125151804</v>
      </c>
      <c r="E81" s="55" t="n">
        <f aca="false">SUMPRODUCT(E51:E55,輸入與假設!$C$77:$C$81,輸入與假設!$D$77:$D$81)/MAX(0.000000001,E78)</f>
        <v>2.98053457385315</v>
      </c>
      <c r="F81" s="55" t="n">
        <f aca="false">SUMPRODUCT(F51:F55,輸入與假設!$C$77:$C$81,輸入與假設!$D$77:$D$81)/MAX(0.000000001,F78)</f>
        <v>3.29333557827845</v>
      </c>
      <c r="G81" s="55" t="n">
        <f aca="false">SUMPRODUCT(G51:G55,輸入與假設!$C$77:$C$81,輸入與假設!$D$77:$D$81)/MAX(0.000000001,G78)</f>
        <v>3.64474053944154</v>
      </c>
      <c r="I81" s="12" t="s">
        <v>1268</v>
      </c>
    </row>
    <row r="82" customFormat="false" ht="15" hidden="true" customHeight="false" outlineLevel="2" collapsed="false">
      <c r="A82" s="3" t="s">
        <v>1269</v>
      </c>
      <c r="B82" s="7" t="s">
        <v>314</v>
      </c>
      <c r="C82" s="78" t="n">
        <f aca="false">C80/MAX(0.000000001,C81)</f>
        <v>0.760000000000003</v>
      </c>
      <c r="D82" s="78" t="n">
        <f aca="false">D80/MAX(0.000000001,D81)</f>
        <v>0.760000000000003</v>
      </c>
      <c r="E82" s="78" t="n">
        <f aca="false">E80/MAX(0.000000001,E81)</f>
        <v>0.84958065982625</v>
      </c>
      <c r="F82" s="78" t="n">
        <f aca="false">F80/MAX(0.000000001,F81)</f>
        <v>1.0480908566102</v>
      </c>
      <c r="G82" s="78" t="n">
        <f aca="false">G80/MAX(0.000000001,G81)</f>
        <v>1.33792283192952</v>
      </c>
    </row>
    <row r="83" customFormat="false" ht="15" hidden="true" customHeight="false" outlineLevel="2" collapsed="false">
      <c r="A83" s="3" t="s">
        <v>1270</v>
      </c>
      <c r="B83" s="12" t="s">
        <v>345</v>
      </c>
      <c r="C83" s="68" t="n">
        <f aca="false">SUMPRODUCT(C51:C55,輸入與假設!$E$77:$E$81)</f>
        <v>11.0739648243069</v>
      </c>
      <c r="D83" s="68" t="n">
        <f aca="false">SUMPRODUCT(D51:D55,輸入與假設!$E$77:$E$81)</f>
        <v>11.5620012541312</v>
      </c>
      <c r="E83" s="68" t="n">
        <f aca="false">SUMPRODUCT(E51:E55,輸入與假設!$E$77:$E$81)</f>
        <v>11.9221051745404</v>
      </c>
      <c r="F83" s="68" t="n">
        <f aca="false">SUMPRODUCT(F51:F55,輸入與假設!$E$77:$E$81)</f>
        <v>12.1146585916967</v>
      </c>
      <c r="G83" s="68" t="n">
        <f aca="false">SUMPRODUCT(G51:G55,輸入與假設!$E$77:$E$81)</f>
        <v>12.3065442521048</v>
      </c>
      <c r="I83" s="12" t="s">
        <v>1271</v>
      </c>
    </row>
    <row r="84" customFormat="false" ht="15" hidden="true" customHeight="false" outlineLevel="2" collapsed="false">
      <c r="A84" s="3" t="s">
        <v>1272</v>
      </c>
      <c r="B84" s="7" t="s">
        <v>314</v>
      </c>
      <c r="C84" s="78" t="n">
        <f aca="false">C74/MAX(0.000000001,C83)</f>
        <v>0.76</v>
      </c>
      <c r="D84" s="78" t="n">
        <f aca="false">D74/MAX(0.000000001,D83)</f>
        <v>0.76</v>
      </c>
      <c r="E84" s="78" t="n">
        <f aca="false">E74/MAX(0.000000001,E83)</f>
        <v>0.849580659826248</v>
      </c>
      <c r="F84" s="78" t="n">
        <f aca="false">F74/MAX(0.000000001,F83)</f>
        <v>1.0480908566102</v>
      </c>
      <c r="G84" s="78" t="n">
        <f aca="false">G74/MAX(0.000000001,G83)</f>
        <v>1.33792283192951</v>
      </c>
    </row>
    <row r="85" customFormat="false" ht="15" hidden="true" customHeight="false" outlineLevel="2" collapsed="false">
      <c r="A85" s="3" t="s">
        <v>1273</v>
      </c>
      <c r="B85" s="12" t="s">
        <v>345</v>
      </c>
      <c r="C85" s="24" t="n">
        <v>9.7</v>
      </c>
      <c r="D85" s="24" t="n">
        <v>9.7</v>
      </c>
      <c r="E85" s="24" t="n">
        <v>9.7</v>
      </c>
      <c r="F85" s="24" t="n">
        <v>9.7</v>
      </c>
      <c r="G85" s="24" t="n">
        <v>9.7</v>
      </c>
      <c r="I85" s="12" t="s">
        <v>1274</v>
      </c>
    </row>
    <row r="86" customFormat="false" ht="15" hidden="true" customHeight="false" outlineLevel="2" collapsed="false">
      <c r="A86" s="3" t="s">
        <v>1275</v>
      </c>
      <c r="B86" s="12" t="s">
        <v>1265</v>
      </c>
      <c r="C86" s="41" t="n">
        <v>2.82</v>
      </c>
      <c r="D86" s="41"/>
      <c r="E86" s="41"/>
      <c r="F86" s="41"/>
      <c r="G86" s="41"/>
      <c r="I86" s="12" t="s">
        <v>1276</v>
      </c>
    </row>
    <row r="87" customFormat="false" ht="15" hidden="true" customHeight="false" outlineLevel="2" collapsed="false">
      <c r="A87" s="3" t="s">
        <v>1277</v>
      </c>
      <c r="B87" s="12" t="s">
        <v>1265</v>
      </c>
      <c r="C87" s="41" t="n">
        <v>6.155</v>
      </c>
      <c r="D87" s="41"/>
      <c r="E87" s="41"/>
      <c r="F87" s="41"/>
      <c r="G87" s="41"/>
      <c r="I87" s="12" t="s">
        <v>1278</v>
      </c>
    </row>
    <row r="88" customFormat="false" ht="15" hidden="true" customHeight="false" outlineLevel="2" collapsed="false">
      <c r="A88" s="3" t="s">
        <v>1279</v>
      </c>
      <c r="B88" s="12" t="s">
        <v>1265</v>
      </c>
      <c r="C88" s="41" t="n">
        <v>10.5</v>
      </c>
      <c r="D88" s="41"/>
      <c r="E88" s="41"/>
      <c r="F88" s="41"/>
      <c r="G88" s="41"/>
      <c r="I88" s="12" t="s">
        <v>1280</v>
      </c>
    </row>
    <row r="89" customFormat="false" ht="15" hidden="true" customHeight="false" outlineLevel="2" collapsed="false">
      <c r="A89" s="3" t="s">
        <v>1281</v>
      </c>
      <c r="B89" s="12" t="s">
        <v>1265</v>
      </c>
      <c r="C89" s="41" t="n">
        <v>5.87</v>
      </c>
      <c r="D89" s="41"/>
      <c r="E89" s="41"/>
      <c r="F89" s="41"/>
      <c r="G89" s="41"/>
      <c r="I89" s="12" t="s">
        <v>1282</v>
      </c>
    </row>
    <row r="90" customFormat="false" ht="15" hidden="true" customHeight="false" outlineLevel="2" collapsed="false">
      <c r="A90" s="3" t="s">
        <v>1283</v>
      </c>
      <c r="B90" s="12" t="s">
        <v>1265</v>
      </c>
      <c r="C90" s="41" t="n">
        <v>6.82</v>
      </c>
      <c r="D90" s="41"/>
      <c r="E90" s="41"/>
      <c r="F90" s="41"/>
      <c r="G90" s="41"/>
      <c r="I90" s="12" t="s">
        <v>1284</v>
      </c>
    </row>
    <row r="91" customFormat="false" ht="15" hidden="true" customHeight="false" outlineLevel="2" collapsed="false">
      <c r="A91" s="3" t="s">
        <v>1285</v>
      </c>
      <c r="B91" s="12" t="s">
        <v>1265</v>
      </c>
      <c r="C91" s="41" t="n">
        <v>7.85</v>
      </c>
      <c r="D91" s="41"/>
      <c r="E91" s="41"/>
      <c r="F91" s="41"/>
      <c r="G91" s="41"/>
      <c r="I91" s="12" t="s">
        <v>1286</v>
      </c>
    </row>
    <row r="92" customFormat="false" ht="15" hidden="false" customHeight="false" outlineLevel="1" collapsed="true">
      <c r="A92" s="20" t="s">
        <v>1287</v>
      </c>
      <c r="B92" s="21"/>
      <c r="C92" s="21"/>
      <c r="D92" s="21"/>
      <c r="E92" s="21"/>
      <c r="F92" s="21"/>
      <c r="G92" s="21"/>
      <c r="H92" s="21"/>
    </row>
    <row r="93" customFormat="false" ht="15" hidden="true" customHeight="false" outlineLevel="2" collapsed="false">
      <c r="A93" s="3" t="s">
        <v>1288</v>
      </c>
      <c r="B93" s="12" t="s">
        <v>345</v>
      </c>
      <c r="C93" s="68" t="n">
        <f aca="false">C83</f>
        <v>11.0739648243069</v>
      </c>
      <c r="D93" s="68" t="n">
        <f aca="false">D83</f>
        <v>11.5620012541312</v>
      </c>
      <c r="E93" s="68" t="n">
        <f aca="false">E83</f>
        <v>11.9221051745404</v>
      </c>
      <c r="F93" s="68" t="n">
        <f aca="false">F83</f>
        <v>12.1146585916967</v>
      </c>
      <c r="G93" s="68" t="n">
        <f aca="false">G83</f>
        <v>12.3065442521048</v>
      </c>
      <c r="I93" s="7" t="s">
        <v>1289</v>
      </c>
    </row>
    <row r="94" customFormat="false" ht="15" hidden="true" customHeight="false" outlineLevel="2" collapsed="false">
      <c r="A94" s="3" t="s">
        <v>1290</v>
      </c>
      <c r="B94" s="12" t="s">
        <v>93</v>
      </c>
      <c r="C94" s="43" t="n">
        <f aca="false">運營_產能與收入!C17</f>
        <v>13.19175</v>
      </c>
      <c r="D94" s="43" t="n">
        <f aca="false">運營_產能與收入!D17</f>
        <v>26.3835</v>
      </c>
      <c r="E94" s="43" t="n">
        <f aca="false">運營_產能與收入!E17</f>
        <v>25.74</v>
      </c>
      <c r="F94" s="43" t="n">
        <f aca="false">運營_產能與收入!F17</f>
        <v>25.0965</v>
      </c>
      <c r="G94" s="43" t="n">
        <f aca="false">運營_產能與收入!G17</f>
        <v>17.69625</v>
      </c>
      <c r="I94" s="7" t="s">
        <v>1291</v>
      </c>
    </row>
    <row r="95" customFormat="false" ht="15" hidden="true" customHeight="false" outlineLevel="2" collapsed="false">
      <c r="A95" s="3" t="s">
        <v>1292</v>
      </c>
      <c r="B95" s="12" t="s">
        <v>179</v>
      </c>
      <c r="C95" s="66" t="n">
        <f aca="false">運營_產能與收入!C12</f>
        <v>1525</v>
      </c>
      <c r="D95" s="66" t="n">
        <f aca="false">運營_產能與收入!D12</f>
        <v>2300</v>
      </c>
      <c r="E95" s="66" t="n">
        <f aca="false">運營_產能與收入!E12</f>
        <v>3319.5</v>
      </c>
      <c r="F95" s="66" t="n">
        <f aca="false">運營_產能與收入!F12</f>
        <v>4117</v>
      </c>
      <c r="G95" s="66" t="n">
        <f aca="false">運營_產能與收入!G12</f>
        <v>4872.5</v>
      </c>
      <c r="I95" s="7" t="s">
        <v>1293</v>
      </c>
    </row>
    <row r="96" customFormat="false" ht="15" hidden="true" customHeight="false" outlineLevel="2" collapsed="false">
      <c r="A96" s="3" t="s">
        <v>1294</v>
      </c>
      <c r="B96" s="12" t="s">
        <v>77</v>
      </c>
      <c r="C96" s="53" t="n">
        <f aca="false">輸入與假設!C$28</f>
        <v>0.95</v>
      </c>
      <c r="D96" s="53" t="n">
        <f aca="false">輸入與假設!D$28</f>
        <v>0.95</v>
      </c>
      <c r="E96" s="53" t="n">
        <f aca="false">輸入與假設!E$28</f>
        <v>0.94</v>
      </c>
      <c r="F96" s="53" t="n">
        <f aca="false">輸入與假設!F$28</f>
        <v>0.93</v>
      </c>
      <c r="G96" s="53" t="n">
        <f aca="false">輸入與假設!G$28</f>
        <v>0.92</v>
      </c>
    </row>
    <row r="97" customFormat="false" ht="15" hidden="true" customHeight="false" outlineLevel="2" collapsed="false">
      <c r="A97" s="3" t="s">
        <v>1295</v>
      </c>
      <c r="B97" s="12" t="s">
        <v>93</v>
      </c>
      <c r="C97" s="68" t="n">
        <f aca="false">C95*C93/1000*輸入與假設!$C$83*C96*輸入與假設!C$24</f>
        <v>6.09649448490156</v>
      </c>
      <c r="D97" s="68" t="n">
        <f aca="false">D95*D93/1000*輸入與假設!$C$83*D96*輸入與假設!D$24</f>
        <v>19.1998592826102</v>
      </c>
      <c r="E97" s="68" t="n">
        <f aca="false">E95*E93/1000*輸入與假設!$C$83*E96*輸入與假設!E$24</f>
        <v>28.2726858538479</v>
      </c>
      <c r="F97" s="68" t="n">
        <f aca="false">F95*F93/1000*輸入與假設!$C$83*F96*輸入與假設!F$24</f>
        <v>35.2523917314805</v>
      </c>
      <c r="G97" s="68" t="n">
        <f aca="false">G95*G93/1000*輸入與假設!$C$83*G96*輸入與假設!G$24</f>
        <v>41.9265748983718</v>
      </c>
      <c r="I97" s="7" t="s">
        <v>1296</v>
      </c>
    </row>
    <row r="98" customFormat="false" ht="15" hidden="true" customHeight="false" outlineLevel="2" collapsed="false">
      <c r="A98" s="4" t="s">
        <v>1297</v>
      </c>
      <c r="B98" s="12" t="s">
        <v>77</v>
      </c>
      <c r="C98" s="69" t="n">
        <f aca="false">C94/MAX(0.000000001,C97)</f>
        <v>2.16382546275903</v>
      </c>
      <c r="D98" s="69" t="n">
        <f aca="false">D94/MAX(0.000000001,D97)</f>
        <v>1.37415069619266</v>
      </c>
      <c r="E98" s="69" t="n">
        <f aca="false">E94/MAX(0.000000001,E97)</f>
        <v>0.910419340173752</v>
      </c>
      <c r="F98" s="69" t="n">
        <f aca="false">F94/MAX(0.000000001,F97)</f>
        <v>0.711909143389802</v>
      </c>
      <c r="G98" s="69" t="n">
        <f aca="false">G94/MAX(0.000000001,G97)</f>
        <v>0.422077168070488</v>
      </c>
      <c r="I98" s="7" t="s">
        <v>1298</v>
      </c>
    </row>
    <row r="99" customFormat="false" ht="15" hidden="true" customHeight="false" outlineLevel="2" collapsed="false">
      <c r="A99" s="3" t="s">
        <v>1299</v>
      </c>
      <c r="B99" s="12" t="s">
        <v>77</v>
      </c>
      <c r="C99" s="73" t="n">
        <f aca="false">MIN(1,MAX(0,C98+輸入與假設!$C$85))</f>
        <v>1</v>
      </c>
      <c r="D99" s="73" t="n">
        <f aca="false">MIN(1,MAX(0,D98+輸入與假設!$C$85))</f>
        <v>1</v>
      </c>
      <c r="E99" s="73" t="n">
        <f aca="false">MIN(1,MAX(0,E98+輸入與假設!$C$85))</f>
        <v>0.910419340173752</v>
      </c>
      <c r="F99" s="73" t="n">
        <f aca="false">MIN(1,MAX(0,F98+輸入與假設!$C$85))</f>
        <v>0.711909143389802</v>
      </c>
      <c r="G99" s="73" t="n">
        <f aca="false">MIN(1,MAX(0,G98+輸入與假設!$C$85))</f>
        <v>0.422077168070488</v>
      </c>
      <c r="I99" s="7" t="s">
        <v>1300</v>
      </c>
    </row>
    <row r="100" customFormat="false" ht="15" hidden="true" customHeight="false" outlineLevel="2" collapsed="false">
      <c r="A100" s="4" t="s">
        <v>1301</v>
      </c>
      <c r="B100" s="7" t="s">
        <v>314</v>
      </c>
      <c r="C100" s="79" t="n">
        <f aca="false">輸入與假設!$C$83</f>
        <v>0.76</v>
      </c>
      <c r="D100" s="79" t="n">
        <f aca="false">輸入與假設!$C$83</f>
        <v>0.76</v>
      </c>
      <c r="E100" s="79" t="n">
        <f aca="false">輸入與假設!$C$83</f>
        <v>0.76</v>
      </c>
      <c r="F100" s="79" t="n">
        <f aca="false">輸入與假設!$C$83</f>
        <v>0.76</v>
      </c>
      <c r="G100" s="79" t="n">
        <f aca="false">輸入與假設!$C$83</f>
        <v>0.76</v>
      </c>
      <c r="I100" s="7" t="s">
        <v>1302</v>
      </c>
    </row>
    <row r="101" customFormat="false" ht="15" hidden="true" customHeight="false" outlineLevel="2" collapsed="false">
      <c r="A101" s="4" t="s">
        <v>1303</v>
      </c>
      <c r="B101" s="7" t="s">
        <v>314</v>
      </c>
      <c r="C101" s="79" t="n">
        <f aca="false">輸入與假設!$C$84</f>
        <v>1.76</v>
      </c>
      <c r="D101" s="79" t="n">
        <f aca="false">輸入與假設!$C$84</f>
        <v>1.76</v>
      </c>
      <c r="E101" s="79" t="n">
        <f aca="false">輸入與假設!$C$84</f>
        <v>1.76</v>
      </c>
      <c r="F101" s="79" t="n">
        <f aca="false">輸入與假設!$C$84</f>
        <v>1.76</v>
      </c>
      <c r="G101" s="79" t="n">
        <f aca="false">輸入與假設!$C$84</f>
        <v>1.76</v>
      </c>
    </row>
    <row r="102" customFormat="false" ht="15" hidden="true" customHeight="false" outlineLevel="2" collapsed="false">
      <c r="A102" s="3" t="s">
        <v>1304</v>
      </c>
      <c r="B102" s="7" t="s">
        <v>314</v>
      </c>
      <c r="C102" s="57" t="n">
        <f aca="false">C99*C100+(1-C99)*C101</f>
        <v>0.76</v>
      </c>
      <c r="D102" s="57" t="n">
        <f aca="false">D99*D100+(1-D99)*D101</f>
        <v>0.76</v>
      </c>
      <c r="E102" s="57" t="n">
        <f aca="false">E99*E100+(1-E99)*E101</f>
        <v>0.849580659826248</v>
      </c>
      <c r="F102" s="57" t="n">
        <f aca="false">F99*F100+(1-F99)*F101</f>
        <v>1.0480908566102</v>
      </c>
      <c r="G102" s="57" t="n">
        <f aca="false">G99*G100+(1-G99)*G101</f>
        <v>1.33792283192951</v>
      </c>
    </row>
    <row r="103" customFormat="false" ht="15" hidden="true" customHeight="false" outlineLevel="2" collapsed="false">
      <c r="A103" s="4" t="s">
        <v>1305</v>
      </c>
      <c r="B103" s="12" t="s">
        <v>345</v>
      </c>
      <c r="C103" s="39" t="n">
        <f aca="false">C93*C102</f>
        <v>8.41621326647324</v>
      </c>
      <c r="D103" s="39" t="n">
        <f aca="false">D93*D102</f>
        <v>8.78712095313968</v>
      </c>
      <c r="E103" s="39" t="n">
        <f aca="false">E93*E102</f>
        <v>10.1287899807039</v>
      </c>
      <c r="F103" s="39" t="n">
        <f aca="false">F93*F102</f>
        <v>12.6972629009115</v>
      </c>
      <c r="G103" s="39" t="n">
        <f aca="false">G93*G102</f>
        <v>16.465206537042</v>
      </c>
      <c r="I103" s="7" t="s">
        <v>1306</v>
      </c>
    </row>
    <row r="104" customFormat="false" ht="15" hidden="true" customHeight="false" outlineLevel="2" collapsed="false">
      <c r="A104" s="3" t="s">
        <v>1307</v>
      </c>
      <c r="B104" s="12" t="s">
        <v>77</v>
      </c>
      <c r="C104" s="69" t="n">
        <f aca="false">C103/MAX(0.000000001,C76)-1</f>
        <v>-0.248552386922032</v>
      </c>
      <c r="D104" s="69" t="n">
        <f aca="false">D103/MAX(0.000000001,D76)-1</f>
        <v>-0.23590252581394</v>
      </c>
      <c r="E104" s="69" t="n">
        <f aca="false">E103/MAX(0.000000001,E76)-1</f>
        <v>-0.119235653851832</v>
      </c>
      <c r="F104" s="69" t="n">
        <f aca="false">F103/MAX(0.000000001,F76)-1</f>
        <v>0.154296627355592</v>
      </c>
      <c r="G104" s="69" t="n">
        <f aca="false">G103/MAX(0.000000001,G76)-1</f>
        <v>0.56811490828971</v>
      </c>
    </row>
    <row r="105" customFormat="false" ht="15" hidden="true" customHeight="false" outlineLevel="2" collapsed="false">
      <c r="A105" s="3" t="s">
        <v>1308</v>
      </c>
      <c r="B105" s="12" t="s">
        <v>345</v>
      </c>
      <c r="C105" s="68" t="n">
        <f aca="false">SUMPRODUCT(C51:C55,輸入與假設!$C$87:$C$91)</f>
        <v>19.1007066129953</v>
      </c>
      <c r="D105" s="68" t="n">
        <f aca="false">SUMPRODUCT(D51:D55,輸入與假設!$C$87:$C$91)</f>
        <v>24.166048949397</v>
      </c>
      <c r="E105" s="68" t="n">
        <f aca="false">SUMPRODUCT(E51:E55,輸入與假設!$C$87:$C$91)</f>
        <v>29.6255436770286</v>
      </c>
      <c r="F105" s="68" t="n">
        <f aca="false">SUMPRODUCT(F51:F55,輸入與假設!$C$87:$C$91)</f>
        <v>33.823128962171</v>
      </c>
      <c r="G105" s="68" t="n">
        <f aca="false">SUMPRODUCT(G51:G55,輸入與假設!$C$87:$C$91)</f>
        <v>37.663483762171</v>
      </c>
      <c r="I105" s="12" t="s">
        <v>1309</v>
      </c>
    </row>
    <row r="106" customFormat="false" ht="15" hidden="true" customHeight="false" outlineLevel="2" collapsed="false">
      <c r="A106" s="3" t="s">
        <v>1310</v>
      </c>
      <c r="B106" s="12" t="s">
        <v>77</v>
      </c>
      <c r="C106" s="73" t="n">
        <f aca="false">C75/MAX(0.000000001,C105)</f>
        <v>0.418591980137</v>
      </c>
      <c r="D106" s="73" t="n">
        <f aca="false">D75/MAX(0.000000001,D105)</f>
        <v>0.345433584238891</v>
      </c>
      <c r="E106" s="73" t="n">
        <f aca="false">E75/MAX(0.000000001,E105)</f>
        <v>0.321380180754092</v>
      </c>
      <c r="F106" s="73" t="n">
        <f aca="false">F75/MAX(0.000000001,F105)</f>
        <v>0.349123657691597</v>
      </c>
      <c r="G106" s="73" t="n">
        <f aca="false">G75/MAX(0.000000001,G105)</f>
        <v>0.402193012991888</v>
      </c>
      <c r="I106" s="7" t="s">
        <v>1311</v>
      </c>
    </row>
    <row r="107" customFormat="false" ht="15" hidden="true" customHeight="false" outlineLevel="2" collapsed="false">
      <c r="A107" s="3" t="s">
        <v>1312</v>
      </c>
      <c r="B107" s="7"/>
      <c r="C107" s="39" t="str">
        <f aca="false">IF(C106&gt;0.5,"警示","通過")</f>
        <v>通過</v>
      </c>
      <c r="D107" s="39" t="str">
        <f aca="false">IF(D106&gt;0.5,"警示","通過")</f>
        <v>通過</v>
      </c>
      <c r="E107" s="39" t="str">
        <f aca="false">IF(E106&gt;0.5,"警示","通過")</f>
        <v>通過</v>
      </c>
      <c r="F107" s="39" t="str">
        <f aca="false">IF(F106&gt;0.5,"警示","通過")</f>
        <v>通過</v>
      </c>
      <c r="G107" s="39" t="str">
        <f aca="false">IF(G106&gt;0.5,"警示","通過")</f>
        <v>通過</v>
      </c>
    </row>
    <row r="108" customFormat="false" ht="15" hidden="false" customHeight="false" outlineLevel="1" collapsed="true">
      <c r="A108" s="20" t="s">
        <v>1313</v>
      </c>
      <c r="B108" s="21"/>
      <c r="C108" s="21"/>
      <c r="D108" s="21"/>
      <c r="E108" s="21"/>
      <c r="F108" s="21"/>
      <c r="G108" s="21"/>
      <c r="H108" s="21"/>
    </row>
    <row r="109" customFormat="false" ht="17.15" hidden="true" customHeight="false" outlineLevel="2" collapsed="false">
      <c r="A109" s="15" t="s">
        <v>1314</v>
      </c>
      <c r="B109" s="15" t="s">
        <v>88</v>
      </c>
      <c r="C109" s="15" t="s">
        <v>1315</v>
      </c>
      <c r="D109" s="16" t="s">
        <v>1316</v>
      </c>
      <c r="E109" s="15" t="s">
        <v>1317</v>
      </c>
      <c r="F109" s="15" t="s">
        <v>1318</v>
      </c>
      <c r="G109" s="15"/>
      <c r="I109" s="12" t="s">
        <v>1319</v>
      </c>
    </row>
    <row r="110" customFormat="false" ht="15" hidden="true" customHeight="false" outlineLevel="2" collapsed="false">
      <c r="A110" s="4" t="s">
        <v>1320</v>
      </c>
      <c r="B110" s="12" t="s">
        <v>1321</v>
      </c>
      <c r="C110" s="44" t="n">
        <v>9.7</v>
      </c>
      <c r="D110" s="80" t="n">
        <f aca="false">TK_HoldEcon_GB300</f>
        <v>12.7247463559608</v>
      </c>
      <c r="E110" s="81" t="n">
        <f aca="false">C110/D110</f>
        <v>0.762294172995921</v>
      </c>
      <c r="F110" s="4" t="s">
        <v>1322</v>
      </c>
      <c r="I110" s="12" t="s">
        <v>1323</v>
      </c>
    </row>
    <row r="111" customFormat="false" ht="15" hidden="true" customHeight="false" outlineLevel="2" collapsed="false">
      <c r="A111" s="4" t="s">
        <v>1324</v>
      </c>
      <c r="B111" s="12" t="s">
        <v>1321</v>
      </c>
      <c r="C111" s="44" t="n">
        <v>11.333</v>
      </c>
      <c r="D111" s="80" t="n">
        <f aca="false">TK_HoldEcon_GB300</f>
        <v>12.7247463559608</v>
      </c>
      <c r="E111" s="81" t="n">
        <f aca="false">C111/D111</f>
        <v>0.890626789954925</v>
      </c>
      <c r="F111" s="4" t="s">
        <v>1325</v>
      </c>
      <c r="I111" s="12" t="s">
        <v>1326</v>
      </c>
    </row>
    <row r="112" customFormat="false" ht="15" hidden="true" customHeight="false" outlineLevel="2" collapsed="false">
      <c r="A112" s="4" t="s">
        <v>1327</v>
      </c>
      <c r="B112" s="12" t="s">
        <v>1321</v>
      </c>
      <c r="C112" s="44" t="n">
        <v>13.333</v>
      </c>
      <c r="D112" s="80" t="n">
        <f aca="false">TK_HoldEcon_GB300</f>
        <v>12.7247463559608</v>
      </c>
      <c r="E112" s="81" t="n">
        <f aca="false">C112/D112</f>
        <v>1.04780084624274</v>
      </c>
      <c r="F112" s="4" t="s">
        <v>1328</v>
      </c>
      <c r="I112" s="12" t="s">
        <v>1329</v>
      </c>
    </row>
    <row r="113" customFormat="false" ht="15" hidden="true" customHeight="false" outlineLevel="2" collapsed="false">
      <c r="A113" s="4" t="s">
        <v>1330</v>
      </c>
      <c r="B113" s="12" t="s">
        <v>1265</v>
      </c>
      <c r="C113" s="44" t="n">
        <v>2.82</v>
      </c>
      <c r="D113" s="80" t="n">
        <f aca="false">TK_GPUhrEcon_H100</f>
        <v>1.60502925637165</v>
      </c>
      <c r="E113" s="81" t="n">
        <f aca="false">C113/D113</f>
        <v>1.7569773191393</v>
      </c>
      <c r="F113" s="4" t="s">
        <v>1331</v>
      </c>
      <c r="I113" s="12" t="s">
        <v>1332</v>
      </c>
    </row>
    <row r="114" customFormat="false" ht="15" hidden="true" customHeight="false" outlineLevel="2" collapsed="false">
      <c r="A114" s="4" t="s">
        <v>1333</v>
      </c>
      <c r="B114" s="12" t="s">
        <v>1265</v>
      </c>
      <c r="C114" s="44" t="n">
        <v>6.82</v>
      </c>
      <c r="D114" s="80" t="n">
        <f aca="false">TK_GPUhrEcon_GB300</f>
        <v>2.98269559427618</v>
      </c>
      <c r="E114" s="81" t="n">
        <f aca="false">C114/D114</f>
        <v>2.28652230321044</v>
      </c>
      <c r="F114" s="4" t="s">
        <v>1325</v>
      </c>
      <c r="I114" s="12" t="s">
        <v>1334</v>
      </c>
    </row>
    <row r="115" customFormat="false" ht="15" hidden="true" customHeight="false" outlineLevel="2" collapsed="false">
      <c r="A115" s="4" t="s">
        <v>1335</v>
      </c>
      <c r="B115" s="12" t="s">
        <v>1265</v>
      </c>
      <c r="C115" s="44" t="n">
        <v>4.08</v>
      </c>
      <c r="D115" s="80" t="n">
        <f aca="false">TK_GPUhrEcon_GB200</f>
        <v>2.08645378736555</v>
      </c>
      <c r="E115" s="81" t="n">
        <f aca="false">C115/D115</f>
        <v>1.95547106037349</v>
      </c>
      <c r="F115" s="4" t="s">
        <v>1325</v>
      </c>
      <c r="I115" s="12" t="s">
        <v>1336</v>
      </c>
    </row>
    <row r="116" customFormat="false" ht="15" hidden="true" customHeight="false" outlineLevel="2" collapsed="false">
      <c r="A116" s="4" t="s">
        <v>1337</v>
      </c>
      <c r="B116" s="12" t="s">
        <v>1265</v>
      </c>
      <c r="C116" s="44" t="n">
        <v>5.87</v>
      </c>
      <c r="D116" s="80" t="n">
        <f aca="false">TK_GPUhrEcon_GB200</f>
        <v>2.08645378736555</v>
      </c>
      <c r="E116" s="81" t="n">
        <f aca="false">C116/D116</f>
        <v>2.8133860599001</v>
      </c>
      <c r="F116" s="4" t="s">
        <v>1328</v>
      </c>
      <c r="I116" s="12" t="s">
        <v>1338</v>
      </c>
    </row>
    <row r="117" customFormat="false" ht="15" hidden="true" customHeight="false" outlineLevel="2" collapsed="false">
      <c r="A117" s="4" t="s">
        <v>1339</v>
      </c>
      <c r="B117" s="12" t="s">
        <v>1265</v>
      </c>
      <c r="C117" s="44" t="n">
        <v>7.85</v>
      </c>
      <c r="D117" s="80" t="n">
        <f aca="false">TK_GPUhrEcon_GB300</f>
        <v>2.98269559427618</v>
      </c>
      <c r="E117" s="81" t="n">
        <f aca="false">C117/D117</f>
        <v>2.63184751909119</v>
      </c>
      <c r="F117" s="4" t="s">
        <v>1328</v>
      </c>
      <c r="I117" s="12" t="s">
        <v>1340</v>
      </c>
    </row>
    <row r="118" customFormat="false" ht="15" hidden="true" customHeight="false" outlineLevel="2" collapsed="false">
      <c r="A118" s="4" t="s">
        <v>1341</v>
      </c>
      <c r="B118" s="12" t="s">
        <v>1265</v>
      </c>
      <c r="C118" s="44" t="n">
        <v>10.5</v>
      </c>
      <c r="D118" s="80" t="n">
        <f aca="false">TK_GPUhrEcon_GB200</f>
        <v>2.08645378736555</v>
      </c>
      <c r="E118" s="81" t="n">
        <f aca="false">C118/D118</f>
        <v>5.0324622877259</v>
      </c>
      <c r="F118" s="4" t="s">
        <v>1328</v>
      </c>
      <c r="I118" s="12" t="s">
        <v>1342</v>
      </c>
    </row>
    <row r="119" customFormat="false" ht="15" hidden="true" customHeight="false" outlineLevel="2" collapsed="false">
      <c r="A119" s="4" t="s">
        <v>1343</v>
      </c>
      <c r="B119" s="12" t="s">
        <v>1265</v>
      </c>
      <c r="C119" s="44" t="n">
        <v>6.155</v>
      </c>
      <c r="D119" s="80" t="n">
        <f aca="false">TK_GPUhrEcon_H100</f>
        <v>1.60502925637165</v>
      </c>
      <c r="E119" s="81" t="n">
        <f aca="false">C119/D119</f>
        <v>3.8348210635824</v>
      </c>
      <c r="F119" s="4" t="s">
        <v>1328</v>
      </c>
      <c r="I119" s="12" t="s">
        <v>1344</v>
      </c>
    </row>
    <row r="120" customFormat="false" ht="15" hidden="true" customHeight="false" outlineLevel="2" collapsed="false">
      <c r="A120" s="3" t="s">
        <v>1345</v>
      </c>
      <c r="B120" s="7" t="s">
        <v>378</v>
      </c>
      <c r="C120" s="74" t="n">
        <v>5</v>
      </c>
      <c r="I120" s="12" t="s">
        <v>1346</v>
      </c>
    </row>
    <row r="121" customFormat="false" ht="15" hidden="true" customHeight="false" outlineLevel="2" collapsed="false">
      <c r="A121" s="3" t="s">
        <v>1347</v>
      </c>
      <c r="B121" s="7"/>
      <c r="C121" s="82" t="s">
        <v>1348</v>
      </c>
      <c r="I121" s="12" t="s">
        <v>1349</v>
      </c>
    </row>
    <row r="122" customFormat="false" ht="15" hidden="true" customHeight="false" outlineLevel="2" collapsed="false">
      <c r="A122" s="3" t="s">
        <v>1350</v>
      </c>
      <c r="B122" s="7"/>
      <c r="C122" s="74" t="s">
        <v>1351</v>
      </c>
      <c r="I122" s="7" t="s">
        <v>1352</v>
      </c>
    </row>
    <row r="123" customFormat="false" ht="15" hidden="true" customHeight="false" outlineLevel="2" collapsed="false">
      <c r="A123" s="3" t="s">
        <v>1353</v>
      </c>
      <c r="I123" s="12" t="s">
        <v>1354</v>
      </c>
    </row>
    <row r="124" customFormat="false" ht="15" hidden="true" customHeight="false" outlineLevel="2" collapsed="false">
      <c r="A124" s="3" t="s">
        <v>1355</v>
      </c>
      <c r="I124" s="12" t="s">
        <v>1356</v>
      </c>
    </row>
    <row r="125" customFormat="false" ht="15" hidden="true" customHeight="false" outlineLevel="2" collapsed="false">
      <c r="A125" s="3" t="s">
        <v>1357</v>
      </c>
      <c r="I125" s="7" t="s">
        <v>1358</v>
      </c>
    </row>
    <row r="126" customFormat="false" ht="15" hidden="false" customHeight="false" outlineLevel="1" collapsed="true">
      <c r="A126" s="20" t="s">
        <v>1359</v>
      </c>
      <c r="B126" s="21"/>
      <c r="C126" s="21"/>
      <c r="D126" s="21"/>
      <c r="E126" s="21"/>
      <c r="F126" s="21"/>
      <c r="G126" s="21"/>
      <c r="H126" s="21"/>
    </row>
    <row r="127" customFormat="false" ht="15" hidden="true" customHeight="false" outlineLevel="2" collapsed="false">
      <c r="A127" s="3" t="s">
        <v>1360</v>
      </c>
      <c r="B127" s="12" t="s">
        <v>345</v>
      </c>
      <c r="C127" s="83" t="n">
        <f aca="false">輸入與假設!C$130</f>
        <v>34.759438</v>
      </c>
      <c r="D127" s="83" t="n">
        <f aca="false">輸入與假設!D$130</f>
        <v>37.515928</v>
      </c>
      <c r="E127" s="83" t="n">
        <f aca="false">輸入與假設!E$130</f>
        <v>37.586352</v>
      </c>
      <c r="F127" s="83" t="n">
        <f aca="false">輸入與假設!F$130</f>
        <v>37.586352</v>
      </c>
      <c r="G127" s="83" t="n">
        <f aca="false">輸入與假設!G$130</f>
        <v>37.586352</v>
      </c>
    </row>
    <row r="128" customFormat="false" ht="15" hidden="true" customHeight="false" outlineLevel="2" collapsed="false">
      <c r="A128" s="4" t="s">
        <v>1361</v>
      </c>
      <c r="B128" s="12" t="s">
        <v>345</v>
      </c>
      <c r="C128" s="36" t="n">
        <f aca="false">SUMPRODUCT(輸入與假設!C$58:C$62,輸入與假設!$C$65:$C$69)</f>
        <v>34.759438</v>
      </c>
      <c r="D128" s="36" t="n">
        <f aca="false">SUMPRODUCT(輸入與假設!D$58:D$62,輸入與假設!$C$65:$C$69)</f>
        <v>37.515928</v>
      </c>
      <c r="E128" s="36" t="n">
        <f aca="false">SUMPRODUCT(輸入與假設!E$58:E$62,輸入與假設!$C$65:$C$69)</f>
        <v>37.586352</v>
      </c>
      <c r="F128" s="36" t="n">
        <f aca="false">SUMPRODUCT(輸入與假設!F$58:F$62,輸入與假設!$C$65:$C$69)</f>
        <v>37.586352</v>
      </c>
      <c r="G128" s="36" t="n">
        <f aca="false">SUMPRODUCT(輸入與假設!G$58:G$62,輸入與假設!$C$65:$C$69)</f>
        <v>37.586352</v>
      </c>
    </row>
    <row r="129" customFormat="false" ht="15" hidden="true" customHeight="false" outlineLevel="2" collapsed="false">
      <c r="A129" s="4" t="s">
        <v>1362</v>
      </c>
      <c r="B129" s="12" t="s">
        <v>345</v>
      </c>
      <c r="C129" s="36" t="n">
        <f aca="false">SUMPRODUCT(輸入與假設!C$58:C$62,輸入與假設!$D$65:$D$69)</f>
        <v>47.429438</v>
      </c>
      <c r="D129" s="36" t="n">
        <f aca="false">SUMPRODUCT(輸入與假設!D$58:D$62,輸入與假設!$D$65:$D$69)</f>
        <v>50.185928</v>
      </c>
      <c r="E129" s="36" t="n">
        <f aca="false">SUMPRODUCT(輸入與假設!E$58:E$62,輸入與假設!$D$65:$D$69)</f>
        <v>50.256352</v>
      </c>
      <c r="F129" s="36" t="n">
        <f aca="false">SUMPRODUCT(輸入與假設!F$58:F$62,輸入與假設!$D$65:$D$69)</f>
        <v>50.256352</v>
      </c>
      <c r="G129" s="36" t="n">
        <f aca="false">SUMPRODUCT(輸入與假設!G$58:G$62,輸入與假設!$D$65:$D$69)</f>
        <v>50.256352</v>
      </c>
      <c r="I129" s="12" t="s">
        <v>1363</v>
      </c>
    </row>
    <row r="130" customFormat="false" ht="15" hidden="true" customHeight="false" outlineLevel="2" collapsed="false">
      <c r="A130" s="4" t="s">
        <v>1364</v>
      </c>
      <c r="B130" s="12" t="s">
        <v>345</v>
      </c>
      <c r="C130" s="37" t="n">
        <v>34</v>
      </c>
      <c r="D130" s="37" t="n">
        <v>34</v>
      </c>
      <c r="E130" s="37" t="n">
        <v>34</v>
      </c>
      <c r="F130" s="37" t="n">
        <v>34</v>
      </c>
      <c r="G130" s="37" t="n">
        <v>34</v>
      </c>
      <c r="I130" s="7" t="s">
        <v>1365</v>
      </c>
    </row>
    <row r="131" customFormat="false" ht="15" hidden="true" customHeight="false" outlineLevel="2" collapsed="false">
      <c r="A131" s="3" t="s">
        <v>1366</v>
      </c>
      <c r="B131" s="12" t="s">
        <v>345</v>
      </c>
      <c r="C131" s="68" t="n">
        <f aca="false">SUMPRODUCT(C51:C55,輸入與假設!$C$65:$C$69)/輸入與假設!$C$124</f>
        <v>5.2011494519592</v>
      </c>
      <c r="D131" s="68" t="n">
        <f aca="false">SUMPRODUCT(D51:D55,輸入與假設!$C$65:$C$69)/輸入與假設!$C$124</f>
        <v>5.50854603651111</v>
      </c>
      <c r="E131" s="68" t="n">
        <f aca="false">SUMPRODUCT(E51:E55,輸入與假設!$C$65:$C$69)/輸入與假設!$C$124</f>
        <v>5.73536253719202</v>
      </c>
      <c r="F131" s="68" t="n">
        <f aca="false">SUMPRODUCT(F51:F55,輸入與假設!$C$65:$C$69)/輸入與假設!$C$124</f>
        <v>5.85664500538598</v>
      </c>
      <c r="G131" s="68" t="n">
        <f aca="false">SUMPRODUCT(G51:G55,輸入與假設!$C$65:$C$69)/輸入與假設!$C$124</f>
        <v>5.97750687763429</v>
      </c>
    </row>
    <row r="132" customFormat="false" ht="15" hidden="false" customHeight="false" outlineLevel="1" collapsed="true">
      <c r="A132" s="20" t="s">
        <v>1367</v>
      </c>
      <c r="B132" s="21"/>
      <c r="C132" s="21"/>
      <c r="D132" s="21"/>
      <c r="E132" s="21"/>
      <c r="F132" s="21"/>
      <c r="G132" s="21"/>
      <c r="H132" s="21"/>
    </row>
    <row r="133" customFormat="false" ht="15" hidden="true" customHeight="false" outlineLevel="2" collapsed="false">
      <c r="A133" s="3" t="s">
        <v>1368</v>
      </c>
      <c r="B133" s="12" t="s">
        <v>179</v>
      </c>
      <c r="C133" s="70" t="n">
        <f aca="false">輸入與假設!$C$41-輸入與假設!$C$118/2</f>
        <v>1250</v>
      </c>
      <c r="D133" s="70"/>
      <c r="E133" s="70"/>
      <c r="F133" s="70"/>
      <c r="G133" s="70"/>
      <c r="I133" s="7" t="s">
        <v>1369</v>
      </c>
    </row>
    <row r="134" customFormat="false" ht="15" hidden="true" customHeight="false" outlineLevel="2" collapsed="false">
      <c r="A134" s="3" t="s">
        <v>1370</v>
      </c>
      <c r="B134" s="12" t="s">
        <v>93</v>
      </c>
      <c r="C134" s="68" t="n">
        <f aca="false">輸入與假設!$C$106+輸入與假設!$C$107-輸入與假設!$C$112-輸入與假設!$C$113-輸入與假設!$C$114-輸入與假設!$C$115</f>
        <v>0.274</v>
      </c>
      <c r="D134" s="68"/>
      <c r="E134" s="68"/>
      <c r="F134" s="68"/>
      <c r="G134" s="68"/>
      <c r="I134" s="7" t="s">
        <v>1371</v>
      </c>
    </row>
    <row r="135" customFormat="false" ht="15" hidden="true" customHeight="false" outlineLevel="2" collapsed="false">
      <c r="A135" s="3" t="s">
        <v>1372</v>
      </c>
      <c r="B135" s="12" t="s">
        <v>345</v>
      </c>
      <c r="C135" s="56" t="n">
        <f aca="false">C134*4/C133*1000</f>
        <v>0.8768</v>
      </c>
      <c r="D135" s="56"/>
      <c r="E135" s="56"/>
      <c r="F135" s="56"/>
      <c r="G135" s="56"/>
    </row>
    <row r="136" customFormat="false" ht="15" hidden="true" customHeight="false" outlineLevel="2" collapsed="false">
      <c r="A136" s="3" t="s">
        <v>1373</v>
      </c>
      <c r="B136" s="12" t="s">
        <v>345</v>
      </c>
      <c r="C136" s="56" t="n">
        <f aca="false">C57+C58+C59+C60</f>
        <v>2.09000938491143</v>
      </c>
      <c r="D136" s="56" t="n">
        <f aca="false">D57+D58+D59+D60</f>
        <v>2.15456266766733</v>
      </c>
      <c r="E136" s="56" t="n">
        <f aca="false">E57+E58+E59+E60</f>
        <v>2.20219413281032</v>
      </c>
      <c r="F136" s="56" t="n">
        <f aca="false">F57+F58+F59+F60</f>
        <v>2.22766345113106</v>
      </c>
      <c r="G136" s="56" t="n">
        <f aca="false">G57+G58+G59+G60</f>
        <v>2.2530444443032</v>
      </c>
    </row>
    <row r="137" customFormat="false" ht="15" hidden="true" customHeight="false" outlineLevel="2" collapsed="false">
      <c r="A137" s="3" t="s">
        <v>1374</v>
      </c>
      <c r="B137" s="12" t="s">
        <v>345</v>
      </c>
      <c r="C137" s="57" t="n">
        <f aca="false">C136-C135</f>
        <v>1.21320938491143</v>
      </c>
      <c r="D137" s="57"/>
      <c r="E137" s="57"/>
      <c r="F137" s="57"/>
      <c r="G137" s="57"/>
      <c r="I137" s="7" t="s">
        <v>1375</v>
      </c>
    </row>
    <row r="138" customFormat="false" ht="15" hidden="true" customHeight="false" outlineLevel="2" collapsed="false">
      <c r="A138" s="3" t="s">
        <v>1376</v>
      </c>
      <c r="B138" s="12" t="s">
        <v>345</v>
      </c>
      <c r="C138" s="56" t="n">
        <f aca="false">(輸入與假設!$C$114+輸入與假設!$C$115)*4/C133*1000</f>
        <v>2.08</v>
      </c>
      <c r="D138" s="56"/>
      <c r="E138" s="56"/>
      <c r="F138" s="56"/>
      <c r="G138" s="56"/>
    </row>
    <row r="139" customFormat="false" ht="15" hidden="true" customHeight="false" outlineLevel="2" collapsed="false">
      <c r="A139" s="3" t="s">
        <v>1377</v>
      </c>
      <c r="B139" s="12" t="s">
        <v>345</v>
      </c>
      <c r="C139" s="56" t="n">
        <f aca="false">C70/C50/輸入與假設!C$24*1000</f>
        <v>1.6</v>
      </c>
      <c r="D139" s="56" t="n">
        <f aca="false">D70/D50/輸入與假設!D$24*1000</f>
        <v>1.59151515151515</v>
      </c>
      <c r="E139" s="56" t="n">
        <f aca="false">E70/E50/輸入與假設!E$24*1000</f>
        <v>1.33108587005906</v>
      </c>
      <c r="F139" s="56" t="n">
        <f aca="false">F70/F50/輸入與假設!F$24*1000</f>
        <v>1.16431818181818</v>
      </c>
      <c r="G139" s="56" t="n">
        <f aca="false">G70/G50/輸入與假設!G$24*1000</f>
        <v>0.998180473372781</v>
      </c>
    </row>
    <row r="140" customFormat="false" ht="15" hidden="true" customHeight="false" outlineLevel="2" collapsed="false">
      <c r="A140" s="3" t="s">
        <v>1378</v>
      </c>
      <c r="B140" s="12" t="s">
        <v>345</v>
      </c>
      <c r="C140" s="56" t="n">
        <f aca="false">輸入與假設!$C$105*4/C133*1000</f>
        <v>8.24</v>
      </c>
      <c r="D140" s="56"/>
      <c r="E140" s="56"/>
      <c r="F140" s="56"/>
      <c r="G140" s="56"/>
      <c r="I140" s="12" t="s">
        <v>1379</v>
      </c>
    </row>
    <row r="141" customFormat="false" ht="15" hidden="true" customHeight="false" outlineLevel="2" collapsed="false">
      <c r="A141" s="3" t="s">
        <v>1380</v>
      </c>
      <c r="B141" s="12" t="s">
        <v>77</v>
      </c>
      <c r="C141" s="69" t="n">
        <f aca="false">輸入與假設!$C$20/輸入與假設!$C$41</f>
        <v>0.9</v>
      </c>
      <c r="D141" s="69"/>
      <c r="E141" s="69"/>
      <c r="F141" s="69"/>
      <c r="G141" s="69"/>
      <c r="I141" s="7" t="s">
        <v>1381</v>
      </c>
    </row>
    <row r="142" customFormat="false" ht="15" hidden="true" customHeight="false" outlineLevel="2" collapsed="false">
      <c r="A142" s="3" t="s">
        <v>1382</v>
      </c>
      <c r="B142" s="12" t="s">
        <v>345</v>
      </c>
      <c r="C142" s="56" t="n">
        <f aca="false">C140/C141</f>
        <v>9.15555555555556</v>
      </c>
      <c r="D142" s="56"/>
      <c r="E142" s="56"/>
      <c r="F142" s="56"/>
      <c r="G142" s="56"/>
    </row>
    <row r="143" customFormat="false" ht="15" hidden="true" customHeight="false" outlineLevel="2" collapsed="false">
      <c r="A143" s="3" t="s">
        <v>1383</v>
      </c>
      <c r="B143" s="12" t="s">
        <v>345</v>
      </c>
      <c r="C143" s="56" t="n">
        <f aca="false">輸入與假設!$C$42*輸入與假設!$E$77+輸入與假設!$C$43*輸入與假設!$E$78+輸入與假設!$C$44*輸入與假設!$E$79+輸入與假設!$C$45*輸入與假設!$E$80+輸入與假設!$C$46*輸入與假設!$E$81</f>
        <v>10.9642948158504</v>
      </c>
      <c r="D143" s="56"/>
      <c r="E143" s="56"/>
      <c r="F143" s="56"/>
      <c r="G143" s="56"/>
      <c r="I143" s="7" t="s">
        <v>1384</v>
      </c>
    </row>
    <row r="144" customFormat="false" ht="15" hidden="true" customHeight="false" outlineLevel="2" collapsed="false">
      <c r="A144" s="3" t="s">
        <v>1385</v>
      </c>
      <c r="B144" s="7" t="s">
        <v>314</v>
      </c>
      <c r="C144" s="57" t="n">
        <f aca="false">C140/C143</f>
        <v>0.751530320772471</v>
      </c>
      <c r="D144" s="57"/>
      <c r="E144" s="57"/>
      <c r="F144" s="57"/>
      <c r="G144" s="57"/>
      <c r="I144" s="7" t="s">
        <v>1386</v>
      </c>
    </row>
    <row r="145" customFormat="false" ht="15" hidden="false" customHeight="false" outlineLevel="1" collapsed="true">
      <c r="A145" s="20" t="s">
        <v>1387</v>
      </c>
      <c r="B145" s="21"/>
      <c r="C145" s="21"/>
      <c r="D145" s="21"/>
      <c r="E145" s="21"/>
      <c r="F145" s="21"/>
      <c r="G145" s="21"/>
      <c r="H145" s="21"/>
    </row>
    <row r="146" customFormat="false" ht="17.15" hidden="true" customHeight="false" outlineLevel="2" collapsed="false">
      <c r="A146" s="15" t="s">
        <v>1388</v>
      </c>
      <c r="B146" s="15"/>
      <c r="C146" s="15" t="s">
        <v>1389</v>
      </c>
      <c r="D146" s="15" t="s">
        <v>1390</v>
      </c>
      <c r="E146" s="16" t="s">
        <v>1391</v>
      </c>
      <c r="F146" s="16" t="s">
        <v>1392</v>
      </c>
      <c r="I146" s="7" t="s">
        <v>1393</v>
      </c>
    </row>
    <row r="147" customFormat="false" ht="15" hidden="true" customHeight="false" outlineLevel="2" collapsed="false">
      <c r="A147" s="2" t="s">
        <v>1394</v>
      </c>
      <c r="B147" s="12" t="s">
        <v>1395</v>
      </c>
      <c r="C147" s="84" t="n">
        <v>91.2392623465329</v>
      </c>
      <c r="D147" s="68" t="n">
        <v>30.2923738695558</v>
      </c>
      <c r="E147" s="55" t="n">
        <v>0</v>
      </c>
      <c r="F147" s="68" t="n">
        <v>0</v>
      </c>
    </row>
    <row r="148" customFormat="false" ht="15" hidden="true" customHeight="false" outlineLevel="2" collapsed="false">
      <c r="A148" s="3" t="s">
        <v>1396</v>
      </c>
      <c r="B148" s="12" t="s">
        <v>1395</v>
      </c>
      <c r="C148" s="84" t="n">
        <v>4.53518527221571</v>
      </c>
      <c r="D148" s="68" t="n">
        <v>48.7638046090247</v>
      </c>
      <c r="E148" s="55" t="n">
        <v>-86.7040770743171</v>
      </c>
      <c r="F148" s="68" t="n">
        <v>18.4714307394689</v>
      </c>
    </row>
    <row r="149" customFormat="false" ht="15" hidden="true" customHeight="false" outlineLevel="2" collapsed="false">
      <c r="A149" s="3" t="s">
        <v>1397</v>
      </c>
      <c r="B149" s="12" t="s">
        <v>1395</v>
      </c>
      <c r="C149" s="84" t="n">
        <v>541.463576905594</v>
      </c>
      <c r="D149" s="68" t="n">
        <v>0</v>
      </c>
      <c r="E149" s="55" t="n">
        <v>450.224314559061</v>
      </c>
      <c r="F149" s="68" t="n">
        <v>-30.2923738695558</v>
      </c>
    </row>
    <row r="150" customFormat="false" ht="15" hidden="true" customHeight="false" outlineLevel="2" collapsed="false">
      <c r="A150" s="3" t="s">
        <v>1398</v>
      </c>
      <c r="B150" s="12" t="s">
        <v>1395</v>
      </c>
      <c r="C150" s="85" t="s">
        <v>884</v>
      </c>
      <c r="D150" s="68"/>
      <c r="E150" s="55"/>
      <c r="F150" s="68"/>
    </row>
    <row r="151" customFormat="false" ht="15" hidden="true" customHeight="false" outlineLevel="2" collapsed="false">
      <c r="A151" s="3" t="s">
        <v>1399</v>
      </c>
      <c r="B151" s="12" t="s">
        <v>1395</v>
      </c>
      <c r="C151" s="85" t="s">
        <v>884</v>
      </c>
      <c r="D151" s="68"/>
      <c r="E151" s="55"/>
      <c r="F151" s="68"/>
    </row>
    <row r="152" customFormat="false" ht="15" hidden="true" customHeight="false" outlineLevel="2" collapsed="false">
      <c r="A152" s="3" t="s">
        <v>1400</v>
      </c>
      <c r="B152" s="12" t="s">
        <v>1395</v>
      </c>
      <c r="C152" s="85" t="n">
        <v>98.0393682730865</v>
      </c>
      <c r="D152" s="68" t="n">
        <v>34.4356245860338</v>
      </c>
      <c r="E152" s="55" t="n">
        <v>6.80010592655361</v>
      </c>
      <c r="F152" s="68" t="n">
        <v>4.14325071647797</v>
      </c>
    </row>
    <row r="153" customFormat="false" ht="15" hidden="true" customHeight="false" outlineLevel="2" collapsed="false">
      <c r="A153" s="3" t="s">
        <v>1401</v>
      </c>
      <c r="B153" s="12" t="s">
        <v>1395</v>
      </c>
      <c r="C153" s="85" t="n">
        <v>72.3072544217536</v>
      </c>
      <c r="D153" s="68" t="n">
        <v>35.827535439159</v>
      </c>
      <c r="E153" s="55" t="n">
        <v>-18.9320079247792</v>
      </c>
      <c r="F153" s="68" t="n">
        <v>5.53516156960323</v>
      </c>
    </row>
    <row r="154" customFormat="false" ht="15" hidden="true" customHeight="false" outlineLevel="2" collapsed="false">
      <c r="A154" s="3" t="s">
        <v>1402</v>
      </c>
      <c r="B154" s="12" t="s">
        <v>1395</v>
      </c>
      <c r="C154" s="85" t="n">
        <v>53.4606709984488</v>
      </c>
      <c r="D154" s="68" t="n">
        <v>42.4939949293803</v>
      </c>
      <c r="E154" s="55" t="n">
        <v>-37.7785913480841</v>
      </c>
      <c r="F154" s="68" t="n">
        <v>12.2016210598245</v>
      </c>
    </row>
    <row r="155" customFormat="false" ht="15" hidden="true" customHeight="false" outlineLevel="2" collapsed="false">
      <c r="A155" s="3" t="s">
        <v>1403</v>
      </c>
      <c r="B155" s="12" t="s">
        <v>1395</v>
      </c>
      <c r="C155" s="85" t="n">
        <v>226.818406762832</v>
      </c>
      <c r="D155" s="68" t="n">
        <v>0</v>
      </c>
      <c r="E155" s="55" t="n">
        <v>135.579144416299</v>
      </c>
      <c r="F155" s="68" t="n">
        <v>-30.2923738695558</v>
      </c>
    </row>
    <row r="156" customFormat="false" ht="15" hidden="true" customHeight="false" outlineLevel="2" collapsed="false">
      <c r="A156" s="3" t="s">
        <v>1404</v>
      </c>
      <c r="B156" s="12" t="s">
        <v>1395</v>
      </c>
      <c r="C156" s="85" t="n">
        <v>62.4126178125471</v>
      </c>
      <c r="D156" s="68" t="n">
        <v>36.6746992676367</v>
      </c>
      <c r="E156" s="55" t="n">
        <v>-28.8266445339857</v>
      </c>
      <c r="F156" s="68" t="n">
        <v>6.38232539808085</v>
      </c>
    </row>
    <row r="157" customFormat="false" ht="15" hidden="true" customHeight="false" outlineLevel="2" collapsed="false">
      <c r="A157" s="3" t="s">
        <v>1405</v>
      </c>
      <c r="B157" s="12" t="s">
        <v>1395</v>
      </c>
      <c r="C157" s="85" t="n">
        <v>150.35416510844</v>
      </c>
      <c r="D157" s="68" t="n">
        <v>17.0372440100219</v>
      </c>
      <c r="E157" s="55" t="n">
        <v>59.114902761907</v>
      </c>
      <c r="F157" s="68" t="n">
        <v>-13.255129859534</v>
      </c>
    </row>
    <row r="158" customFormat="false" ht="15" hidden="true" customHeight="false" outlineLevel="2" collapsed="false">
      <c r="A158" s="3" t="s">
        <v>1406</v>
      </c>
      <c r="B158" s="12" t="s">
        <v>1395</v>
      </c>
      <c r="C158" s="85" t="n">
        <v>178.621464305709</v>
      </c>
      <c r="D158" s="68" t="n">
        <v>10.9371817050411</v>
      </c>
      <c r="E158" s="55" t="n">
        <v>87.3822019591757</v>
      </c>
      <c r="F158" s="68" t="n">
        <v>-19.3551921645148</v>
      </c>
    </row>
    <row r="159" customFormat="false" ht="15" hidden="true" customHeight="false" outlineLevel="2" collapsed="false">
      <c r="A159" s="3" t="s">
        <v>1407</v>
      </c>
      <c r="B159" s="12" t="s">
        <v>1395</v>
      </c>
      <c r="C159" s="85" t="n">
        <v>13.9805355188478</v>
      </c>
      <c r="D159" s="68" t="n">
        <v>54.8411224358677</v>
      </c>
      <c r="E159" s="55" t="n">
        <v>-77.2587268276851</v>
      </c>
      <c r="F159" s="68" t="n">
        <v>24.5487485663119</v>
      </c>
    </row>
    <row r="160" customFormat="false" ht="15" hidden="true" customHeight="false" outlineLevel="2" collapsed="false">
      <c r="A160" s="2" t="s">
        <v>1408</v>
      </c>
      <c r="B160" s="12" t="s">
        <v>1395</v>
      </c>
      <c r="C160" s="85" t="n">
        <v>98.0184876310382</v>
      </c>
      <c r="D160" s="68" t="n">
        <v>67.5253862342037</v>
      </c>
      <c r="E160" s="55" t="n">
        <v>0</v>
      </c>
      <c r="F160" s="68" t="n">
        <v>0</v>
      </c>
    </row>
    <row r="161" customFormat="false" ht="15" hidden="true" customHeight="false" outlineLevel="2" collapsed="false">
      <c r="A161" s="3" t="s">
        <v>1409</v>
      </c>
      <c r="B161" s="12" t="s">
        <v>1395</v>
      </c>
      <c r="C161" s="85" t="n">
        <v>0.210584589014922</v>
      </c>
      <c r="D161" s="68" t="n">
        <v>85.7998100703005</v>
      </c>
      <c r="E161" s="55" t="n">
        <v>-97.8079030420232</v>
      </c>
      <c r="F161" s="68" t="n">
        <v>18.2744238360968</v>
      </c>
    </row>
    <row r="162" customFormat="false" ht="15" hidden="true" customHeight="false" outlineLevel="2" collapsed="false">
      <c r="A162" s="3" t="s">
        <v>1410</v>
      </c>
      <c r="B162" s="12" t="s">
        <v>1395</v>
      </c>
      <c r="C162" s="85" t="n">
        <v>605.657805554812</v>
      </c>
      <c r="D162" s="68" t="n">
        <v>0</v>
      </c>
      <c r="E162" s="55" t="n">
        <v>507.639317923773</v>
      </c>
      <c r="F162" s="68" t="n">
        <v>-67.5253862342037</v>
      </c>
    </row>
    <row r="163" customFormat="false" ht="15" hidden="true" customHeight="false" outlineLevel="2" collapsed="false">
      <c r="A163" s="3" t="s">
        <v>1411</v>
      </c>
      <c r="B163" s="12" t="s">
        <v>1395</v>
      </c>
      <c r="C163" s="85" t="s">
        <v>884</v>
      </c>
      <c r="D163" s="68"/>
      <c r="E163" s="55"/>
      <c r="F163" s="68"/>
    </row>
    <row r="164" customFormat="false" ht="15" hidden="true" customHeight="false" outlineLevel="2" collapsed="false">
      <c r="A164" s="3" t="s">
        <v>1412</v>
      </c>
      <c r="B164" s="12" t="s">
        <v>1395</v>
      </c>
      <c r="C164" s="85" t="s">
        <v>884</v>
      </c>
      <c r="D164" s="68"/>
      <c r="E164" s="55"/>
      <c r="F164" s="68"/>
    </row>
    <row r="165" customFormat="false" ht="15" hidden="true" customHeight="false" outlineLevel="2" collapsed="false">
      <c r="A165" s="3" t="s">
        <v>1413</v>
      </c>
      <c r="B165" s="12" t="s">
        <v>1395</v>
      </c>
      <c r="C165" s="85" t="n">
        <v>104.230559559731</v>
      </c>
      <c r="D165" s="68" t="n">
        <v>82.5004922590829</v>
      </c>
      <c r="E165" s="55" t="n">
        <v>6.21207192869292</v>
      </c>
      <c r="F165" s="68" t="n">
        <v>14.9751060248792</v>
      </c>
    </row>
    <row r="166" customFormat="false" ht="15" hidden="true" customHeight="false" outlineLevel="2" collapsed="false">
      <c r="A166" s="3" t="s">
        <v>1414</v>
      </c>
      <c r="B166" s="12" t="s">
        <v>1395</v>
      </c>
      <c r="C166" s="85" t="n">
        <v>75.0499694336637</v>
      </c>
      <c r="D166" s="68" t="n">
        <v>73.9419743341977</v>
      </c>
      <c r="E166" s="55" t="n">
        <v>-22.9685181973745</v>
      </c>
      <c r="F166" s="68" t="n">
        <v>6.41658809999403</v>
      </c>
    </row>
    <row r="167" customFormat="false" ht="15" hidden="true" customHeight="false" outlineLevel="2" collapsed="false">
      <c r="A167" s="3" t="s">
        <v>1415</v>
      </c>
      <c r="B167" s="12" t="s">
        <v>1395</v>
      </c>
      <c r="C167" s="85" t="n">
        <v>59.2368892738512</v>
      </c>
      <c r="D167" s="68" t="n">
        <v>80.3005817727207</v>
      </c>
      <c r="E167" s="55" t="n">
        <v>-38.7815983571869</v>
      </c>
      <c r="F167" s="68" t="n">
        <v>12.775195538517</v>
      </c>
    </row>
    <row r="168" customFormat="false" ht="15" hidden="true" customHeight="false" outlineLevel="2" collapsed="false">
      <c r="A168" s="3" t="s">
        <v>1416</v>
      </c>
      <c r="B168" s="12" t="s">
        <v>1395</v>
      </c>
      <c r="C168" s="85" t="n">
        <v>236.097075008715</v>
      </c>
      <c r="D168" s="68" t="n">
        <v>29.5015796743946</v>
      </c>
      <c r="E168" s="55" t="n">
        <v>138.078587377677</v>
      </c>
      <c r="F168" s="68" t="n">
        <v>-38.0238065598091</v>
      </c>
    </row>
    <row r="169" customFormat="false" ht="15" hidden="true" customHeight="false" outlineLevel="2" collapsed="false">
      <c r="A169" s="3" t="s">
        <v>1417</v>
      </c>
      <c r="B169" s="12" t="s">
        <v>1395</v>
      </c>
      <c r="C169" s="85" t="n">
        <v>54.1588765985846</v>
      </c>
      <c r="D169" s="68" t="n">
        <v>77.2079481506143</v>
      </c>
      <c r="E169" s="55" t="n">
        <v>-43.8596110324536</v>
      </c>
      <c r="F169" s="68" t="n">
        <v>9.68256191641062</v>
      </c>
    </row>
    <row r="170" customFormat="false" ht="15" hidden="true" customHeight="false" outlineLevel="2" collapsed="false">
      <c r="A170" s="3" t="s">
        <v>1418</v>
      </c>
      <c r="B170" s="12" t="s">
        <v>1395</v>
      </c>
      <c r="C170" s="85" t="n">
        <v>188.003533786384</v>
      </c>
      <c r="D170" s="68" t="n">
        <v>47.4160846984632</v>
      </c>
      <c r="E170" s="55" t="n">
        <v>89.9850461553455</v>
      </c>
      <c r="F170" s="68" t="n">
        <v>-20.1093015357405</v>
      </c>
    </row>
    <row r="171" customFormat="false" ht="15" hidden="true" customHeight="false" outlineLevel="2" collapsed="false">
      <c r="A171" s="3" t="s">
        <v>1419</v>
      </c>
      <c r="B171" s="12" t="s">
        <v>1395</v>
      </c>
      <c r="C171" s="85" t="n">
        <v>201.313153760705</v>
      </c>
      <c r="D171" s="68" t="n">
        <v>45.6319007306999</v>
      </c>
      <c r="E171" s="55" t="n">
        <v>103.294666129666</v>
      </c>
      <c r="F171" s="68" t="n">
        <v>-21.8934855035038</v>
      </c>
    </row>
    <row r="172" customFormat="false" ht="15" hidden="true" customHeight="false" outlineLevel="2" collapsed="false">
      <c r="A172" s="3" t="s">
        <v>1420</v>
      </c>
      <c r="B172" s="12" t="s">
        <v>1395</v>
      </c>
      <c r="C172" s="85" t="n">
        <v>5.24785180769839</v>
      </c>
      <c r="D172" s="68" t="n">
        <v>104.768016723937</v>
      </c>
      <c r="E172" s="55" t="n">
        <v>-92.7706358233398</v>
      </c>
      <c r="F172" s="68" t="n">
        <v>37.2426304897333</v>
      </c>
    </row>
    <row r="173" customFormat="false" ht="15" hidden="true" customHeight="false" outlineLevel="2" collapsed="false">
      <c r="A173" s="2" t="s">
        <v>1421</v>
      </c>
      <c r="B173" s="12" t="s">
        <v>1395</v>
      </c>
      <c r="C173" s="85" t="n">
        <v>131.856409498704</v>
      </c>
      <c r="D173" s="68" t="n">
        <v>118.117303569076</v>
      </c>
      <c r="E173" s="55" t="n">
        <v>0</v>
      </c>
      <c r="F173" s="68" t="n">
        <v>0</v>
      </c>
    </row>
    <row r="174" customFormat="false" ht="15" hidden="true" customHeight="false" outlineLevel="2" collapsed="false">
      <c r="A174" s="3" t="s">
        <v>1422</v>
      </c>
      <c r="B174" s="12" t="s">
        <v>1395</v>
      </c>
      <c r="C174" s="85" t="n">
        <v>10.9107429507562</v>
      </c>
      <c r="D174" s="68" t="n">
        <v>136.138531772961</v>
      </c>
      <c r="E174" s="55" t="n">
        <v>-120.945666547947</v>
      </c>
      <c r="F174" s="68" t="n">
        <v>18.021228203885</v>
      </c>
    </row>
    <row r="175" customFormat="false" ht="15" hidden="true" customHeight="false" outlineLevel="2" collapsed="false">
      <c r="A175" s="3" t="s">
        <v>1423</v>
      </c>
      <c r="B175" s="12" t="s">
        <v>1395</v>
      </c>
      <c r="C175" s="85" t="n">
        <v>774.807525039785</v>
      </c>
      <c r="D175" s="68" t="n">
        <v>0</v>
      </c>
      <c r="E175" s="55" t="n">
        <v>642.951115541082</v>
      </c>
      <c r="F175" s="68" t="n">
        <v>-118.117303569076</v>
      </c>
    </row>
    <row r="176" customFormat="false" ht="15" hidden="true" customHeight="false" outlineLevel="2" collapsed="false">
      <c r="A176" s="3" t="s">
        <v>1424</v>
      </c>
      <c r="B176" s="12" t="s">
        <v>1395</v>
      </c>
      <c r="C176" s="85" t="s">
        <v>884</v>
      </c>
      <c r="D176" s="68"/>
      <c r="E176" s="55"/>
      <c r="F176" s="68"/>
    </row>
    <row r="177" customFormat="false" ht="15" hidden="true" customHeight="false" outlineLevel="2" collapsed="false">
      <c r="A177" s="3" t="s">
        <v>1425</v>
      </c>
      <c r="B177" s="12" t="s">
        <v>1395</v>
      </c>
      <c r="C177" s="85" t="s">
        <v>884</v>
      </c>
      <c r="D177" s="68"/>
      <c r="E177" s="55"/>
      <c r="F177" s="68"/>
    </row>
    <row r="178" customFormat="false" ht="15" hidden="true" customHeight="false" outlineLevel="2" collapsed="false">
      <c r="A178" s="3" t="s">
        <v>1426</v>
      </c>
      <c r="B178" s="12" t="s">
        <v>1395</v>
      </c>
      <c r="C178" s="85" t="n">
        <v>142.07182256497</v>
      </c>
      <c r="D178" s="68" t="n">
        <v>146.089658397616</v>
      </c>
      <c r="E178" s="55" t="n">
        <v>10.2154130662668</v>
      </c>
      <c r="F178" s="68" t="n">
        <v>27.9723548285403</v>
      </c>
    </row>
    <row r="179" customFormat="false" ht="15" hidden="true" customHeight="false" outlineLevel="2" collapsed="false">
      <c r="A179" s="3" t="s">
        <v>1427</v>
      </c>
      <c r="B179" s="12" t="s">
        <v>1395</v>
      </c>
      <c r="C179" s="85" t="n">
        <v>103.336776099537</v>
      </c>
      <c r="D179" s="68" t="n">
        <v>126.48753038466</v>
      </c>
      <c r="E179" s="55" t="n">
        <v>-28.5196333991665</v>
      </c>
      <c r="F179" s="68" t="n">
        <v>8.37022681558469</v>
      </c>
    </row>
    <row r="180" customFormat="false" ht="15" hidden="true" customHeight="false" outlineLevel="2" collapsed="false">
      <c r="A180" s="3" t="s">
        <v>1428</v>
      </c>
      <c r="B180" s="12" t="s">
        <v>1395</v>
      </c>
      <c r="C180" s="85" t="n">
        <v>96.1247658795772</v>
      </c>
      <c r="D180" s="68" t="n">
        <v>130.892063755311</v>
      </c>
      <c r="E180" s="55" t="n">
        <v>-35.7316436191264</v>
      </c>
      <c r="F180" s="68" t="n">
        <v>12.7747601862349</v>
      </c>
    </row>
    <row r="181" customFormat="false" ht="15" hidden="true" customHeight="false" outlineLevel="2" collapsed="false">
      <c r="A181" s="3" t="s">
        <v>1429</v>
      </c>
      <c r="B181" s="12" t="s">
        <v>1395</v>
      </c>
      <c r="C181" s="85" t="n">
        <v>283.36796051488</v>
      </c>
      <c r="D181" s="68" t="n">
        <v>80.0942627510114</v>
      </c>
      <c r="E181" s="55" t="n">
        <v>151.511551016176</v>
      </c>
      <c r="F181" s="68" t="n">
        <v>-38.0230408180642</v>
      </c>
    </row>
    <row r="182" customFormat="false" ht="15" hidden="true" customHeight="false" outlineLevel="2" collapsed="false">
      <c r="A182" s="3" t="s">
        <v>1430</v>
      </c>
      <c r="B182" s="12" t="s">
        <v>1395</v>
      </c>
      <c r="C182" s="85" t="n">
        <v>63.1734242877632</v>
      </c>
      <c r="D182" s="68" t="n">
        <v>135.114480565557</v>
      </c>
      <c r="E182" s="55" t="n">
        <v>-68.6829852109404</v>
      </c>
      <c r="F182" s="68" t="n">
        <v>16.9971769964818</v>
      </c>
    </row>
    <row r="183" customFormat="false" ht="15" hidden="true" customHeight="false" outlineLevel="2" collapsed="false">
      <c r="A183" s="3" t="s">
        <v>1431</v>
      </c>
      <c r="B183" s="12" t="s">
        <v>1395</v>
      </c>
      <c r="C183" s="85" t="n">
        <v>274.720290467913</v>
      </c>
      <c r="D183" s="68" t="n">
        <v>82.8163422221394</v>
      </c>
      <c r="E183" s="55" t="n">
        <v>142.86388096921</v>
      </c>
      <c r="F183" s="68" t="n">
        <v>-35.3009613469362</v>
      </c>
    </row>
    <row r="184" customFormat="false" ht="15" hidden="true" customHeight="false" outlineLevel="2" collapsed="false">
      <c r="A184" s="3" t="s">
        <v>1432</v>
      </c>
      <c r="B184" s="12" t="s">
        <v>1395</v>
      </c>
      <c r="C184" s="85" t="n">
        <v>257.225312528425</v>
      </c>
      <c r="D184" s="68" t="n">
        <v>90.5976628066016</v>
      </c>
      <c r="E184" s="55" t="n">
        <v>125.368903029722</v>
      </c>
      <c r="F184" s="68" t="n">
        <v>-27.519640762474</v>
      </c>
    </row>
    <row r="185" customFormat="false" ht="15" hidden="true" customHeight="false" outlineLevel="2" collapsed="false">
      <c r="A185" s="3" t="s">
        <v>1433</v>
      </c>
      <c r="B185" s="12" t="s">
        <v>1395</v>
      </c>
      <c r="C185" s="85" t="n">
        <v>0</v>
      </c>
      <c r="D185" s="68" t="n">
        <v>183.494127989618</v>
      </c>
      <c r="E185" s="55" t="n">
        <v>-131.856409498704</v>
      </c>
      <c r="F185" s="68" t="n">
        <v>65.3768244205427</v>
      </c>
    </row>
    <row r="186" customFormat="false" ht="15" hidden="true" customHeight="false" outlineLevel="2" collapsed="false">
      <c r="A186" s="2" t="s">
        <v>1434</v>
      </c>
      <c r="C186" s="47" t="n">
        <f aca="false">評價_DCF與目標價!C48</f>
        <v>98.0184876310382</v>
      </c>
      <c r="D186" s="47" t="n">
        <f aca="false">CHOOSE(輸入與假設!$C$5,C147,C160,C173)</f>
        <v>98.0184876310382</v>
      </c>
      <c r="E186" s="2" t="str">
        <f aca="false">IF(ABS(C186-D186)&lt;0.005,"與目前輸入一致","快照已過期")</f>
        <v>與目前輸入一致</v>
      </c>
      <c r="I186" s="7" t="s">
        <v>1435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5778"/>
    <outlinePr summaryBelow="0" summaryRight="1"/>
    <pageSetUpPr fitToPage="false"/>
  </sheetPr>
  <dimension ref="A1:I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38"/>
    <col collapsed="false" customWidth="true" hidden="false" outlineLevel="0" max="2" min="2" style="0" width="12"/>
    <col collapsed="false" customWidth="true" hidden="false" outlineLevel="0" max="8" min="3" style="0" width="13"/>
    <col collapsed="false" customWidth="true" hidden="false" outlineLevel="0" max="9" min="9" style="0" width="90"/>
  </cols>
  <sheetData>
    <row r="1" customFormat="false" ht="21.6" hidden="false" customHeight="false" outlineLevel="0" collapsed="false">
      <c r="A1" s="6" t="s">
        <v>1436</v>
      </c>
    </row>
    <row r="2" customFormat="false" ht="15" hidden="false" customHeight="false" outlineLevel="0" collapsed="false">
      <c r="A2" s="7" t="s">
        <v>1437</v>
      </c>
    </row>
    <row r="4" customFormat="false" ht="17.15" hidden="false" customHeight="false" outlineLevel="0" collapsed="false">
      <c r="A4" s="15" t="s">
        <v>1438</v>
      </c>
      <c r="B4" s="15" t="s">
        <v>1439</v>
      </c>
      <c r="C4" s="15" t="s">
        <v>1440</v>
      </c>
      <c r="D4" s="15" t="s">
        <v>1441</v>
      </c>
      <c r="E4" s="16" t="s">
        <v>1442</v>
      </c>
      <c r="F4" s="15" t="s">
        <v>1443</v>
      </c>
      <c r="I4" s="15" t="s">
        <v>608</v>
      </c>
    </row>
    <row r="5" customFormat="false" ht="15" hidden="false" customHeight="false" outlineLevel="0" collapsed="false">
      <c r="A5" s="4" t="s">
        <v>1444</v>
      </c>
      <c r="B5" s="7" t="s">
        <v>1445</v>
      </c>
      <c r="C5" s="12" t="s">
        <v>1446</v>
      </c>
      <c r="D5" s="23" t="n">
        <v>0.15</v>
      </c>
      <c r="E5" s="24" t="n">
        <v>1.3</v>
      </c>
      <c r="F5" s="68" t="n">
        <f aca="false">D5*E5</f>
        <v>0.195</v>
      </c>
      <c r="I5" s="7" t="s">
        <v>1447</v>
      </c>
    </row>
    <row r="6" customFormat="false" ht="15" hidden="false" customHeight="false" outlineLevel="0" collapsed="false">
      <c r="A6" s="4" t="s">
        <v>1448</v>
      </c>
      <c r="B6" s="7" t="s">
        <v>1445</v>
      </c>
      <c r="C6" s="12" t="s">
        <v>1449</v>
      </c>
      <c r="D6" s="23" t="n">
        <v>0.11</v>
      </c>
      <c r="E6" s="24" t="n">
        <v>3.19</v>
      </c>
      <c r="F6" s="68" t="n">
        <f aca="false">D6*E6</f>
        <v>0.3509</v>
      </c>
      <c r="I6" s="12" t="s">
        <v>583</v>
      </c>
    </row>
    <row r="7" customFormat="false" ht="15" hidden="false" customHeight="false" outlineLevel="0" collapsed="false">
      <c r="A7" s="4" t="s">
        <v>1450</v>
      </c>
      <c r="B7" s="7" t="s">
        <v>1445</v>
      </c>
      <c r="C7" s="12" t="s">
        <v>1451</v>
      </c>
      <c r="D7" s="23" t="n">
        <v>0.09</v>
      </c>
      <c r="E7" s="24" t="n">
        <v>3</v>
      </c>
      <c r="F7" s="68" t="n">
        <f aca="false">D7*E7</f>
        <v>0.27</v>
      </c>
      <c r="I7" s="12" t="s">
        <v>583</v>
      </c>
    </row>
    <row r="8" customFormat="false" ht="15" hidden="false" customHeight="false" outlineLevel="0" collapsed="false">
      <c r="A8" s="4" t="s">
        <v>1452</v>
      </c>
      <c r="B8" s="7" t="s">
        <v>1445</v>
      </c>
      <c r="C8" s="12" t="s">
        <v>1449</v>
      </c>
      <c r="D8" s="23" t="n">
        <v>0.09</v>
      </c>
      <c r="E8" s="24" t="n">
        <v>2.215</v>
      </c>
      <c r="F8" s="68" t="n">
        <f aca="false">D8*E8</f>
        <v>0.19935</v>
      </c>
      <c r="I8" s="12" t="s">
        <v>583</v>
      </c>
    </row>
    <row r="9" customFormat="false" ht="15" hidden="false" customHeight="false" outlineLevel="0" collapsed="false">
      <c r="A9" s="4" t="s">
        <v>1453</v>
      </c>
      <c r="B9" s="7" t="s">
        <v>1445</v>
      </c>
      <c r="C9" s="12" t="s">
        <v>1454</v>
      </c>
      <c r="D9" s="23" t="n">
        <v>0.09</v>
      </c>
      <c r="E9" s="24" t="n">
        <v>1.101</v>
      </c>
      <c r="F9" s="68" t="n">
        <f aca="false">D9*E9</f>
        <v>0.09909</v>
      </c>
      <c r="I9" s="12" t="s">
        <v>1455</v>
      </c>
    </row>
    <row r="10" customFormat="false" ht="15" hidden="false" customHeight="false" outlineLevel="0" collapsed="false">
      <c r="A10" s="4" t="s">
        <v>1456</v>
      </c>
      <c r="B10" s="7" t="s">
        <v>1445</v>
      </c>
      <c r="C10" s="12" t="s">
        <v>1457</v>
      </c>
      <c r="D10" s="23" t="n">
        <v>0.1</v>
      </c>
      <c r="E10" s="24" t="n">
        <v>2</v>
      </c>
      <c r="F10" s="68" t="n">
        <f aca="false">D10*E10</f>
        <v>0.2</v>
      </c>
      <c r="I10" s="7" t="s">
        <v>1458</v>
      </c>
    </row>
    <row r="11" customFormat="false" ht="15" hidden="false" customHeight="false" outlineLevel="0" collapsed="false">
      <c r="A11" s="4" t="s">
        <v>1459</v>
      </c>
      <c r="B11" s="7" t="s">
        <v>1445</v>
      </c>
      <c r="C11" s="12" t="s">
        <v>1460</v>
      </c>
      <c r="D11" s="23" t="n">
        <v>0.1</v>
      </c>
      <c r="E11" s="24" t="n">
        <v>1.75</v>
      </c>
      <c r="F11" s="68" t="n">
        <f aca="false">D11*E11</f>
        <v>0.175</v>
      </c>
      <c r="I11" s="12" t="s">
        <v>583</v>
      </c>
    </row>
    <row r="12" customFormat="false" ht="15" hidden="false" customHeight="false" outlineLevel="0" collapsed="false">
      <c r="A12" s="4" t="s">
        <v>1461</v>
      </c>
      <c r="B12" s="7" t="s">
        <v>1445</v>
      </c>
      <c r="C12" s="12" t="s">
        <v>1462</v>
      </c>
      <c r="D12" s="23" t="n">
        <v>0.1</v>
      </c>
      <c r="E12" s="24" t="n">
        <v>2.75</v>
      </c>
      <c r="F12" s="68" t="n">
        <f aca="false">D12*E12</f>
        <v>0.275</v>
      </c>
      <c r="I12" s="12" t="s">
        <v>1463</v>
      </c>
    </row>
    <row r="13" customFormat="false" ht="15" hidden="false" customHeight="false" outlineLevel="0" collapsed="false">
      <c r="A13" s="4" t="s">
        <v>1464</v>
      </c>
      <c r="B13" s="7" t="s">
        <v>1445</v>
      </c>
      <c r="C13" s="12" t="s">
        <v>1465</v>
      </c>
      <c r="D13" s="23" t="n">
        <v>0.1</v>
      </c>
      <c r="E13" s="24" t="n">
        <v>1.25</v>
      </c>
      <c r="F13" s="68" t="n">
        <f aca="false">D13*E13</f>
        <v>0.125</v>
      </c>
      <c r="I13" s="12" t="s">
        <v>1466</v>
      </c>
    </row>
    <row r="14" customFormat="false" ht="15" hidden="false" customHeight="false" outlineLevel="0" collapsed="false">
      <c r="A14" s="4" t="s">
        <v>1467</v>
      </c>
      <c r="B14" s="7" t="s">
        <v>1445</v>
      </c>
      <c r="C14" s="12" t="s">
        <v>1465</v>
      </c>
      <c r="D14" s="23" t="n">
        <v>0.09</v>
      </c>
      <c r="E14" s="24" t="n">
        <v>2.279</v>
      </c>
      <c r="F14" s="68" t="n">
        <f aca="false">D14*E14</f>
        <v>0.20511</v>
      </c>
      <c r="I14" s="7" t="s">
        <v>1468</v>
      </c>
    </row>
    <row r="15" customFormat="false" ht="15" hidden="false" customHeight="false" outlineLevel="0" collapsed="false">
      <c r="A15" s="4" t="s">
        <v>1469</v>
      </c>
      <c r="B15" s="7" t="s">
        <v>1445</v>
      </c>
      <c r="C15" s="12" t="s">
        <v>1470</v>
      </c>
      <c r="D15" s="23" t="n">
        <v>0.02</v>
      </c>
      <c r="E15" s="24" t="n">
        <v>2.588</v>
      </c>
      <c r="F15" s="68" t="n">
        <f aca="false">D15*E15</f>
        <v>0.05176</v>
      </c>
      <c r="I15" s="12" t="s">
        <v>583</v>
      </c>
    </row>
    <row r="16" customFormat="false" ht="15" hidden="false" customHeight="false" outlineLevel="0" collapsed="false">
      <c r="A16" s="4" t="s">
        <v>1471</v>
      </c>
      <c r="B16" s="7" t="s">
        <v>1445</v>
      </c>
      <c r="C16" s="12" t="s">
        <v>1472</v>
      </c>
      <c r="D16" s="23" t="n">
        <v>0.02</v>
      </c>
      <c r="E16" s="24" t="n">
        <v>4</v>
      </c>
      <c r="F16" s="68" t="n">
        <f aca="false">D16*E16</f>
        <v>0.08</v>
      </c>
      <c r="I16" s="7" t="s">
        <v>1473</v>
      </c>
    </row>
    <row r="17" customFormat="false" ht="15" hidden="false" customHeight="false" outlineLevel="0" collapsed="false">
      <c r="A17" s="4" t="s">
        <v>1474</v>
      </c>
      <c r="B17" s="7" t="s">
        <v>1445</v>
      </c>
      <c r="C17" s="12" t="s">
        <v>1475</v>
      </c>
      <c r="D17" s="23" t="n">
        <v>0.11</v>
      </c>
      <c r="E17" s="24" t="n">
        <v>4.22</v>
      </c>
      <c r="F17" s="68" t="n">
        <f aca="false">D17*E17</f>
        <v>0.4642</v>
      </c>
      <c r="I17" s="7" t="s">
        <v>1476</v>
      </c>
    </row>
    <row r="18" customFormat="false" ht="15" hidden="false" customHeight="false" outlineLevel="0" collapsed="false">
      <c r="A18" s="4" t="s">
        <v>1477</v>
      </c>
      <c r="B18" s="7" t="s">
        <v>1445</v>
      </c>
      <c r="C18" s="12" t="s">
        <v>1478</v>
      </c>
      <c r="D18" s="23" t="n">
        <v>0.12</v>
      </c>
      <c r="E18" s="24" t="n">
        <v>0.189</v>
      </c>
      <c r="F18" s="68" t="n">
        <f aca="false">D18*E18</f>
        <v>0.02268</v>
      </c>
      <c r="I18" s="12" t="s">
        <v>583</v>
      </c>
    </row>
    <row r="19" customFormat="false" ht="15" hidden="false" customHeight="false" outlineLevel="0" collapsed="false">
      <c r="A19" s="4" t="s">
        <v>1479</v>
      </c>
      <c r="B19" s="7" t="s">
        <v>1480</v>
      </c>
      <c r="C19" s="12" t="s">
        <v>1481</v>
      </c>
      <c r="D19" s="23" t="n">
        <v>0.07</v>
      </c>
      <c r="E19" s="24" t="n">
        <v>2.837</v>
      </c>
      <c r="F19" s="68" t="n">
        <f aca="false">D19*E19</f>
        <v>0.19859</v>
      </c>
      <c r="I19" s="12" t="s">
        <v>1482</v>
      </c>
    </row>
    <row r="20" customFormat="false" ht="15" hidden="false" customHeight="false" outlineLevel="0" collapsed="false">
      <c r="A20" s="4" t="s">
        <v>1483</v>
      </c>
      <c r="B20" s="7" t="s">
        <v>1480</v>
      </c>
      <c r="C20" s="12" t="s">
        <v>1484</v>
      </c>
      <c r="D20" s="23" t="n">
        <v>0.09</v>
      </c>
      <c r="E20" s="24" t="n">
        <v>0.882</v>
      </c>
      <c r="F20" s="68" t="n">
        <f aca="false">D20*E20</f>
        <v>0.07938</v>
      </c>
      <c r="I20" s="12" t="s">
        <v>583</v>
      </c>
    </row>
    <row r="21" customFormat="false" ht="15" hidden="false" customHeight="false" outlineLevel="0" collapsed="false">
      <c r="A21" s="2" t="s">
        <v>1485</v>
      </c>
      <c r="E21" s="59" t="n">
        <f aca="false">SUM(E5:E20)</f>
        <v>35.551</v>
      </c>
      <c r="F21" s="59" t="n">
        <f aca="false">SUM(F5:F20)</f>
        <v>2.99106</v>
      </c>
      <c r="I21" s="7" t="s">
        <v>1486</v>
      </c>
    </row>
    <row r="22" customFormat="false" ht="15" hidden="false" customHeight="false" outlineLevel="0" collapsed="false">
      <c r="A22" s="2" t="s">
        <v>1487</v>
      </c>
      <c r="D22" s="86" t="n">
        <f aca="false">F21/E21</f>
        <v>0.084134342212596</v>
      </c>
      <c r="I22" s="7" t="s">
        <v>1488</v>
      </c>
    </row>
    <row r="24" customFormat="false" ht="15" hidden="false" customHeight="false" outlineLevel="0" collapsed="false">
      <c r="A24" s="4" t="s">
        <v>1489</v>
      </c>
      <c r="D24" s="87" t="n">
        <v>0.02875</v>
      </c>
      <c r="E24" s="24" t="n">
        <v>3.7</v>
      </c>
      <c r="F24" s="11" t="n">
        <f aca="false">D24*E24</f>
        <v>0.106375</v>
      </c>
      <c r="I24" s="7" t="s">
        <v>1490</v>
      </c>
    </row>
    <row r="26" customFormat="false" ht="15" hidden="false" customHeight="false" outlineLevel="0" collapsed="false">
      <c r="A26" s="52" t="s">
        <v>1491</v>
      </c>
      <c r="B26" s="9"/>
      <c r="C26" s="9"/>
      <c r="D26" s="9"/>
      <c r="E26" s="9"/>
      <c r="F26" s="9"/>
      <c r="G26" s="9"/>
      <c r="H26" s="9"/>
    </row>
    <row r="27" customFormat="false" ht="15" hidden="false" customHeight="false" outlineLevel="1" collapsed="false">
      <c r="A27" s="15" t="s">
        <v>87</v>
      </c>
      <c r="B27" s="15" t="s">
        <v>88</v>
      </c>
      <c r="C27" s="27" t="s">
        <v>89</v>
      </c>
      <c r="D27" s="27" t="s">
        <v>90</v>
      </c>
      <c r="E27" s="27" t="s">
        <v>91</v>
      </c>
      <c r="F27" s="27" t="s">
        <v>175</v>
      </c>
      <c r="G27" s="27" t="s">
        <v>176</v>
      </c>
      <c r="I27" s="15" t="s">
        <v>744</v>
      </c>
    </row>
    <row r="28" customFormat="false" ht="15" hidden="false" customHeight="false" outlineLevel="1" collapsed="false">
      <c r="A28" s="3" t="s">
        <v>1492</v>
      </c>
      <c r="B28" s="12" t="s">
        <v>93</v>
      </c>
      <c r="C28" s="68" t="n">
        <f aca="false">E21</f>
        <v>35.551</v>
      </c>
      <c r="D28" s="68" t="n">
        <f aca="false">C30</f>
        <v>31.138</v>
      </c>
      <c r="E28" s="68" t="n">
        <f aca="false">D30</f>
        <v>24.954</v>
      </c>
      <c r="F28" s="68" t="n">
        <f aca="false">E30</f>
        <v>20.538</v>
      </c>
      <c r="G28" s="68" t="n">
        <f aca="false">F30</f>
        <v>18.117</v>
      </c>
      <c r="I28" s="12" t="s">
        <v>1493</v>
      </c>
    </row>
    <row r="29" customFormat="false" ht="15" hidden="false" customHeight="false" outlineLevel="1" collapsed="false">
      <c r="A29" s="3" t="s">
        <v>1494</v>
      </c>
      <c r="B29" s="12" t="s">
        <v>93</v>
      </c>
      <c r="C29" s="43" t="n">
        <f aca="false">輸入與假設!C$170</f>
        <v>4.413</v>
      </c>
      <c r="D29" s="43" t="n">
        <f aca="false">輸入與假設!D$170</f>
        <v>6.184</v>
      </c>
      <c r="E29" s="43" t="n">
        <f aca="false">輸入與假設!E$170</f>
        <v>4.416</v>
      </c>
      <c r="F29" s="43" t="n">
        <f aca="false">輸入與假設!F$170</f>
        <v>2.421</v>
      </c>
      <c r="G29" s="43" t="n">
        <f aca="false">輸入與假設!G$170</f>
        <v>3.221</v>
      </c>
      <c r="I29" s="12" t="s">
        <v>1495</v>
      </c>
    </row>
    <row r="30" customFormat="false" ht="15" hidden="false" customHeight="false" outlineLevel="1" collapsed="false">
      <c r="A30" s="3" t="s">
        <v>1496</v>
      </c>
      <c r="B30" s="12" t="s">
        <v>93</v>
      </c>
      <c r="C30" s="68" t="n">
        <f aca="false">C28-C29</f>
        <v>31.138</v>
      </c>
      <c r="D30" s="68" t="n">
        <f aca="false">D28-D29</f>
        <v>24.954</v>
      </c>
      <c r="E30" s="68" t="n">
        <f aca="false">E28-E29</f>
        <v>20.538</v>
      </c>
      <c r="F30" s="68" t="n">
        <f aca="false">F28-F29</f>
        <v>18.117</v>
      </c>
      <c r="G30" s="68" t="n">
        <f aca="false">G28-G29</f>
        <v>14.896</v>
      </c>
    </row>
    <row r="31" customFormat="false" ht="15" hidden="false" customHeight="false" outlineLevel="1" collapsed="false">
      <c r="A31" s="3" t="s">
        <v>1497</v>
      </c>
      <c r="B31" s="12" t="s">
        <v>93</v>
      </c>
      <c r="C31" s="68" t="n">
        <f aca="false">(C28+C30)/2</f>
        <v>33.3445</v>
      </c>
      <c r="D31" s="68" t="n">
        <f aca="false">(D28+D30)/2</f>
        <v>28.046</v>
      </c>
      <c r="E31" s="68" t="n">
        <f aca="false">(E28+E30)/2</f>
        <v>22.746</v>
      </c>
      <c r="F31" s="68" t="n">
        <f aca="false">(F28+F30)/2</f>
        <v>19.3275</v>
      </c>
      <c r="G31" s="68" t="n">
        <f aca="false">(G28+G30)/2</f>
        <v>16.5065</v>
      </c>
    </row>
    <row r="32" customFormat="false" ht="15" hidden="false" customHeight="false" outlineLevel="1" collapsed="false">
      <c r="A32" s="3" t="s">
        <v>1498</v>
      </c>
      <c r="B32" s="12" t="s">
        <v>93</v>
      </c>
      <c r="C32" s="68" t="n">
        <f aca="false">C31*資產負債_既有債務!$D$22*輸入與假設!C$24</f>
        <v>1.40270878695395</v>
      </c>
      <c r="D32" s="68" t="n">
        <f aca="false">D31*資產負債_既有債務!$D$22*輸入與假設!D$24</f>
        <v>2.35963176169447</v>
      </c>
      <c r="E32" s="68" t="n">
        <f aca="false">E31*資產負債_既有債務!$D$22*輸入與假設!E$24</f>
        <v>1.91371974796771</v>
      </c>
      <c r="F32" s="68" t="n">
        <f aca="false">F31*資產負債_既有債務!$D$22*輸入與假設!F$24</f>
        <v>1.62610649911395</v>
      </c>
      <c r="G32" s="68" t="n">
        <f aca="false">G31*資產負債_既有債務!$D$22*輸入與假設!G$24</f>
        <v>1.38876351973222</v>
      </c>
      <c r="I32" s="7" t="s">
        <v>1499</v>
      </c>
    </row>
    <row r="33" customFormat="false" ht="15" hidden="false" customHeight="false" outlineLevel="1" collapsed="false">
      <c r="A33" s="4" t="s">
        <v>1500</v>
      </c>
      <c r="B33" s="12" t="s">
        <v>93</v>
      </c>
      <c r="C33" s="68" t="n">
        <f aca="false">資產負債_既有債務!$F$24*輸入與假設!C$24</f>
        <v>0.0531875</v>
      </c>
      <c r="D33" s="68" t="n">
        <f aca="false">資產負債_既有債務!$F$24*輸入與假設!D$24</f>
        <v>0.106375</v>
      </c>
      <c r="E33" s="68" t="n">
        <f aca="false">資產負債_既有債務!$F$24*輸入與假設!E$24</f>
        <v>0.106375</v>
      </c>
      <c r="F33" s="68" t="n">
        <f aca="false">資產負債_既有債務!$F$24*輸入與假設!F$24</f>
        <v>0.106375</v>
      </c>
      <c r="G33" s="68" t="n">
        <f aca="false">資產負債_既有債務!$F$24*輸入與假設!G$24</f>
        <v>0.106375</v>
      </c>
    </row>
    <row r="34" customFormat="false" ht="15" hidden="false" customHeight="false" outlineLevel="1" collapsed="false">
      <c r="A34" s="4" t="s">
        <v>1501</v>
      </c>
      <c r="B34" s="12" t="s">
        <v>93</v>
      </c>
      <c r="C34" s="24" t="n">
        <f aca="false">0.35</f>
        <v>0.35</v>
      </c>
      <c r="D34" s="24" t="n">
        <f aca="false">0</f>
        <v>0</v>
      </c>
      <c r="E34" s="24" t="n">
        <f aca="false">0</f>
        <v>0</v>
      </c>
      <c r="F34" s="24" t="n">
        <f aca="false">0</f>
        <v>0</v>
      </c>
      <c r="G34" s="24" t="n">
        <f aca="false">0</f>
        <v>0</v>
      </c>
      <c r="I34" s="12" t="s">
        <v>1502</v>
      </c>
    </row>
    <row r="35" customFormat="false" ht="15" hidden="false" customHeight="false" outlineLevel="1" collapsed="false">
      <c r="A35" s="2" t="s">
        <v>1503</v>
      </c>
      <c r="B35" s="12" t="s">
        <v>93</v>
      </c>
      <c r="C35" s="39" t="n">
        <f aca="false">C32+C33+C34</f>
        <v>1.80589628695395</v>
      </c>
      <c r="D35" s="39" t="n">
        <f aca="false">D32+D33+D34</f>
        <v>2.46600676169447</v>
      </c>
      <c r="E35" s="39" t="n">
        <f aca="false">E32+E33+E34</f>
        <v>2.02009474796771</v>
      </c>
      <c r="F35" s="39" t="n">
        <f aca="false">F32+F33+F34</f>
        <v>1.73248149911395</v>
      </c>
      <c r="G35" s="39" t="n">
        <f aca="false">G32+G33+G34</f>
        <v>1.49513851973222</v>
      </c>
      <c r="I35" s="12" t="s">
        <v>1504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5778"/>
    <outlinePr summaryBelow="0" summaryRight="1"/>
    <pageSetUpPr fitToPage="false"/>
  </sheetPr>
  <dimension ref="A1:I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44"/>
    <col collapsed="false" customWidth="true" hidden="false" outlineLevel="0" max="2" min="2" style="0" width="10"/>
    <col collapsed="false" customWidth="true" hidden="false" outlineLevel="0" max="7" min="3" style="0" width="12"/>
    <col collapsed="false" customWidth="true" hidden="false" outlineLevel="0" max="9" min="9" style="0" width="80"/>
  </cols>
  <sheetData>
    <row r="1" customFormat="false" ht="17.35" hidden="false" customHeight="false" outlineLevel="0" collapsed="false">
      <c r="A1" s="6" t="s">
        <v>1505</v>
      </c>
    </row>
    <row r="2" customFormat="false" ht="15" hidden="false" customHeight="false" outlineLevel="0" collapsed="false">
      <c r="A2" s="7" t="s">
        <v>1506</v>
      </c>
    </row>
    <row r="4" customFormat="false" ht="15" hidden="false" customHeight="false" outlineLevel="0" collapsed="false">
      <c r="A4" s="15" t="s">
        <v>87</v>
      </c>
      <c r="B4" s="15" t="s">
        <v>88</v>
      </c>
      <c r="C4" s="27" t="s">
        <v>89</v>
      </c>
      <c r="D4" s="27" t="s">
        <v>90</v>
      </c>
      <c r="E4" s="27" t="s">
        <v>91</v>
      </c>
      <c r="F4" s="27" t="s">
        <v>175</v>
      </c>
      <c r="G4" s="27" t="s">
        <v>176</v>
      </c>
      <c r="I4" s="15" t="s">
        <v>744</v>
      </c>
    </row>
    <row r="5" customFormat="false" ht="15" hidden="false" customHeight="false" outlineLevel="0" collapsed="false">
      <c r="A5" s="52" t="s">
        <v>1507</v>
      </c>
      <c r="B5" s="9"/>
      <c r="C5" s="9"/>
      <c r="D5" s="9"/>
      <c r="E5" s="9"/>
      <c r="F5" s="9"/>
      <c r="G5" s="9"/>
      <c r="H5" s="9"/>
    </row>
    <row r="6" customFormat="false" ht="15" hidden="false" customHeight="false" outlineLevel="1" collapsed="false">
      <c r="A6" s="3" t="s">
        <v>1508</v>
      </c>
      <c r="B6" s="12" t="s">
        <v>93</v>
      </c>
      <c r="C6" s="68" t="n">
        <f aca="false">輸入與假設!$C$151</f>
        <v>5.5</v>
      </c>
      <c r="D6" s="68" t="n">
        <f aca="false">各期收支!C41</f>
        <v>2</v>
      </c>
      <c r="E6" s="68" t="n">
        <f aca="false">各期收支!D41</f>
        <v>2</v>
      </c>
      <c r="F6" s="68" t="n">
        <f aca="false">各期收支!E41</f>
        <v>2</v>
      </c>
      <c r="G6" s="68" t="n">
        <f aca="false">各期收支!F41</f>
        <v>2</v>
      </c>
      <c r="I6" s="12" t="s">
        <v>1509</v>
      </c>
    </row>
    <row r="7" customFormat="false" ht="15" hidden="false" customHeight="false" outlineLevel="1" collapsed="false">
      <c r="A7" s="3" t="s">
        <v>1510</v>
      </c>
      <c r="B7" s="12" t="s">
        <v>93</v>
      </c>
      <c r="C7" s="68" t="n">
        <f aca="false">各期收支!C71-輸入與假設!$C$151</f>
        <v>-18.2546911327881</v>
      </c>
      <c r="D7" s="68" t="n">
        <f aca="false">各期收支!D71-各期收支!C71</f>
        <v>-38.2162587706851</v>
      </c>
      <c r="E7" s="68" t="n">
        <f aca="false">各期收支!E71-各期收支!D71</f>
        <v>-18.3460056030324</v>
      </c>
      <c r="F7" s="68" t="n">
        <f aca="false">各期收支!F71-各期收支!E71</f>
        <v>-5.48664516255401</v>
      </c>
      <c r="G7" s="68" t="n">
        <f aca="false">各期收支!G71-各期收支!F71</f>
        <v>7.27821443485594</v>
      </c>
      <c r="I7" s="7" t="s">
        <v>1511</v>
      </c>
    </row>
    <row r="8" customFormat="false" ht="15" hidden="false" customHeight="false" outlineLevel="1" collapsed="false">
      <c r="A8" s="3" t="s">
        <v>1512</v>
      </c>
      <c r="B8" s="12" t="s">
        <v>93</v>
      </c>
      <c r="C8" s="68" t="n">
        <f aca="false">各期收支!C58</f>
        <v>15.4499383589405</v>
      </c>
      <c r="D8" s="68" t="n">
        <f aca="false">各期收支!D58</f>
        <v>43.5239046406481</v>
      </c>
      <c r="E8" s="68" t="n">
        <f aca="false">各期收支!E58</f>
        <v>1.28750906617512</v>
      </c>
      <c r="F8" s="68" t="n">
        <f aca="false">各期收支!F58</f>
        <v>13.7738750416947</v>
      </c>
      <c r="G8" s="68" t="n">
        <f aca="false">各期收支!G58</f>
        <v>1.10880818053271</v>
      </c>
    </row>
    <row r="9" customFormat="false" ht="15" hidden="false" customHeight="false" outlineLevel="1" collapsed="false">
      <c r="A9" s="3" t="s">
        <v>1513</v>
      </c>
      <c r="B9" s="12" t="s">
        <v>93</v>
      </c>
      <c r="C9" s="68" t="n">
        <f aca="false">各期收支!C62</f>
        <v>0</v>
      </c>
      <c r="D9" s="68" t="n">
        <f aca="false">各期收支!D62</f>
        <v>0</v>
      </c>
      <c r="E9" s="68" t="n">
        <f aca="false">各期收支!E62</f>
        <v>13.5338286622454</v>
      </c>
      <c r="F9" s="68" t="n">
        <f aca="false">各期收支!F62</f>
        <v>0</v>
      </c>
      <c r="G9" s="68" t="n">
        <f aca="false">各期收支!G62</f>
        <v>0</v>
      </c>
    </row>
    <row r="10" customFormat="false" ht="15" hidden="false" customHeight="false" outlineLevel="1" collapsed="false">
      <c r="A10" s="3" t="s">
        <v>1514</v>
      </c>
      <c r="B10" s="12" t="s">
        <v>93</v>
      </c>
      <c r="C10" s="68" t="n">
        <f aca="false">各期收支!C61</f>
        <v>0</v>
      </c>
      <c r="D10" s="68" t="n">
        <f aca="false">各期收支!D61</f>
        <v>0</v>
      </c>
      <c r="E10" s="68" t="n">
        <f aca="false">各期收支!E61</f>
        <v>10.572249</v>
      </c>
      <c r="F10" s="68" t="n">
        <f aca="false">各期收支!F61</f>
        <v>0</v>
      </c>
      <c r="G10" s="68" t="n">
        <f aca="false">各期收支!G61</f>
        <v>0</v>
      </c>
    </row>
    <row r="11" customFormat="false" ht="15" hidden="false" customHeight="false" outlineLevel="1" collapsed="false">
      <c r="A11" s="3" t="s">
        <v>1515</v>
      </c>
      <c r="B11" s="12" t="s">
        <v>93</v>
      </c>
      <c r="C11" s="68" t="n">
        <f aca="false">-各期收支!C63</f>
        <v>-0.69524722615232</v>
      </c>
      <c r="D11" s="68" t="n">
        <f aca="false">-各期收支!D63</f>
        <v>-5.30764586996297</v>
      </c>
      <c r="E11" s="68" t="n">
        <f aca="false">-各期收支!E63</f>
        <v>-7.04758112538818</v>
      </c>
      <c r="F11" s="68" t="n">
        <f aca="false">-各期收支!F63</f>
        <v>-8.28722987914071</v>
      </c>
      <c r="G11" s="68" t="n">
        <f aca="false">-各期收支!G63</f>
        <v>-8.38702261538865</v>
      </c>
    </row>
    <row r="12" customFormat="false" ht="15" hidden="false" customHeight="false" outlineLevel="1" collapsed="false">
      <c r="A12" s="2" t="s">
        <v>1516</v>
      </c>
      <c r="B12" s="12" t="s">
        <v>93</v>
      </c>
      <c r="C12" s="39" t="n">
        <f aca="false">SUM(C6:C11)</f>
        <v>2</v>
      </c>
      <c r="D12" s="39" t="n">
        <f aca="false">SUM(D6:D11)</f>
        <v>2.00000000000001</v>
      </c>
      <c r="E12" s="39" t="n">
        <f aca="false">SUM(E6:E11)</f>
        <v>2</v>
      </c>
      <c r="F12" s="39" t="n">
        <f aca="false">SUM(F6:F11)</f>
        <v>2</v>
      </c>
      <c r="G12" s="39" t="n">
        <f aca="false">SUM(G6:G11)</f>
        <v>2</v>
      </c>
      <c r="I12" s="7" t="s">
        <v>1517</v>
      </c>
    </row>
    <row r="13" customFormat="false" ht="15" hidden="false" customHeight="false" outlineLevel="1" collapsed="false">
      <c r="A13" s="3" t="s">
        <v>1518</v>
      </c>
      <c r="B13" s="12" t="s">
        <v>93</v>
      </c>
      <c r="C13" s="68" t="n">
        <f aca="false">C12-各期收支!C41</f>
        <v>0</v>
      </c>
      <c r="D13" s="68" t="n">
        <f aca="false">D12-各期收支!D41</f>
        <v>8.88178419700125E-015</v>
      </c>
      <c r="E13" s="68" t="n">
        <f aca="false">E12-各期收支!E41</f>
        <v>0</v>
      </c>
      <c r="F13" s="68" t="n">
        <f aca="false">F12-各期收支!F41</f>
        <v>0</v>
      </c>
      <c r="G13" s="68" t="n">
        <f aca="false">G12-各期收支!G41</f>
        <v>0</v>
      </c>
      <c r="I13" s="7" t="s">
        <v>1519</v>
      </c>
    </row>
    <row r="14" customFormat="false" ht="15" hidden="false" customHeight="false" outlineLevel="0" collapsed="false">
      <c r="A14" s="52" t="s">
        <v>1520</v>
      </c>
      <c r="B14" s="9"/>
      <c r="C14" s="9"/>
      <c r="D14" s="9"/>
      <c r="E14" s="9"/>
      <c r="F14" s="9"/>
      <c r="G14" s="9"/>
      <c r="H14" s="9"/>
    </row>
    <row r="15" customFormat="false" ht="15" hidden="false" customHeight="false" outlineLevel="1" collapsed="false">
      <c r="A15" s="3" t="s">
        <v>1521</v>
      </c>
      <c r="B15" s="12" t="s">
        <v>93</v>
      </c>
      <c r="C15" s="68" t="n">
        <f aca="false">35.551</f>
        <v>35.551</v>
      </c>
      <c r="D15" s="68" t="n">
        <f aca="false">C17</f>
        <v>31.138</v>
      </c>
      <c r="E15" s="68" t="n">
        <f aca="false">D17</f>
        <v>24.954</v>
      </c>
      <c r="F15" s="68" t="n">
        <f aca="false">E17</f>
        <v>20.538</v>
      </c>
      <c r="G15" s="68" t="n">
        <f aca="false">F17</f>
        <v>18.117</v>
      </c>
    </row>
    <row r="16" customFormat="false" ht="15" hidden="false" customHeight="false" outlineLevel="1" collapsed="false">
      <c r="A16" s="3" t="s">
        <v>1522</v>
      </c>
      <c r="B16" s="12" t="s">
        <v>93</v>
      </c>
      <c r="C16" s="68" t="n">
        <f aca="false">-IF(輸入與假設!$C$156=1,輸入與假設!C$170,0)</f>
        <v>-4.413</v>
      </c>
      <c r="D16" s="68" t="n">
        <f aca="false">-IF(輸入與假設!$C$156=1,輸入與假設!D$170,0)</f>
        <v>-6.184</v>
      </c>
      <c r="E16" s="68" t="n">
        <f aca="false">-IF(輸入與假設!$C$156=1,輸入與假設!E$170,0)</f>
        <v>-4.416</v>
      </c>
      <c r="F16" s="68" t="n">
        <f aca="false">-IF(輸入與假設!$C$156=1,輸入與假設!F$170,0)</f>
        <v>-2.421</v>
      </c>
      <c r="G16" s="68" t="n">
        <f aca="false">-IF(輸入與假設!$C$156=1,輸入與假設!G$170,0)</f>
        <v>-3.221</v>
      </c>
    </row>
    <row r="17" customFormat="false" ht="15" hidden="false" customHeight="false" outlineLevel="1" collapsed="false">
      <c r="A17" s="3" t="s">
        <v>1523</v>
      </c>
      <c r="B17" s="12" t="s">
        <v>93</v>
      </c>
      <c r="C17" s="68" t="n">
        <f aca="false">各期收支!C54-3.7</f>
        <v>31.138</v>
      </c>
      <c r="D17" s="68" t="n">
        <f aca="false">各期收支!D54-3.7</f>
        <v>24.954</v>
      </c>
      <c r="E17" s="68" t="n">
        <f aca="false">各期收支!E54-3.7</f>
        <v>20.538</v>
      </c>
      <c r="F17" s="68" t="n">
        <f aca="false">各期收支!F54-3.7</f>
        <v>18.117</v>
      </c>
      <c r="G17" s="68" t="n">
        <f aca="false">各期收支!G54-3.7</f>
        <v>14.896</v>
      </c>
      <c r="I17" s="7" t="s">
        <v>1524</v>
      </c>
    </row>
    <row r="18" customFormat="false" ht="15" hidden="false" customHeight="false" outlineLevel="1" collapsed="false">
      <c r="A18" s="3" t="s">
        <v>1525</v>
      </c>
      <c r="B18" s="12" t="s">
        <v>93</v>
      </c>
      <c r="C18" s="68" t="n">
        <f aca="false">3.7</f>
        <v>3.7</v>
      </c>
      <c r="D18" s="68" t="n">
        <f aca="false">3.7</f>
        <v>3.7</v>
      </c>
      <c r="E18" s="68" t="n">
        <f aca="false">3.7</f>
        <v>3.7</v>
      </c>
      <c r="F18" s="68" t="n">
        <f aca="false">3.7</f>
        <v>3.7</v>
      </c>
      <c r="G18" s="68" t="n">
        <f aca="false">3.7</f>
        <v>3.7</v>
      </c>
    </row>
    <row r="19" customFormat="false" ht="15" hidden="false" customHeight="false" outlineLevel="1" collapsed="false">
      <c r="A19" s="3" t="s">
        <v>1526</v>
      </c>
      <c r="B19" s="12" t="s">
        <v>93</v>
      </c>
      <c r="C19" s="68" t="n">
        <f aca="false">各期收支!C67</f>
        <v>15.4499383589405</v>
      </c>
      <c r="D19" s="68" t="n">
        <f aca="false">各期收支!D67</f>
        <v>58.9738429995885</v>
      </c>
      <c r="E19" s="68" t="n">
        <f aca="false">各期收支!E67</f>
        <v>60.2613520657636</v>
      </c>
      <c r="F19" s="68" t="n">
        <f aca="false">各期收支!F67</f>
        <v>74.0352271074584</v>
      </c>
      <c r="G19" s="68" t="n">
        <f aca="false">各期收支!G67</f>
        <v>75.1440352879911</v>
      </c>
    </row>
    <row r="20" customFormat="false" ht="15" hidden="false" customHeight="false" outlineLevel="1" collapsed="false">
      <c r="A20" s="3" t="s">
        <v>1527</v>
      </c>
      <c r="B20" s="12" t="s">
        <v>93</v>
      </c>
      <c r="C20" s="68" t="n">
        <f aca="false">各期收支!C69</f>
        <v>0</v>
      </c>
      <c r="D20" s="68" t="n">
        <f aca="false">各期收支!D69</f>
        <v>0</v>
      </c>
      <c r="E20" s="68" t="n">
        <f aca="false">各期收支!E69</f>
        <v>13.5338286622454</v>
      </c>
      <c r="F20" s="68" t="n">
        <f aca="false">各期收支!F69</f>
        <v>13.5338286622454</v>
      </c>
      <c r="G20" s="68" t="n">
        <f aca="false">各期收支!G69</f>
        <v>13.5338286622454</v>
      </c>
    </row>
    <row r="21" customFormat="false" ht="15" hidden="false" customHeight="false" outlineLevel="1" collapsed="false">
      <c r="A21" s="2" t="s">
        <v>1528</v>
      </c>
      <c r="B21" s="12" t="s">
        <v>93</v>
      </c>
      <c r="C21" s="39" t="n">
        <f aca="false">SUM(C17:C20)</f>
        <v>50.2879383589405</v>
      </c>
      <c r="D21" s="39" t="n">
        <f aca="false">SUM(D17:D20)</f>
        <v>87.6278429995885</v>
      </c>
      <c r="E21" s="39" t="n">
        <f aca="false">SUM(E17:E20)</f>
        <v>98.0331807280091</v>
      </c>
      <c r="F21" s="39" t="n">
        <f aca="false">SUM(F17:F20)</f>
        <v>109.386055769704</v>
      </c>
      <c r="G21" s="39" t="n">
        <f aca="false">SUM(G17:G20)</f>
        <v>107.273863950237</v>
      </c>
      <c r="I21" s="7" t="s">
        <v>1529</v>
      </c>
    </row>
    <row r="22" customFormat="false" ht="15" hidden="false" customHeight="false" outlineLevel="1" collapsed="false">
      <c r="A22" s="2" t="s">
        <v>1530</v>
      </c>
      <c r="B22" s="12" t="s">
        <v>93</v>
      </c>
      <c r="C22" s="39" t="n">
        <f aca="false">C21-C12</f>
        <v>48.2879383589405</v>
      </c>
      <c r="D22" s="39" t="n">
        <f aca="false">D21-D12</f>
        <v>85.6278429995885</v>
      </c>
      <c r="E22" s="39" t="n">
        <f aca="false">E21-E12</f>
        <v>96.0331807280091</v>
      </c>
      <c r="F22" s="39" t="n">
        <f aca="false">F21-F12</f>
        <v>107.386055769704</v>
      </c>
      <c r="G22" s="39" t="n">
        <f aca="false">G21-G12</f>
        <v>105.273863950237</v>
      </c>
    </row>
    <row r="23" customFormat="false" ht="15" hidden="false" customHeight="false" outlineLevel="0" collapsed="false">
      <c r="A23" s="52" t="s">
        <v>1531</v>
      </c>
      <c r="B23" s="9"/>
      <c r="C23" s="9"/>
      <c r="D23" s="9"/>
      <c r="E23" s="9"/>
      <c r="F23" s="9"/>
      <c r="G23" s="9"/>
      <c r="H23" s="9"/>
    </row>
    <row r="24" customFormat="false" ht="15" hidden="false" customHeight="false" outlineLevel="1" collapsed="false">
      <c r="A24" s="3" t="s">
        <v>1532</v>
      </c>
      <c r="B24" s="12" t="s">
        <v>448</v>
      </c>
      <c r="C24" s="56" t="n">
        <f aca="false">損益!C20</f>
        <v>0.587</v>
      </c>
      <c r="D24" s="56" t="n">
        <f aca="false">損益!D20</f>
        <v>0.59287</v>
      </c>
      <c r="E24" s="56" t="n">
        <f aca="false">損益!E20</f>
        <v>0.5987987</v>
      </c>
      <c r="F24" s="56" t="n">
        <f aca="false">損益!F20</f>
        <v>0.604786687</v>
      </c>
      <c r="G24" s="56" t="n">
        <f aca="false">損益!G20</f>
        <v>0.61083455387</v>
      </c>
    </row>
    <row r="25" customFormat="false" ht="15" hidden="false" customHeight="false" outlineLevel="1" collapsed="false">
      <c r="A25" s="3" t="s">
        <v>1533</v>
      </c>
      <c r="B25" s="12" t="s">
        <v>448</v>
      </c>
      <c r="C25" s="56" t="n">
        <f aca="false">各期收支!C65</f>
        <v>0</v>
      </c>
      <c r="D25" s="56" t="n">
        <f aca="false">各期收支!D65</f>
        <v>0</v>
      </c>
      <c r="E25" s="56" t="n">
        <f aca="false">各期收支!E65</f>
        <v>0.130333333333333</v>
      </c>
      <c r="F25" s="56" t="n">
        <f aca="false">各期收支!F65</f>
        <v>0</v>
      </c>
      <c r="G25" s="56" t="n">
        <f aca="false">各期收支!G65</f>
        <v>0</v>
      </c>
    </row>
    <row r="26" customFormat="false" ht="15" hidden="false" customHeight="false" outlineLevel="1" collapsed="false">
      <c r="A26" s="2" t="s">
        <v>1534</v>
      </c>
      <c r="B26" s="12" t="s">
        <v>448</v>
      </c>
      <c r="C26" s="57" t="n">
        <f aca="false">損益!C21</f>
        <v>0.587</v>
      </c>
      <c r="D26" s="57" t="n">
        <f aca="false">損益!D21</f>
        <v>0.59287</v>
      </c>
      <c r="E26" s="57" t="n">
        <f aca="false">損益!E21</f>
        <v>0.729132033333333</v>
      </c>
      <c r="F26" s="57" t="n">
        <f aca="false">損益!F21</f>
        <v>0.735120020333333</v>
      </c>
      <c r="G26" s="57" t="n">
        <f aca="false">損益!G21</f>
        <v>0.741167887203333</v>
      </c>
      <c r="I26" s="7" t="s">
        <v>1535</v>
      </c>
    </row>
    <row r="27" customFormat="false" ht="15" hidden="false" customHeight="false" outlineLevel="0" collapsed="false">
      <c r="A27" s="52" t="s">
        <v>1536</v>
      </c>
      <c r="B27" s="9"/>
      <c r="C27" s="9"/>
      <c r="D27" s="9"/>
      <c r="E27" s="9"/>
      <c r="F27" s="9"/>
      <c r="G27" s="9"/>
      <c r="H27" s="9"/>
    </row>
    <row r="28" customFormat="false" ht="15" hidden="false" customHeight="false" outlineLevel="1" collapsed="false">
      <c r="A28" s="3" t="s">
        <v>816</v>
      </c>
      <c r="B28" s="12" t="s">
        <v>93</v>
      </c>
      <c r="C28" s="68" t="n">
        <f aca="false">各期收支!C53</f>
        <v>115.50825</v>
      </c>
      <c r="D28" s="68" t="n">
        <f aca="false">各期收支!D53</f>
        <v>89.12475</v>
      </c>
      <c r="E28" s="68" t="n">
        <f aca="false">各期收支!E53</f>
        <v>84.4993520657637</v>
      </c>
      <c r="F28" s="68" t="n">
        <f aca="false">各期收支!F53</f>
        <v>112.973883853532</v>
      </c>
      <c r="G28" s="68" t="n">
        <f aca="false">各期收支!G53</f>
        <v>174.881738690579</v>
      </c>
    </row>
    <row r="29" customFormat="false" ht="15" hidden="false" customHeight="false" outlineLevel="1" collapsed="false">
      <c r="A29" s="3" t="s">
        <v>820</v>
      </c>
      <c r="B29" s="12" t="s">
        <v>93</v>
      </c>
      <c r="C29" s="68" t="n">
        <f aca="false">各期收支!C55</f>
        <v>115.50825</v>
      </c>
      <c r="D29" s="68" t="n">
        <f aca="false">各期收支!D55</f>
        <v>89.12475</v>
      </c>
      <c r="E29" s="68" t="n">
        <f aca="false">各期收支!E55</f>
        <v>84.4993520657637</v>
      </c>
      <c r="F29" s="68" t="n">
        <f aca="false">各期收支!F55</f>
        <v>112.973883853532</v>
      </c>
      <c r="G29" s="68" t="n">
        <f aca="false">各期收支!G55</f>
        <v>174.881738690579</v>
      </c>
    </row>
    <row r="30" customFormat="false" ht="15" hidden="false" customHeight="false" outlineLevel="1" collapsed="false">
      <c r="A30" s="3" t="s">
        <v>1537</v>
      </c>
      <c r="B30" s="12" t="s">
        <v>139</v>
      </c>
      <c r="C30" s="88" t="n">
        <f aca="false">C21/MAX(0.01,C28)</f>
        <v>0.43536230839737</v>
      </c>
      <c r="D30" s="88" t="n">
        <f aca="false">D21/MAX(0.01,D28)</f>
        <v>0.983204362419962</v>
      </c>
      <c r="E30" s="88" t="n">
        <f aca="false">E21/MAX(0.01,E28)</f>
        <v>1.16016488092965</v>
      </c>
      <c r="F30" s="88" t="n">
        <f aca="false">F21/MAX(0.01,F28)</f>
        <v>0.968241969192814</v>
      </c>
      <c r="G30" s="88" t="n">
        <f aca="false">G21/MAX(0.01,G28)</f>
        <v>0.613408036501956</v>
      </c>
      <c r="I30" s="7" t="s">
        <v>1538</v>
      </c>
    </row>
    <row r="31" customFormat="false" ht="15" hidden="false" customHeight="false" outlineLevel="1" collapsed="false">
      <c r="A31" s="3" t="s">
        <v>1539</v>
      </c>
      <c r="B31" s="12" t="s">
        <v>139</v>
      </c>
      <c r="C31" s="78" t="n">
        <f aca="false">C21/MAX(0.01,損益!C19/輸入與假設!C$24)</f>
        <v>8.51364525593162</v>
      </c>
      <c r="D31" s="78" t="n">
        <f aca="false">D21/MAX(0.01,損益!D19/輸入與假設!D$24)</f>
        <v>8.92851295338861</v>
      </c>
      <c r="E31" s="78" t="n">
        <f aca="false">E21/MAX(0.01,損益!E19/輸入與假設!E$24)</f>
        <v>5.30893352317166</v>
      </c>
      <c r="F31" s="78" t="n">
        <f aca="false">F21/MAX(0.01,損益!F19/輸入與假設!F$24)</f>
        <v>3.60747423072136</v>
      </c>
      <c r="G31" s="78" t="n">
        <f aca="false">G21/MAX(0.01,損益!G19/輸入與假設!G$24)</f>
        <v>2.34126095123677</v>
      </c>
      <c r="I31" s="12" t="s">
        <v>1540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5778"/>
    <pageSetUpPr fitToPage="false"/>
  </sheetPr>
  <dimension ref="A1:I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4"/>
    <col collapsed="false" customWidth="true" hidden="false" outlineLevel="0" max="8" min="3" style="0" width="13"/>
    <col collapsed="false" customWidth="true" hidden="false" outlineLevel="0" max="9" min="9" style="0" width="86"/>
  </cols>
  <sheetData>
    <row r="1" customFormat="false" ht="21.6" hidden="false" customHeight="false" outlineLevel="0" collapsed="false">
      <c r="A1" s="6" t="s">
        <v>1541</v>
      </c>
    </row>
    <row r="2" customFormat="false" ht="15" hidden="false" customHeight="false" outlineLevel="0" collapsed="false">
      <c r="A2" s="7" t="s">
        <v>1542</v>
      </c>
    </row>
    <row r="4" customFormat="false" ht="15" hidden="false" customHeight="false" outlineLevel="0" collapsed="false">
      <c r="A4" s="2" t="s">
        <v>1543</v>
      </c>
    </row>
    <row r="5" customFormat="false" ht="17.15" hidden="false" customHeight="false" outlineLevel="0" collapsed="false">
      <c r="A5" s="15" t="s">
        <v>87</v>
      </c>
      <c r="B5" s="15" t="s">
        <v>88</v>
      </c>
      <c r="C5" s="16" t="s">
        <v>1544</v>
      </c>
      <c r="D5" s="16" t="s">
        <v>1545</v>
      </c>
      <c r="E5" s="16" t="s">
        <v>1546</v>
      </c>
      <c r="F5" s="16" t="s">
        <v>1547</v>
      </c>
      <c r="G5" s="16" t="s">
        <v>1548</v>
      </c>
      <c r="H5" s="15" t="s">
        <v>1549</v>
      </c>
    </row>
    <row r="6" customFormat="false" ht="15" hidden="false" customHeight="false" outlineLevel="0" collapsed="false">
      <c r="A6" s="3" t="s">
        <v>1550</v>
      </c>
      <c r="B6" s="12" t="s">
        <v>93</v>
      </c>
      <c r="C6" s="24" t="n">
        <v>1.028</v>
      </c>
      <c r="D6" s="24" t="n">
        <v>2.116</v>
      </c>
      <c r="E6" s="24" t="n">
        <v>2.306</v>
      </c>
      <c r="F6" s="24" t="n">
        <v>2.373</v>
      </c>
      <c r="G6" s="24" t="n">
        <v>2.289</v>
      </c>
      <c r="H6" s="24" t="n">
        <v>19.023</v>
      </c>
    </row>
    <row r="7" customFormat="false" ht="15" hidden="false" customHeight="false" outlineLevel="0" collapsed="false">
      <c r="A7" s="3" t="s">
        <v>1551</v>
      </c>
      <c r="B7" s="12" t="s">
        <v>93</v>
      </c>
      <c r="C7" s="24" t="n">
        <v>0.012</v>
      </c>
      <c r="D7" s="24" t="n">
        <v>0.223</v>
      </c>
      <c r="E7" s="24" t="n">
        <v>0</v>
      </c>
      <c r="F7" s="24" t="n">
        <v>0</v>
      </c>
      <c r="G7" s="24" t="n">
        <v>0</v>
      </c>
      <c r="H7" s="24" t="n">
        <v>0</v>
      </c>
    </row>
    <row r="8" customFormat="false" ht="15" hidden="false" customHeight="false" outlineLevel="0" collapsed="false">
      <c r="A8" s="2" t="s">
        <v>1552</v>
      </c>
      <c r="C8" s="59" t="n">
        <f aca="false">SUM(C6:C7)</f>
        <v>1.04</v>
      </c>
      <c r="D8" s="59" t="n">
        <f aca="false">SUM(D6:D7)</f>
        <v>2.339</v>
      </c>
      <c r="E8" s="59" t="n">
        <f aca="false">SUM(E6:E7)</f>
        <v>2.306</v>
      </c>
      <c r="F8" s="59" t="n">
        <f aca="false">SUM(F6:F7)</f>
        <v>2.373</v>
      </c>
      <c r="G8" s="59" t="n">
        <f aca="false">SUM(G6:G7)</f>
        <v>2.289</v>
      </c>
      <c r="H8" s="59" t="n">
        <f aca="false">SUM(H6:H7)</f>
        <v>19.023</v>
      </c>
      <c r="I8" s="7" t="s">
        <v>1553</v>
      </c>
    </row>
    <row r="10" customFormat="false" ht="15" hidden="false" customHeight="false" outlineLevel="0" collapsed="false">
      <c r="A10" s="2" t="s">
        <v>1554</v>
      </c>
    </row>
    <row r="11" customFormat="false" ht="17.15" hidden="false" customHeight="false" outlineLevel="0" collapsed="false">
      <c r="A11" s="15" t="s">
        <v>87</v>
      </c>
      <c r="B11" s="15" t="s">
        <v>88</v>
      </c>
      <c r="C11" s="16" t="s">
        <v>1544</v>
      </c>
      <c r="D11" s="16" t="s">
        <v>1545</v>
      </c>
      <c r="E11" s="16" t="s">
        <v>1546</v>
      </c>
      <c r="F11" s="16" t="s">
        <v>1547</v>
      </c>
      <c r="G11" s="16" t="s">
        <v>1548</v>
      </c>
      <c r="H11" s="15" t="s">
        <v>1549</v>
      </c>
    </row>
    <row r="12" customFormat="false" ht="15" hidden="false" customHeight="false" outlineLevel="0" collapsed="false">
      <c r="A12" s="3" t="s">
        <v>1555</v>
      </c>
      <c r="B12" s="12" t="s">
        <v>93</v>
      </c>
      <c r="C12" s="24" t="n">
        <v>4.413</v>
      </c>
      <c r="D12" s="24" t="n">
        <v>6.184</v>
      </c>
      <c r="E12" s="24" t="n">
        <v>4.416</v>
      </c>
      <c r="F12" s="24" t="n">
        <v>2.421</v>
      </c>
      <c r="G12" s="24" t="n">
        <v>3.221</v>
      </c>
      <c r="H12" s="24" t="n">
        <v>14.896</v>
      </c>
      <c r="I12" s="7" t="s">
        <v>1556</v>
      </c>
    </row>
    <row r="13" customFormat="false" ht="15" hidden="false" customHeight="false" outlineLevel="0" collapsed="false">
      <c r="A13" s="2" t="s">
        <v>275</v>
      </c>
      <c r="C13" s="59" t="n">
        <f aca="false">SUM(C12:H12)</f>
        <v>35.551</v>
      </c>
    </row>
    <row r="15" customFormat="false" ht="15" hidden="false" customHeight="false" outlineLevel="0" collapsed="false">
      <c r="A15" s="2" t="s">
        <v>1557</v>
      </c>
    </row>
    <row r="16" customFormat="false" ht="15" hidden="false" customHeight="false" outlineLevel="0" collapsed="false">
      <c r="A16" s="15" t="s">
        <v>87</v>
      </c>
      <c r="B16" s="15" t="s">
        <v>88</v>
      </c>
      <c r="C16" s="15" t="s">
        <v>1558</v>
      </c>
      <c r="D16" s="15" t="s">
        <v>1559</v>
      </c>
      <c r="E16" s="15" t="s">
        <v>1560</v>
      </c>
      <c r="F16" s="15" t="s">
        <v>1561</v>
      </c>
    </row>
    <row r="17" customFormat="false" ht="15" hidden="false" customHeight="false" outlineLevel="0" collapsed="false">
      <c r="A17" s="3" t="s">
        <v>1562</v>
      </c>
      <c r="B17" s="12" t="s">
        <v>93</v>
      </c>
      <c r="C17" s="89" t="n">
        <v>35.5</v>
      </c>
      <c r="D17" s="12" t="s">
        <v>1563</v>
      </c>
      <c r="E17" s="7" t="s">
        <v>1564</v>
      </c>
      <c r="F17" s="7" t="s">
        <v>1565</v>
      </c>
    </row>
    <row r="18" customFormat="false" ht="15" hidden="false" customHeight="false" outlineLevel="0" collapsed="false">
      <c r="A18" s="3" t="s">
        <v>1566</v>
      </c>
      <c r="B18" s="12" t="s">
        <v>93</v>
      </c>
      <c r="C18" s="89" t="n">
        <v>14.7</v>
      </c>
      <c r="D18" s="12" t="s">
        <v>1567</v>
      </c>
      <c r="E18" s="7" t="s">
        <v>1564</v>
      </c>
      <c r="F18" s="7" t="s">
        <v>1565</v>
      </c>
    </row>
    <row r="19" customFormat="false" ht="15" hidden="false" customHeight="false" outlineLevel="0" collapsed="false">
      <c r="A19" s="3" t="s">
        <v>1568</v>
      </c>
      <c r="B19" s="12" t="s">
        <v>93</v>
      </c>
      <c r="C19" s="90" t="s">
        <v>1569</v>
      </c>
      <c r="D19" s="12" t="s">
        <v>1570</v>
      </c>
      <c r="E19" s="7" t="s">
        <v>1564</v>
      </c>
      <c r="F19" s="7" t="s">
        <v>1565</v>
      </c>
    </row>
    <row r="20" customFormat="false" ht="15" hidden="false" customHeight="false" outlineLevel="0" collapsed="false">
      <c r="A20" s="3" t="s">
        <v>1571</v>
      </c>
      <c r="B20" s="12" t="s">
        <v>93</v>
      </c>
      <c r="C20" s="89" t="n">
        <v>1.2</v>
      </c>
      <c r="D20" s="12" t="s">
        <v>1572</v>
      </c>
      <c r="E20" s="7" t="s">
        <v>1564</v>
      </c>
      <c r="F20" s="7" t="s">
        <v>1573</v>
      </c>
    </row>
    <row r="21" customFormat="false" ht="15" hidden="false" customHeight="false" outlineLevel="0" collapsed="false">
      <c r="A21" s="4" t="s">
        <v>1574</v>
      </c>
      <c r="B21" s="12" t="s">
        <v>93</v>
      </c>
      <c r="C21" s="89" t="n">
        <v>1.7</v>
      </c>
      <c r="D21" s="7" t="s">
        <v>1575</v>
      </c>
      <c r="E21" s="7" t="s">
        <v>1564</v>
      </c>
      <c r="F21" s="12" t="s">
        <v>1576</v>
      </c>
    </row>
    <row r="22" customFormat="false" ht="15" hidden="false" customHeight="false" outlineLevel="0" collapsed="false">
      <c r="A22" s="4" t="s">
        <v>1577</v>
      </c>
      <c r="B22" s="12" t="s">
        <v>93</v>
      </c>
      <c r="C22" s="89" t="n">
        <v>0.108</v>
      </c>
      <c r="D22" s="12" t="s">
        <v>1578</v>
      </c>
      <c r="E22" s="7" t="s">
        <v>1564</v>
      </c>
      <c r="F22" s="7" t="s">
        <v>1579</v>
      </c>
    </row>
    <row r="23" customFormat="false" ht="15" hidden="false" customHeight="false" outlineLevel="0" collapsed="false">
      <c r="A23" s="3" t="s">
        <v>1580</v>
      </c>
      <c r="B23" s="12" t="s">
        <v>93</v>
      </c>
      <c r="C23" s="89" t="n">
        <v>10.014</v>
      </c>
      <c r="D23" s="12" t="s">
        <v>1581</v>
      </c>
      <c r="E23" s="7" t="s">
        <v>1582</v>
      </c>
      <c r="F23" s="7" t="s">
        <v>1583</v>
      </c>
    </row>
    <row r="24" customFormat="false" ht="15" hidden="false" customHeight="false" outlineLevel="0" collapsed="false">
      <c r="A24" s="2" t="s">
        <v>1584</v>
      </c>
      <c r="C24" s="59" t="n">
        <f aca="false">C17+C18</f>
        <v>50.2</v>
      </c>
    </row>
    <row r="25" customFormat="false" ht="15" hidden="false" customHeight="false" outlineLevel="0" collapsed="false">
      <c r="A25" s="3" t="s">
        <v>1585</v>
      </c>
      <c r="C25" s="91" t="n">
        <f aca="false">SUM(各期收支!C11:G11)</f>
        <v>9.97089330024814</v>
      </c>
    </row>
    <row r="26" customFormat="false" ht="15" hidden="false" customHeight="false" outlineLevel="0" collapsed="false">
      <c r="A26" s="3" t="s">
        <v>1586</v>
      </c>
      <c r="C26" s="58" t="n">
        <f aca="false">各期收支!G11*12</f>
        <v>34.8184615384615</v>
      </c>
    </row>
    <row r="27" customFormat="false" ht="15" hidden="false" customHeight="false" outlineLevel="0" collapsed="false">
      <c r="A27" s="2" t="s">
        <v>1587</v>
      </c>
      <c r="C27" s="92" t="n">
        <f aca="false">(C25+C26)/C24</f>
        <v>0.892218223878679</v>
      </c>
      <c r="I27" s="12" t="s">
        <v>1588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4A35A"/>
    <outlinePr summaryBelow="0" summaryRight="1"/>
    <pageSetUpPr fitToPage="false"/>
  </sheetPr>
  <dimension ref="A1:I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42"/>
    <col collapsed="false" customWidth="true" hidden="false" outlineLevel="0" max="2" min="2" style="0" width="12"/>
    <col collapsed="false" customWidth="true" hidden="false" outlineLevel="0" max="7" min="3" style="0" width="13"/>
    <col collapsed="false" customWidth="true" hidden="false" outlineLevel="0" max="9" min="9" style="0" width="92"/>
  </cols>
  <sheetData>
    <row r="1" customFormat="false" ht="17.35" hidden="false" customHeight="false" outlineLevel="0" collapsed="false">
      <c r="A1" s="6" t="s">
        <v>1589</v>
      </c>
    </row>
    <row r="2" customFormat="false" ht="15" hidden="false" customHeight="false" outlineLevel="0" collapsed="false">
      <c r="A2" s="7" t="s">
        <v>1590</v>
      </c>
    </row>
    <row r="4" customFormat="false" ht="15" hidden="false" customHeight="false" outlineLevel="0" collapsed="false">
      <c r="A4" s="15" t="s">
        <v>87</v>
      </c>
      <c r="B4" s="15" t="s">
        <v>88</v>
      </c>
      <c r="C4" s="27" t="s">
        <v>89</v>
      </c>
      <c r="D4" s="27" t="s">
        <v>90</v>
      </c>
      <c r="E4" s="27" t="s">
        <v>91</v>
      </c>
      <c r="F4" s="27" t="s">
        <v>175</v>
      </c>
      <c r="G4" s="27" t="s">
        <v>176</v>
      </c>
      <c r="I4" s="15" t="s">
        <v>744</v>
      </c>
    </row>
    <row r="5" customFormat="false" ht="15" hidden="false" customHeight="false" outlineLevel="0" collapsed="false">
      <c r="A5" s="52" t="s">
        <v>1591</v>
      </c>
      <c r="B5" s="9"/>
      <c r="C5" s="9"/>
      <c r="D5" s="9"/>
      <c r="E5" s="9"/>
      <c r="F5" s="9"/>
      <c r="G5" s="9"/>
      <c r="H5" s="9"/>
    </row>
    <row r="6" customFormat="false" ht="15" hidden="false" customHeight="false" outlineLevel="1" collapsed="false">
      <c r="A6" s="3" t="s">
        <v>1592</v>
      </c>
      <c r="B6" s="12" t="s">
        <v>93</v>
      </c>
      <c r="C6" s="43" t="n">
        <f aca="false">運營_產能與收入!C25</f>
        <v>6.09649448490155</v>
      </c>
      <c r="D6" s="43" t="n">
        <f aca="false">運營_產能與收入!D25</f>
        <v>19.1998592826102</v>
      </c>
      <c r="E6" s="43" t="n">
        <f aca="false">運營_產能與收入!E25</f>
        <v>31.0186505164409</v>
      </c>
      <c r="F6" s="43" t="n">
        <f aca="false">運營_產能與收入!F25</f>
        <v>45.0875710924931</v>
      </c>
      <c r="G6" s="43" t="n">
        <f aca="false">運營_產能與收入!G25</f>
        <v>62.5861150748784</v>
      </c>
      <c r="I6" s="7" t="s">
        <v>1593</v>
      </c>
    </row>
    <row r="7" customFormat="false" ht="15" hidden="false" customHeight="false" outlineLevel="1" collapsed="false">
      <c r="A7" s="3" t="s">
        <v>1594</v>
      </c>
      <c r="B7" s="12" t="s">
        <v>93</v>
      </c>
      <c r="C7" s="43" t="n">
        <f aca="false">輸入與假設!C$33</f>
        <v>0.3</v>
      </c>
      <c r="D7" s="43" t="n">
        <f aca="false">輸入與假設!D$33</f>
        <v>1</v>
      </c>
      <c r="E7" s="43" t="n">
        <f aca="false">輸入與假設!E$33</f>
        <v>1.8</v>
      </c>
      <c r="F7" s="43" t="n">
        <f aca="false">輸入與假設!F$33</f>
        <v>2.8</v>
      </c>
      <c r="G7" s="43" t="n">
        <f aca="false">輸入與假設!G$33</f>
        <v>3.8</v>
      </c>
    </row>
    <row r="8" customFormat="false" ht="15" hidden="false" customHeight="false" outlineLevel="1" collapsed="false">
      <c r="A8" s="2" t="s">
        <v>1595</v>
      </c>
      <c r="B8" s="12" t="s">
        <v>93</v>
      </c>
      <c r="C8" s="39" t="n">
        <f aca="false">C6+C7</f>
        <v>6.39649448490155</v>
      </c>
      <c r="D8" s="39" t="n">
        <f aca="false">D6+D7</f>
        <v>20.1998592826102</v>
      </c>
      <c r="E8" s="39" t="n">
        <f aca="false">E6+E7</f>
        <v>32.8186505164409</v>
      </c>
      <c r="F8" s="39" t="n">
        <f aca="false">F6+F7</f>
        <v>47.8875710924931</v>
      </c>
      <c r="G8" s="39" t="n">
        <f aca="false">G6+G7</f>
        <v>66.3861150748784</v>
      </c>
    </row>
    <row r="9" customFormat="false" ht="15" hidden="false" customHeight="false" outlineLevel="1" collapsed="false">
      <c r="A9" s="4" t="s">
        <v>333</v>
      </c>
      <c r="B9" s="12" t="s">
        <v>77</v>
      </c>
      <c r="C9" s="53" t="n">
        <f aca="false">輸入與假設!C$97</f>
        <v>0.46171741522123</v>
      </c>
      <c r="D9" s="53" t="n">
        <f aca="false">輸入與假設!D$97</f>
        <v>0.485863913960979</v>
      </c>
      <c r="E9" s="53" t="n">
        <f aca="false">輸入與假設!E$97</f>
        <v>0.562658763299117</v>
      </c>
      <c r="F9" s="53" t="n">
        <f aca="false">輸入與假設!F$97</f>
        <v>0.633192723864468</v>
      </c>
      <c r="G9" s="53" t="n">
        <f aca="false">輸入與假設!G$97</f>
        <v>0.690187115804694</v>
      </c>
    </row>
    <row r="10" customFormat="false" ht="15" hidden="false" customHeight="false" outlineLevel="1" collapsed="false">
      <c r="A10" s="3" t="s">
        <v>1596</v>
      </c>
      <c r="B10" s="12" t="s">
        <v>93</v>
      </c>
      <c r="C10" s="68" t="n">
        <f aca="false">C8*輸入與假設!C$97-輸入與假設!C$148</f>
        <v>-1.84387246766273</v>
      </c>
      <c r="D10" s="68" t="n">
        <f aca="false">D8*輸入與假設!D$97-輸入與假設!D$148</f>
        <v>-5.11019951332333</v>
      </c>
      <c r="E10" s="68" t="n">
        <f aca="false">E8*輸入與假設!E$97-輸入與假設!E$148</f>
        <v>-2.69316450144008</v>
      </c>
      <c r="F10" s="68" t="n">
        <f aca="false">F8*輸入與假設!F$97-輸入與假設!F$148</f>
        <v>3.94808942514244</v>
      </c>
      <c r="G10" s="68" t="n">
        <f aca="false">G8*輸入與假設!G$97-輸入與假設!G$148</f>
        <v>14.7622361188421</v>
      </c>
      <c r="I10" s="7" t="s">
        <v>1597</v>
      </c>
    </row>
    <row r="11" customFormat="false" ht="15" hidden="false" customHeight="false" outlineLevel="1" collapsed="false">
      <c r="A11" s="3" t="s">
        <v>1598</v>
      </c>
      <c r="B11" s="12" t="s">
        <v>93</v>
      </c>
      <c r="C11" s="43" t="n">
        <f aca="false">各期收支!C17</f>
        <v>2.50114351310627</v>
      </c>
      <c r="D11" s="43" t="n">
        <f aca="false">各期收支!D17</f>
        <v>7.77365263165743</v>
      </c>
      <c r="E11" s="43" t="n">
        <f aca="false">各期收支!E17</f>
        <v>9.06767587335589</v>
      </c>
      <c r="F11" s="43" t="n">
        <f aca="false">各期收支!F17</f>
        <v>10.0197113782547</v>
      </c>
      <c r="G11" s="43" t="n">
        <f aca="false">各期收支!G17</f>
        <v>9.88216113512086</v>
      </c>
    </row>
    <row r="12" customFormat="false" ht="15" hidden="false" customHeight="false" outlineLevel="1" collapsed="false">
      <c r="A12" s="3" t="s">
        <v>1599</v>
      </c>
      <c r="B12" s="12" t="s">
        <v>93</v>
      </c>
      <c r="C12" s="68" t="n">
        <f aca="false">C10-C11</f>
        <v>-4.34501598076901</v>
      </c>
      <c r="D12" s="68" t="n">
        <f aca="false">D10-D11</f>
        <v>-12.8838521449808</v>
      </c>
      <c r="E12" s="68" t="n">
        <f aca="false">E10-E11</f>
        <v>-11.760840374796</v>
      </c>
      <c r="F12" s="68" t="n">
        <f aca="false">F10-F11</f>
        <v>-6.07162195311222</v>
      </c>
      <c r="G12" s="68" t="n">
        <f aca="false">G10-G11</f>
        <v>4.88007498372127</v>
      </c>
    </row>
    <row r="13" customFormat="false" ht="15" hidden="false" customHeight="false" outlineLevel="1" collapsed="false">
      <c r="A13" s="4" t="s">
        <v>1600</v>
      </c>
      <c r="B13" s="12" t="s">
        <v>93</v>
      </c>
      <c r="C13" s="68" t="n">
        <f aca="false">輸入與假設!$C$182</f>
        <v>4</v>
      </c>
      <c r="D13" s="68" t="n">
        <f aca="false">C15</f>
        <v>8.34501598076901</v>
      </c>
      <c r="E13" s="68" t="n">
        <f aca="false">D15</f>
        <v>21.2288681257498</v>
      </c>
      <c r="F13" s="68" t="n">
        <f aca="false">E15</f>
        <v>32.9897085005457</v>
      </c>
      <c r="G13" s="68" t="n">
        <f aca="false">F15</f>
        <v>39.0613304536579</v>
      </c>
      <c r="I13" s="12" t="s">
        <v>1601</v>
      </c>
    </row>
    <row r="14" customFormat="false" ht="15" hidden="false" customHeight="false" outlineLevel="1" collapsed="false">
      <c r="A14" s="3" t="s">
        <v>1602</v>
      </c>
      <c r="B14" s="12" t="s">
        <v>93</v>
      </c>
      <c r="C14" s="68" t="n">
        <f aca="false">MIN(C13,MAX(0,C12)*輸入與假設!$C$183)</f>
        <v>0</v>
      </c>
      <c r="D14" s="68" t="n">
        <f aca="false">MIN(D13,MAX(0,D12)*輸入與假設!$C$183)</f>
        <v>0</v>
      </c>
      <c r="E14" s="68" t="n">
        <f aca="false">MIN(E13,MAX(0,E12)*輸入與假設!$C$183)</f>
        <v>0</v>
      </c>
      <c r="F14" s="68" t="n">
        <f aca="false">MIN(F13,MAX(0,F12)*輸入與假設!$C$183)</f>
        <v>0</v>
      </c>
      <c r="G14" s="68" t="n">
        <f aca="false">MIN(G13,MAX(0,G12)*輸入與假設!$C$183)</f>
        <v>3.90405998697701</v>
      </c>
      <c r="I14" s="7" t="s">
        <v>1603</v>
      </c>
    </row>
    <row r="15" customFormat="false" ht="15" hidden="false" customHeight="false" outlineLevel="1" collapsed="false">
      <c r="A15" s="4" t="s">
        <v>1604</v>
      </c>
      <c r="B15" s="12" t="s">
        <v>93</v>
      </c>
      <c r="C15" s="68" t="n">
        <f aca="false">C13-C14+MAX(0,-C12)</f>
        <v>8.34501598076901</v>
      </c>
      <c r="D15" s="68" t="n">
        <f aca="false">D13-D14+MAX(0,-D12)</f>
        <v>21.2288681257498</v>
      </c>
      <c r="E15" s="68" t="n">
        <f aca="false">E13-E14+MAX(0,-E12)</f>
        <v>32.9897085005457</v>
      </c>
      <c r="F15" s="68" t="n">
        <f aca="false">F13-F14+MAX(0,-F12)</f>
        <v>39.0613304536579</v>
      </c>
      <c r="G15" s="68" t="n">
        <f aca="false">G13-G14+MAX(0,-G12)</f>
        <v>35.1572704666809</v>
      </c>
    </row>
    <row r="16" customFormat="false" ht="15" hidden="false" customHeight="false" outlineLevel="1" collapsed="false">
      <c r="A16" s="3" t="s">
        <v>1605</v>
      </c>
      <c r="B16" s="12" t="s">
        <v>93</v>
      </c>
      <c r="C16" s="68" t="n">
        <f aca="false">MAX(0,C12-C14)*輸入與假設!$C$181</f>
        <v>0</v>
      </c>
      <c r="D16" s="68" t="n">
        <f aca="false">MAX(0,D12-D14)*輸入與假設!$C$181</f>
        <v>0</v>
      </c>
      <c r="E16" s="68" t="n">
        <f aca="false">MAX(0,E12-E14)*輸入與假設!$C$181</f>
        <v>0</v>
      </c>
      <c r="F16" s="68" t="n">
        <f aca="false">MAX(0,F12-F14)*輸入與假設!$C$181</f>
        <v>0</v>
      </c>
      <c r="G16" s="68" t="n">
        <f aca="false">MAX(0,G12-G14)*輸入與假設!$C$181</f>
        <v>0.204963149316293</v>
      </c>
      <c r="I16" s="7" t="s">
        <v>1606</v>
      </c>
    </row>
    <row r="17" customFormat="false" ht="15" hidden="false" customHeight="false" outlineLevel="1" collapsed="false">
      <c r="A17" s="2" t="s">
        <v>1607</v>
      </c>
      <c r="B17" s="12" t="s">
        <v>93</v>
      </c>
      <c r="C17" s="39" t="n">
        <f aca="false">C12-C16</f>
        <v>-4.34501598076901</v>
      </c>
      <c r="D17" s="39" t="n">
        <f aca="false">D12-D16</f>
        <v>-12.8838521449808</v>
      </c>
      <c r="E17" s="39" t="n">
        <f aca="false">E12-E16</f>
        <v>-11.760840374796</v>
      </c>
      <c r="F17" s="39" t="n">
        <f aca="false">F12-F16</f>
        <v>-6.07162195311222</v>
      </c>
      <c r="G17" s="39" t="n">
        <f aca="false">G12-G16</f>
        <v>4.67511183440497</v>
      </c>
    </row>
    <row r="18" customFormat="false" ht="15" hidden="false" customHeight="false" outlineLevel="1" collapsed="false">
      <c r="A18" s="4" t="s">
        <v>586</v>
      </c>
      <c r="B18" s="12" t="s">
        <v>93</v>
      </c>
      <c r="C18" s="43" t="n">
        <f aca="false">輸入與假設!C$148</f>
        <v>4.79724536770833</v>
      </c>
      <c r="D18" s="43" t="n">
        <f aca="false">輸入與假設!D$148</f>
        <v>14.9245822058333</v>
      </c>
      <c r="E18" s="43" t="n">
        <f aca="false">輸入與假設!E$148</f>
        <v>21.1588658141667</v>
      </c>
      <c r="F18" s="43" t="n">
        <f aca="false">輸入與假設!F$148</f>
        <v>26.3739721541667</v>
      </c>
      <c r="G18" s="43" t="n">
        <f aca="false">輸入與假設!G$148</f>
        <v>31.0566051741667</v>
      </c>
      <c r="I18" s="7" t="s">
        <v>1608</v>
      </c>
    </row>
    <row r="19" customFormat="false" ht="15" hidden="false" customHeight="false" outlineLevel="1" collapsed="false">
      <c r="A19" s="5" t="s">
        <v>1178</v>
      </c>
      <c r="B19" s="12" t="s">
        <v>93</v>
      </c>
      <c r="C19" s="39" t="n">
        <f aca="false">C10+C18</f>
        <v>2.9533729000456</v>
      </c>
      <c r="D19" s="39" t="n">
        <f aca="false">D10+D18</f>
        <v>9.81438269251001</v>
      </c>
      <c r="E19" s="39" t="n">
        <f aca="false">E10+E18</f>
        <v>18.4657013127266</v>
      </c>
      <c r="F19" s="39" t="n">
        <f aca="false">F10+F18</f>
        <v>30.3220615793091</v>
      </c>
      <c r="G19" s="39" t="n">
        <f aca="false">G10+G18</f>
        <v>45.8188412930088</v>
      </c>
    </row>
    <row r="20" customFormat="false" ht="15" hidden="false" customHeight="false" outlineLevel="1" collapsed="false">
      <c r="A20" s="3" t="s">
        <v>1609</v>
      </c>
      <c r="B20" s="12" t="s">
        <v>448</v>
      </c>
      <c r="C20" s="93" t="n">
        <f aca="false">輸入與假設!$C$176</f>
        <v>0.587</v>
      </c>
      <c r="D20" s="93" t="n">
        <f aca="false">C20*(1+輸入與假設!$C$191)</f>
        <v>0.59287</v>
      </c>
      <c r="E20" s="93" t="n">
        <f aca="false">D20*(1+輸入與假設!$C$191)</f>
        <v>0.5987987</v>
      </c>
      <c r="F20" s="93" t="n">
        <f aca="false">E20*(1+輸入與假設!$C$191)</f>
        <v>0.604786687</v>
      </c>
      <c r="G20" s="93" t="n">
        <f aca="false">F20*(1+輸入與假設!$C$191)</f>
        <v>0.61083455387</v>
      </c>
      <c r="I20" s="12" t="s">
        <v>1610</v>
      </c>
    </row>
    <row r="21" customFormat="false" ht="15" hidden="false" customHeight="false" outlineLevel="1" collapsed="false">
      <c r="A21" s="3" t="s">
        <v>1611</v>
      </c>
      <c r="B21" s="12" t="s">
        <v>448</v>
      </c>
      <c r="C21" s="93" t="n">
        <f aca="false">C20+各期收支!C66</f>
        <v>0.587</v>
      </c>
      <c r="D21" s="93" t="n">
        <f aca="false">D20+各期收支!D66</f>
        <v>0.59287</v>
      </c>
      <c r="E21" s="93" t="n">
        <f aca="false">E20+各期收支!E66</f>
        <v>0.729132033333333</v>
      </c>
      <c r="F21" s="93" t="n">
        <f aca="false">F20+各期收支!F66</f>
        <v>0.735120020333333</v>
      </c>
      <c r="G21" s="93" t="n">
        <f aca="false">G20+各期收支!G66</f>
        <v>0.741167887203333</v>
      </c>
      <c r="I21" s="7" t="s">
        <v>1612</v>
      </c>
    </row>
    <row r="22" customFormat="false" ht="15" hidden="false" customHeight="false" outlineLevel="1" collapsed="false">
      <c r="A22" s="3" t="s">
        <v>1613</v>
      </c>
      <c r="B22" s="12" t="s">
        <v>74</v>
      </c>
      <c r="C22" s="55" t="n">
        <f aca="false">C17/C21</f>
        <v>-7.40207151749405</v>
      </c>
      <c r="D22" s="55" t="n">
        <f aca="false">D17/D21</f>
        <v>-21.7313275169612</v>
      </c>
      <c r="E22" s="55" t="n">
        <f aca="false">E17/E21</f>
        <v>-16.1299186390558</v>
      </c>
      <c r="F22" s="55" t="n">
        <f aca="false">F17/F21</f>
        <v>-8.25936144462382</v>
      </c>
      <c r="G22" s="55" t="n">
        <f aca="false">G17/G21</f>
        <v>6.30776361890918</v>
      </c>
      <c r="I22" s="12" t="s">
        <v>1614</v>
      </c>
    </row>
    <row r="24" customFormat="false" ht="15" hidden="false" customHeight="false" outlineLevel="0" collapsed="false">
      <c r="A24" s="52" t="s">
        <v>1615</v>
      </c>
      <c r="B24" s="9"/>
      <c r="C24" s="9"/>
      <c r="D24" s="9"/>
      <c r="E24" s="9"/>
      <c r="F24" s="9"/>
      <c r="G24" s="9"/>
      <c r="H24" s="9"/>
    </row>
    <row r="25" customFormat="false" ht="15" hidden="false" customHeight="false" outlineLevel="1" collapsed="false">
      <c r="A25" s="4" t="s">
        <v>1616</v>
      </c>
      <c r="B25" s="12" t="s">
        <v>93</v>
      </c>
      <c r="C25" s="43" t="n">
        <f aca="false">輸入與假設!$C$233</f>
        <v>4.653</v>
      </c>
      <c r="D25" s="43" t="n">
        <f aca="false">0</f>
        <v>0</v>
      </c>
      <c r="E25" s="43" t="n">
        <f aca="false">0</f>
        <v>0</v>
      </c>
      <c r="F25" s="43" t="n">
        <f aca="false">0</f>
        <v>0</v>
      </c>
      <c r="G25" s="43" t="n">
        <f aca="false">0</f>
        <v>0</v>
      </c>
    </row>
    <row r="26" customFormat="false" ht="15" hidden="false" customHeight="false" outlineLevel="1" collapsed="false">
      <c r="A26" s="2" t="s">
        <v>1617</v>
      </c>
      <c r="B26" s="12" t="s">
        <v>93</v>
      </c>
      <c r="C26" s="39" t="n">
        <f aca="false">C25+C8</f>
        <v>11.0494944849016</v>
      </c>
      <c r="D26" s="39" t="n">
        <f aca="false">D25+D8</f>
        <v>20.1998592826102</v>
      </c>
      <c r="E26" s="39" t="n">
        <f aca="false">E25+E8</f>
        <v>32.8186505164409</v>
      </c>
      <c r="F26" s="39" t="n">
        <f aca="false">F25+F8</f>
        <v>47.8875710924931</v>
      </c>
      <c r="G26" s="39" t="n">
        <f aca="false">G25+G8</f>
        <v>66.3861150748784</v>
      </c>
      <c r="I26" s="12" t="s">
        <v>1618</v>
      </c>
    </row>
    <row r="27" customFormat="false" ht="15" hidden="false" customHeight="false" outlineLevel="1" collapsed="false">
      <c r="A27" s="3" t="s">
        <v>1619</v>
      </c>
      <c r="B27" s="12" t="s">
        <v>77</v>
      </c>
      <c r="C27" s="69" t="n">
        <f aca="false">C26/5.131-1</f>
        <v>1.15347777916616</v>
      </c>
      <c r="D27" s="69" t="n">
        <f aca="false">D26/C26-1</f>
        <v>0.828125197058748</v>
      </c>
      <c r="E27" s="69" t="n">
        <f aca="false">E26/D26-1</f>
        <v>0.624696987106937</v>
      </c>
      <c r="F27" s="69" t="n">
        <f aca="false">F26/E26-1</f>
        <v>0.459157227336428</v>
      </c>
      <c r="G27" s="69" t="n">
        <f aca="false">G26/F26-1</f>
        <v>0.386291130670544</v>
      </c>
      <c r="I27" s="12" t="s">
        <v>1620</v>
      </c>
    </row>
    <row r="28" customFormat="false" ht="15" hidden="false" customHeight="false" outlineLevel="1" collapsed="false">
      <c r="A28" s="3" t="s">
        <v>1621</v>
      </c>
      <c r="B28" s="12" t="s">
        <v>93</v>
      </c>
      <c r="C28" s="68" t="n">
        <f aca="false">輸入與假設!$C$234+C10</f>
        <v>-2.03687246766273</v>
      </c>
      <c r="D28" s="68" t="n">
        <f aca="false">D10</f>
        <v>-5.11019951332333</v>
      </c>
      <c r="E28" s="68" t="n">
        <f aca="false">E10</f>
        <v>-2.69316450144008</v>
      </c>
      <c r="F28" s="68" t="n">
        <f aca="false">F10</f>
        <v>3.94808942514244</v>
      </c>
      <c r="G28" s="68" t="n">
        <f aca="false">G10</f>
        <v>14.7622361188421</v>
      </c>
    </row>
    <row r="29" customFormat="false" ht="15" hidden="false" customHeight="false" outlineLevel="1" collapsed="false">
      <c r="A29" s="3" t="s">
        <v>1622</v>
      </c>
      <c r="B29" s="12" t="s">
        <v>77</v>
      </c>
      <c r="C29" s="69" t="n">
        <f aca="false">C28/C26</f>
        <v>-0.184340783231848</v>
      </c>
      <c r="D29" s="69" t="n">
        <f aca="false">D28/D26</f>
        <v>-0.252981936251538</v>
      </c>
      <c r="E29" s="69" t="n">
        <f aca="false">E28/E26</f>
        <v>-0.0820620122722872</v>
      </c>
      <c r="F29" s="69" t="n">
        <f aca="false">F28/F26</f>
        <v>0.0824449713166041</v>
      </c>
      <c r="G29" s="69" t="n">
        <f aca="false">G28/G26</f>
        <v>0.222369332837017</v>
      </c>
    </row>
    <row r="30" customFormat="false" ht="15" hidden="false" customHeight="false" outlineLevel="1" collapsed="false">
      <c r="A30" s="3" t="s">
        <v>1623</v>
      </c>
      <c r="B30" s="12" t="s">
        <v>93</v>
      </c>
      <c r="C30" s="68" t="n">
        <f aca="false">輸入與假設!$C$237+C18</f>
        <v>7.33724536770833</v>
      </c>
      <c r="D30" s="68" t="n">
        <f aca="false">D18</f>
        <v>14.9245822058333</v>
      </c>
      <c r="E30" s="68" t="n">
        <f aca="false">E18</f>
        <v>21.1588658141667</v>
      </c>
      <c r="F30" s="68" t="n">
        <f aca="false">F18</f>
        <v>26.3739721541667</v>
      </c>
      <c r="G30" s="68" t="n">
        <f aca="false">G18</f>
        <v>31.0566051741667</v>
      </c>
      <c r="I30" s="12" t="s">
        <v>1624</v>
      </c>
    </row>
    <row r="31" customFormat="false" ht="15" hidden="false" customHeight="false" outlineLevel="1" collapsed="false">
      <c r="A31" s="2" t="s">
        <v>1625</v>
      </c>
      <c r="B31" s="12" t="s">
        <v>93</v>
      </c>
      <c r="C31" s="39" t="n">
        <f aca="false">C28+C30</f>
        <v>5.3003729000456</v>
      </c>
      <c r="D31" s="39" t="n">
        <f aca="false">D28+D30</f>
        <v>9.81438269251001</v>
      </c>
      <c r="E31" s="39" t="n">
        <f aca="false">E28+E30</f>
        <v>18.4657013127266</v>
      </c>
      <c r="F31" s="39" t="n">
        <f aca="false">F28+F30</f>
        <v>30.3220615793091</v>
      </c>
      <c r="G31" s="39" t="n">
        <f aca="false">G28+G30</f>
        <v>45.8188412930088</v>
      </c>
    </row>
    <row r="32" customFormat="false" ht="15" hidden="false" customHeight="false" outlineLevel="1" collapsed="false">
      <c r="A32" s="3" t="s">
        <v>1626</v>
      </c>
      <c r="B32" s="12" t="s">
        <v>93</v>
      </c>
      <c r="C32" s="68" t="n">
        <f aca="false">輸入與假設!$C$231+C11</f>
        <v>3.67714351310627</v>
      </c>
      <c r="D32" s="68" t="n">
        <f aca="false">D11</f>
        <v>7.77365263165743</v>
      </c>
      <c r="E32" s="68" t="n">
        <f aca="false">E11</f>
        <v>9.06767587335589</v>
      </c>
      <c r="F32" s="68" t="n">
        <f aca="false">F11</f>
        <v>10.0197113782547</v>
      </c>
      <c r="G32" s="68" t="n">
        <f aca="false">G11</f>
        <v>9.88216113512086</v>
      </c>
      <c r="I32" s="12" t="s">
        <v>1627</v>
      </c>
    </row>
    <row r="33" customFormat="false" ht="15" hidden="false" customHeight="false" outlineLevel="1" collapsed="false">
      <c r="A33" s="2" t="s">
        <v>1628</v>
      </c>
      <c r="B33" s="12" t="s">
        <v>93</v>
      </c>
      <c r="C33" s="39" t="n">
        <f aca="false">輸入與假設!$C$235+C17</f>
        <v>-5.71101598076901</v>
      </c>
      <c r="D33" s="39" t="n">
        <f aca="false">D17</f>
        <v>-12.8838521449808</v>
      </c>
      <c r="E33" s="39" t="n">
        <f aca="false">E17</f>
        <v>-11.760840374796</v>
      </c>
      <c r="F33" s="39" t="n">
        <f aca="false">F17</f>
        <v>-6.07162195311222</v>
      </c>
      <c r="G33" s="39" t="n">
        <f aca="false">G17</f>
        <v>4.67511183440497</v>
      </c>
    </row>
    <row r="34" customFormat="false" ht="15" hidden="false" customHeight="false" outlineLevel="1" collapsed="false">
      <c r="A34" s="3" t="s">
        <v>1629</v>
      </c>
      <c r="B34" s="12" t="s">
        <v>77</v>
      </c>
      <c r="C34" s="69" t="n">
        <f aca="false">C33/C26</f>
        <v>-0.516857670599569</v>
      </c>
      <c r="D34" s="69" t="n">
        <f aca="false">D33/D26</f>
        <v>-0.637818905801601</v>
      </c>
      <c r="E34" s="69" t="n">
        <f aca="false">E33/E26</f>
        <v>-0.358358439171782</v>
      </c>
      <c r="F34" s="69" t="n">
        <f aca="false">F33/F26</f>
        <v>-0.126789098185521</v>
      </c>
      <c r="G34" s="69" t="n">
        <f aca="false">G33/G26</f>
        <v>0.0704230369427675</v>
      </c>
    </row>
    <row r="35" customFormat="false" ht="15" hidden="false" customHeight="false" outlineLevel="1" collapsed="false">
      <c r="A35" s="2" t="s">
        <v>1630</v>
      </c>
      <c r="B35" s="12" t="s">
        <v>74</v>
      </c>
      <c r="C35" s="85" t="n">
        <f aca="false">輸入與假設!$C$239+C17/C21</f>
        <v>-9.93207151749405</v>
      </c>
      <c r="D35" s="85" t="n">
        <f aca="false">D17/D21</f>
        <v>-21.7313275169612</v>
      </c>
      <c r="E35" s="85" t="n">
        <f aca="false">E17/E21</f>
        <v>-16.1299186390558</v>
      </c>
      <c r="F35" s="85" t="n">
        <f aca="false">F17/F21</f>
        <v>-8.25936144462382</v>
      </c>
      <c r="G35" s="85" t="n">
        <f aca="false">G17/G21</f>
        <v>6.30776361890918</v>
      </c>
      <c r="I35" s="12" t="s">
        <v>1631</v>
      </c>
    </row>
    <row r="36" customFormat="false" ht="15" hidden="false" customHeight="false" outlineLevel="1" collapsed="false">
      <c r="A36" s="3" t="s">
        <v>1632</v>
      </c>
      <c r="B36" s="12" t="s">
        <v>74</v>
      </c>
      <c r="C36" s="55" t="n">
        <f aca="false">輸入與假設!$C$240+(C17+輸入與假設!$C$192*輸入與假設!C$24)/C21</f>
        <v>-8.74581938802216</v>
      </c>
      <c r="D36" s="55" t="n">
        <f aca="false">(D17+輸入與假設!$C$192*輸入與假設!D$24)/D21</f>
        <v>-20.5506302308782</v>
      </c>
      <c r="E36" s="55" t="n">
        <f aca="false">(E17+輸入與假設!$C$192*輸入與假設!E$24)/E21</f>
        <v>-15.1698730396328</v>
      </c>
      <c r="F36" s="55" t="n">
        <f aca="false">(F17+輸入與假設!$C$192*輸入與假設!F$24)/F21</f>
        <v>-7.30713598396695</v>
      </c>
      <c r="G36" s="55" t="n">
        <f aca="false">(G17+輸入與假設!$C$192*輸入與假設!G$24)/G21</f>
        <v>7.25221900086229</v>
      </c>
      <c r="I36" s="7" t="s">
        <v>1633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F1239"/>
    <outlinePr summaryBelow="0" summaryRight="1"/>
    <pageSetUpPr fitToPage="false"/>
  </sheetPr>
  <dimension ref="A1:I8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42"/>
    <col collapsed="false" customWidth="true" hidden="false" outlineLevel="0" max="2" min="2" style="0" width="12"/>
    <col collapsed="false" customWidth="true" hidden="false" outlineLevel="0" max="7" min="3" style="0" width="13"/>
    <col collapsed="false" customWidth="true" hidden="false" outlineLevel="0" max="9" min="9" style="0" width="92"/>
  </cols>
  <sheetData>
    <row r="1" customFormat="false" ht="21.6" hidden="false" customHeight="false" outlineLevel="0" collapsed="false">
      <c r="A1" s="6" t="s">
        <v>1634</v>
      </c>
    </row>
    <row r="2" customFormat="false" ht="15" hidden="false" customHeight="false" outlineLevel="0" collapsed="false">
      <c r="A2" s="7" t="s">
        <v>1635</v>
      </c>
    </row>
    <row r="4" customFormat="false" ht="15" hidden="false" customHeight="false" outlineLevel="0" collapsed="false">
      <c r="A4" s="15" t="s">
        <v>87</v>
      </c>
      <c r="B4" s="15" t="s">
        <v>88</v>
      </c>
      <c r="C4" s="27" t="s">
        <v>89</v>
      </c>
      <c r="D4" s="27" t="s">
        <v>90</v>
      </c>
      <c r="E4" s="27" t="s">
        <v>91</v>
      </c>
      <c r="F4" s="27" t="s">
        <v>175</v>
      </c>
      <c r="G4" s="27" t="s">
        <v>176</v>
      </c>
      <c r="I4" s="15" t="s">
        <v>744</v>
      </c>
    </row>
    <row r="5" customFormat="false" ht="15" hidden="false" customHeight="false" outlineLevel="0" collapsed="false">
      <c r="A5" s="8" t="s">
        <v>1636</v>
      </c>
      <c r="B5" s="9"/>
      <c r="C5" s="9"/>
      <c r="D5" s="9"/>
      <c r="E5" s="9"/>
      <c r="F5" s="9"/>
      <c r="G5" s="9"/>
      <c r="H5" s="9"/>
    </row>
    <row r="6" customFormat="false" ht="15" hidden="false" customHeight="false" outlineLevel="1" collapsed="false">
      <c r="A6" s="3" t="s">
        <v>1637</v>
      </c>
      <c r="B6" s="12" t="s">
        <v>93</v>
      </c>
      <c r="C6" s="68" t="n">
        <f aca="false">輸入與假設!C$147-各期收支!C8</f>
        <v>19.928937719</v>
      </c>
      <c r="D6" s="68" t="n">
        <f aca="false">輸入與假設!D$147-各期收支!D8</f>
        <v>38.9152721144</v>
      </c>
      <c r="E6" s="68" t="n">
        <f aca="false">輸入與假設!E$147-各期收支!E8</f>
        <v>29.9112189216</v>
      </c>
      <c r="F6" s="68" t="n">
        <f aca="false">輸入與假設!F$147-各期收支!F8</f>
        <v>31.121499456</v>
      </c>
      <c r="G6" s="68" t="n">
        <f aca="false">輸入與假設!G$147-各期收支!G8</f>
        <v>33.0233688672</v>
      </c>
      <c r="I6" s="12" t="s">
        <v>1638</v>
      </c>
    </row>
    <row r="7" customFormat="false" ht="15" hidden="false" customHeight="false" outlineLevel="1" collapsed="false">
      <c r="A7" s="3" t="s">
        <v>1639</v>
      </c>
      <c r="B7" s="12" t="s">
        <v>93</v>
      </c>
      <c r="C7" s="68" t="n">
        <f aca="false">5.131</f>
        <v>5.131</v>
      </c>
      <c r="D7" s="68" t="n">
        <f aca="false">4.653+損益!C8</f>
        <v>11.0494944849016</v>
      </c>
      <c r="E7" s="68" t="n">
        <f aca="false">損益!D8</f>
        <v>20.1998592826102</v>
      </c>
      <c r="F7" s="68" t="n">
        <f aca="false">損益!E8</f>
        <v>32.8186505164409</v>
      </c>
      <c r="G7" s="68" t="n">
        <f aca="false">損益!F8</f>
        <v>47.8875710924931</v>
      </c>
      <c r="I7" s="12" t="s">
        <v>1640</v>
      </c>
    </row>
    <row r="8" customFormat="false" ht="15" hidden="false" customHeight="false" outlineLevel="1" collapsed="false">
      <c r="A8" s="3" t="s">
        <v>1641</v>
      </c>
      <c r="B8" s="12" t="s">
        <v>93</v>
      </c>
      <c r="C8" s="68" t="n">
        <f aca="false">輸入與假設!$C$184*MAX(0,損益!C8-C7)</f>
        <v>0.0253098896980311</v>
      </c>
      <c r="D8" s="68" t="n">
        <f aca="false">輸入與假設!$C$184*MAX(0,損益!D8-D7)</f>
        <v>0.183007295954173</v>
      </c>
      <c r="E8" s="68" t="n">
        <f aca="false">輸入與假設!$C$184*MAX(0,損益!E8-E7)</f>
        <v>0.252375824676614</v>
      </c>
      <c r="F8" s="68" t="n">
        <f aca="false">輸入與假設!$C$184*MAX(0,損益!F8-F7)</f>
        <v>0.301378411521045</v>
      </c>
      <c r="G8" s="68" t="n">
        <f aca="false">輸入與假設!$C$184*MAX(0,損益!G8-G7)</f>
        <v>0.369970879647704</v>
      </c>
      <c r="I8" s="7" t="s">
        <v>1642</v>
      </c>
    </row>
    <row r="9" customFormat="false" ht="15" hidden="false" customHeight="false" outlineLevel="1" collapsed="false">
      <c r="A9" s="3" t="s">
        <v>1643</v>
      </c>
      <c r="B9" s="12" t="s">
        <v>93</v>
      </c>
      <c r="C9" s="68" t="n">
        <f aca="false">輸入與假設!$C$182</f>
        <v>4</v>
      </c>
      <c r="D9" s="68" t="n">
        <f aca="false">C11</f>
        <v>5.84387246766273</v>
      </c>
      <c r="E9" s="68" t="n">
        <f aca="false">D11</f>
        <v>10.9540719809861</v>
      </c>
      <c r="F9" s="68" t="n">
        <f aca="false">E11</f>
        <v>13.6472364824261</v>
      </c>
      <c r="G9" s="68" t="n">
        <f aca="false">F11</f>
        <v>10.4887649423122</v>
      </c>
      <c r="I9" s="12" t="s">
        <v>1644</v>
      </c>
    </row>
    <row r="10" customFormat="false" ht="15" hidden="false" customHeight="false" outlineLevel="1" collapsed="false">
      <c r="A10" s="3" t="s">
        <v>1645</v>
      </c>
      <c r="B10" s="12" t="s">
        <v>93</v>
      </c>
      <c r="C10" s="68" t="n">
        <f aca="false">MIN(C9,MAX(0,損益!C10)*輸入與假設!$C$183)</f>
        <v>0</v>
      </c>
      <c r="D10" s="68" t="n">
        <f aca="false">MIN(D9,MAX(0,損益!D10)*輸入與假設!$C$183)</f>
        <v>0</v>
      </c>
      <c r="E10" s="68" t="n">
        <f aca="false">MIN(E9,MAX(0,損益!E10)*輸入與假設!$C$183)</f>
        <v>0</v>
      </c>
      <c r="F10" s="68" t="n">
        <f aca="false">MIN(F9,MAX(0,損益!F10)*輸入與假設!$C$183)</f>
        <v>3.15847154011395</v>
      </c>
      <c r="G10" s="68" t="n">
        <f aca="false">MIN(G9,MAX(0,損益!G10)*輸入與假設!$C$183)</f>
        <v>10.4887649423122</v>
      </c>
    </row>
    <row r="11" customFormat="false" ht="15" hidden="false" customHeight="false" outlineLevel="1" collapsed="false">
      <c r="A11" s="3" t="s">
        <v>1646</v>
      </c>
      <c r="B11" s="12" t="s">
        <v>93</v>
      </c>
      <c r="C11" s="68" t="n">
        <f aca="false">C9-C10+MAX(0,-損益!C10)</f>
        <v>5.84387246766273</v>
      </c>
      <c r="D11" s="68" t="n">
        <f aca="false">D9-D10+MAX(0,-損益!D10)</f>
        <v>10.9540719809861</v>
      </c>
      <c r="E11" s="68" t="n">
        <f aca="false">E9-E10+MAX(0,-損益!E10)</f>
        <v>13.6472364824261</v>
      </c>
      <c r="F11" s="68" t="n">
        <f aca="false">F9-F10+MAX(0,-損益!F10)</f>
        <v>10.4887649423122</v>
      </c>
      <c r="G11" s="68" t="n">
        <f aca="false">G9-G10+MAX(0,-損益!G10)</f>
        <v>0</v>
      </c>
    </row>
    <row r="12" customFormat="false" ht="15" hidden="false" customHeight="false" outlineLevel="1" collapsed="false">
      <c r="A12" s="3" t="s">
        <v>1647</v>
      </c>
      <c r="B12" s="12" t="s">
        <v>93</v>
      </c>
      <c r="C12" s="68" t="n">
        <f aca="false">MAX(0,損益!C10-C10)*輸入與假設!$C$181</f>
        <v>0</v>
      </c>
      <c r="D12" s="68" t="n">
        <f aca="false">MAX(0,損益!D10-D10)*輸入與假設!$C$181</f>
        <v>0</v>
      </c>
      <c r="E12" s="68" t="n">
        <f aca="false">MAX(0,損益!E10-E10)*輸入與假設!$C$181</f>
        <v>0</v>
      </c>
      <c r="F12" s="68" t="n">
        <f aca="false">MAX(0,損益!F10-F10)*輸入與假設!$C$181</f>
        <v>0.165819755855982</v>
      </c>
      <c r="G12" s="68" t="n">
        <f aca="false">MAX(0,損益!G10-G10)*輸入與假設!$C$181</f>
        <v>0.897428947071287</v>
      </c>
      <c r="I12" s="7" t="s">
        <v>1648</v>
      </c>
    </row>
    <row r="13" customFormat="false" ht="15" hidden="false" customHeight="false" outlineLevel="1" collapsed="false">
      <c r="A13" s="5" t="s">
        <v>1649</v>
      </c>
      <c r="B13" s="12" t="s">
        <v>93</v>
      </c>
      <c r="C13" s="39" t="n">
        <f aca="false">損益!C10-C12+損益!C18-C6-C8</f>
        <v>-17.0008747086524</v>
      </c>
      <c r="D13" s="39" t="n">
        <f aca="false">損益!D10-D12+損益!D18-D6-D8</f>
        <v>-29.2838967178442</v>
      </c>
      <c r="E13" s="39" t="n">
        <f aca="false">損益!E10-E12+損益!E18-E6-E8</f>
        <v>-11.69789343355</v>
      </c>
      <c r="F13" s="39" t="n">
        <f aca="false">損益!F10-F12+損益!F18-F6-F8</f>
        <v>-1.26663604406792</v>
      </c>
      <c r="G13" s="39" t="n">
        <f aca="false">損益!G10-G12+損益!G18-G6-G8</f>
        <v>11.5280725990898</v>
      </c>
      <c r="I13" s="7" t="s">
        <v>1650</v>
      </c>
    </row>
    <row r="14" customFormat="false" ht="15" hidden="false" customHeight="false" outlineLevel="1" collapsed="false">
      <c r="A14" s="3" t="s">
        <v>1651</v>
      </c>
      <c r="B14" s="7" t="s">
        <v>378</v>
      </c>
      <c r="C14" s="94" t="n">
        <f aca="false">輸入與假設!$C$210</f>
        <v>0.5</v>
      </c>
      <c r="D14" s="94" t="n">
        <f aca="false">輸入與假設!$D$210</f>
        <v>1.5</v>
      </c>
      <c r="E14" s="94" t="n">
        <f aca="false">輸入與假設!$E$210</f>
        <v>2.5</v>
      </c>
      <c r="F14" s="94" t="n">
        <f aca="false">輸入與假設!$F$210</f>
        <v>3.5</v>
      </c>
      <c r="G14" s="94" t="n">
        <f aca="false">輸入與假設!$G$210</f>
        <v>4.5</v>
      </c>
      <c r="I14" s="7" t="s">
        <v>1652</v>
      </c>
    </row>
    <row r="15" customFormat="false" ht="15" hidden="false" customHeight="false" outlineLevel="1" collapsed="false">
      <c r="A15" s="3" t="s">
        <v>1653</v>
      </c>
      <c r="B15" s="7"/>
      <c r="C15" s="56" t="n">
        <f aca="false">1/(1+輸入與假設!$C$178)^C14</f>
        <v>0.949157995752499</v>
      </c>
      <c r="D15" s="56" t="n">
        <f aca="false">1/(1+輸入與假設!$C$178)^D14</f>
        <v>0.85509729347072</v>
      </c>
      <c r="E15" s="56" t="n">
        <f aca="false">1/(1+輸入與假設!$C$178)^E14</f>
        <v>0.770357922045693</v>
      </c>
      <c r="F15" s="56" t="n">
        <f aca="false">1/(1+輸入與假設!$C$178)^F14</f>
        <v>0.694016145987111</v>
      </c>
      <c r="G15" s="56" t="n">
        <f aca="false">1/(1+輸入與假設!$C$178)^G14</f>
        <v>0.62523977115956</v>
      </c>
    </row>
    <row r="16" customFormat="false" ht="15" hidden="false" customHeight="false" outlineLevel="1" collapsed="false">
      <c r="A16" s="4" t="s">
        <v>1654</v>
      </c>
      <c r="B16" s="12" t="s">
        <v>93</v>
      </c>
      <c r="C16" s="68" t="n">
        <f aca="false">C13*C15</f>
        <v>-16.1365161645039</v>
      </c>
      <c r="D16" s="68" t="n">
        <f aca="false">D13*D15</f>
        <v>-25.0405808257046</v>
      </c>
      <c r="E16" s="68" t="n">
        <f aca="false">E13*E15</f>
        <v>-9.01156487778156</v>
      </c>
      <c r="F16" s="68" t="n">
        <f aca="false">F13*F15</f>
        <v>-0.879065865672379</v>
      </c>
      <c r="G16" s="68" t="n">
        <f aca="false">G13*G15</f>
        <v>7.2078094737657</v>
      </c>
    </row>
    <row r="17" customFormat="false" ht="15" hidden="false" customHeight="false" outlineLevel="1" collapsed="false"/>
    <row r="18" customFormat="false" ht="15" hidden="false" customHeight="false" outlineLevel="1" collapsed="false">
      <c r="A18" s="3" t="s">
        <v>1655</v>
      </c>
      <c r="C18" s="11" t="n">
        <f aca="false">SUM(C16:G16)</f>
        <v>-43.8599182598968</v>
      </c>
      <c r="I18" s="7" t="s">
        <v>1656</v>
      </c>
    </row>
    <row r="19" customFormat="false" ht="15" hidden="false" customHeight="false" outlineLevel="1" collapsed="false">
      <c r="A19" s="3" t="s">
        <v>1657</v>
      </c>
      <c r="C19" s="11" t="n">
        <f aca="false">損益!G10*(1-輸入與假設!$C$181)+損益!G18-損益!G18*輸入與假設!$C$180</f>
        <v>17.8734875687186</v>
      </c>
      <c r="I19" s="7" t="s">
        <v>1658</v>
      </c>
    </row>
    <row r="20" customFormat="false" ht="15" hidden="false" customHeight="false" outlineLevel="1" collapsed="false">
      <c r="A20" s="3" t="s">
        <v>1659</v>
      </c>
      <c r="C20" s="58" t="n">
        <f aca="false">IF(C29=1,0,C19*(1+輸入與假設!$C$179)/(輸入與假設!$C$178-輸入與假設!$C$179))</f>
        <v>230.121152447252</v>
      </c>
      <c r="I20" s="7" t="s">
        <v>1660</v>
      </c>
    </row>
    <row r="21" customFormat="false" ht="15" hidden="false" customHeight="false" outlineLevel="1" collapsed="false">
      <c r="A21" s="3" t="s">
        <v>1661</v>
      </c>
      <c r="C21" s="58" t="n">
        <f aca="false">C20*G15</f>
        <v>143.880896695094</v>
      </c>
    </row>
    <row r="22" customFormat="false" ht="15" hidden="false" customHeight="false" outlineLevel="1" collapsed="false">
      <c r="A22" s="3" t="s">
        <v>1662</v>
      </c>
      <c r="C22" s="58" t="n">
        <f aca="false">C18+C21</f>
        <v>100.020978435197</v>
      </c>
    </row>
    <row r="23" customFormat="false" ht="15" hidden="false" customHeight="false" outlineLevel="1" collapsed="false">
      <c r="A23" s="3" t="s">
        <v>1663</v>
      </c>
      <c r="C23" s="11" t="n">
        <f aca="false">-輸入與假設!$C$177</f>
        <v>-30</v>
      </c>
      <c r="I23" s="12" t="s">
        <v>1664</v>
      </c>
    </row>
    <row r="24" customFormat="false" ht="15" hidden="false" customHeight="false" outlineLevel="1" collapsed="false">
      <c r="A24" s="3" t="s">
        <v>1665</v>
      </c>
      <c r="C24" s="58" t="n">
        <f aca="false">C22+C23</f>
        <v>70.0209784351973</v>
      </c>
    </row>
    <row r="25" customFormat="false" ht="15" hidden="false" customHeight="false" outlineLevel="1" collapsed="false">
      <c r="A25" s="5" t="s">
        <v>1666</v>
      </c>
      <c r="C25" s="95" t="n">
        <f aca="false">IF(C29=1,0,IF(輸入與假設!$C$194=2,C31,C30))</f>
        <v>110.215538951202</v>
      </c>
      <c r="I25" s="7" t="s">
        <v>1667</v>
      </c>
    </row>
    <row r="26" customFormat="false" ht="15" hidden="false" customHeight="false" outlineLevel="1" collapsed="false">
      <c r="A26" s="3" t="s">
        <v>1668</v>
      </c>
      <c r="C26" s="28" t="n">
        <f aca="false">C21/C22</f>
        <v>1.43850719065214</v>
      </c>
      <c r="I26" s="7" t="str">
        <f aca="false">"超過 "&amp;IF(ROUND(ABS(輸入與假設!$C$219)*100,4)=INT(ROUND(ABS(輸入與假設!$C$219)*100,4)),TEXT(ROUND(ABS(輸入與假設!$C$219)*100,4),"0"),TEXT(ROUND(ABS(輸入與假設!$C$219)*100,4),"0.0"))&amp;"%"&amp;" 表示結論由終值假設決定，不由現金流決定"</f>
        <v>超過 85% 表示結論由終值假設決定，不由現金流決定</v>
      </c>
    </row>
    <row r="27" customFormat="false" ht="15" hidden="false" customHeight="false" outlineLevel="1" collapsed="false">
      <c r="A27" s="3" t="s">
        <v>1669</v>
      </c>
      <c r="C27" s="58" t="n">
        <f aca="false">各期收支!C61/(1+輸入與假設!$C$178)^輸入與假設!$C$211+各期收支!D61/(1+輸入與假設!$C$178)^輸入與假設!$D$211+各期收支!E61/(1+輸入與假設!$C$178)^輸入與假設!$E$211+各期收支!F61/(1+輸入與假設!$C$178)^輸入與假設!$F$211+各期收支!G61/(1+輸入與假設!$C$178)^輸入與假設!$G$211</f>
        <v>9.04030150579852</v>
      </c>
      <c r="I27" s="7" t="s">
        <v>1670</v>
      </c>
    </row>
    <row r="28" customFormat="false" ht="15" hidden="false" customHeight="false" outlineLevel="1" collapsed="false">
      <c r="A28" s="3" t="s">
        <v>1671</v>
      </c>
      <c r="C28" s="96" t="n">
        <f aca="false">輸入與假設!$C$176+各期收支!G66</f>
        <v>0.717333333333333</v>
      </c>
    </row>
    <row r="29" customFormat="false" ht="15" hidden="false" customHeight="false" outlineLevel="1" collapsed="false">
      <c r="A29" s="4" t="s">
        <v>1672</v>
      </c>
      <c r="C29" s="48" t="n">
        <f aca="false">IF(OR(輸入與假設!$C$178&lt;=輸入與假設!$C$179,C19&lt;=0),1,0)</f>
        <v>0</v>
      </c>
      <c r="I29" s="12" t="s">
        <v>1673</v>
      </c>
    </row>
    <row r="30" customFormat="false" ht="15" hidden="false" customHeight="false" outlineLevel="1" collapsed="false">
      <c r="A30" s="5" t="s">
        <v>1674</v>
      </c>
      <c r="C30" s="47" t="n">
        <f aca="false">MAX(0,(C24+C27)/C28)</f>
        <v>110.215538951202</v>
      </c>
    </row>
    <row r="31" customFormat="false" ht="15" hidden="false" customHeight="false" outlineLevel="1" collapsed="false">
      <c r="A31" s="5" t="s">
        <v>1675</v>
      </c>
      <c r="C31" s="47" t="n">
        <f aca="false">IF((C22+C27)&lt;=0,0,((C22+C27)*NORMSDIST(C32)-輸入與假設!$C$177*EXP(-輸入與假設!$C$196*輸入與假設!$C$197)*NORMSDIST(C33))/C28)</f>
        <v>119.7490987</v>
      </c>
      <c r="I31" s="12" t="s">
        <v>1676</v>
      </c>
    </row>
    <row r="32" customFormat="false" ht="15" hidden="false" customHeight="false" outlineLevel="1" collapsed="false">
      <c r="A32" s="3" t="s">
        <v>1677</v>
      </c>
      <c r="C32" s="96" t="n">
        <f aca="false">IF((C22+C27)&lt;=0,0,(LN((C22+C27)/輸入與假設!$C$177)+(輸入與假設!$C$196+輸入與假設!$C$195^2/2)*輸入與假設!$C$197)/(輸入與假設!$C$195*SQRT(輸入與假設!$C$197)))</f>
        <v>1.91693116983246</v>
      </c>
    </row>
    <row r="33" customFormat="false" ht="15" hidden="false" customHeight="false" outlineLevel="1" collapsed="false">
      <c r="A33" s="3" t="s">
        <v>1678</v>
      </c>
      <c r="C33" s="96" t="n">
        <f aca="false">C32-輸入與假設!$C$195*SQRT(輸入與假設!$C$197)</f>
        <v>0.856270998052636</v>
      </c>
    </row>
    <row r="35" customFormat="false" ht="15" hidden="false" customHeight="false" outlineLevel="0" collapsed="false">
      <c r="A35" s="52" t="s">
        <v>1679</v>
      </c>
      <c r="B35" s="9"/>
      <c r="C35" s="9"/>
      <c r="D35" s="9"/>
      <c r="E35" s="9"/>
      <c r="F35" s="9"/>
      <c r="G35" s="9"/>
      <c r="H35" s="9"/>
    </row>
    <row r="36" customFormat="false" ht="15" hidden="false" customHeight="false" outlineLevel="1" collapsed="false">
      <c r="A36" s="3" t="s">
        <v>1680</v>
      </c>
      <c r="C36" s="97" t="str">
        <f aca="false">CHOOSE(輸入與假設!$C$186,"FY27","FY28","FY29","FY30")</f>
        <v>FY29</v>
      </c>
      <c r="I36" s="7" t="s">
        <v>1681</v>
      </c>
    </row>
    <row r="37" customFormat="false" ht="15" hidden="false" customHeight="false" outlineLevel="1" collapsed="false">
      <c r="A37" s="3" t="s">
        <v>1682</v>
      </c>
      <c r="C37" s="11" t="n">
        <f aca="false">INDEX(損益!$D$19:$G$19,1,輸入與假設!$C$186)</f>
        <v>30.3220615793091</v>
      </c>
    </row>
    <row r="38" customFormat="false" ht="15" hidden="false" customHeight="false" outlineLevel="1" collapsed="false">
      <c r="A38" s="3" t="s">
        <v>1683</v>
      </c>
      <c r="C38" s="58" t="n">
        <f aca="false">C37*輸入與假設!$C$185</f>
        <v>181.932369475855</v>
      </c>
    </row>
    <row r="39" customFormat="false" ht="15" hidden="false" customHeight="false" outlineLevel="1" collapsed="false">
      <c r="A39" s="3" t="s">
        <v>1684</v>
      </c>
      <c r="C39" s="11" t="n">
        <f aca="false">INDEX(各期收支!$D$70:$G$70,1,輸入與假設!$C$186)-INDEX(各期收支!$D$41:$G$41,1,輸入與假設!$C$186)</f>
        <v>107.386055769704</v>
      </c>
      <c r="I39" s="7" t="s">
        <v>1685</v>
      </c>
    </row>
    <row r="40" customFormat="false" ht="15" hidden="false" customHeight="false" outlineLevel="1" collapsed="false">
      <c r="A40" s="3" t="s">
        <v>1686</v>
      </c>
      <c r="C40" s="98" t="n">
        <f aca="false">INDEX(損益!$D$21:$G$21,1,輸入與假設!$C$186)</f>
        <v>0.735120020333333</v>
      </c>
      <c r="I40" s="7" t="s">
        <v>1687</v>
      </c>
    </row>
    <row r="41" customFormat="false" ht="15" hidden="false" customHeight="false" outlineLevel="1" collapsed="false">
      <c r="A41" s="3" t="s">
        <v>1688</v>
      </c>
      <c r="C41" s="98" t="n">
        <f aca="false">1/(1+輸入與假設!$C$178)^(輸入與假設!$C$186-輸入與假設!$C$207)</f>
        <v>0.770357922045693</v>
      </c>
      <c r="I41" s="7" t="s">
        <v>1689</v>
      </c>
    </row>
    <row r="42" customFormat="false" ht="15" hidden="false" customHeight="false" outlineLevel="1" collapsed="false">
      <c r="A42" s="4" t="s">
        <v>1690</v>
      </c>
      <c r="C42" s="47" t="n">
        <f aca="false">MAX(0,(C38-C39)/C40)*C41</f>
        <v>78.1196834998411</v>
      </c>
      <c r="I42" s="7" t="s">
        <v>1691</v>
      </c>
    </row>
    <row r="44" customFormat="false" ht="15" hidden="false" customHeight="false" outlineLevel="0" collapsed="false">
      <c r="A44" s="52" t="s">
        <v>1389</v>
      </c>
      <c r="B44" s="9"/>
      <c r="C44" s="9"/>
      <c r="D44" s="9"/>
      <c r="E44" s="9"/>
      <c r="F44" s="9"/>
      <c r="G44" s="9"/>
      <c r="H44" s="9"/>
    </row>
    <row r="45" customFormat="false" ht="15" hidden="false" customHeight="false" outlineLevel="1" collapsed="false">
      <c r="A45" s="4" t="s">
        <v>1692</v>
      </c>
      <c r="C45" s="13" t="n">
        <f aca="false">C25*(1+輸入與假設!$C$178)^輸入與假設!$C$203</f>
        <v>122.339248235835</v>
      </c>
      <c r="I45" s="7" t="s">
        <v>1693</v>
      </c>
    </row>
    <row r="46" customFormat="false" ht="15" hidden="false" customHeight="false" outlineLevel="1" collapsed="false">
      <c r="A46" s="4" t="s">
        <v>1694</v>
      </c>
      <c r="C46" s="13" t="n">
        <f aca="false">C45*IF(C29=1,0,輸入與假設!$C$187)</f>
        <v>55.0526617061256</v>
      </c>
    </row>
    <row r="47" customFormat="false" ht="15" hidden="false" customHeight="false" outlineLevel="1" collapsed="false">
      <c r="A47" s="4" t="s">
        <v>1695</v>
      </c>
      <c r="C47" s="13" t="n">
        <f aca="false">C42*IF(C29=1,1,1-輸入與假設!$C$187)</f>
        <v>42.9658259249126</v>
      </c>
    </row>
    <row r="48" customFormat="false" ht="15" hidden="false" customHeight="false" outlineLevel="1" collapsed="false">
      <c r="A48" s="2" t="s">
        <v>1389</v>
      </c>
      <c r="C48" s="99" t="n">
        <f aca="false">SUM(C46:C47)</f>
        <v>98.0184876310382</v>
      </c>
      <c r="I48" s="7" t="s">
        <v>1696</v>
      </c>
    </row>
    <row r="49" customFormat="false" ht="15" hidden="false" customHeight="false" outlineLevel="1" collapsed="false">
      <c r="A49" s="3" t="s">
        <v>1697</v>
      </c>
      <c r="C49" s="13" t="n">
        <f aca="false">輸入與假設!$C$175</f>
        <v>90.13</v>
      </c>
    </row>
    <row r="50" customFormat="false" ht="15" hidden="false" customHeight="false" outlineLevel="1" collapsed="false">
      <c r="A50" s="3" t="s">
        <v>1698</v>
      </c>
      <c r="C50" s="28" t="n">
        <f aca="false">C48/C49-1</f>
        <v>0.0875234398206832</v>
      </c>
    </row>
    <row r="51" customFormat="false" ht="15" hidden="false" customHeight="false" outlineLevel="1" collapsed="false">
      <c r="A51" s="4" t="s">
        <v>1699</v>
      </c>
      <c r="C51" s="3" t="str">
        <f aca="false">IF(C29=1,"DCF 失效，已以 EV/EBITDA 100% 計。",IF(AND(輸入與假設!$C$194&lt;&gt;2,C66&lt;0),"DCF 為 $0 仍計 "&amp;TEXT(輸入與假設!$C$187,"0%")&amp;" 權重的原因：DCF 沒有失效，而是算出的股權價值為負（每股約 −$"&amp;TEXT(ABS(C66),"0.0")&amp;"），代表自由現金流折現後的企業價值不足以償還淨負債。EV/EBITDA 沒有扣除 GPU 汰換與擴張支出，保留 DCF 權重，是為了讓目標價反映「EBITDA 付不起資本成本」。若不計 DCF，目標價為 $"&amp;TEXT(C42,"0.0")&amp;"（"&amp;CHOOSE(D65+2,"賣出","中立","買進")&amp;"）；"&amp;TEXT(輸入與假設!$C$187,"0%")&amp;"／"&amp;TEXT(1-輸入與假設!$C$187,"0%")&amp;" 為判斷值。",""))</f>
        <v/>
      </c>
      <c r="I51" s="7" t="s">
        <v>1700</v>
      </c>
    </row>
    <row r="53" customFormat="false" ht="15" hidden="false" customHeight="false" outlineLevel="0" collapsed="false">
      <c r="A53" s="52" t="s">
        <v>1701</v>
      </c>
      <c r="B53" s="9"/>
      <c r="C53" s="9"/>
      <c r="D53" s="9"/>
      <c r="E53" s="9"/>
      <c r="F53" s="9"/>
      <c r="G53" s="9"/>
      <c r="H53" s="9"/>
    </row>
    <row r="54" customFormat="false" ht="15" hidden="false" customHeight="false" outlineLevel="1" collapsed="false">
      <c r="A54" s="3" t="s">
        <v>1702</v>
      </c>
      <c r="C54" s="13" t="n">
        <f aca="false">C48</f>
        <v>98.0184876310382</v>
      </c>
      <c r="I54" s="7" t="str">
        <f aca="false">"評等規則不變：空間 ≥"&amp;IF(ROUND(ABS(輸入與假設!$C$213)*100,4)=INT(ROUND(ABS(輸入與假設!$C$213)*100,4)),TEXT(ROUND(ABS(輸入與假設!$C$213)*100,4),"0"),TEXT(ROUND(ABS(輸入與假設!$C$213)*100,4),"0.0"))&amp;"%"&amp;" 且終值占比 &lt;"&amp;IF(ROUND(ABS(輸入與假設!$C$214)*100,4)=INT(ROUND(ABS(輸入與假設!$C$214)*100,4)),TEXT(ROUND(ABS(輸入與假設!$C$214)*100,4),"0"),TEXT(ROUND(ABS(輸入與假設!$C$214)*100,4),"0.0"))&amp;"%"&amp;"、股權募資 ≤"&amp;IF(輸入與假設!$C$216=INT(輸入與假設!$C$216),TEXT(輸入與假設!$C$216,"0"),TEXT(輸入與假設!$C$216,"0.0"))&amp;" 倍現市值 → 買進；空間 ≤−"&amp;IF(ROUND(ABS(輸入與假設!$C$215)*100,4)=INT(ROUND(ABS(輸入與假設!$C$215)*100,4)),TEXT(ROUND(ABS(輸入與假設!$C$215)*100,4),"0"),TEXT(ROUND(ABS(輸入與假設!$C$215)*100,4),"0.0"))&amp;"%"&amp;"，或股權募資 &gt;"&amp;IF(輸入與假設!$C$216=INT(輸入與假設!$C$216),TEXT(輸入與假設!$C$216,"0"),TEXT(輸入與假設!$C$216,"0.0"))&amp;" 倍且空間 ≤−"&amp;IF(ROUND(ABS(輸入與假設!$C$217)*100,4)=INT(ROUND(ABS(輸入與假設!$C$217)*100,4)),TEXT(ROUND(ABS(輸入與假設!$C$217)*100,4),"0"),TEXT(ROUND(ABS(輸入與假設!$C$217)*100,4),"0.0"))&amp;"%"&amp;" → 賣出；其餘中立"</f>
        <v>評等規則不變：空間 ≥25% 且終值占比 &lt;90%、股權募資 ≤1.5 倍現市值 → 買進；空間 ≤−15%，或股權募資 &gt;1.5 倍且空間 ≤−8% → 賣出；其餘中立</v>
      </c>
    </row>
    <row r="55" customFormat="false" ht="15" hidden="false" customHeight="false" outlineLevel="1" collapsed="false">
      <c r="A55" s="3" t="s">
        <v>1703</v>
      </c>
      <c r="C55" s="14" t="n">
        <f aca="false">C21/MAX(ABS(C22),1)*IF(C22=0,1,SIGN(C22))</f>
        <v>1.43850719065214</v>
      </c>
    </row>
    <row r="56" customFormat="false" ht="15" hidden="false" customHeight="false" outlineLevel="1" collapsed="false">
      <c r="A56" s="3" t="s">
        <v>1704</v>
      </c>
      <c r="C56" s="17" t="n">
        <f aca="false">SUM(各期收支!C61:G61)/(輸入與假設!$C$175*輸入與假設!$C$176)</f>
        <v>0.199829642248722</v>
      </c>
    </row>
    <row r="57" customFormat="false" ht="15" hidden="false" customHeight="false" outlineLevel="1" collapsed="false">
      <c r="A57" s="3" t="s">
        <v>1705</v>
      </c>
      <c r="C57" s="10" t="n">
        <f aca="false">IF(AND((C48/MAX(輸入與假設!$C$175,0.01)-1)&gt;=輸入與假設!$C$213,$C$55&lt;輸入與假設!$C$214,$C$56&lt;=輸入與假設!$C$216),1,IF(OR((C48/MAX(輸入與假設!$C$175,0.01)-1)&lt;=輸入與假設!$C$215,AND($C$56&gt;輸入與假設!$C$216,(C48/MAX(輸入與假設!$C$175,0.01)-1)&lt;=輸入與假設!$C$217)),-1,0))</f>
        <v>0</v>
      </c>
      <c r="D57" s="10" t="str">
        <f aca="false">CHOOSE(C57+2,"賣出","中立","買進")</f>
        <v>中立</v>
      </c>
    </row>
    <row r="58" customFormat="false" ht="15" hidden="false" customHeight="false" outlineLevel="1" collapsed="false">
      <c r="A58" s="3" t="s">
        <v>1706</v>
      </c>
      <c r="C58" s="13" t="n">
        <f aca="false">輸入與假設!$C$175*(1+輸入與假設!$C$215)</f>
        <v>76.6105</v>
      </c>
    </row>
    <row r="59" customFormat="false" ht="15" hidden="false" customHeight="false" outlineLevel="1" collapsed="false">
      <c r="A59" s="3" t="s">
        <v>1707</v>
      </c>
      <c r="C59" s="13" t="n">
        <f aca="false">輸入與假設!D245</f>
        <v>91.2392623465329</v>
      </c>
      <c r="D59" s="10" t="n">
        <f aca="false">輸入與假設!E245</f>
        <v>0</v>
      </c>
      <c r="E59" s="13" t="n">
        <f aca="false">C59-$C$58</f>
        <v>14.6287623465329</v>
      </c>
      <c r="I59" s="7" t="s">
        <v>1708</v>
      </c>
    </row>
    <row r="60" customFormat="false" ht="15" hidden="false" customHeight="false" outlineLevel="1" collapsed="false">
      <c r="A60" s="3" t="s">
        <v>1709</v>
      </c>
      <c r="C60" s="13" t="n">
        <f aca="false">輸入與假設!D246</f>
        <v>98.0184876310382</v>
      </c>
      <c r="D60" s="10" t="n">
        <f aca="false">輸入與假設!E246</f>
        <v>0</v>
      </c>
      <c r="E60" s="13" t="n">
        <f aca="false">C60-$C$58</f>
        <v>21.4079876310382</v>
      </c>
    </row>
    <row r="61" customFormat="false" ht="15" hidden="false" customHeight="false" outlineLevel="1" collapsed="false">
      <c r="A61" s="3" t="s">
        <v>1710</v>
      </c>
      <c r="C61" s="13" t="n">
        <f aca="false">輸入與假設!D247</f>
        <v>131.856409498704</v>
      </c>
      <c r="D61" s="10" t="n">
        <f aca="false">輸入與假設!E247</f>
        <v>0</v>
      </c>
      <c r="E61" s="13" t="n">
        <f aca="false">C61-$C$58</f>
        <v>55.2459094987036</v>
      </c>
    </row>
    <row r="62" customFormat="false" ht="15" hidden="false" customHeight="false" outlineLevel="1" collapsed="false">
      <c r="A62" s="3" t="s">
        <v>1711</v>
      </c>
      <c r="C62" s="13" t="n">
        <f aca="false">MIN(C59,C61)</f>
        <v>91.2392623465329</v>
      </c>
      <c r="D62" s="13" t="n">
        <f aca="false">MAX(C59,C61)</f>
        <v>131.856409498704</v>
      </c>
    </row>
    <row r="63" customFormat="false" ht="15" hidden="false" customHeight="false" outlineLevel="1" collapsed="false">
      <c r="A63" s="3" t="s">
        <v>1712</v>
      </c>
      <c r="C63" s="17" t="n">
        <f aca="false">MIN(輸入與假設!$C$189,輸入與假設!$C$190)</f>
        <v>5</v>
      </c>
      <c r="D63" s="17" t="n">
        <f aca="false">MAX(輸入與假設!$C$189,輸入與假設!$C$190)</f>
        <v>6</v>
      </c>
    </row>
    <row r="64" customFormat="false" ht="15" hidden="false" customHeight="false" outlineLevel="1" collapsed="false">
      <c r="A64" s="3" t="s">
        <v>1713</v>
      </c>
      <c r="C64" s="13" t="n">
        <f aca="false">MIN(C45*IF(C29=1,0,輸入與假設!$C$187)+MAX(0,(C37*C63-C39)/C40)*C41*IF(C29=1,1,1-輸入與假設!$C$187),C45*IF(C29=1,0,輸入與假設!$C$187)+MAX(0,(C37*D63-C39)/C40)*C41*IF(C29=1,1,1-輸入與假設!$C$187))</f>
        <v>80.5419370850709</v>
      </c>
      <c r="D64" s="13" t="n">
        <f aca="false">MAX(C45*IF(C29=1,0,輸入與假設!$C$187)+MAX(0,(C37*C63-C39)/C40)*C41*IF(C29=1,1,1-輸入與假設!$C$187),C45*IF(C29=1,0,輸入與假設!$C$187)+MAX(0,(C37*D63-C39)/C40)*C41*IF(C29=1,1,1-輸入與假設!$C$187))</f>
        <v>98.0184876310382</v>
      </c>
      <c r="I64" s="7" t="s">
        <v>1714</v>
      </c>
    </row>
    <row r="65" customFormat="false" ht="15" hidden="false" customHeight="false" outlineLevel="1" collapsed="false">
      <c r="A65" s="3" t="s">
        <v>1715</v>
      </c>
      <c r="C65" s="13" t="n">
        <f aca="false">C42</f>
        <v>78.1196834998411</v>
      </c>
      <c r="D65" s="10" t="n">
        <f aca="false">IF(AND((C42/MAX(輸入與假設!$C$175,0.01)-1)&gt;=輸入與假設!$C$213,$C$55&lt;輸入與假設!$C$214,$C$56&lt;=輸入與假設!$C$216),1,IF(OR((C42/MAX(輸入與假設!$C$175,0.01)-1)&lt;=輸入與假設!$C$215,AND($C$56&gt;輸入與假設!$C$216,(C42/MAX(輸入與假設!$C$175,0.01)-1)&lt;=輸入與假設!$C$217)),-1,0))</f>
        <v>0</v>
      </c>
      <c r="E65" s="13" t="str">
        <f aca="false">CHOOSE(D65+2,"賣出","中立","買進")</f>
        <v>中立</v>
      </c>
    </row>
    <row r="66" customFormat="false" ht="15" hidden="false" customHeight="false" outlineLevel="1" collapsed="false">
      <c r="A66" s="3" t="s">
        <v>1716</v>
      </c>
      <c r="C66" s="13" t="n">
        <f aca="false">(C24+C27)/C28</f>
        <v>110.215538951202</v>
      </c>
    </row>
    <row r="67" customFormat="false" ht="15" hidden="false" customHeight="false" outlineLevel="1" collapsed="false">
      <c r="A67" s="3" t="s">
        <v>1717</v>
      </c>
      <c r="C67" s="3" t="str">
        <f aca="false">"目標價 $"&amp;TEXT(C48,"0.0")&amp;"（情境區間 $"&amp;TEXT(C62,"0.0")&amp;"–$"&amp;TEXT(D62,"0.0")&amp;"）"</f>
        <v>目標價 $98.0（情境區間 $91.2–$131.9）</v>
      </c>
    </row>
    <row r="68" customFormat="false" ht="15" hidden="false" customHeight="false" outlineLevel="1" collapsed="false">
      <c r="A68" s="3" t="s">
        <v>1718</v>
      </c>
      <c r="C68" s="3" t="str">
        <f aca="false">"方法區間（目前情境，"&amp;IF(C63=INT(C63),TEXT(C63,"0"),TEXT(C63,"0.0"))&amp;"–"&amp;IF(D63=INT(D63),TEXT(D63,"0"),TEXT(D63,"0.0"))&amp;"x）"</f>
        <v>方法區間（目前情境，5–6x）</v>
      </c>
    </row>
    <row r="69" customFormat="false" ht="15" hidden="false" customHeight="false" outlineLevel="1" collapsed="false">
      <c r="A69" s="3" t="s">
        <v>1719</v>
      </c>
      <c r="C69" s="3" t="str">
        <f aca="false">IF(ABS(輸入與假設!$C$185-D63)&lt;0.000000001,"目前點位位於方法區間上緣（"&amp;IF(D63=INT(D63),TEXT(D63,"0"),TEXT(D63,"0.0"))&amp;"x 為穩態倍數上緣）",IF(ABS(輸入與假設!$C$185-C63)&lt;0.000000001,"目前點位位於方法區間下緣（"&amp;IF(C63=INT(C63),TEXT(C63,"0"),TEXT(C63,"0.0"))&amp;"x）","目前點位"&amp;IF(AND(輸入與假設!$C$185&gt;C63,輸入與假設!$C$185&lt;D63),"位於方法區間內",IF(輸入與假設!$C$185&gt;D63,"高於方法區間上緣","低於方法區間下緣"))&amp;"（目前倍數 "&amp;IF(輸入與假設!$C$185=INT(輸入與假設!$C$185),TEXT(輸入與假設!$C$185,"0"),TEXT(輸入與假設!$C$185,"0.0"))&amp;"x）"))</f>
        <v>目前點位位於方法區間上緣（6x 為穩態倍數上緣）</v>
      </c>
    </row>
    <row r="70" customFormat="false" ht="15" hidden="false" customHeight="false" outlineLevel="1" collapsed="false">
      <c r="A70" s="2" t="s">
        <v>1720</v>
      </c>
      <c r="C70" s="3" t="str">
        <f aca="false">IF(D62&lt;輸入與假設!$C$175,"情境區間上緣 $"&amp;TEXT(D62,"0.0")&amp;" 低於現價 $"&amp;TEXT(輸入與假設!$C$175,"0.00")&amp;IF((D59&lt;&gt;-1)+(D60&lt;&gt;-1)+(D61&lt;&gt;-1)&gt;0,"，但"&amp;SUBSTITUTE(TRIM(IF(D59&lt;&gt;-1,"保守","")&amp;" "&amp;IF(D60&lt;&gt;-1,"基準","")&amp;" "&amp;IF(D61&lt;&gt;-1,"積極",""))," ","、")&amp;"情境未達賣出門檻 $"&amp;TEXT($C$58,"0.0"),"：賣出在三個擴張情境下都成立"),"情境區間上緣 $"&amp;TEXT(D62,"0.0")&amp;" 不低於現價 $"&amp;TEXT(輸入與假設!$C$175,"0.00")&amp;"：賣出並非在三個擴張情境下都成立")&amp;"。"&amp;IF(ABS(E59)&lt;輸入與假設!$C$218*輸入與假設!$C$175,"保守情境 $"&amp;TEXT(C59,"0.0")&amp;"，"&amp;IF(E59&lt;0,"距賣出門檻","高於賣出門檻")&amp;" $"&amp;TEXT($C$58,"0.0")&amp;" 僅 $"&amp;TEXT(ABS(E59),"0.0")&amp;"。","")&amp;IF(ABS(E60)&lt;輸入與假設!$C$218*輸入與假設!$C$175,"基準情境 $"&amp;TEXT(C60,"0.0")&amp;"，"&amp;IF(E60&lt;0,"距賣出門檻","高於賣出門檻")&amp;" $"&amp;TEXT($C$58,"0.0")&amp;" 僅 $"&amp;TEXT(ABS(E60),"0.0")&amp;"。","")&amp;IF(ABS(E61)&lt;輸入與假設!$C$218*輸入與假設!$C$175,"積極情境 $"&amp;TEXT(C61,"0.0")&amp;"，"&amp;IF(E61&lt;0,"距賣出門檻","高於賣出門檻")&amp;" $"&amp;TEXT($C$58,"0.0")&amp;" 僅 $"&amp;TEXT(ABS(E61),"0.0")&amp;"。","")</f>
        <v>情境區間上緣 $131.9 不低於現價 $90.13：賣出並非在三個擴張情境下都成立。</v>
      </c>
    </row>
    <row r="72" customFormat="false" ht="15" hidden="false" customHeight="false" outlineLevel="0" collapsed="false">
      <c r="A72" s="52" t="s">
        <v>1721</v>
      </c>
      <c r="B72" s="9"/>
      <c r="C72" s="9"/>
      <c r="D72" s="9"/>
      <c r="E72" s="9"/>
      <c r="F72" s="9"/>
      <c r="G72" s="9"/>
      <c r="H72" s="9"/>
    </row>
    <row r="73" customFormat="false" ht="17.15" hidden="false" customHeight="false" outlineLevel="1" collapsed="false">
      <c r="A73" s="15" t="s">
        <v>1722</v>
      </c>
      <c r="B73" s="15" t="s">
        <v>1317</v>
      </c>
      <c r="C73" s="16" t="s">
        <v>90</v>
      </c>
      <c r="D73" s="16" t="s">
        <v>91</v>
      </c>
      <c r="E73" s="16" t="s">
        <v>175</v>
      </c>
      <c r="F73" s="16" t="s">
        <v>176</v>
      </c>
      <c r="I73" s="12" t="s">
        <v>1723</v>
      </c>
    </row>
    <row r="74" customFormat="false" ht="15" hidden="false" customHeight="false" outlineLevel="1" collapsed="false">
      <c r="A74" s="3" t="s">
        <v>1724</v>
      </c>
      <c r="B74" s="100" t="n">
        <v>3.4</v>
      </c>
      <c r="C74" s="13" t="n">
        <f aca="false">MAX(0,(INDEX(損益!$D$19:$G$19,1,1)*$B74-(INDEX(各期收支!$D$70:$G$70,1,1)-INDEX(各期收支!$D$41:$G$41,1,1)))/INDEX(損益!$D$21:$G$21,1,1))/(1+輸入與假設!$C$178)^(1-輸入與假設!$C$207)</f>
        <v>0</v>
      </c>
      <c r="D74" s="13" t="n">
        <f aca="false">MAX(0,(INDEX(損益!$D$19:$G$19,1,2)*$B74-(INDEX(各期收支!$D$70:$G$70,1,2)-INDEX(各期收支!$D$41:$G$41,1,2)))/INDEX(損益!$D$21:$G$21,1,2))/(1+輸入與假設!$C$178)^(2-輸入與假設!$C$207)</f>
        <v>0</v>
      </c>
      <c r="E74" s="13" t="n">
        <f aca="false">MAX(0,(INDEX(損益!$D$19:$G$19,1,3)*$B74-(INDEX(各期收支!$D$70:$G$70,1,3)-INDEX(各期收支!$D$41:$G$41,1,3)))/INDEX(損益!$D$21:$G$21,1,3))/(1+輸入與假設!$C$178)^(3-輸入與假設!$C$207)</f>
        <v>0</v>
      </c>
      <c r="F74" s="13" t="n">
        <f aca="false">MAX(0,(INDEX(損益!$D$19:$G$19,1,4)*$B74-(INDEX(各期收支!$D$70:$G$70,1,4)-INDEX(各期收支!$D$41:$G$41,1,4)))/INDEX(損益!$D$21:$G$21,1,4))/(1+輸入與假設!$C$178)^(4-輸入與假設!$C$207)</f>
        <v>47.2968304155401</v>
      </c>
    </row>
    <row r="75" customFormat="false" ht="15" hidden="false" customHeight="false" outlineLevel="1" collapsed="false">
      <c r="A75" s="3" t="s">
        <v>1725</v>
      </c>
      <c r="B75" s="100" t="n">
        <v>4.5</v>
      </c>
      <c r="C75" s="13" t="n">
        <f aca="false">MAX(0,(INDEX(損益!$D$19:$G$19,1,1)*$B75-(INDEX(各期收支!$D$70:$G$70,1,1)-INDEX(各期收支!$D$41:$G$41,1,1)))/INDEX(損益!$D$21:$G$21,1,1))/(1+輸入與假設!$C$178)^(1-輸入與假設!$C$207)</f>
        <v>0</v>
      </c>
      <c r="D75" s="13" t="n">
        <f aca="false">MAX(0,(INDEX(損益!$D$19:$G$19,1,2)*$B75-(INDEX(各期收支!$D$70:$G$70,1,2)-INDEX(各期收支!$D$41:$G$41,1,2)))/INDEX(損益!$D$21:$G$21,1,2))/(1+輸入與假設!$C$178)^(2-輸入與假設!$C$207)</f>
        <v>0</v>
      </c>
      <c r="E75" s="13" t="n">
        <f aca="false">MAX(0,(INDEX(損益!$D$19:$G$19,1,3)*$B75-(INDEX(各期收支!$D$70:$G$70,1,3)-INDEX(各期收支!$D$41:$G$41,1,3)))/INDEX(損益!$D$21:$G$21,1,3))/(1+輸入與假設!$C$178)^(3-輸入與假設!$C$207)</f>
        <v>30.4563638290213</v>
      </c>
      <c r="F75" s="13" t="n">
        <f aca="false">MAX(0,(INDEX(損益!$D$19:$G$19,1,4)*$B75-(INDEX(各期收支!$D$70:$G$70,1,4)-INDEX(各期收支!$D$41:$G$41,1,4)))/INDEX(損益!$D$21:$G$21,1,4))/(1+輸入與假設!$C$178)^(4-輸入與假設!$C$207)</f>
        <v>94.4911541530846</v>
      </c>
    </row>
    <row r="76" customFormat="false" ht="15" hidden="false" customHeight="false" outlineLevel="1" collapsed="false">
      <c r="A76" s="3" t="s">
        <v>1726</v>
      </c>
      <c r="B76" s="100" t="n">
        <v>5</v>
      </c>
      <c r="C76" s="13" t="n">
        <f aca="false">MAX(0,(INDEX(損益!$D$19:$G$19,1,1)*$B76-(INDEX(各期收支!$D$70:$G$70,1,1)-INDEX(各期收支!$D$41:$G$41,1,1)))/INDEX(損益!$D$21:$G$21,1,1))/(1+輸入與假設!$C$178)^(1-輸入與假設!$C$207)</f>
        <v>0</v>
      </c>
      <c r="D76" s="13" t="n">
        <f aca="false">MAX(0,(INDEX(損益!$D$19:$G$19,1,2)*$B76-(INDEX(各期收支!$D$70:$G$70,1,2)-INDEX(各期收支!$D$41:$G$41,1,2)))/INDEX(損益!$D$21:$G$21,1,2))/(1+輸入與假設!$C$178)^(2-輸入與假設!$C$207)</f>
        <v>0</v>
      </c>
      <c r="E76" s="13" t="n">
        <f aca="false">MAX(0,(INDEX(損益!$D$19:$G$19,1,3)*$B76-(INDEX(各期收支!$D$70:$G$70,1,3)-INDEX(各期收支!$D$41:$G$41,1,3)))/INDEX(損益!$D$21:$G$21,1,3))/(1+輸入與假設!$C$178)^(3-輸入與假設!$C$207)</f>
        <v>46.3441370526279</v>
      </c>
      <c r="F76" s="13" t="n">
        <f aca="false">MAX(0,(INDEX(損益!$D$19:$G$19,1,4)*$B76-(INDEX(各期收支!$D$70:$G$70,1,4)-INDEX(各期收支!$D$41:$G$41,1,4)))/INDEX(損益!$D$21:$G$21,1,4))/(1+輸入與假設!$C$178)^(4-輸入與假設!$C$207)</f>
        <v>115.943119488332</v>
      </c>
    </row>
    <row r="77" customFormat="false" ht="15" hidden="false" customHeight="false" outlineLevel="1" collapsed="false">
      <c r="A77" s="3" t="s">
        <v>1727</v>
      </c>
      <c r="B77" s="100" t="n">
        <v>6</v>
      </c>
      <c r="C77" s="13" t="n">
        <f aca="false">MAX(0,(INDEX(損益!$D$19:$G$19,1,1)*$B77-(INDEX(各期收支!$D$70:$G$70,1,1)-INDEX(各期收支!$D$41:$G$41,1,1)))/INDEX(損益!$D$21:$G$21,1,1))/(1+輸入與假設!$C$178)^(1-輸入與假設!$C$207)</f>
        <v>0</v>
      </c>
      <c r="D77" s="13" t="n">
        <f aca="false">MAX(0,(INDEX(損益!$D$19:$G$19,1,2)*$B77-(INDEX(各期收支!$D$70:$G$70,1,2)-INDEX(各期收支!$D$41:$G$41,1,2)))/INDEX(損益!$D$21:$G$21,1,2))/(1+輸入與假設!$C$178)^(2-輸入與假設!$C$207)</f>
        <v>17.3111504999971</v>
      </c>
      <c r="E77" s="13" t="n">
        <f aca="false">MAX(0,(INDEX(損益!$D$19:$G$19,1,3)*$B77-(INDEX(各期收支!$D$70:$G$70,1,3)-INDEX(各期收支!$D$41:$G$41,1,3)))/INDEX(損益!$D$21:$G$21,1,3))/(1+輸入與假設!$C$178)^(3-輸入與假設!$C$207)</f>
        <v>78.1196834998411</v>
      </c>
      <c r="F77" s="13" t="n">
        <f aca="false">MAX(0,(INDEX(損益!$D$19:$G$19,1,4)*$B77-(INDEX(各期收支!$D$70:$G$70,1,4)-INDEX(各期收支!$D$41:$G$41,1,4)))/INDEX(損益!$D$21:$G$21,1,4))/(1+輸入與假設!$C$178)^(4-輸入與假設!$C$207)</f>
        <v>158.847050158827</v>
      </c>
    </row>
    <row r="78" customFormat="false" ht="15" hidden="false" customHeight="false" outlineLevel="1" collapsed="false">
      <c r="A78" s="3" t="s">
        <v>1728</v>
      </c>
      <c r="B78" s="100" t="n">
        <v>7</v>
      </c>
      <c r="C78" s="13" t="n">
        <f aca="false">MAX(0,(INDEX(損益!$D$19:$G$19,1,1)*$B78-(INDEX(各期收支!$D$70:$G$70,1,1)-INDEX(各期收支!$D$41:$G$41,1,1)))/INDEX(損益!$D$21:$G$21,1,1))/(1+輸入與假設!$C$178)^(1-輸入與假設!$C$207)</f>
        <v>0</v>
      </c>
      <c r="D78" s="13" t="n">
        <f aca="false">MAX(0,(INDEX(損益!$D$19:$G$19,1,2)*$B78-(INDEX(各期收支!$D$70:$G$70,1,2)-INDEX(各期收支!$D$41:$G$41,1,2)))/INDEX(損益!$D$21:$G$21,1,2))/(1+輸入與假設!$C$178)^(2-輸入與假設!$C$207)</f>
        <v>38.9669967564907</v>
      </c>
      <c r="E78" s="13" t="n">
        <f aca="false">MAX(0,(INDEX(損益!$D$19:$G$19,1,3)*$B78-(INDEX(各期收支!$D$70:$G$70,1,3)-INDEX(各期收支!$D$41:$G$41,1,3)))/INDEX(損益!$D$21:$G$21,1,3))/(1+輸入與假設!$C$178)^(3-輸入與假設!$C$207)</f>
        <v>109.895229947054</v>
      </c>
      <c r="F78" s="13" t="n">
        <f aca="false">MAX(0,(INDEX(損益!$D$19:$G$19,1,4)*$B78-(INDEX(各期收支!$D$70:$G$70,1,4)-INDEX(各期收支!$D$41:$G$41,1,4)))/INDEX(損益!$D$21:$G$21,1,4))/(1+輸入與假設!$C$178)^(4-輸入與假設!$C$207)</f>
        <v>201.750980829322</v>
      </c>
    </row>
    <row r="79" customFormat="false" ht="15" hidden="false" customHeight="false" outlineLevel="1" collapsed="false"/>
    <row r="80" customFormat="false" ht="15" hidden="false" customHeight="false" outlineLevel="1" collapsed="false">
      <c r="A80" s="15" t="s">
        <v>1729</v>
      </c>
      <c r="B80" s="15" t="s">
        <v>1317</v>
      </c>
      <c r="C80" s="16" t="s">
        <v>90</v>
      </c>
      <c r="D80" s="16" t="s">
        <v>91</v>
      </c>
      <c r="E80" s="16" t="s">
        <v>175</v>
      </c>
      <c r="F80" s="16" t="s">
        <v>176</v>
      </c>
    </row>
    <row r="81" customFormat="false" ht="15" hidden="false" customHeight="false" outlineLevel="1" collapsed="false">
      <c r="A81" s="3" t="s">
        <v>1730</v>
      </c>
      <c r="B81" s="100" t="n">
        <v>3.4</v>
      </c>
      <c r="C81" s="13" t="n">
        <f aca="false">C45*IF(C29=1,0,輸入與假設!$C$187)+C74*IF(C29=1,1,1-輸入與假設!$C$187)</f>
        <v>55.0526617061256</v>
      </c>
      <c r="D81" s="13" t="n">
        <f aca="false">C45*IF(C29=1,0,輸入與假設!$C$187)+D74*IF(C29=1,1,1-輸入與假設!$C$187)</f>
        <v>55.0526617061256</v>
      </c>
      <c r="E81" s="13" t="n">
        <f aca="false">C45*IF(C29=1,0,輸入與假設!$C$187)+E74*IF(C29=1,1,1-輸入與假設!$C$187)</f>
        <v>55.0526617061256</v>
      </c>
      <c r="F81" s="13" t="n">
        <f aca="false">C45*IF(C29=1,0,輸入與假設!$C$187)+F74*IF(C29=1,1,1-輸入與假設!$C$187)</f>
        <v>81.0659184346726</v>
      </c>
    </row>
    <row r="82" customFormat="false" ht="15" hidden="false" customHeight="false" outlineLevel="1" collapsed="false">
      <c r="A82" s="3" t="s">
        <v>1731</v>
      </c>
      <c r="B82" s="100" t="n">
        <v>4.5</v>
      </c>
      <c r="C82" s="13" t="n">
        <f aca="false">C45*IF(C29=1,0,輸入與假設!$C$187)+C75*IF(C29=1,1,1-輸入與假設!$C$187)</f>
        <v>55.0526617061256</v>
      </c>
      <c r="D82" s="13" t="n">
        <f aca="false">C45*IF(C29=1,0,輸入與假設!$C$187)+D75*IF(C29=1,1,1-輸入與假設!$C$187)</f>
        <v>55.0526617061256</v>
      </c>
      <c r="E82" s="13" t="n">
        <f aca="false">C45*IF(C29=1,0,輸入與假設!$C$187)+E75*IF(C29=1,1,1-輸入與假設!$C$187)</f>
        <v>71.8036618120873</v>
      </c>
      <c r="F82" s="13" t="n">
        <f aca="false">C45*IF(C29=1,0,輸入與假設!$C$187)+F75*IF(C29=1,1,1-輸入與假設!$C$187)</f>
        <v>107.022796490322</v>
      </c>
    </row>
    <row r="83" customFormat="false" ht="15" hidden="false" customHeight="false" outlineLevel="1" collapsed="false">
      <c r="A83" s="3" t="s">
        <v>1732</v>
      </c>
      <c r="B83" s="100" t="n">
        <v>5</v>
      </c>
      <c r="C83" s="13" t="n">
        <f aca="false">C45*IF(C29=1,0,輸入與假設!$C$187)+C76*IF(C29=1,1,1-輸入與假設!$C$187)</f>
        <v>55.0526617061256</v>
      </c>
      <c r="D83" s="13" t="n">
        <f aca="false">C45*IF(C29=1,0,輸入與假設!$C$187)+D76*IF(C29=1,1,1-輸入與假設!$C$187)</f>
        <v>55.0526617061256</v>
      </c>
      <c r="E83" s="13" t="n">
        <f aca="false">C45*IF(C29=1,0,輸入與假設!$C$187)+E76*IF(C29=1,1,1-輸入與假設!$C$187)</f>
        <v>80.5419370850709</v>
      </c>
      <c r="F83" s="13" t="n">
        <f aca="false">C45*IF(C29=1,0,輸入與假設!$C$187)+F76*IF(C29=1,1,1-輸入與假設!$C$187)</f>
        <v>118.821377424708</v>
      </c>
    </row>
    <row r="84" customFormat="false" ht="15" hidden="false" customHeight="false" outlineLevel="1" collapsed="false">
      <c r="A84" s="3" t="s">
        <v>1733</v>
      </c>
      <c r="B84" s="100" t="n">
        <v>6</v>
      </c>
      <c r="C84" s="13" t="n">
        <f aca="false">C45*IF(C29=1,0,輸入與假設!$C$187)+C77*IF(C29=1,1,1-輸入與假設!$C$187)</f>
        <v>55.0526617061256</v>
      </c>
      <c r="D84" s="13" t="n">
        <f aca="false">C45*IF(C29=1,0,輸入與假設!$C$187)+D77*IF(C29=1,1,1-輸入與假設!$C$187)</f>
        <v>64.573794481124</v>
      </c>
      <c r="E84" s="13" t="n">
        <f aca="false">C45*IF(C29=1,0,輸入與假設!$C$187)+E77*IF(C29=1,1,1-輸入與假設!$C$187)</f>
        <v>98.0184876310382</v>
      </c>
      <c r="F84" s="13" t="n">
        <f aca="false">C45*IF(C29=1,0,輸入與假設!$C$187)+F77*IF(C29=1,1,1-輸入與假設!$C$187)</f>
        <v>142.41853929348</v>
      </c>
    </row>
    <row r="85" customFormat="false" ht="15" hidden="false" customHeight="false" outlineLevel="1" collapsed="false">
      <c r="A85" s="3" t="s">
        <v>1734</v>
      </c>
      <c r="B85" s="100" t="n">
        <v>7</v>
      </c>
      <c r="C85" s="13" t="n">
        <f aca="false">C45*IF(C29=1,0,輸入與假設!$C$187)+C78*IF(C29=1,1,1-輸入與假設!$C$187)</f>
        <v>55.0526617061256</v>
      </c>
      <c r="D85" s="13" t="n">
        <f aca="false">C45*IF(C29=1,0,輸入與假設!$C$187)+D78*IF(C29=1,1,1-輸入與假設!$C$187)</f>
        <v>76.4845099221955</v>
      </c>
      <c r="E85" s="13" t="n">
        <f aca="false">C45*IF(C29=1,0,輸入與假設!$C$187)+E78*IF(C29=1,1,1-輸入與假設!$C$187)</f>
        <v>115.495038177005</v>
      </c>
      <c r="F85" s="13" t="n">
        <f aca="false">C45*IF(C29=1,0,輸入與假設!$C$187)+F78*IF(C29=1,1,1-輸入與假設!$C$187)</f>
        <v>166.015701162253</v>
      </c>
    </row>
  </sheetData>
  <conditionalFormatting sqref="C74:F78">
    <cfRule type="cellIs" priority="2" operator="greaterThanOrEqual" aboveAverage="0" equalAverage="0" bottom="0" percent="0" rank="0" text="" dxfId="0">
      <formula>輸入與假設!$C$175</formula>
    </cfRule>
  </conditionalFormatting>
  <conditionalFormatting sqref="C81:F85">
    <cfRule type="cellIs" priority="3" operator="greaterThanOrEqual" aboveAverage="0" equalAverage="0" bottom="0" percent="0" rank="0" text="" dxfId="0">
      <formula>輸入與假設!$C$175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F1239"/>
    <outlinePr summaryBelow="0" summaryRight="1"/>
    <pageSetUpPr fitToPage="false"/>
  </sheetPr>
  <dimension ref="A1:G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46"/>
    <col collapsed="false" customWidth="true" hidden="false" outlineLevel="0" max="6" min="2" style="0" width="16"/>
    <col collapsed="false" customWidth="true" hidden="false" outlineLevel="0" max="7" min="7" style="0" width="70"/>
  </cols>
  <sheetData>
    <row r="1" customFormat="false" ht="21.6" hidden="false" customHeight="false" outlineLevel="0" collapsed="false">
      <c r="A1" s="6" t="s">
        <v>1735</v>
      </c>
    </row>
    <row r="2" customFormat="false" ht="15" hidden="false" customHeight="false" outlineLevel="0" collapsed="false">
      <c r="A2" s="7" t="s">
        <v>1736</v>
      </c>
    </row>
    <row r="4" customFormat="false" ht="15" hidden="false" customHeight="false" outlineLevel="0" collapsed="false">
      <c r="A4" s="52" t="s">
        <v>1737</v>
      </c>
      <c r="B4" s="9"/>
      <c r="C4" s="9"/>
      <c r="D4" s="9"/>
      <c r="E4" s="9"/>
      <c r="F4" s="9"/>
      <c r="G4" s="9"/>
    </row>
    <row r="5" customFormat="false" ht="15" hidden="false" customHeight="false" outlineLevel="1" collapsed="false">
      <c r="A5" s="3" t="s">
        <v>1697</v>
      </c>
      <c r="B5" s="101" t="n">
        <f aca="false">輸入與假設!$C$175</f>
        <v>90.13</v>
      </c>
    </row>
    <row r="6" customFormat="false" ht="15" hidden="false" customHeight="false" outlineLevel="1" collapsed="false">
      <c r="A6" s="3" t="s">
        <v>1738</v>
      </c>
      <c r="B6" s="101" t="n">
        <f aca="false">評價_DCF與目標價!C25</f>
        <v>110.215538951202</v>
      </c>
    </row>
    <row r="7" customFormat="false" ht="15" hidden="false" customHeight="false" outlineLevel="1" collapsed="false">
      <c r="A7" s="2" t="s">
        <v>1739</v>
      </c>
      <c r="B7" s="99" t="n">
        <f aca="false">B6-B5</f>
        <v>20.0855389512023</v>
      </c>
    </row>
    <row r="8" customFormat="false" ht="15" hidden="false" customHeight="false" outlineLevel="1" collapsed="false">
      <c r="A8" s="3" t="s">
        <v>1740</v>
      </c>
      <c r="B8" s="102" t="n">
        <f aca="false">輸入與假設!$C$22</f>
        <v>1</v>
      </c>
      <c r="C8" s="102" t="n">
        <f aca="false">輸入與假設!$C$128</f>
        <v>1</v>
      </c>
    </row>
    <row r="10" customFormat="false" ht="15" hidden="false" customHeight="false" outlineLevel="0" collapsed="false">
      <c r="A10" s="52" t="s">
        <v>1741</v>
      </c>
      <c r="B10" s="9"/>
      <c r="C10" s="9"/>
      <c r="D10" s="9"/>
      <c r="E10" s="9"/>
      <c r="F10" s="9"/>
      <c r="G10" s="9"/>
    </row>
    <row r="11" customFormat="false" ht="15" hidden="false" customHeight="false" outlineLevel="1" collapsed="false">
      <c r="A11" s="7" t="s">
        <v>1742</v>
      </c>
    </row>
    <row r="12" customFormat="false" ht="15" hidden="false" customHeight="false" outlineLevel="1" collapsed="false">
      <c r="A12" s="7" t="s">
        <v>1743</v>
      </c>
    </row>
    <row r="13" customFormat="false" ht="15" hidden="false" customHeight="false" outlineLevel="1" collapsed="false">
      <c r="A13" s="7" t="s">
        <v>1744</v>
      </c>
    </row>
    <row r="14" customFormat="false" ht="15" hidden="false" customHeight="false" outlineLevel="1" collapsed="false">
      <c r="A14" s="7" t="s">
        <v>1745</v>
      </c>
    </row>
    <row r="16" customFormat="false" ht="15" hidden="false" customHeight="false" outlineLevel="0" collapsed="false">
      <c r="A16" s="52" t="s">
        <v>1746</v>
      </c>
      <c r="B16" s="9"/>
      <c r="C16" s="9"/>
      <c r="D16" s="9"/>
      <c r="E16" s="9"/>
      <c r="F16" s="9"/>
      <c r="G16" s="9"/>
    </row>
    <row r="17" customFormat="false" ht="15" hidden="false" customHeight="false" outlineLevel="1" collapsed="false">
      <c r="A17" s="15" t="s">
        <v>1747</v>
      </c>
      <c r="B17" s="15" t="s">
        <v>1748</v>
      </c>
      <c r="C17" s="15" t="s">
        <v>1749</v>
      </c>
      <c r="D17" s="15" t="s">
        <v>1750</v>
      </c>
      <c r="G17" s="15" t="s">
        <v>1751</v>
      </c>
    </row>
    <row r="18" customFormat="false" ht="15" hidden="false" customHeight="false" outlineLevel="1" collapsed="false">
      <c r="A18" s="4" t="s">
        <v>1752</v>
      </c>
      <c r="B18" s="103" t="n">
        <v>16.4652</v>
      </c>
      <c r="C18" s="103" t="n">
        <v>15.7613</v>
      </c>
      <c r="D18" s="61" t="n">
        <v>-0.0428</v>
      </c>
      <c r="G18" s="7" t="s">
        <v>1753</v>
      </c>
    </row>
    <row r="19" customFormat="false" ht="15" hidden="false" customHeight="false" outlineLevel="1" collapsed="false">
      <c r="A19" s="3" t="s">
        <v>1754</v>
      </c>
      <c r="B19" s="103" t="n">
        <v>37.5864</v>
      </c>
      <c r="C19" s="103" t="n">
        <v>39.6798</v>
      </c>
      <c r="D19" s="61" t="n">
        <v>0.0557</v>
      </c>
      <c r="G19" s="12" t="s">
        <v>1755</v>
      </c>
    </row>
    <row r="20" customFormat="false" ht="15" hidden="false" customHeight="false" outlineLevel="1" collapsed="false">
      <c r="A20" s="3" t="s">
        <v>331</v>
      </c>
      <c r="B20" s="61" t="n">
        <v>0.6902</v>
      </c>
      <c r="C20" s="61" t="n">
        <v>0.6612</v>
      </c>
      <c r="D20" s="61" t="n">
        <v>-0.029</v>
      </c>
      <c r="G20" s="12" t="s">
        <v>1756</v>
      </c>
    </row>
    <row r="21" customFormat="false" ht="15" hidden="false" customHeight="false" outlineLevel="1" collapsed="false">
      <c r="A21" s="3" t="s">
        <v>1757</v>
      </c>
      <c r="B21" s="103" t="n">
        <v>16.4652</v>
      </c>
      <c r="C21" s="103" t="n">
        <v>16.1364</v>
      </c>
      <c r="D21" s="61" t="n">
        <v>-0.02</v>
      </c>
      <c r="G21" s="7" t="s">
        <v>1758</v>
      </c>
    </row>
    <row r="23" customFormat="false" ht="15" hidden="false" customHeight="false" outlineLevel="0" collapsed="false">
      <c r="A23" s="52" t="s">
        <v>1759</v>
      </c>
      <c r="B23" s="9"/>
      <c r="C23" s="9"/>
      <c r="D23" s="9"/>
      <c r="E23" s="9"/>
      <c r="F23" s="9"/>
      <c r="G23" s="9"/>
    </row>
    <row r="24" customFormat="false" ht="17.15" hidden="false" customHeight="false" outlineLevel="1" collapsed="false">
      <c r="A24" s="15" t="s">
        <v>1760</v>
      </c>
      <c r="B24" s="104" t="n">
        <v>0.59</v>
      </c>
      <c r="C24" s="104" t="n">
        <v>0.65</v>
      </c>
      <c r="D24" s="104" t="n">
        <v>0.7</v>
      </c>
      <c r="E24" s="104" t="n">
        <v>0.75</v>
      </c>
    </row>
    <row r="25" customFormat="false" ht="15" hidden="false" customHeight="false" outlineLevel="1" collapsed="false">
      <c r="A25" s="4" t="s">
        <v>1761</v>
      </c>
      <c r="B25" s="103" t="n">
        <v>15.01</v>
      </c>
      <c r="C25" s="103" t="n">
        <v>13.6</v>
      </c>
      <c r="D25" s="103" t="n">
        <v>12.6</v>
      </c>
      <c r="E25" s="103" t="n">
        <v>11.84</v>
      </c>
    </row>
    <row r="26" customFormat="false" ht="15" hidden="false" customHeight="false" outlineLevel="1" collapsed="false">
      <c r="A26" s="4" t="s">
        <v>1762</v>
      </c>
      <c r="B26" s="103" t="n">
        <v>16.07</v>
      </c>
      <c r="C26" s="103" t="n">
        <v>14.57</v>
      </c>
      <c r="D26" s="103" t="n">
        <v>13.49</v>
      </c>
      <c r="E26" s="103" t="n">
        <v>12.65</v>
      </c>
    </row>
    <row r="27" customFormat="false" ht="15" hidden="false" customHeight="false" outlineLevel="1" collapsed="false">
      <c r="A27" s="4" t="s">
        <v>1763</v>
      </c>
      <c r="B27" s="103" t="n">
        <v>17.11</v>
      </c>
      <c r="C27" s="103" t="n">
        <v>15.54</v>
      </c>
      <c r="D27" s="103" t="n">
        <v>14.4</v>
      </c>
      <c r="E27" s="103" t="n">
        <v>13.46</v>
      </c>
    </row>
    <row r="28" customFormat="false" ht="15" hidden="false" customHeight="false" outlineLevel="1" collapsed="false">
      <c r="A28" s="4" t="s">
        <v>1764</v>
      </c>
      <c r="B28" s="103" t="n">
        <v>18.42</v>
      </c>
      <c r="C28" s="103" t="n">
        <v>16.75</v>
      </c>
      <c r="D28" s="103" t="n">
        <v>15.54</v>
      </c>
      <c r="E28" s="103" t="n">
        <v>14.5</v>
      </c>
    </row>
    <row r="29" customFormat="false" ht="15" hidden="false" customHeight="false" outlineLevel="1" collapsed="false">
      <c r="A29" s="4" t="s">
        <v>1765</v>
      </c>
      <c r="B29" s="103" t="n">
        <v>19.8</v>
      </c>
      <c r="C29" s="103" t="n">
        <v>18.08</v>
      </c>
      <c r="D29" s="103" t="n">
        <v>16.79</v>
      </c>
      <c r="E29" s="103" t="n">
        <v>15.65</v>
      </c>
    </row>
    <row r="30" customFormat="false" ht="15" hidden="false" customHeight="false" outlineLevel="1" collapsed="false">
      <c r="A30" s="7" t="s">
        <v>1766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F1239"/>
    <pageSetUpPr fitToPage="false"/>
  </sheetPr>
  <dimension ref="A1:K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5" min="2" style="0" width="10"/>
    <col collapsed="false" customWidth="true" hidden="false" outlineLevel="0" max="7" min="6" style="0" width="13"/>
    <col collapsed="false" customWidth="true" hidden="false" outlineLevel="0" max="9" min="8" style="0" width="11"/>
    <col collapsed="false" customWidth="true" hidden="false" outlineLevel="0" max="10" min="10" style="0" width="18"/>
    <col collapsed="false" customWidth="true" hidden="false" outlineLevel="0" max="11" min="11" style="0" width="70"/>
    <col collapsed="false" customWidth="true" hidden="false" outlineLevel="0" max="12" min="12" style="0" width="4"/>
  </cols>
  <sheetData>
    <row r="1" customFormat="false" ht="21.6" hidden="false" customHeight="false" outlineLevel="0" collapsed="false">
      <c r="A1" s="6" t="s">
        <v>1767</v>
      </c>
    </row>
    <row r="2" customFormat="false" ht="15" hidden="false" customHeight="false" outlineLevel="0" collapsed="false">
      <c r="A2" s="12" t="s">
        <v>1768</v>
      </c>
    </row>
    <row r="4" customFormat="false" ht="17.15" hidden="false" customHeight="false" outlineLevel="0" collapsed="false">
      <c r="A4" s="15" t="s">
        <v>1769</v>
      </c>
      <c r="B4" s="15" t="s">
        <v>1770</v>
      </c>
      <c r="C4" s="15" t="s">
        <v>1771</v>
      </c>
      <c r="D4" s="16" t="s">
        <v>1772</v>
      </c>
      <c r="E4" s="16" t="s">
        <v>1773</v>
      </c>
      <c r="F4" s="105" t="s">
        <v>1774</v>
      </c>
      <c r="G4" s="15" t="s">
        <v>1775</v>
      </c>
      <c r="H4" s="16" t="s">
        <v>1776</v>
      </c>
      <c r="I4" s="16" t="s">
        <v>1777</v>
      </c>
      <c r="J4" s="15" t="s">
        <v>1778</v>
      </c>
      <c r="K4" s="15" t="s">
        <v>608</v>
      </c>
    </row>
    <row r="5" customFormat="false" ht="15" hidden="false" customHeight="false" outlineLevel="0" collapsed="false">
      <c r="A5" s="4" t="s">
        <v>1779</v>
      </c>
      <c r="B5" s="24" t="n">
        <v>63.81</v>
      </c>
      <c r="C5" s="24" t="n">
        <v>2.16</v>
      </c>
      <c r="D5" s="60" t="n">
        <f aca="false">B5+C5</f>
        <v>65.97</v>
      </c>
      <c r="E5" s="24" t="n">
        <v>1.36</v>
      </c>
      <c r="F5" s="106" t="n">
        <f aca="false">D5/E5</f>
        <v>48.5073529411765</v>
      </c>
      <c r="G5" s="107" t="n">
        <f aca="false">(D5+0)/E5</f>
        <v>48.5073529411765</v>
      </c>
      <c r="H5" s="24" t="n">
        <f aca="false">-0.612+0.418</f>
        <v>-0.194</v>
      </c>
      <c r="I5" s="107" t="str">
        <f aca="false">IF(H5&gt;0,D5/H5,"n/m")</f>
        <v>n/m</v>
      </c>
      <c r="J5" s="12" t="s">
        <v>1780</v>
      </c>
      <c r="K5" s="7" t="s">
        <v>1781</v>
      </c>
    </row>
    <row r="6" customFormat="false" ht="15" hidden="false" customHeight="false" outlineLevel="0" collapsed="false">
      <c r="A6" s="4" t="s">
        <v>1782</v>
      </c>
      <c r="B6" s="24" t="n">
        <v>18.61</v>
      </c>
      <c r="C6" s="24" t="n">
        <v>1.7</v>
      </c>
      <c r="D6" s="60" t="n">
        <f aca="false">B6+C6</f>
        <v>20.31</v>
      </c>
      <c r="E6" s="24" t="n">
        <v>0.707</v>
      </c>
      <c r="F6" s="106" t="n">
        <f aca="false">D6/E6</f>
        <v>28.7270155586987</v>
      </c>
      <c r="G6" s="107" t="n">
        <f aca="false">(D6+0.003)/E6</f>
        <v>28.7312588401697</v>
      </c>
      <c r="H6" s="24" t="n">
        <f aca="false">-1.047+0.418</f>
        <v>-0.629</v>
      </c>
      <c r="I6" s="107" t="str">
        <f aca="false">IF(H6&gt;0,D6/H6,"n/m")</f>
        <v>n/m</v>
      </c>
      <c r="J6" s="12" t="s">
        <v>1783</v>
      </c>
      <c r="K6" s="7" t="s">
        <v>1784</v>
      </c>
    </row>
    <row r="7" customFormat="false" ht="15" hidden="false" customHeight="false" outlineLevel="0" collapsed="false">
      <c r="A7" s="4" t="s">
        <v>1785</v>
      </c>
      <c r="B7" s="24" t="n">
        <v>8.22</v>
      </c>
      <c r="C7" s="24" t="n">
        <v>3.37</v>
      </c>
      <c r="D7" s="60" t="n">
        <f aca="false">B7+C7</f>
        <v>11.59</v>
      </c>
      <c r="E7" s="24" t="n">
        <v>0.6113</v>
      </c>
      <c r="F7" s="106" t="n">
        <f aca="false">D7/E7</f>
        <v>18.9595943072141</v>
      </c>
      <c r="G7" s="107" t="n">
        <f aca="false">(D7+0.066)/E7</f>
        <v>19.0675609357108</v>
      </c>
      <c r="H7" s="24" t="n">
        <f aca="false">-0.236+0.067</f>
        <v>-0.169</v>
      </c>
      <c r="I7" s="107" t="str">
        <f aca="false">IF(H7&gt;0,D7/H7,"n/m")</f>
        <v>n/m</v>
      </c>
      <c r="J7" s="12" t="s">
        <v>1786</v>
      </c>
      <c r="K7" s="7" t="s">
        <v>1787</v>
      </c>
    </row>
    <row r="8" customFormat="false" ht="15" hidden="false" customHeight="false" outlineLevel="0" collapsed="false">
      <c r="A8" s="4" t="s">
        <v>1788</v>
      </c>
      <c r="B8" s="24" t="n">
        <v>5.9</v>
      </c>
      <c r="C8" s="24" t="n">
        <v>2.53</v>
      </c>
      <c r="D8" s="60" t="n">
        <f aca="false">B8+C8</f>
        <v>8.43</v>
      </c>
      <c r="E8" s="24" t="n">
        <v>0.4403</v>
      </c>
      <c r="F8" s="106" t="n">
        <f aca="false">D8/E8</f>
        <v>19.1460367930956</v>
      </c>
      <c r="G8" s="107" t="n">
        <f aca="false">(D8+0.109)/E8</f>
        <v>19.3935952759482</v>
      </c>
      <c r="H8" s="24" t="n">
        <f aca="false">-0.561+0.063</f>
        <v>-0.498</v>
      </c>
      <c r="I8" s="107" t="str">
        <f aca="false">IF(H8&gt;0,D8/H8,"n/m")</f>
        <v>n/m</v>
      </c>
      <c r="J8" s="12" t="s">
        <v>1789</v>
      </c>
      <c r="K8" s="7" t="s">
        <v>1790</v>
      </c>
    </row>
    <row r="9" customFormat="false" ht="15" hidden="false" customHeight="false" outlineLevel="0" collapsed="false">
      <c r="A9" s="2" t="s">
        <v>1791</v>
      </c>
      <c r="F9" s="92" t="n">
        <f aca="false">MEDIAN(F5:F8)</f>
        <v>23.9365261758972</v>
      </c>
      <c r="G9" s="108" t="n">
        <f aca="false">MEDIAN(G5:G8)</f>
        <v>24.062427058059</v>
      </c>
    </row>
    <row r="10" customFormat="false" ht="15" hidden="false" customHeight="false" outlineLevel="0" collapsed="false">
      <c r="A10" s="5" t="s">
        <v>1792</v>
      </c>
      <c r="B10" s="89" t="n">
        <v>47.12</v>
      </c>
      <c r="C10" s="91" t="n">
        <f aca="false">輸入與假設!$C$177</f>
        <v>30</v>
      </c>
      <c r="D10" s="58" t="n">
        <f aca="false">B10+C10</f>
        <v>77.12</v>
      </c>
      <c r="E10" s="89" t="n">
        <v>7.59</v>
      </c>
      <c r="F10" s="92" t="n">
        <f aca="false">D10/E10</f>
        <v>10.1607378129117</v>
      </c>
      <c r="G10" s="108" t="n">
        <f aca="false">(D10+16.319)/E10</f>
        <v>12.3108036890646</v>
      </c>
      <c r="H10" s="89" t="n">
        <f aca="false">-0.231+3.991</f>
        <v>3.76</v>
      </c>
      <c r="I10" s="108" t="n">
        <f aca="false">IF(H10&gt;0,D10/H10,"n/m")</f>
        <v>20.5106382978723</v>
      </c>
      <c r="J10" s="12" t="s">
        <v>1793</v>
      </c>
      <c r="K10" s="12" t="s">
        <v>1794</v>
      </c>
    </row>
    <row r="11" customFormat="false" ht="15" hidden="false" customHeight="false" outlineLevel="0" collapsed="false">
      <c r="A11" s="4" t="s">
        <v>1795</v>
      </c>
      <c r="B11" s="58" t="n">
        <f aca="false">輸入與假設!$C$175*輸入與假設!$C$176</f>
        <v>52.90631</v>
      </c>
      <c r="C11" s="58" t="n">
        <f aca="false">輸入與假設!$C$177</f>
        <v>30</v>
      </c>
      <c r="D11" s="58" t="n">
        <f aca="false">B11+C11</f>
        <v>82.90631</v>
      </c>
      <c r="E11" s="91" t="n">
        <f aca="false">損益!D8</f>
        <v>20.1998592826102</v>
      </c>
      <c r="F11" s="108" t="n">
        <f aca="false">D11/E11</f>
        <v>4.10430136369182</v>
      </c>
      <c r="G11" s="108" t="n">
        <f aca="false">(D11+16.319)/E11</f>
        <v>4.91217827865869</v>
      </c>
      <c r="H11" s="91" t="n">
        <f aca="false">損益!D19</f>
        <v>9.81438269251001</v>
      </c>
      <c r="I11" s="108" t="n">
        <f aca="false">D11/H11</f>
        <v>8.44742991969033</v>
      </c>
      <c r="K11" s="7" t="s">
        <v>1796</v>
      </c>
    </row>
    <row r="13" customFormat="false" ht="15" hidden="false" customHeight="false" outlineLevel="0" collapsed="false">
      <c r="A13" s="7" t="s">
        <v>1797</v>
      </c>
    </row>
    <row r="14" customFormat="false" ht="15" hidden="false" customHeight="false" outlineLevel="0" collapsed="false">
      <c r="A14" s="12" t="s">
        <v>1798</v>
      </c>
    </row>
    <row r="15" customFormat="false" ht="15" hidden="false" customHeight="false" outlineLevel="0" collapsed="false">
      <c r="A15" s="7" t="s">
        <v>1799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E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100"/>
  </cols>
  <sheetData>
    <row r="1" customFormat="false" ht="17.35" hidden="false" customHeight="false" outlineLevel="0" collapsed="false">
      <c r="A1" s="6" t="s">
        <v>1800</v>
      </c>
    </row>
    <row r="3" customFormat="false" ht="15" hidden="false" customHeight="false" outlineLevel="0" collapsed="false">
      <c r="A3" s="15" t="s">
        <v>1801</v>
      </c>
      <c r="B3" s="15" t="s">
        <v>1802</v>
      </c>
      <c r="C3" s="15" t="s">
        <v>1803</v>
      </c>
      <c r="D3" s="15" t="s">
        <v>1804</v>
      </c>
      <c r="E3" s="15" t="s">
        <v>711</v>
      </c>
    </row>
    <row r="4" customFormat="false" ht="15" hidden="false" customHeight="false" outlineLevel="0" collapsed="false">
      <c r="A4" s="4" t="s">
        <v>198</v>
      </c>
      <c r="B4" s="14" t="n">
        <f aca="false">SUM(輸入與假設!C25:G25)</f>
        <v>0.84</v>
      </c>
      <c r="C4" s="109" t="n">
        <f aca="false">輸入與假設!$C$18</f>
        <v>0.84</v>
      </c>
      <c r="D4" s="2" t="str">
        <f aca="false">IF(ABS(B4-C4)&lt;0.0001,"通過","不一致")</f>
        <v>通過</v>
      </c>
      <c r="E4" s="12" t="s">
        <v>1805</v>
      </c>
    </row>
    <row r="5" customFormat="false" ht="15" hidden="false" customHeight="false" outlineLevel="0" collapsed="false">
      <c r="A5" s="3" t="s">
        <v>1806</v>
      </c>
      <c r="B5" s="11" t="n">
        <f aca="false">各期收支!C84</f>
        <v>-1.15463194561016E-014</v>
      </c>
      <c r="C5" s="7" t="n">
        <f aca="false">0</f>
        <v>0</v>
      </c>
      <c r="D5" s="2" t="str">
        <f aca="false">IF(ABS(B5)&lt;0.01,"通過","不一致")</f>
        <v>通過</v>
      </c>
      <c r="E5" s="7" t="s">
        <v>1807</v>
      </c>
    </row>
    <row r="6" customFormat="false" ht="15" hidden="false" customHeight="false" outlineLevel="0" collapsed="false">
      <c r="A6" s="4" t="s">
        <v>1808</v>
      </c>
      <c r="B6" s="10" t="n">
        <f aca="false">運營_產能與收入!G9-運營_產能與收入!G10</f>
        <v>350</v>
      </c>
      <c r="C6" s="12" t="s">
        <v>1809</v>
      </c>
      <c r="D6" s="2" t="str">
        <f aca="false">IF(B6&gt;=0,"通過","不一致")</f>
        <v>通過</v>
      </c>
      <c r="E6" s="7" t="s">
        <v>1810</v>
      </c>
    </row>
    <row r="7" customFormat="false" ht="15" hidden="false" customHeight="false" outlineLevel="0" collapsed="false">
      <c r="A7" s="4" t="s">
        <v>1811</v>
      </c>
      <c r="B7" s="11" t="n">
        <f aca="false">各期收支!C88</f>
        <v>37.800888825</v>
      </c>
      <c r="C7" s="12" t="s">
        <v>1812</v>
      </c>
      <c r="D7" s="2" t="str">
        <f aca="false">IF(AND(B7&gt;=35,B7&lt;=39),"通過","觀察")</f>
        <v>通過</v>
      </c>
      <c r="E7" s="12" t="s">
        <v>1813</v>
      </c>
    </row>
    <row r="8" customFormat="false" ht="15" hidden="false" customHeight="false" outlineLevel="0" collapsed="false">
      <c r="A8" s="4" t="s">
        <v>1814</v>
      </c>
      <c r="B8" s="11" t="n">
        <f aca="false">各期收支!C87</f>
        <v>11.0494944849016</v>
      </c>
      <c r="C8" s="12" t="s">
        <v>1815</v>
      </c>
      <c r="D8" s="2" t="str">
        <f aca="false">IF(AND(B8&gt;=12.4,B8&lt;=13.2),"通過","觀察")</f>
        <v>觀察</v>
      </c>
      <c r="E8" s="12" t="s">
        <v>1816</v>
      </c>
    </row>
    <row r="9" customFormat="false" ht="15" hidden="false" customHeight="false" outlineLevel="0" collapsed="false">
      <c r="A9" s="4" t="s">
        <v>1817</v>
      </c>
      <c r="B9" s="48" t="n">
        <f aca="false">SUM(各期收支!C6:G6)/((運營_產能與收入!G9-輸入與假設!$C$20)/1000)/1000*1000</f>
        <v>42.9023470788235</v>
      </c>
      <c r="C9" s="12" t="s">
        <v>1818</v>
      </c>
      <c r="D9" s="2" t="str">
        <f aca="false">IF(AND(B9&gt;=20,B9&lt;=45),"通過","觀察")</f>
        <v>通過</v>
      </c>
      <c r="E9" s="7" t="s">
        <v>1819</v>
      </c>
    </row>
    <row r="10" customFormat="false" ht="15" hidden="false" customHeight="false" outlineLevel="0" collapsed="false">
      <c r="A10" s="3" t="s">
        <v>1820</v>
      </c>
      <c r="B10" s="17" t="n">
        <f aca="false">資產負債_租賃承諾!C27</f>
        <v>0.892218223878679</v>
      </c>
      <c r="C10" s="12" t="s">
        <v>1821</v>
      </c>
      <c r="D10" s="2" t="str">
        <f aca="false">IF(B10&gt;=0.8,"通過","不一致")</f>
        <v>通過</v>
      </c>
      <c r="E10" s="12" t="s">
        <v>1822</v>
      </c>
    </row>
    <row r="11" customFormat="false" ht="15" hidden="false" customHeight="false" outlineLevel="0" collapsed="false">
      <c r="A11" s="4" t="s">
        <v>1823</v>
      </c>
      <c r="B11" s="11" t="n">
        <f aca="false">各期收支!C89</f>
        <v>3.67714351310627</v>
      </c>
      <c r="C11" s="12" t="s">
        <v>1824</v>
      </c>
      <c r="D11" s="2" t="str">
        <f aca="false">IF(B11&gt;=2.9,"通過","觀察")</f>
        <v>通過</v>
      </c>
      <c r="E11" s="7" t="str">
        <f aca="false">"1H 實際 1.176＋2H 模型 "&amp;TEXT(各期收支!C13,"0.0")&amp;"；Q3 指引 0.86–0.94／季"</f>
        <v>1H 實際 1.176＋2H 模型 1.8；Q3 指引 0.86–0.94／季</v>
      </c>
    </row>
    <row r="12" customFormat="false" ht="15" hidden="false" customHeight="false" outlineLevel="0" collapsed="false">
      <c r="A12" s="4" t="s">
        <v>1825</v>
      </c>
      <c r="B12" s="28" t="n">
        <f aca="false">SUM(運營_產能與收入!E23:G23)/SUM(運營_產能與收入!E25:G25)</f>
        <v>0.505864911943626</v>
      </c>
      <c r="C12" s="12" t="s">
        <v>1826</v>
      </c>
      <c r="D12" s="2" t="str">
        <f aca="false">IF(B12&lt;0.5,"通過","觀察")</f>
        <v>觀察</v>
      </c>
      <c r="E12" s="12" t="s">
        <v>1827</v>
      </c>
    </row>
    <row r="13" customFormat="false" ht="15" hidden="false" customHeight="false" outlineLevel="0" collapsed="false">
      <c r="A13" s="3" t="s">
        <v>1828</v>
      </c>
      <c r="B13" s="58" t="n">
        <f aca="false">損益!D6-運營_產能與收入!D25</f>
        <v>0</v>
      </c>
      <c r="C13" s="7" t="n">
        <f aca="false">0</f>
        <v>0</v>
      </c>
      <c r="D13" s="2" t="str">
        <f aca="false">IF(ABS(B13)&lt;0.001,"通過","不一致")</f>
        <v>通過</v>
      </c>
      <c r="E13" s="12" t="s">
        <v>1829</v>
      </c>
    </row>
    <row r="14" customFormat="false" ht="15" hidden="false" customHeight="false" outlineLevel="0" collapsed="false">
      <c r="A14" s="3" t="s">
        <v>1668</v>
      </c>
      <c r="B14" s="14" t="n">
        <f aca="false">評價_DCF與目標價!C26</f>
        <v>1.43850719065214</v>
      </c>
      <c r="C14" s="7" t="str">
        <f aca="false">"&lt;"&amp;IF(ROUND(ABS(輸入與假設!$C$219)*100,4)=INT(ROUND(ABS(輸入與假設!$C$219)*100,4)),TEXT(ROUND(ABS(輸入與假設!$C$219)*100,4),"0"),TEXT(ROUND(ABS(輸入與假設!$C$219)*100,4),"0.0"))&amp;"%"</f>
        <v>&lt;85%</v>
      </c>
      <c r="D14" s="2" t="str">
        <f aca="false">IF(B14&lt;輸入與假設!$C$219,"通過","觀察")</f>
        <v>觀察</v>
      </c>
      <c r="E14" s="7" t="s">
        <v>1830</v>
      </c>
    </row>
    <row r="15" customFormat="false" ht="15" hidden="false" customHeight="false" outlineLevel="0" collapsed="false">
      <c r="A15" s="4" t="s">
        <v>1831</v>
      </c>
      <c r="B15" s="110" t="n">
        <f aca="false">損益!D19/損益!D8-輸入與假設!D97</f>
        <v>0</v>
      </c>
      <c r="C15" s="7" t="n">
        <f aca="false">0</f>
        <v>0</v>
      </c>
      <c r="D15" s="2" t="str">
        <f aca="false">IF(ABS(B15)&lt;0.0001,"通過","不一致")</f>
        <v>通過</v>
      </c>
      <c r="E15" s="7" t="s">
        <v>1832</v>
      </c>
    </row>
    <row r="16" customFormat="false" ht="15" hidden="false" customHeight="false" outlineLevel="0" collapsed="false">
      <c r="A16" s="3" t="s">
        <v>1833</v>
      </c>
      <c r="B16" s="58" t="n">
        <f aca="false">(運營_產能與收入!D36+運營_產能與收入!D37+輸入與假設!D98-各期收支!D12)+(運營_產能與收入!D31+運營_產能與收入!D23*輸入與假設!D31*(1-輸入與假設!D32))*運營_產能與收入!D35-損益!D19</f>
        <v>0</v>
      </c>
      <c r="C16" s="7" t="n">
        <f aca="false">0</f>
        <v>0</v>
      </c>
      <c r="D16" s="2" t="str">
        <f aca="false">IF(ABS(B16)&lt;0.001,"通過","不一致")</f>
        <v>通過</v>
      </c>
      <c r="E16" s="7" t="s">
        <v>1834</v>
      </c>
    </row>
    <row r="17" customFormat="false" ht="15" hidden="false" customHeight="false" outlineLevel="0" collapsed="false">
      <c r="A17" s="4" t="s">
        <v>1835</v>
      </c>
      <c r="B17" s="48" t="n">
        <f aca="false">評價_DCF與目標價!C29</f>
        <v>0</v>
      </c>
      <c r="C17" s="12" t="s">
        <v>1836</v>
      </c>
      <c r="D17" s="2" t="str">
        <f aca="false">IF(B17=0,"通過","觀察")</f>
        <v>通過</v>
      </c>
      <c r="E17" s="7" t="s">
        <v>1837</v>
      </c>
    </row>
    <row r="18" customFormat="false" ht="15" hidden="false" customHeight="false" outlineLevel="0" collapsed="false">
      <c r="A18" s="3" t="s">
        <v>1838</v>
      </c>
      <c r="B18" s="58" t="n">
        <f aca="false">MIN(各期收支!C41:G41)</f>
        <v>2</v>
      </c>
      <c r="C18" s="12" t="s">
        <v>1839</v>
      </c>
      <c r="D18" s="2" t="str">
        <f aca="false">IF(B18&gt;=1.999,"通過","不一致")</f>
        <v>通過</v>
      </c>
      <c r="E18" s="7" t="s">
        <v>1840</v>
      </c>
    </row>
    <row r="19" customFormat="false" ht="15" hidden="false" customHeight="false" outlineLevel="0" collapsed="false">
      <c r="A19" s="3" t="s">
        <v>1841</v>
      </c>
      <c r="B19" s="108" t="n">
        <f aca="false">SUM(各期收支!C61:G61)/(輸入與假設!$C$175*輸入與假設!$C$176)</f>
        <v>0.199829642248722</v>
      </c>
      <c r="C19" s="7" t="str">
        <f aca="false">"≤"&amp;IF(輸入與假設!$C$216=INT(輸入與假設!$C$216),TEXT(輸入與假設!$C$216,"0"),TEXT(輸入與假設!$C$216,"0.0"))&amp;"x"</f>
        <v>≤1.5x</v>
      </c>
      <c r="D19" s="2" t="str">
        <f aca="false">IF(B19&lt;=輸入與假設!$C$216,"通過","觀察")</f>
        <v>通過</v>
      </c>
      <c r="E19" s="7" t="str">
        <f aca="false">"超過 "&amp;IF(輸入與假設!$C$216=INT(輸入與假設!$C$216),TEXT(輸入與假設!$C$216,"0"),TEXT(輸入與假設!$C$216,"0.0"))&amp;" 倍：市場吸收能力存疑，結論不得為買進"</f>
        <v>超過 1.5 倍：市場吸收能力存疑，結論不得為買進</v>
      </c>
    </row>
    <row r="20" customFormat="false" ht="15" hidden="false" customHeight="false" outlineLevel="0" collapsed="false">
      <c r="A20" s="3" t="s">
        <v>1842</v>
      </c>
      <c r="B20" s="58" t="n">
        <f aca="false">資產負債_既有債務!E21</f>
        <v>35.551</v>
      </c>
      <c r="C20" s="12" t="s">
        <v>1843</v>
      </c>
      <c r="D20" s="2" t="str">
        <f aca="false">IF(ABS(B20-35.551)&lt;0.01,"通過","不一致")</f>
        <v>通過</v>
      </c>
      <c r="E20" s="12" t="s">
        <v>1844</v>
      </c>
    </row>
    <row r="21" customFormat="false" ht="15" hidden="false" customHeight="false" outlineLevel="0" collapsed="false">
      <c r="A21" s="4" t="s">
        <v>1845</v>
      </c>
      <c r="B21" s="58" t="n">
        <f aca="false">輸入與假設!C142</f>
        <v>37.800888825</v>
      </c>
      <c r="C21" s="12" t="s">
        <v>1812</v>
      </c>
      <c r="D21" s="2" t="str">
        <f aca="false">IF(AND(B21&gt;=35,B21&lt;=39),"通過","觀察")</f>
        <v>通過</v>
      </c>
      <c r="E21" s="7" t="s">
        <v>1846</v>
      </c>
    </row>
    <row r="22" customFormat="false" ht="15" hidden="false" customHeight="false" outlineLevel="0" collapsed="false">
      <c r="A22" s="4" t="s">
        <v>1847</v>
      </c>
      <c r="B22" s="58" t="n">
        <f aca="false">SUM(輸入與假設!C135:G135)</f>
        <v>1.15</v>
      </c>
      <c r="C22" s="7" t="n">
        <f aca="false">1.15</f>
        <v>1.15</v>
      </c>
      <c r="D22" s="2" t="str">
        <f aca="false">IF(ABS(B22-1.15)&lt;0.01,"通過","不一致")</f>
        <v>通過</v>
      </c>
      <c r="E22" s="12" t="s">
        <v>1848</v>
      </c>
    </row>
    <row r="23" customFormat="false" ht="15" hidden="false" customHeight="false" outlineLevel="0" collapsed="false">
      <c r="A23" s="3" t="s">
        <v>1849</v>
      </c>
      <c r="B23" s="58" t="n">
        <f aca="false">運營_站點!G25</f>
        <v>0.998180473372781</v>
      </c>
      <c r="C23" s="7" t="s">
        <v>1850</v>
      </c>
      <c r="D23" s="2" t="str">
        <f aca="false">IF(B23&gt;=運營_站點!$H$9*運營_站點!$C$26*0.8,"通過","觀察")</f>
        <v>觀察</v>
      </c>
      <c r="E23" s="7" t="s">
        <v>1851</v>
      </c>
    </row>
    <row r="24" customFormat="false" ht="15" hidden="false" customHeight="false" outlineLevel="0" collapsed="false">
      <c r="A24" s="3" t="s">
        <v>1852</v>
      </c>
      <c r="B24" s="58" t="n">
        <f aca="false">運營_站點!$C$29</f>
        <v>3.29166034970789</v>
      </c>
      <c r="C24" s="12" t="s">
        <v>1853</v>
      </c>
      <c r="D24" s="2" t="str">
        <f aca="false">IF(B24&lt;10,"通過","觀察")</f>
        <v>通過</v>
      </c>
      <c r="E24" s="7" t="s">
        <v>1854</v>
      </c>
    </row>
    <row r="25" customFormat="false" ht="15" hidden="false" customHeight="false" outlineLevel="0" collapsed="false">
      <c r="A25" s="3" t="s">
        <v>1855</v>
      </c>
      <c r="B25" s="14" t="n">
        <f aca="false">MAX(每MW經濟性!C106:G106)</f>
        <v>0.418591980137</v>
      </c>
      <c r="C25" s="12" t="s">
        <v>1856</v>
      </c>
      <c r="D25" s="2" t="str">
        <f aca="false">IF(B25&lt;=0.5,"通過","警示")</f>
        <v>通過</v>
      </c>
      <c r="E25" s="12" t="s">
        <v>1857</v>
      </c>
    </row>
    <row r="27" customFormat="false" ht="15" hidden="false" customHeight="false" outlineLevel="0" collapsed="false">
      <c r="A27" s="2" t="s">
        <v>1858</v>
      </c>
    </row>
    <row r="28" customFormat="false" ht="15" hidden="false" customHeight="false" outlineLevel="0" collapsed="false">
      <c r="A28" s="3" t="s">
        <v>1859</v>
      </c>
      <c r="B28" s="11" t="n">
        <f aca="false">SUM(運營_產能與收入!C17:G17)</f>
        <v>108.108</v>
      </c>
    </row>
    <row r="29" customFormat="false" ht="15" hidden="false" customHeight="false" outlineLevel="0" collapsed="false">
      <c r="A29" s="3" t="s">
        <v>1860</v>
      </c>
      <c r="B29" s="11" t="n">
        <f aca="false">SUM(運營_產能與收入!C19:G19)</f>
        <v>14.2788962324882</v>
      </c>
    </row>
    <row r="30" customFormat="false" ht="15" hidden="false" customHeight="false" outlineLevel="0" collapsed="false">
      <c r="A30" s="3" t="s">
        <v>1861</v>
      </c>
      <c r="B30" s="11" t="n">
        <f aca="false">SUM(運營_產能與收入!C23:G23)</f>
        <v>70.1595866838124</v>
      </c>
    </row>
    <row r="31" customFormat="false" ht="15" hidden="false" customHeight="false" outlineLevel="0" collapsed="false">
      <c r="A31" s="3" t="s">
        <v>1862</v>
      </c>
      <c r="B31" s="11" t="n">
        <f aca="false">SUM(輸入與假設!C147:G147)</f>
        <v>166.195975085</v>
      </c>
    </row>
    <row r="32" customFormat="false" ht="15" hidden="false" customHeight="false" outlineLevel="0" collapsed="false">
      <c r="A32" s="3" t="s">
        <v>1863</v>
      </c>
      <c r="B32" s="11" t="n">
        <f aca="false">SUM(各期收支!C12:G12)</f>
        <v>20.3178933002481</v>
      </c>
    </row>
    <row r="33" customFormat="false" ht="15" hidden="false" customHeight="false" outlineLevel="0" collapsed="false">
      <c r="A33" s="3" t="s">
        <v>1864</v>
      </c>
      <c r="B33" s="11" t="n">
        <f aca="false">SUM(各期收支!C17:G17)</f>
        <v>39.2443445314951</v>
      </c>
    </row>
    <row r="34" customFormat="false" ht="15" hidden="false" customHeight="false" outlineLevel="0" collapsed="false">
      <c r="A34" s="3" t="s">
        <v>1865</v>
      </c>
      <c r="B34" s="11" t="n">
        <f aca="false">SUM(輸入與假設!C170:G170)*輸入與假設!$C$156</f>
        <v>20.655</v>
      </c>
    </row>
    <row r="35" customFormat="false" ht="15" hidden="false" customHeight="false" outlineLevel="0" collapsed="false">
      <c r="A35" s="3" t="s">
        <v>1866</v>
      </c>
      <c r="B35" s="11" t="n">
        <f aca="false">SUM(各期收支!C39:G39)-(輸入與假設!$C$223-輸入與假設!$C$224-輸入與假設!$C$226)</f>
        <v>-88.2951129502365</v>
      </c>
    </row>
    <row r="36" customFormat="false" ht="15" hidden="false" customHeight="false" outlineLevel="0" collapsed="false">
      <c r="A36" s="4" t="s">
        <v>1867</v>
      </c>
      <c r="B36" s="11" t="n">
        <f aca="false">SUM(各期收支!C39:G39)</f>
        <v>-99.4371129502365</v>
      </c>
    </row>
    <row r="37" customFormat="false" ht="15" hidden="false" customHeight="false" outlineLevel="0" collapsed="false">
      <c r="A37" s="3" t="s">
        <v>1516</v>
      </c>
      <c r="B37" s="11" t="n">
        <f aca="false">各期收支!G41</f>
        <v>2</v>
      </c>
    </row>
    <row r="38" customFormat="false" ht="15" hidden="false" customHeight="false" outlineLevel="0" collapsed="false">
      <c r="A38" s="4" t="s">
        <v>1868</v>
      </c>
      <c r="B38" s="13" t="n">
        <f aca="false">評價_DCF與目標價!C25</f>
        <v>110.215538951202</v>
      </c>
    </row>
    <row r="39" customFormat="false" ht="15" hidden="false" customHeight="false" outlineLevel="0" collapsed="false">
      <c r="A39" s="3" t="s">
        <v>1389</v>
      </c>
      <c r="B39" s="13" t="n">
        <f aca="false">評價_DCF與目標價!C48</f>
        <v>98.0184876310382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E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90"/>
    <col collapsed="false" customWidth="true" hidden="false" outlineLevel="0" max="4" min="4" style="0" width="14"/>
    <col collapsed="false" customWidth="true" hidden="false" outlineLevel="0" max="5" min="5" style="0" width="48"/>
  </cols>
  <sheetData>
    <row r="1" customFormat="false" ht="17.35" hidden="false" customHeight="false" outlineLevel="0" collapsed="false">
      <c r="A1" s="6" t="s">
        <v>1869</v>
      </c>
    </row>
    <row r="2" customFormat="false" ht="15" hidden="false" customHeight="false" outlineLevel="0" collapsed="false">
      <c r="A2" s="12" t="s">
        <v>1870</v>
      </c>
    </row>
    <row r="4" customFormat="false" ht="15" hidden="false" customHeight="false" outlineLevel="0" collapsed="false">
      <c r="A4" s="15" t="s">
        <v>1871</v>
      </c>
      <c r="B4" s="15" t="s">
        <v>1872</v>
      </c>
      <c r="C4" s="15" t="s">
        <v>1873</v>
      </c>
      <c r="D4" s="15" t="s">
        <v>1874</v>
      </c>
      <c r="E4" s="15" t="s">
        <v>1875</v>
      </c>
    </row>
    <row r="5" customFormat="false" ht="114.9" hidden="false" customHeight="false" outlineLevel="0" collapsed="false">
      <c r="A5" s="111" t="s">
        <v>1876</v>
      </c>
      <c r="B5" s="111" t="s">
        <v>1877</v>
      </c>
      <c r="C5" s="112" t="s">
        <v>1878</v>
      </c>
      <c r="D5" s="113" t="s">
        <v>1879</v>
      </c>
      <c r="E5" s="112" t="s">
        <v>1880</v>
      </c>
    </row>
    <row r="6" customFormat="false" ht="100.7" hidden="false" customHeight="false" outlineLevel="0" collapsed="false">
      <c r="A6" s="111" t="s">
        <v>1881</v>
      </c>
      <c r="B6" s="111" t="s">
        <v>1877</v>
      </c>
      <c r="C6" s="112" t="s">
        <v>1882</v>
      </c>
      <c r="D6" s="113" t="s">
        <v>1883</v>
      </c>
      <c r="E6" s="112" t="s">
        <v>1884</v>
      </c>
    </row>
    <row r="7" customFormat="false" ht="72.35" hidden="false" customHeight="false" outlineLevel="0" collapsed="false">
      <c r="A7" s="111" t="s">
        <v>1885</v>
      </c>
      <c r="B7" s="111" t="s">
        <v>1886</v>
      </c>
      <c r="C7" s="112" t="s">
        <v>1887</v>
      </c>
      <c r="D7" s="113" t="s">
        <v>1888</v>
      </c>
      <c r="E7" s="112" t="s">
        <v>1889</v>
      </c>
    </row>
    <row r="8" customFormat="false" ht="72.35" hidden="false" customHeight="false" outlineLevel="0" collapsed="false">
      <c r="A8" s="111" t="s">
        <v>1890</v>
      </c>
      <c r="B8" s="111" t="s">
        <v>1886</v>
      </c>
      <c r="C8" s="112" t="s">
        <v>1891</v>
      </c>
      <c r="D8" s="113" t="s">
        <v>1892</v>
      </c>
      <c r="E8" s="112" t="s">
        <v>1893</v>
      </c>
    </row>
    <row r="9" customFormat="false" ht="44" hidden="false" customHeight="false" outlineLevel="0" collapsed="false">
      <c r="A9" s="111" t="s">
        <v>1894</v>
      </c>
      <c r="B9" s="111" t="s">
        <v>1895</v>
      </c>
      <c r="C9" s="112" t="s">
        <v>1896</v>
      </c>
      <c r="D9" s="113" t="s">
        <v>1892</v>
      </c>
      <c r="E9" s="112" t="s">
        <v>1897</v>
      </c>
    </row>
    <row r="10" customFormat="false" ht="44" hidden="false" customHeight="false" outlineLevel="0" collapsed="false">
      <c r="A10" s="111" t="s">
        <v>1898</v>
      </c>
      <c r="B10" s="111" t="s">
        <v>1895</v>
      </c>
      <c r="C10" s="112" t="s">
        <v>1899</v>
      </c>
      <c r="D10" s="113" t="s">
        <v>1900</v>
      </c>
      <c r="E10" s="112" t="s">
        <v>1901</v>
      </c>
    </row>
    <row r="11" customFormat="false" ht="44" hidden="false" customHeight="false" outlineLevel="0" collapsed="false">
      <c r="A11" s="111" t="s">
        <v>1902</v>
      </c>
      <c r="B11" s="111" t="s">
        <v>1895</v>
      </c>
      <c r="C11" s="112" t="s">
        <v>1903</v>
      </c>
      <c r="D11" s="113" t="s">
        <v>1900</v>
      </c>
      <c r="E11" s="112" t="s">
        <v>1904</v>
      </c>
    </row>
    <row r="12" customFormat="false" ht="29.85" hidden="false" customHeight="false" outlineLevel="0" collapsed="false">
      <c r="A12" s="111" t="s">
        <v>1905</v>
      </c>
      <c r="B12" s="111" t="s">
        <v>1906</v>
      </c>
      <c r="C12" s="112" t="s">
        <v>1907</v>
      </c>
      <c r="D12" s="113" t="s">
        <v>1900</v>
      </c>
      <c r="E12" s="112" t="s">
        <v>1901</v>
      </c>
    </row>
    <row r="13" customFormat="false" ht="29.85" hidden="false" customHeight="false" outlineLevel="0" collapsed="false">
      <c r="A13" s="111" t="s">
        <v>1908</v>
      </c>
      <c r="B13" s="111" t="s">
        <v>1906</v>
      </c>
      <c r="C13" s="114" t="s">
        <v>1909</v>
      </c>
      <c r="D13" s="113" t="s">
        <v>1900</v>
      </c>
      <c r="E13" s="112" t="s">
        <v>1910</v>
      </c>
    </row>
    <row r="14" customFormat="false" ht="29.85" hidden="false" customHeight="false" outlineLevel="0" collapsed="false">
      <c r="A14" s="111" t="s">
        <v>1911</v>
      </c>
      <c r="B14" s="111" t="s">
        <v>1906</v>
      </c>
      <c r="C14" s="114" t="s">
        <v>1912</v>
      </c>
      <c r="D14" s="113" t="s">
        <v>1913</v>
      </c>
      <c r="E14" s="112" t="s">
        <v>1914</v>
      </c>
    </row>
    <row r="15" customFormat="false" ht="29.85" hidden="false" customHeight="false" outlineLevel="0" collapsed="false">
      <c r="A15" s="111" t="s">
        <v>1915</v>
      </c>
      <c r="B15" s="111" t="s">
        <v>1906</v>
      </c>
      <c r="C15" s="112" t="s">
        <v>1916</v>
      </c>
      <c r="D15" s="113" t="s">
        <v>1913</v>
      </c>
      <c r="E15" s="112" t="s">
        <v>1917</v>
      </c>
    </row>
    <row r="16" customFormat="false" ht="15" hidden="false" customHeight="false" outlineLevel="0" collapsed="false">
      <c r="A16" s="111" t="s">
        <v>1918</v>
      </c>
      <c r="B16" s="111" t="s">
        <v>1919</v>
      </c>
      <c r="C16" s="112" t="s">
        <v>1920</v>
      </c>
      <c r="D16" s="113" t="s">
        <v>1913</v>
      </c>
      <c r="E16" s="112" t="s">
        <v>1921</v>
      </c>
    </row>
    <row r="17" customFormat="false" ht="15" hidden="false" customHeight="false" outlineLevel="0" collapsed="false">
      <c r="A17" s="111" t="s">
        <v>1922</v>
      </c>
      <c r="B17" s="111" t="s">
        <v>1919</v>
      </c>
      <c r="C17" s="112" t="s">
        <v>1923</v>
      </c>
      <c r="D17" s="113" t="s">
        <v>1913</v>
      </c>
      <c r="E17" s="112" t="s">
        <v>1917</v>
      </c>
    </row>
    <row r="18" customFormat="false" ht="15" hidden="false" customHeight="false" outlineLevel="0" collapsed="false">
      <c r="A18" s="111" t="s">
        <v>1924</v>
      </c>
      <c r="B18" s="111" t="s">
        <v>1919</v>
      </c>
      <c r="C18" s="112" t="s">
        <v>1925</v>
      </c>
      <c r="D18" s="113" t="s">
        <v>1913</v>
      </c>
      <c r="E18" s="112" t="s">
        <v>1917</v>
      </c>
    </row>
    <row r="19" customFormat="false" ht="15" hidden="false" customHeight="false" outlineLevel="0" collapsed="false">
      <c r="A19" s="111" t="s">
        <v>1926</v>
      </c>
      <c r="B19" s="111" t="s">
        <v>1919</v>
      </c>
      <c r="C19" s="114" t="s">
        <v>1927</v>
      </c>
      <c r="D19" s="113" t="s">
        <v>1913</v>
      </c>
      <c r="E19" s="112" t="s">
        <v>1928</v>
      </c>
    </row>
    <row r="20" customFormat="false" ht="15" hidden="false" customHeight="false" outlineLevel="0" collapsed="false">
      <c r="A20" s="111" t="s">
        <v>1929</v>
      </c>
      <c r="B20" s="111" t="s">
        <v>1919</v>
      </c>
      <c r="C20" s="114" t="s">
        <v>1930</v>
      </c>
      <c r="D20" s="113" t="s">
        <v>1913</v>
      </c>
      <c r="E20" s="112" t="s">
        <v>1917</v>
      </c>
    </row>
    <row r="21" customFormat="false" ht="15" hidden="false" customHeight="false" outlineLevel="0" collapsed="false">
      <c r="A21" s="111" t="s">
        <v>1931</v>
      </c>
      <c r="B21" s="111" t="s">
        <v>1919</v>
      </c>
      <c r="C21" s="112" t="s">
        <v>1932</v>
      </c>
      <c r="D21" s="113" t="s">
        <v>1913</v>
      </c>
      <c r="E21" s="112" t="s">
        <v>1933</v>
      </c>
    </row>
    <row r="22" customFormat="false" ht="15" hidden="false" customHeight="false" outlineLevel="0" collapsed="false">
      <c r="A22" s="111" t="s">
        <v>1934</v>
      </c>
      <c r="B22" s="111" t="s">
        <v>1935</v>
      </c>
      <c r="C22" s="112" t="s">
        <v>1936</v>
      </c>
      <c r="D22" s="113" t="s">
        <v>1913</v>
      </c>
      <c r="E22" s="112" t="s">
        <v>1917</v>
      </c>
    </row>
    <row r="23" customFormat="false" ht="15" hidden="false" customHeight="false" outlineLevel="0" collapsed="false">
      <c r="A23" s="111" t="s">
        <v>1937</v>
      </c>
      <c r="B23" s="111" t="s">
        <v>1935</v>
      </c>
      <c r="C23" s="112" t="s">
        <v>1938</v>
      </c>
      <c r="D23" s="113" t="s">
        <v>1913</v>
      </c>
      <c r="E23" s="112" t="s">
        <v>1917</v>
      </c>
    </row>
    <row r="24" customFormat="false" ht="15" hidden="false" customHeight="false" outlineLevel="0" collapsed="false">
      <c r="A24" s="111" t="s">
        <v>1939</v>
      </c>
      <c r="B24" s="111" t="s">
        <v>1935</v>
      </c>
      <c r="C24" s="114" t="s">
        <v>1940</v>
      </c>
      <c r="D24" s="113" t="s">
        <v>1913</v>
      </c>
      <c r="E24" s="112" t="s">
        <v>1941</v>
      </c>
    </row>
    <row r="25" customFormat="false" ht="15" hidden="false" customHeight="false" outlineLevel="0" collapsed="false">
      <c r="A25" s="111" t="s">
        <v>1942</v>
      </c>
      <c r="B25" s="111" t="s">
        <v>1935</v>
      </c>
      <c r="C25" s="114" t="s">
        <v>1943</v>
      </c>
      <c r="D25" s="113" t="s">
        <v>1944</v>
      </c>
      <c r="E25" s="112" t="s">
        <v>1917</v>
      </c>
    </row>
    <row r="26" customFormat="false" ht="15" hidden="false" customHeight="false" outlineLevel="0" collapsed="false">
      <c r="A26" s="111" t="s">
        <v>1945</v>
      </c>
      <c r="B26" s="111" t="s">
        <v>1935</v>
      </c>
      <c r="C26" s="112" t="s">
        <v>1946</v>
      </c>
      <c r="D26" s="113" t="s">
        <v>1944</v>
      </c>
      <c r="E26" s="112" t="s">
        <v>1917</v>
      </c>
    </row>
    <row r="27" customFormat="false" ht="15" hidden="false" customHeight="false" outlineLevel="0" collapsed="false">
      <c r="A27" s="111" t="s">
        <v>1947</v>
      </c>
      <c r="B27" s="111" t="s">
        <v>1935</v>
      </c>
      <c r="C27" s="112" t="s">
        <v>1948</v>
      </c>
      <c r="D27" s="113" t="s">
        <v>1944</v>
      </c>
      <c r="E27" s="112" t="s">
        <v>1949</v>
      </c>
    </row>
    <row r="28" customFormat="false" ht="15" hidden="false" customHeight="false" outlineLevel="0" collapsed="false">
      <c r="A28" s="111" t="s">
        <v>1950</v>
      </c>
      <c r="B28" s="111" t="s">
        <v>1951</v>
      </c>
      <c r="C28" s="112" t="s">
        <v>1952</v>
      </c>
      <c r="D28" s="113" t="s">
        <v>1953</v>
      </c>
      <c r="E28" s="112" t="s">
        <v>1954</v>
      </c>
    </row>
    <row r="29" customFormat="false" ht="15" hidden="false" customHeight="false" outlineLevel="0" collapsed="false">
      <c r="A29" s="111" t="s">
        <v>1955</v>
      </c>
      <c r="B29" s="111" t="s">
        <v>1956</v>
      </c>
      <c r="C29" s="112" t="s">
        <v>1957</v>
      </c>
      <c r="D29" s="113" t="s">
        <v>1958</v>
      </c>
      <c r="E29" s="112" t="s">
        <v>1959</v>
      </c>
    </row>
    <row r="30" customFormat="false" ht="15" hidden="false" customHeight="false" outlineLevel="0" collapsed="false">
      <c r="A30" s="111" t="s">
        <v>1960</v>
      </c>
      <c r="B30" s="111" t="s">
        <v>1956</v>
      </c>
      <c r="C30" s="112" t="s">
        <v>1961</v>
      </c>
      <c r="D30" s="113" t="s">
        <v>1913</v>
      </c>
      <c r="E30" s="112" t="s">
        <v>1962</v>
      </c>
    </row>
    <row r="31" customFormat="false" ht="15" hidden="false" customHeight="false" outlineLevel="0" collapsed="false">
      <c r="A31" s="111" t="s">
        <v>1963</v>
      </c>
      <c r="B31" s="111" t="s">
        <v>1956</v>
      </c>
      <c r="C31" s="114" t="s">
        <v>1964</v>
      </c>
      <c r="D31" s="113" t="s">
        <v>1965</v>
      </c>
      <c r="E31" s="112" t="s">
        <v>1917</v>
      </c>
    </row>
    <row r="32" customFormat="false" ht="15" hidden="false" customHeight="false" outlineLevel="0" collapsed="false">
      <c r="A32" s="111" t="s">
        <v>1966</v>
      </c>
      <c r="B32" s="111" t="s">
        <v>1956</v>
      </c>
      <c r="C32" s="112" t="s">
        <v>1967</v>
      </c>
      <c r="D32" s="113" t="s">
        <v>1965</v>
      </c>
      <c r="E32" s="114" t="s">
        <v>1968</v>
      </c>
    </row>
    <row r="33" customFormat="false" ht="15" hidden="false" customHeight="false" outlineLevel="0" collapsed="false">
      <c r="A33" s="111" t="s">
        <v>1969</v>
      </c>
      <c r="B33" s="111" t="s">
        <v>1956</v>
      </c>
      <c r="C33" s="114" t="s">
        <v>1970</v>
      </c>
      <c r="D33" s="113" t="s">
        <v>1971</v>
      </c>
      <c r="E33" s="112" t="s">
        <v>1917</v>
      </c>
    </row>
    <row r="34" customFormat="false" ht="15" hidden="false" customHeight="false" outlineLevel="0" collapsed="false">
      <c r="A34" s="111" t="s">
        <v>1972</v>
      </c>
      <c r="B34" s="111" t="s">
        <v>1956</v>
      </c>
      <c r="C34" s="112" t="s">
        <v>1973</v>
      </c>
      <c r="D34" s="113" t="s">
        <v>1971</v>
      </c>
      <c r="E34" s="114" t="s">
        <v>1974</v>
      </c>
    </row>
    <row r="35" customFormat="false" ht="15" hidden="false" customHeight="false" outlineLevel="0" collapsed="false">
      <c r="A35" s="111" t="s">
        <v>1975</v>
      </c>
      <c r="B35" s="111" t="s">
        <v>1956</v>
      </c>
      <c r="C35" s="112" t="s">
        <v>1976</v>
      </c>
      <c r="D35" s="113" t="s">
        <v>1977</v>
      </c>
      <c r="E35" s="112" t="s">
        <v>1917</v>
      </c>
    </row>
    <row r="36" customFormat="false" ht="15" hidden="false" customHeight="false" outlineLevel="0" collapsed="false">
      <c r="A36" s="111" t="s">
        <v>1978</v>
      </c>
      <c r="B36" s="111" t="s">
        <v>1956</v>
      </c>
      <c r="C36" s="114" t="s">
        <v>1979</v>
      </c>
      <c r="D36" s="113" t="s">
        <v>1977</v>
      </c>
      <c r="E36" s="112" t="s">
        <v>1917</v>
      </c>
    </row>
    <row r="37" customFormat="false" ht="15" hidden="false" customHeight="false" outlineLevel="0" collapsed="false">
      <c r="A37" s="111" t="s">
        <v>1980</v>
      </c>
      <c r="B37" s="111" t="s">
        <v>1956</v>
      </c>
      <c r="C37" s="114" t="s">
        <v>1981</v>
      </c>
      <c r="D37" s="113" t="s">
        <v>1977</v>
      </c>
      <c r="E37" s="112" t="s">
        <v>1982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B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0"/>
  </cols>
  <sheetData>
    <row r="1" customFormat="false" ht="17.35" hidden="false" customHeight="false" outlineLevel="0" collapsed="false">
      <c r="A1" s="6" t="s">
        <v>1983</v>
      </c>
    </row>
    <row r="3" customFormat="false" ht="15" hidden="false" customHeight="false" outlineLevel="0" collapsed="false">
      <c r="A3" s="15" t="s">
        <v>1984</v>
      </c>
      <c r="B3" s="15" t="s">
        <v>1985</v>
      </c>
    </row>
    <row r="4" customFormat="false" ht="45.75" hidden="false" customHeight="true" outlineLevel="0" collapsed="false">
      <c r="A4" s="5" t="s">
        <v>610</v>
      </c>
      <c r="B4" s="114" t="s">
        <v>1986</v>
      </c>
    </row>
    <row r="5" customFormat="false" ht="45.75" hidden="false" customHeight="true" outlineLevel="0" collapsed="false">
      <c r="A5" s="5" t="s">
        <v>610</v>
      </c>
      <c r="B5" s="112" t="s">
        <v>1987</v>
      </c>
    </row>
    <row r="6" customFormat="false" ht="45.75" hidden="false" customHeight="true" outlineLevel="0" collapsed="false">
      <c r="A6" s="5" t="s">
        <v>610</v>
      </c>
      <c r="B6" s="114" t="s">
        <v>1988</v>
      </c>
    </row>
    <row r="7" customFormat="false" ht="45.75" hidden="false" customHeight="true" outlineLevel="0" collapsed="false">
      <c r="A7" s="5" t="s">
        <v>610</v>
      </c>
      <c r="B7" s="112" t="s">
        <v>1989</v>
      </c>
    </row>
    <row r="8" customFormat="false" ht="45.75" hidden="false" customHeight="true" outlineLevel="0" collapsed="false">
      <c r="A8" s="5" t="s">
        <v>610</v>
      </c>
      <c r="B8" s="112" t="s">
        <v>1990</v>
      </c>
    </row>
    <row r="9" customFormat="false" ht="45.75" hidden="false" customHeight="true" outlineLevel="0" collapsed="false">
      <c r="A9" s="5" t="s">
        <v>610</v>
      </c>
      <c r="B9" s="114" t="s">
        <v>1991</v>
      </c>
    </row>
    <row r="10" customFormat="false" ht="45.75" hidden="false" customHeight="true" outlineLevel="0" collapsed="false">
      <c r="A10" s="5" t="s">
        <v>610</v>
      </c>
      <c r="B10" s="112" t="s">
        <v>1992</v>
      </c>
    </row>
    <row r="11" customFormat="false" ht="45.75" hidden="false" customHeight="true" outlineLevel="0" collapsed="false">
      <c r="A11" s="5" t="s">
        <v>614</v>
      </c>
      <c r="B11" s="112" t="s">
        <v>1993</v>
      </c>
    </row>
    <row r="12" customFormat="false" ht="45.75" hidden="false" customHeight="true" outlineLevel="0" collapsed="false">
      <c r="A12" s="5" t="s">
        <v>614</v>
      </c>
      <c r="B12" s="112" t="s">
        <v>1994</v>
      </c>
    </row>
    <row r="13" customFormat="false" ht="45.75" hidden="false" customHeight="true" outlineLevel="0" collapsed="false">
      <c r="A13" s="5" t="s">
        <v>614</v>
      </c>
      <c r="B13" s="114" t="s">
        <v>1995</v>
      </c>
    </row>
    <row r="14" customFormat="false" ht="45.75" hidden="false" customHeight="true" outlineLevel="0" collapsed="false">
      <c r="A14" s="5" t="s">
        <v>1996</v>
      </c>
      <c r="B14" s="114" t="s">
        <v>1997</v>
      </c>
    </row>
    <row r="15" customFormat="false" ht="45.75" hidden="false" customHeight="true" outlineLevel="0" collapsed="false">
      <c r="A15" s="5" t="s">
        <v>1998</v>
      </c>
      <c r="B15" s="114" t="s">
        <v>1999</v>
      </c>
    </row>
    <row r="16" customFormat="false" ht="45.75" hidden="false" customHeight="true" outlineLevel="0" collapsed="false">
      <c r="A16" s="5" t="s">
        <v>2000</v>
      </c>
      <c r="B16" s="114" t="s">
        <v>2001</v>
      </c>
    </row>
    <row r="17" customFormat="false" ht="45.75" hidden="false" customHeight="true" outlineLevel="0" collapsed="false">
      <c r="A17" s="5" t="s">
        <v>614</v>
      </c>
      <c r="B17" s="112" t="s">
        <v>2002</v>
      </c>
    </row>
    <row r="18" customFormat="false" ht="45.75" hidden="false" customHeight="true" outlineLevel="0" collapsed="false">
      <c r="A18" s="5" t="s">
        <v>610</v>
      </c>
      <c r="B18" s="114" t="s">
        <v>2003</v>
      </c>
    </row>
    <row r="19" customFormat="false" ht="45.75" hidden="false" customHeight="true" outlineLevel="0" collapsed="false">
      <c r="A19" s="2" t="s">
        <v>2004</v>
      </c>
      <c r="B19" s="114" t="s">
        <v>2005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J1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4"/>
    <col collapsed="false" customWidth="true" hidden="false" outlineLevel="0" max="3" min="3" style="0" width="44"/>
    <col collapsed="false" customWidth="true" hidden="false" outlineLevel="0" max="4" min="4" style="0" width="12"/>
    <col collapsed="false" customWidth="true" hidden="false" outlineLevel="0" max="5" min="5" style="0" width="30"/>
    <col collapsed="false" customWidth="true" hidden="false" outlineLevel="0" max="8" min="6" style="0" width="13"/>
    <col collapsed="false" customWidth="true" hidden="false" outlineLevel="0" max="9" min="9" style="0" width="24"/>
    <col collapsed="false" customWidth="true" hidden="false" outlineLevel="0" max="10" min="10" style="0" width="22"/>
  </cols>
  <sheetData>
    <row r="1" customFormat="false" ht="21.6" hidden="false" customHeight="false" outlineLevel="0" collapsed="false">
      <c r="A1" s="1" t="s">
        <v>2006</v>
      </c>
    </row>
    <row r="2" customFormat="false" ht="15" hidden="false" customHeight="false" outlineLevel="0" collapsed="false">
      <c r="A2" s="7" t="s">
        <v>2007</v>
      </c>
    </row>
    <row r="3" customFormat="false" ht="15" hidden="false" customHeight="false" outlineLevel="0" collapsed="false">
      <c r="A3" s="7" t="s">
        <v>2008</v>
      </c>
    </row>
    <row r="4" customFormat="false" ht="17.15" hidden="false" customHeight="false" outlineLevel="0" collapsed="false">
      <c r="A4" s="15" t="s">
        <v>2009</v>
      </c>
      <c r="B4" s="15" t="s">
        <v>2010</v>
      </c>
      <c r="C4" s="15" t="s">
        <v>2011</v>
      </c>
      <c r="D4" s="15" t="s">
        <v>88</v>
      </c>
      <c r="E4" s="15" t="s">
        <v>273</v>
      </c>
      <c r="F4" s="15" t="s">
        <v>2012</v>
      </c>
      <c r="G4" s="15" t="s">
        <v>2013</v>
      </c>
      <c r="H4" s="15" t="s">
        <v>2014</v>
      </c>
      <c r="I4" s="16" t="s">
        <v>2015</v>
      </c>
      <c r="J4" s="15" t="s">
        <v>2016</v>
      </c>
    </row>
    <row r="5" customFormat="false" ht="15" hidden="false" customHeight="false" outlineLevel="0" collapsed="false">
      <c r="A5" s="4" t="s">
        <v>2017</v>
      </c>
      <c r="B5" s="4" t="s">
        <v>2018</v>
      </c>
      <c r="C5" s="3" t="s">
        <v>2019</v>
      </c>
      <c r="D5" s="7" t="s">
        <v>2020</v>
      </c>
      <c r="E5" s="4" t="s">
        <v>2021</v>
      </c>
      <c r="F5" s="22" t="n">
        <v>22439</v>
      </c>
      <c r="G5" s="22" t="n">
        <v>22439</v>
      </c>
      <c r="H5" s="22" t="n">
        <v>22439</v>
      </c>
      <c r="I5" s="12" t="s">
        <v>2022</v>
      </c>
      <c r="J5" s="12" t="s">
        <v>2023</v>
      </c>
    </row>
    <row r="6" customFormat="false" ht="15" hidden="false" customHeight="false" outlineLevel="0" collapsed="false">
      <c r="A6" s="4" t="s">
        <v>2024</v>
      </c>
      <c r="B6" s="4" t="s">
        <v>2018</v>
      </c>
      <c r="C6" s="3" t="s">
        <v>2019</v>
      </c>
      <c r="D6" s="7" t="s">
        <v>2020</v>
      </c>
      <c r="E6" s="4" t="s">
        <v>2025</v>
      </c>
      <c r="F6" s="22" t="n">
        <v>6969</v>
      </c>
      <c r="G6" s="22" t="n">
        <v>6969</v>
      </c>
      <c r="H6" s="22" t="n">
        <v>6969</v>
      </c>
      <c r="I6" s="12" t="s">
        <v>2026</v>
      </c>
      <c r="J6" s="12" t="s">
        <v>2023</v>
      </c>
    </row>
    <row r="7" customFormat="false" ht="15" hidden="false" customHeight="false" outlineLevel="0" collapsed="false">
      <c r="A7" s="4" t="s">
        <v>2027</v>
      </c>
      <c r="B7" s="4" t="s">
        <v>2018</v>
      </c>
      <c r="C7" s="3" t="s">
        <v>2019</v>
      </c>
      <c r="D7" s="7" t="s">
        <v>2020</v>
      </c>
      <c r="E7" s="4" t="s">
        <v>2028</v>
      </c>
      <c r="F7" s="22" t="n">
        <v>6764</v>
      </c>
      <c r="G7" s="22" t="n">
        <v>6764</v>
      </c>
      <c r="H7" s="22" t="n">
        <v>6764</v>
      </c>
      <c r="I7" s="12" t="s">
        <v>2029</v>
      </c>
      <c r="J7" s="12" t="s">
        <v>2023</v>
      </c>
    </row>
    <row r="8" customFormat="false" ht="15" hidden="false" customHeight="false" outlineLevel="0" collapsed="false">
      <c r="A8" s="4" t="s">
        <v>2030</v>
      </c>
      <c r="B8" s="4" t="s">
        <v>2018</v>
      </c>
      <c r="C8" s="3" t="s">
        <v>2019</v>
      </c>
      <c r="D8" s="7" t="s">
        <v>2020</v>
      </c>
      <c r="E8" s="4" t="s">
        <v>2031</v>
      </c>
      <c r="F8" s="22" t="n">
        <v>4052</v>
      </c>
      <c r="G8" s="22" t="n">
        <v>4052</v>
      </c>
      <c r="H8" s="22" t="n">
        <v>4052</v>
      </c>
      <c r="I8" s="12" t="s">
        <v>2032</v>
      </c>
      <c r="J8" s="12" t="s">
        <v>2023</v>
      </c>
    </row>
    <row r="9" customFormat="false" ht="15" hidden="false" customHeight="false" outlineLevel="0" collapsed="false">
      <c r="A9" s="4" t="s">
        <v>2033</v>
      </c>
      <c r="B9" s="4" t="s">
        <v>2018</v>
      </c>
      <c r="C9" s="3" t="s">
        <v>2019</v>
      </c>
      <c r="D9" s="7" t="s">
        <v>2020</v>
      </c>
      <c r="E9" s="4" t="s">
        <v>2034</v>
      </c>
      <c r="F9" s="22" t="n">
        <v>2705</v>
      </c>
      <c r="G9" s="22" t="n">
        <v>2705</v>
      </c>
      <c r="H9" s="22" t="n">
        <v>2705</v>
      </c>
      <c r="I9" s="12" t="s">
        <v>2035</v>
      </c>
      <c r="J9" s="12" t="s">
        <v>2023</v>
      </c>
    </row>
    <row r="10" customFormat="false" ht="15" hidden="false" customHeight="false" outlineLevel="0" collapsed="false">
      <c r="A10" s="4" t="s">
        <v>2036</v>
      </c>
      <c r="B10" s="4" t="s">
        <v>2037</v>
      </c>
      <c r="C10" s="3" t="s">
        <v>2038</v>
      </c>
      <c r="D10" s="7" t="s">
        <v>2039</v>
      </c>
      <c r="E10" s="4" t="s">
        <v>2021</v>
      </c>
      <c r="F10" s="22" t="n">
        <v>718048</v>
      </c>
      <c r="G10" s="22" t="n">
        <v>718048</v>
      </c>
      <c r="H10" s="22" t="n">
        <v>718048</v>
      </c>
      <c r="I10" s="12" t="s">
        <v>2040</v>
      </c>
      <c r="J10" s="12" t="s">
        <v>2023</v>
      </c>
    </row>
    <row r="11" customFormat="false" ht="15" hidden="false" customHeight="false" outlineLevel="0" collapsed="false">
      <c r="A11" s="4" t="s">
        <v>2041</v>
      </c>
      <c r="B11" s="4" t="s">
        <v>2037</v>
      </c>
      <c r="C11" s="3" t="s">
        <v>2038</v>
      </c>
      <c r="D11" s="7" t="s">
        <v>2039</v>
      </c>
      <c r="E11" s="4" t="s">
        <v>2025</v>
      </c>
      <c r="F11" s="22" t="n">
        <v>501768</v>
      </c>
      <c r="G11" s="22" t="n">
        <v>501768</v>
      </c>
      <c r="H11" s="22" t="n">
        <v>501768</v>
      </c>
      <c r="I11" s="12" t="s">
        <v>2042</v>
      </c>
      <c r="J11" s="12" t="s">
        <v>2023</v>
      </c>
    </row>
    <row r="12" customFormat="false" ht="15" hidden="false" customHeight="false" outlineLevel="0" collapsed="false">
      <c r="A12" s="4" t="s">
        <v>2043</v>
      </c>
      <c r="B12" s="4" t="s">
        <v>2037</v>
      </c>
      <c r="C12" s="3" t="s">
        <v>2038</v>
      </c>
      <c r="D12" s="7" t="s">
        <v>2039</v>
      </c>
      <c r="E12" s="4" t="s">
        <v>2028</v>
      </c>
      <c r="F12" s="22" t="n">
        <v>487008</v>
      </c>
      <c r="G12" s="22" t="n">
        <v>487008</v>
      </c>
      <c r="H12" s="22" t="n">
        <v>487008</v>
      </c>
      <c r="I12" s="12" t="s">
        <v>2044</v>
      </c>
      <c r="J12" s="12" t="s">
        <v>2023</v>
      </c>
    </row>
    <row r="13" customFormat="false" ht="15" hidden="false" customHeight="false" outlineLevel="0" collapsed="false">
      <c r="A13" s="4" t="s">
        <v>2045</v>
      </c>
      <c r="B13" s="4" t="s">
        <v>2037</v>
      </c>
      <c r="C13" s="3" t="s">
        <v>2038</v>
      </c>
      <c r="D13" s="7" t="s">
        <v>2039</v>
      </c>
      <c r="E13" s="4" t="s">
        <v>2031</v>
      </c>
      <c r="F13" s="22" t="n">
        <v>291744</v>
      </c>
      <c r="G13" s="22" t="n">
        <v>291744</v>
      </c>
      <c r="H13" s="22" t="n">
        <v>291744</v>
      </c>
      <c r="I13" s="12" t="s">
        <v>2046</v>
      </c>
      <c r="J13" s="12" t="s">
        <v>2023</v>
      </c>
    </row>
    <row r="14" customFormat="false" ht="15" hidden="false" customHeight="false" outlineLevel="0" collapsed="false">
      <c r="A14" s="4" t="s">
        <v>2047</v>
      </c>
      <c r="B14" s="4" t="s">
        <v>2037</v>
      </c>
      <c r="C14" s="3" t="s">
        <v>2038</v>
      </c>
      <c r="D14" s="7" t="s">
        <v>2039</v>
      </c>
      <c r="E14" s="4" t="s">
        <v>2034</v>
      </c>
      <c r="F14" s="22" t="n">
        <v>194760</v>
      </c>
      <c r="G14" s="22" t="n">
        <v>194760</v>
      </c>
      <c r="H14" s="22" t="n">
        <v>194760</v>
      </c>
      <c r="I14" s="12" t="s">
        <v>2048</v>
      </c>
      <c r="J14" s="12" t="s">
        <v>2023</v>
      </c>
    </row>
    <row r="15" customFormat="false" ht="15" hidden="false" customHeight="false" outlineLevel="0" collapsed="false">
      <c r="A15" s="4" t="s">
        <v>2049</v>
      </c>
      <c r="B15" s="4" t="s">
        <v>2050</v>
      </c>
      <c r="C15" s="3" t="s">
        <v>2051</v>
      </c>
      <c r="D15" s="12" t="s">
        <v>2052</v>
      </c>
      <c r="E15" s="4" t="s">
        <v>2021</v>
      </c>
      <c r="F15" s="115" t="n">
        <v>1.1</v>
      </c>
      <c r="G15" s="115" t="n">
        <v>1.2</v>
      </c>
      <c r="H15" s="115" t="n">
        <v>1.3</v>
      </c>
      <c r="I15" s="12" t="s">
        <v>2053</v>
      </c>
      <c r="J15" s="12" t="s">
        <v>2023</v>
      </c>
    </row>
    <row r="16" customFormat="false" ht="15" hidden="false" customHeight="false" outlineLevel="0" collapsed="false">
      <c r="A16" s="4" t="s">
        <v>2054</v>
      </c>
      <c r="B16" s="4" t="s">
        <v>2050</v>
      </c>
      <c r="C16" s="3" t="s">
        <v>2051</v>
      </c>
      <c r="D16" s="12" t="s">
        <v>2052</v>
      </c>
      <c r="E16" s="4" t="s">
        <v>2025</v>
      </c>
      <c r="F16" s="115" t="n">
        <v>1.1</v>
      </c>
      <c r="G16" s="115" t="n">
        <v>1.2</v>
      </c>
      <c r="H16" s="115" t="n">
        <v>1.3</v>
      </c>
      <c r="I16" s="12" t="s">
        <v>2055</v>
      </c>
      <c r="J16" s="12" t="s">
        <v>2023</v>
      </c>
    </row>
    <row r="17" customFormat="false" ht="15" hidden="false" customHeight="false" outlineLevel="0" collapsed="false">
      <c r="A17" s="4" t="s">
        <v>2056</v>
      </c>
      <c r="B17" s="4" t="s">
        <v>2050</v>
      </c>
      <c r="C17" s="3" t="s">
        <v>2051</v>
      </c>
      <c r="D17" s="12" t="s">
        <v>2052</v>
      </c>
      <c r="E17" s="4" t="s">
        <v>2028</v>
      </c>
      <c r="F17" s="115" t="n">
        <v>1.1</v>
      </c>
      <c r="G17" s="115" t="n">
        <v>1.2</v>
      </c>
      <c r="H17" s="115" t="n">
        <v>1.3</v>
      </c>
      <c r="I17" s="12" t="s">
        <v>2057</v>
      </c>
      <c r="J17" s="12" t="s">
        <v>2023</v>
      </c>
    </row>
    <row r="18" customFormat="false" ht="15" hidden="false" customHeight="false" outlineLevel="0" collapsed="false">
      <c r="A18" s="4" t="s">
        <v>2058</v>
      </c>
      <c r="B18" s="4" t="s">
        <v>2050</v>
      </c>
      <c r="C18" s="3" t="s">
        <v>2051</v>
      </c>
      <c r="D18" s="12" t="s">
        <v>2052</v>
      </c>
      <c r="E18" s="4" t="s">
        <v>2031</v>
      </c>
      <c r="F18" s="115" t="n">
        <v>1.1</v>
      </c>
      <c r="G18" s="115" t="n">
        <v>1.2</v>
      </c>
      <c r="H18" s="115" t="n">
        <v>1.3</v>
      </c>
      <c r="I18" s="12" t="s">
        <v>2059</v>
      </c>
      <c r="J18" s="12" t="s">
        <v>2023</v>
      </c>
    </row>
    <row r="19" customFormat="false" ht="15" hidden="false" customHeight="false" outlineLevel="0" collapsed="false">
      <c r="A19" s="4" t="s">
        <v>2060</v>
      </c>
      <c r="B19" s="4" t="s">
        <v>2050</v>
      </c>
      <c r="C19" s="3" t="s">
        <v>2051</v>
      </c>
      <c r="D19" s="12" t="s">
        <v>2052</v>
      </c>
      <c r="E19" s="4" t="s">
        <v>2034</v>
      </c>
      <c r="F19" s="115" t="n">
        <v>1.1</v>
      </c>
      <c r="G19" s="115" t="n">
        <v>1.2</v>
      </c>
      <c r="H19" s="115" t="n">
        <v>1.3</v>
      </c>
      <c r="I19" s="12" t="s">
        <v>2061</v>
      </c>
      <c r="J19" s="12" t="s">
        <v>2023</v>
      </c>
    </row>
    <row r="20" customFormat="false" ht="15" hidden="false" customHeight="false" outlineLevel="0" collapsed="false">
      <c r="A20" s="4" t="s">
        <v>2062</v>
      </c>
      <c r="B20" s="4" t="s">
        <v>2063</v>
      </c>
      <c r="C20" s="3" t="s">
        <v>2064</v>
      </c>
      <c r="D20" s="12" t="s">
        <v>2065</v>
      </c>
      <c r="E20" s="4" t="s">
        <v>2021</v>
      </c>
      <c r="F20" s="115" t="n">
        <v>21.4202694</v>
      </c>
      <c r="G20" s="115" t="n">
        <v>27.510214</v>
      </c>
      <c r="H20" s="115" t="n">
        <v>34.1207434</v>
      </c>
      <c r="I20" s="12" t="s">
        <v>2066</v>
      </c>
      <c r="J20" s="12" t="s">
        <v>2023</v>
      </c>
    </row>
    <row r="21" customFormat="false" ht="15" hidden="false" customHeight="false" outlineLevel="0" collapsed="false">
      <c r="A21" s="4" t="s">
        <v>2067</v>
      </c>
      <c r="B21" s="4" t="s">
        <v>2063</v>
      </c>
      <c r="C21" s="3" t="s">
        <v>2064</v>
      </c>
      <c r="D21" s="12" t="s">
        <v>2065</v>
      </c>
      <c r="E21" s="4" t="s">
        <v>2025</v>
      </c>
      <c r="F21" s="115" t="n">
        <v>20.6393904</v>
      </c>
      <c r="G21" s="115" t="n">
        <v>24.015174</v>
      </c>
      <c r="H21" s="115" t="n">
        <v>27.6502044</v>
      </c>
      <c r="I21" s="12" t="s">
        <v>2068</v>
      </c>
      <c r="J21" s="12" t="s">
        <v>2023</v>
      </c>
    </row>
    <row r="22" customFormat="false" ht="15" hidden="false" customHeight="false" outlineLevel="0" collapsed="false">
      <c r="A22" s="4" t="s">
        <v>2069</v>
      </c>
      <c r="B22" s="4" t="s">
        <v>2063</v>
      </c>
      <c r="C22" s="3" t="s">
        <v>2064</v>
      </c>
      <c r="D22" s="12" t="s">
        <v>2065</v>
      </c>
      <c r="E22" s="4" t="s">
        <v>2028</v>
      </c>
      <c r="F22" s="115" t="n">
        <v>28.5549024</v>
      </c>
      <c r="G22" s="115" t="n">
        <v>37.445504</v>
      </c>
      <c r="H22" s="115" t="n">
        <v>50.9505064</v>
      </c>
      <c r="I22" s="12" t="s">
        <v>2070</v>
      </c>
      <c r="J22" s="12" t="s">
        <v>2023</v>
      </c>
    </row>
    <row r="23" customFormat="false" ht="15" hidden="false" customHeight="false" outlineLevel="0" collapsed="false">
      <c r="A23" s="4" t="s">
        <v>2071</v>
      </c>
      <c r="B23" s="4" t="s">
        <v>2063</v>
      </c>
      <c r="C23" s="3" t="s">
        <v>2064</v>
      </c>
      <c r="D23" s="12" t="s">
        <v>2065</v>
      </c>
      <c r="E23" s="4" t="s">
        <v>2031</v>
      </c>
      <c r="F23" s="115" t="n">
        <v>33.2734032</v>
      </c>
      <c r="G23" s="115" t="n">
        <v>37.586352</v>
      </c>
      <c r="H23" s="115" t="n">
        <v>42.6375752</v>
      </c>
      <c r="I23" s="12" t="s">
        <v>2072</v>
      </c>
      <c r="J23" s="12" t="s">
        <v>2023</v>
      </c>
    </row>
    <row r="24" customFormat="false" ht="15" hidden="false" customHeight="false" outlineLevel="0" collapsed="false">
      <c r="A24" s="4" t="s">
        <v>2073</v>
      </c>
      <c r="B24" s="4" t="s">
        <v>2063</v>
      </c>
      <c r="C24" s="3" t="s">
        <v>2064</v>
      </c>
      <c r="D24" s="12" t="s">
        <v>2065</v>
      </c>
      <c r="E24" s="4" t="s">
        <v>2034</v>
      </c>
      <c r="F24" s="115" t="n">
        <v>35.845578</v>
      </c>
      <c r="G24" s="115" t="n">
        <v>50.08578</v>
      </c>
      <c r="H24" s="115" t="n">
        <v>65.481558</v>
      </c>
      <c r="I24" s="12" t="s">
        <v>2074</v>
      </c>
      <c r="J24" s="12" t="s">
        <v>2023</v>
      </c>
    </row>
    <row r="25" customFormat="false" ht="15" hidden="false" customHeight="false" outlineLevel="0" collapsed="false">
      <c r="A25" s="4" t="s">
        <v>2075</v>
      </c>
      <c r="B25" s="4" t="s">
        <v>2076</v>
      </c>
      <c r="C25" s="3" t="s">
        <v>2077</v>
      </c>
      <c r="D25" s="12" t="s">
        <v>2065</v>
      </c>
      <c r="E25" s="4" t="s">
        <v>2021</v>
      </c>
      <c r="F25" s="115" t="n">
        <v>10.212</v>
      </c>
      <c r="G25" s="115" t="n">
        <v>12.67</v>
      </c>
      <c r="H25" s="115" t="n">
        <v>16.186</v>
      </c>
      <c r="I25" s="12" t="s">
        <v>2078</v>
      </c>
      <c r="J25" s="12" t="s">
        <v>2023</v>
      </c>
    </row>
    <row r="26" customFormat="false" ht="15" hidden="false" customHeight="false" outlineLevel="0" collapsed="false">
      <c r="A26" s="4" t="s">
        <v>2079</v>
      </c>
      <c r="B26" s="4" t="s">
        <v>2076</v>
      </c>
      <c r="C26" s="3" t="s">
        <v>2077</v>
      </c>
      <c r="D26" s="12" t="s">
        <v>2065</v>
      </c>
      <c r="E26" s="4" t="s">
        <v>2025</v>
      </c>
      <c r="F26" s="115" t="n">
        <v>10.212</v>
      </c>
      <c r="G26" s="115" t="n">
        <v>12.67</v>
      </c>
      <c r="H26" s="115" t="n">
        <v>16.186</v>
      </c>
      <c r="I26" s="12" t="s">
        <v>2080</v>
      </c>
      <c r="J26" s="12" t="s">
        <v>2023</v>
      </c>
    </row>
    <row r="27" customFormat="false" ht="15" hidden="false" customHeight="false" outlineLevel="0" collapsed="false">
      <c r="A27" s="4" t="s">
        <v>2081</v>
      </c>
      <c r="B27" s="4" t="s">
        <v>2076</v>
      </c>
      <c r="C27" s="3" t="s">
        <v>2077</v>
      </c>
      <c r="D27" s="12" t="s">
        <v>2065</v>
      </c>
      <c r="E27" s="4" t="s">
        <v>2028</v>
      </c>
      <c r="F27" s="115" t="n">
        <v>10.212</v>
      </c>
      <c r="G27" s="115" t="n">
        <v>12.67</v>
      </c>
      <c r="H27" s="115" t="n">
        <v>16.186</v>
      </c>
      <c r="I27" s="12" t="s">
        <v>2082</v>
      </c>
      <c r="J27" s="12" t="s">
        <v>2023</v>
      </c>
    </row>
    <row r="28" customFormat="false" ht="15" hidden="false" customHeight="false" outlineLevel="0" collapsed="false">
      <c r="A28" s="4" t="s">
        <v>2083</v>
      </c>
      <c r="B28" s="4" t="s">
        <v>2076</v>
      </c>
      <c r="C28" s="3" t="s">
        <v>2077</v>
      </c>
      <c r="D28" s="12" t="s">
        <v>2065</v>
      </c>
      <c r="E28" s="4" t="s">
        <v>2031</v>
      </c>
      <c r="F28" s="115" t="n">
        <v>10.212</v>
      </c>
      <c r="G28" s="115" t="n">
        <v>12.67</v>
      </c>
      <c r="H28" s="115" t="n">
        <v>16.186</v>
      </c>
      <c r="I28" s="12" t="s">
        <v>2084</v>
      </c>
      <c r="J28" s="12" t="s">
        <v>2023</v>
      </c>
    </row>
    <row r="29" customFormat="false" ht="15" hidden="false" customHeight="false" outlineLevel="0" collapsed="false">
      <c r="A29" s="4" t="s">
        <v>2085</v>
      </c>
      <c r="B29" s="4" t="s">
        <v>2076</v>
      </c>
      <c r="C29" s="3" t="s">
        <v>2077</v>
      </c>
      <c r="D29" s="12" t="s">
        <v>2065</v>
      </c>
      <c r="E29" s="4" t="s">
        <v>2034</v>
      </c>
      <c r="F29" s="115" t="n">
        <v>10.212</v>
      </c>
      <c r="G29" s="115" t="n">
        <v>12.67</v>
      </c>
      <c r="H29" s="115" t="n">
        <v>16.186</v>
      </c>
      <c r="I29" s="12" t="s">
        <v>2086</v>
      </c>
      <c r="J29" s="12" t="s">
        <v>2023</v>
      </c>
    </row>
    <row r="30" customFormat="false" ht="15" hidden="false" customHeight="false" outlineLevel="0" collapsed="false">
      <c r="A30" s="4" t="s">
        <v>2087</v>
      </c>
      <c r="B30" s="4" t="s">
        <v>2088</v>
      </c>
      <c r="C30" s="3" t="s">
        <v>2089</v>
      </c>
      <c r="D30" s="12" t="s">
        <v>2065</v>
      </c>
      <c r="E30" s="4" t="s">
        <v>2021</v>
      </c>
      <c r="F30" s="115" t="n">
        <v>31.6322694</v>
      </c>
      <c r="G30" s="115" t="n">
        <v>40.180214</v>
      </c>
      <c r="H30" s="115" t="n">
        <v>50.3067434</v>
      </c>
      <c r="I30" s="12" t="s">
        <v>2090</v>
      </c>
      <c r="J30" s="12" t="s">
        <v>2023</v>
      </c>
    </row>
    <row r="31" customFormat="false" ht="15" hidden="false" customHeight="false" outlineLevel="0" collapsed="false">
      <c r="A31" s="4" t="s">
        <v>2091</v>
      </c>
      <c r="B31" s="4" t="s">
        <v>2088</v>
      </c>
      <c r="C31" s="3" t="s">
        <v>2089</v>
      </c>
      <c r="D31" s="12" t="s">
        <v>2065</v>
      </c>
      <c r="E31" s="4" t="s">
        <v>2025</v>
      </c>
      <c r="F31" s="115" t="n">
        <v>30.8513904</v>
      </c>
      <c r="G31" s="115" t="n">
        <v>36.685174</v>
      </c>
      <c r="H31" s="115" t="n">
        <v>43.8362044</v>
      </c>
      <c r="I31" s="12" t="s">
        <v>2092</v>
      </c>
      <c r="J31" s="12" t="s">
        <v>2023</v>
      </c>
    </row>
    <row r="32" customFormat="false" ht="15" hidden="false" customHeight="false" outlineLevel="0" collapsed="false">
      <c r="A32" s="4" t="s">
        <v>2093</v>
      </c>
      <c r="B32" s="4" t="s">
        <v>2088</v>
      </c>
      <c r="C32" s="3" t="s">
        <v>2089</v>
      </c>
      <c r="D32" s="12" t="s">
        <v>2065</v>
      </c>
      <c r="E32" s="4" t="s">
        <v>2028</v>
      </c>
      <c r="F32" s="115" t="n">
        <v>38.7669024</v>
      </c>
      <c r="G32" s="115" t="n">
        <v>50.115504</v>
      </c>
      <c r="H32" s="115" t="n">
        <v>67.1365064</v>
      </c>
      <c r="I32" s="12" t="s">
        <v>2094</v>
      </c>
      <c r="J32" s="12" t="s">
        <v>2023</v>
      </c>
    </row>
    <row r="33" customFormat="false" ht="15" hidden="false" customHeight="false" outlineLevel="0" collapsed="false">
      <c r="A33" s="4" t="s">
        <v>2095</v>
      </c>
      <c r="B33" s="4" t="s">
        <v>2088</v>
      </c>
      <c r="C33" s="3" t="s">
        <v>2089</v>
      </c>
      <c r="D33" s="12" t="s">
        <v>2065</v>
      </c>
      <c r="E33" s="4" t="s">
        <v>2031</v>
      </c>
      <c r="F33" s="115" t="n">
        <v>43.4854032</v>
      </c>
      <c r="G33" s="115" t="n">
        <v>50.256352</v>
      </c>
      <c r="H33" s="115" t="n">
        <v>58.8235752</v>
      </c>
      <c r="I33" s="12" t="s">
        <v>2096</v>
      </c>
      <c r="J33" s="12" t="s">
        <v>2023</v>
      </c>
    </row>
    <row r="34" customFormat="false" ht="15" hidden="false" customHeight="false" outlineLevel="0" collapsed="false">
      <c r="A34" s="4" t="s">
        <v>2097</v>
      </c>
      <c r="B34" s="4" t="s">
        <v>2088</v>
      </c>
      <c r="C34" s="3" t="s">
        <v>2089</v>
      </c>
      <c r="D34" s="12" t="s">
        <v>2065</v>
      </c>
      <c r="E34" s="4" t="s">
        <v>2034</v>
      </c>
      <c r="F34" s="115" t="n">
        <v>46.057578</v>
      </c>
      <c r="G34" s="115" t="n">
        <v>62.75578</v>
      </c>
      <c r="H34" s="115" t="n">
        <v>81.667558</v>
      </c>
      <c r="I34" s="12" t="s">
        <v>2098</v>
      </c>
      <c r="J34" s="12" t="s">
        <v>2023</v>
      </c>
    </row>
    <row r="35" customFormat="false" ht="15" hidden="false" customHeight="false" outlineLevel="0" collapsed="false">
      <c r="A35" s="4" t="s">
        <v>2099</v>
      </c>
      <c r="B35" s="4" t="s">
        <v>2100</v>
      </c>
      <c r="C35" s="3" t="s">
        <v>2101</v>
      </c>
      <c r="D35" s="12" t="s">
        <v>2102</v>
      </c>
      <c r="E35" s="4" t="s">
        <v>2021</v>
      </c>
      <c r="F35" s="115" t="n">
        <v>5.39897242953333</v>
      </c>
      <c r="G35" s="115" t="n">
        <v>7.49682782333333</v>
      </c>
      <c r="H35" s="115" t="n">
        <v>12.9492728665333</v>
      </c>
      <c r="I35" s="12" t="s">
        <v>2103</v>
      </c>
      <c r="J35" s="12" t="s">
        <v>2023</v>
      </c>
    </row>
    <row r="36" customFormat="false" ht="15" hidden="false" customHeight="false" outlineLevel="0" collapsed="false">
      <c r="A36" s="4" t="s">
        <v>2104</v>
      </c>
      <c r="B36" s="4" t="s">
        <v>2100</v>
      </c>
      <c r="C36" s="3" t="s">
        <v>2101</v>
      </c>
      <c r="D36" s="12" t="s">
        <v>2102</v>
      </c>
      <c r="E36" s="4" t="s">
        <v>2025</v>
      </c>
      <c r="F36" s="115" t="n">
        <v>5.25086571253333</v>
      </c>
      <c r="G36" s="115" t="n">
        <v>6.79199475666667</v>
      </c>
      <c r="H36" s="115" t="n">
        <v>11.0210522445333</v>
      </c>
      <c r="I36" s="12" t="s">
        <v>2105</v>
      </c>
      <c r="J36" s="12" t="s">
        <v>2023</v>
      </c>
    </row>
    <row r="37" customFormat="false" ht="15" hidden="false" customHeight="false" outlineLevel="0" collapsed="false">
      <c r="A37" s="4" t="s">
        <v>2106</v>
      </c>
      <c r="B37" s="4" t="s">
        <v>2100</v>
      </c>
      <c r="C37" s="3" t="s">
        <v>2101</v>
      </c>
      <c r="D37" s="12" t="s">
        <v>2102</v>
      </c>
      <c r="E37" s="4" t="s">
        <v>2028</v>
      </c>
      <c r="F37" s="115" t="n">
        <v>6.75217448853333</v>
      </c>
      <c r="G37" s="115" t="n">
        <v>9.50044464</v>
      </c>
      <c r="H37" s="115" t="n">
        <v>17.9645422405333</v>
      </c>
      <c r="I37" s="12" t="s">
        <v>2107</v>
      </c>
      <c r="J37" s="12" t="s">
        <v>2023</v>
      </c>
    </row>
    <row r="38" customFormat="false" ht="15" hidden="false" customHeight="false" outlineLevel="0" collapsed="false">
      <c r="A38" s="4" t="s">
        <v>2108</v>
      </c>
      <c r="B38" s="4" t="s">
        <v>2100</v>
      </c>
      <c r="C38" s="3" t="s">
        <v>2101</v>
      </c>
      <c r="D38" s="12" t="s">
        <v>2102</v>
      </c>
      <c r="E38" s="4" t="s">
        <v>2031</v>
      </c>
      <c r="F38" s="115" t="n">
        <v>7.64711680693333</v>
      </c>
      <c r="G38" s="115" t="n">
        <v>9.52884898666667</v>
      </c>
      <c r="H38" s="115" t="n">
        <v>15.4872887429333</v>
      </c>
      <c r="I38" s="12" t="s">
        <v>2109</v>
      </c>
      <c r="J38" s="12" t="s">
        <v>2023</v>
      </c>
    </row>
    <row r="39" customFormat="false" ht="15" hidden="false" customHeight="false" outlineLevel="0" collapsed="false">
      <c r="A39" s="4" t="s">
        <v>2110</v>
      </c>
      <c r="B39" s="4" t="s">
        <v>2100</v>
      </c>
      <c r="C39" s="3" t="s">
        <v>2101</v>
      </c>
      <c r="D39" s="12" t="s">
        <v>2102</v>
      </c>
      <c r="E39" s="4" t="s">
        <v>2034</v>
      </c>
      <c r="F39" s="115" t="n">
        <v>8.13497262733334</v>
      </c>
      <c r="G39" s="115" t="n">
        <v>12.0495669666667</v>
      </c>
      <c r="H39" s="115" t="n">
        <v>22.2947956173333</v>
      </c>
      <c r="I39" s="12" t="s">
        <v>2111</v>
      </c>
      <c r="J39" s="12" t="s">
        <v>2023</v>
      </c>
    </row>
    <row r="40" customFormat="false" ht="15" hidden="false" customHeight="false" outlineLevel="0" collapsed="false">
      <c r="A40" s="4" t="s">
        <v>2112</v>
      </c>
      <c r="B40" s="4" t="s">
        <v>2113</v>
      </c>
      <c r="C40" s="3" t="s">
        <v>2114</v>
      </c>
      <c r="D40" s="12" t="s">
        <v>2102</v>
      </c>
      <c r="E40" s="4" t="s">
        <v>2021</v>
      </c>
      <c r="F40" s="115" t="n">
        <v>7.0000433103819</v>
      </c>
      <c r="G40" s="115" t="n">
        <v>10.0957952959174</v>
      </c>
      <c r="H40" s="115" t="n">
        <v>17.4059720636914</v>
      </c>
      <c r="I40" s="12" t="s">
        <v>2115</v>
      </c>
      <c r="J40" s="12" t="s">
        <v>2023</v>
      </c>
    </row>
    <row r="41" customFormat="false" ht="15" hidden="false" customHeight="false" outlineLevel="0" collapsed="false">
      <c r="A41" s="4" t="s">
        <v>2116</v>
      </c>
      <c r="B41" s="4" t="s">
        <v>2113</v>
      </c>
      <c r="C41" s="3" t="s">
        <v>2114</v>
      </c>
      <c r="D41" s="12" t="s">
        <v>2102</v>
      </c>
      <c r="E41" s="4" t="s">
        <v>2025</v>
      </c>
      <c r="F41" s="115" t="n">
        <v>6.81316695089878</v>
      </c>
      <c r="G41" s="115" t="n">
        <v>9.17098191725462</v>
      </c>
      <c r="H41" s="115" t="n">
        <v>14.9200285257983</v>
      </c>
      <c r="I41" s="12" t="s">
        <v>2117</v>
      </c>
      <c r="J41" s="12" t="s">
        <v>2023</v>
      </c>
    </row>
    <row r="42" customFormat="false" ht="15" hidden="false" customHeight="false" outlineLevel="0" collapsed="false">
      <c r="A42" s="4" t="s">
        <v>2118</v>
      </c>
      <c r="B42" s="4" t="s">
        <v>2113</v>
      </c>
      <c r="C42" s="3" t="s">
        <v>2114</v>
      </c>
      <c r="D42" s="12" t="s">
        <v>2102</v>
      </c>
      <c r="E42" s="4" t="s">
        <v>2028</v>
      </c>
      <c r="F42" s="115" t="n">
        <v>8.70747076237914</v>
      </c>
      <c r="G42" s="115" t="n">
        <v>12.7247463559608</v>
      </c>
      <c r="H42" s="115" t="n">
        <v>23.87186935202</v>
      </c>
      <c r="I42" s="12" t="s">
        <v>2119</v>
      </c>
      <c r="J42" s="12" t="s">
        <v>2023</v>
      </c>
    </row>
    <row r="43" customFormat="false" ht="15" hidden="false" customHeight="false" outlineLevel="0" collapsed="false">
      <c r="A43" s="4" t="s">
        <v>2120</v>
      </c>
      <c r="B43" s="4" t="s">
        <v>2113</v>
      </c>
      <c r="C43" s="3" t="s">
        <v>2114</v>
      </c>
      <c r="D43" s="12" t="s">
        <v>2102</v>
      </c>
      <c r="E43" s="4" t="s">
        <v>2031</v>
      </c>
      <c r="F43" s="115" t="n">
        <v>9.83668060375303</v>
      </c>
      <c r="G43" s="115" t="n">
        <v>12.7620157762701</v>
      </c>
      <c r="H43" s="115" t="n">
        <v>20.6780894215396</v>
      </c>
      <c r="I43" s="12" t="s">
        <v>2121</v>
      </c>
      <c r="J43" s="12" t="s">
        <v>2023</v>
      </c>
    </row>
    <row r="44" customFormat="false" ht="15" hidden="false" customHeight="false" outlineLevel="0" collapsed="false">
      <c r="A44" s="4" t="s">
        <v>2122</v>
      </c>
      <c r="B44" s="4" t="s">
        <v>2113</v>
      </c>
      <c r="C44" s="3" t="s">
        <v>2114</v>
      </c>
      <c r="D44" s="12" t="s">
        <v>2102</v>
      </c>
      <c r="E44" s="4" t="s">
        <v>2034</v>
      </c>
      <c r="F44" s="115" t="n">
        <v>10.4522416094636</v>
      </c>
      <c r="G44" s="115" t="n">
        <v>16.0694566753819</v>
      </c>
      <c r="H44" s="115" t="n">
        <v>29.454615058956</v>
      </c>
      <c r="I44" s="12" t="s">
        <v>2123</v>
      </c>
      <c r="J44" s="12" t="s">
        <v>2023</v>
      </c>
    </row>
    <row r="45" customFormat="false" ht="15" hidden="false" customHeight="false" outlineLevel="0" collapsed="false">
      <c r="A45" s="4" t="s">
        <v>2124</v>
      </c>
      <c r="B45" s="4" t="s">
        <v>2125</v>
      </c>
      <c r="C45" s="3" t="s">
        <v>2126</v>
      </c>
      <c r="D45" s="12" t="s">
        <v>2127</v>
      </c>
      <c r="E45" s="4" t="s">
        <v>2021</v>
      </c>
      <c r="F45" s="115" t="n">
        <v>1.11286669150028</v>
      </c>
      <c r="G45" s="115" t="n">
        <v>1.60502925637165</v>
      </c>
      <c r="H45" s="115" t="n">
        <v>2.76720095633376</v>
      </c>
      <c r="I45" s="12" t="s">
        <v>2128</v>
      </c>
      <c r="J45" s="12" t="s">
        <v>2023</v>
      </c>
    </row>
    <row r="46" customFormat="false" ht="15" hidden="false" customHeight="false" outlineLevel="0" collapsed="false">
      <c r="A46" s="4" t="s">
        <v>2129</v>
      </c>
      <c r="B46" s="4" t="s">
        <v>2125</v>
      </c>
      <c r="C46" s="3" t="s">
        <v>2126</v>
      </c>
      <c r="D46" s="12" t="s">
        <v>2127</v>
      </c>
      <c r="E46" s="4" t="s">
        <v>2025</v>
      </c>
      <c r="F46" s="115" t="n">
        <v>1.55003663914234</v>
      </c>
      <c r="G46" s="115" t="n">
        <v>2.08645378736555</v>
      </c>
      <c r="H46" s="115" t="n">
        <v>3.39439662035368</v>
      </c>
      <c r="I46" s="12" t="s">
        <v>2130</v>
      </c>
      <c r="J46" s="12" t="s">
        <v>2023</v>
      </c>
    </row>
    <row r="47" customFormat="false" ht="15" hidden="false" customHeight="false" outlineLevel="0" collapsed="false">
      <c r="A47" s="4" t="s">
        <v>2131</v>
      </c>
      <c r="B47" s="4" t="s">
        <v>2125</v>
      </c>
      <c r="C47" s="3" t="s">
        <v>2126</v>
      </c>
      <c r="D47" s="12" t="s">
        <v>2127</v>
      </c>
      <c r="E47" s="4" t="s">
        <v>2028</v>
      </c>
      <c r="F47" s="115" t="n">
        <v>2.04104144426194</v>
      </c>
      <c r="G47" s="115" t="n">
        <v>2.98269559427618</v>
      </c>
      <c r="H47" s="115" t="n">
        <v>5.59559440727497</v>
      </c>
      <c r="I47" s="12" t="s">
        <v>2132</v>
      </c>
      <c r="J47" s="12" t="s">
        <v>2023</v>
      </c>
    </row>
    <row r="48" customFormat="false" ht="15" hidden="false" customHeight="false" outlineLevel="0" collapsed="false">
      <c r="A48" s="4" t="s">
        <v>2133</v>
      </c>
      <c r="B48" s="4" t="s">
        <v>2125</v>
      </c>
      <c r="C48" s="3" t="s">
        <v>2126</v>
      </c>
      <c r="D48" s="12" t="s">
        <v>2127</v>
      </c>
      <c r="E48" s="4" t="s">
        <v>2031</v>
      </c>
      <c r="F48" s="115" t="n">
        <v>3.84895231682799</v>
      </c>
      <c r="G48" s="115" t="n">
        <v>4.99359409623699</v>
      </c>
      <c r="H48" s="115" t="n">
        <v>8.09104040200768</v>
      </c>
      <c r="I48" s="12" t="s">
        <v>2134</v>
      </c>
      <c r="J48" s="12" t="s">
        <v>2023</v>
      </c>
    </row>
    <row r="49" customFormat="false" ht="15" hidden="false" customHeight="false" outlineLevel="0" collapsed="false">
      <c r="A49" s="4" t="s">
        <v>2135</v>
      </c>
      <c r="B49" s="4" t="s">
        <v>2125</v>
      </c>
      <c r="C49" s="3" t="s">
        <v>2126</v>
      </c>
      <c r="D49" s="12" t="s">
        <v>2127</v>
      </c>
      <c r="E49" s="4" t="s">
        <v>2034</v>
      </c>
      <c r="F49" s="115" t="n">
        <v>6.12640309057557</v>
      </c>
      <c r="G49" s="115" t="n">
        <v>9.41883786448199</v>
      </c>
      <c r="H49" s="115" t="n">
        <v>17.2643200828347</v>
      </c>
      <c r="I49" s="12" t="s">
        <v>2136</v>
      </c>
      <c r="J49" s="12" t="s">
        <v>2023</v>
      </c>
    </row>
    <row r="50" customFormat="false" ht="15" hidden="false" customHeight="false" outlineLevel="0" collapsed="false">
      <c r="A50" s="4" t="s">
        <v>2137</v>
      </c>
      <c r="B50" s="4" t="s">
        <v>2138</v>
      </c>
      <c r="C50" s="3" t="s">
        <v>2139</v>
      </c>
      <c r="D50" s="12" t="s">
        <v>2102</v>
      </c>
      <c r="E50" s="4" t="s">
        <v>2021</v>
      </c>
      <c r="F50" s="115" t="n">
        <v>0.404712</v>
      </c>
      <c r="G50" s="115" t="n">
        <v>0.672768</v>
      </c>
      <c r="H50" s="115" t="n">
        <v>1.02492</v>
      </c>
      <c r="I50" s="12" t="s">
        <v>2140</v>
      </c>
      <c r="J50" s="12" t="s">
        <v>2023</v>
      </c>
    </row>
    <row r="51" customFormat="false" ht="15" hidden="false" customHeight="false" outlineLevel="0" collapsed="false">
      <c r="A51" s="4" t="s">
        <v>2141</v>
      </c>
      <c r="B51" s="4" t="s">
        <v>2138</v>
      </c>
      <c r="C51" s="3" t="s">
        <v>2139</v>
      </c>
      <c r="D51" s="12" t="s">
        <v>2102</v>
      </c>
      <c r="E51" s="4" t="s">
        <v>2025</v>
      </c>
      <c r="F51" s="115" t="n">
        <v>0.404712</v>
      </c>
      <c r="G51" s="115" t="n">
        <v>0.672768</v>
      </c>
      <c r="H51" s="115" t="n">
        <v>1.02492</v>
      </c>
      <c r="I51" s="12" t="s">
        <v>2142</v>
      </c>
      <c r="J51" s="12" t="s">
        <v>2023</v>
      </c>
    </row>
    <row r="52" customFormat="false" ht="15" hidden="false" customHeight="false" outlineLevel="0" collapsed="false">
      <c r="A52" s="4" t="s">
        <v>2143</v>
      </c>
      <c r="B52" s="4" t="s">
        <v>2138</v>
      </c>
      <c r="C52" s="3" t="s">
        <v>2139</v>
      </c>
      <c r="D52" s="12" t="s">
        <v>2102</v>
      </c>
      <c r="E52" s="4" t="s">
        <v>2028</v>
      </c>
      <c r="F52" s="115" t="n">
        <v>0.404712</v>
      </c>
      <c r="G52" s="115" t="n">
        <v>0.672768</v>
      </c>
      <c r="H52" s="115" t="n">
        <v>1.02492</v>
      </c>
      <c r="I52" s="12" t="s">
        <v>2144</v>
      </c>
      <c r="J52" s="12" t="s">
        <v>2023</v>
      </c>
    </row>
    <row r="53" customFormat="false" ht="15" hidden="false" customHeight="false" outlineLevel="0" collapsed="false">
      <c r="A53" s="4" t="s">
        <v>2145</v>
      </c>
      <c r="B53" s="4" t="s">
        <v>2138</v>
      </c>
      <c r="C53" s="3" t="s">
        <v>2139</v>
      </c>
      <c r="D53" s="12" t="s">
        <v>2102</v>
      </c>
      <c r="E53" s="4" t="s">
        <v>2031</v>
      </c>
      <c r="F53" s="115" t="n">
        <v>0.404712</v>
      </c>
      <c r="G53" s="115" t="n">
        <v>0.672768</v>
      </c>
      <c r="H53" s="115" t="n">
        <v>1.02492</v>
      </c>
      <c r="I53" s="12" t="s">
        <v>2146</v>
      </c>
      <c r="J53" s="12" t="s">
        <v>2023</v>
      </c>
    </row>
    <row r="54" customFormat="false" ht="15" hidden="false" customHeight="false" outlineLevel="0" collapsed="false">
      <c r="A54" s="4" t="s">
        <v>2147</v>
      </c>
      <c r="B54" s="4" t="s">
        <v>2138</v>
      </c>
      <c r="C54" s="3" t="s">
        <v>2139</v>
      </c>
      <c r="D54" s="12" t="s">
        <v>2102</v>
      </c>
      <c r="E54" s="4" t="s">
        <v>2034</v>
      </c>
      <c r="F54" s="115" t="n">
        <v>0.404712</v>
      </c>
      <c r="G54" s="115" t="n">
        <v>0.672768</v>
      </c>
      <c r="H54" s="115" t="n">
        <v>1.02492</v>
      </c>
      <c r="I54" s="12" t="s">
        <v>2148</v>
      </c>
      <c r="J54" s="12" t="s">
        <v>2023</v>
      </c>
    </row>
    <row r="55" customFormat="false" ht="15" hidden="false" customHeight="false" outlineLevel="0" collapsed="false">
      <c r="A55" s="4" t="s">
        <v>2149</v>
      </c>
      <c r="B55" s="4" t="s">
        <v>2150</v>
      </c>
      <c r="C55" s="3" t="s">
        <v>2151</v>
      </c>
      <c r="D55" s="12" t="s">
        <v>77</v>
      </c>
      <c r="E55" s="4" t="s">
        <v>1578</v>
      </c>
      <c r="F55" s="116"/>
      <c r="G55" s="23" t="n">
        <v>0.6</v>
      </c>
      <c r="H55" s="116"/>
      <c r="I55" s="12" t="s">
        <v>2152</v>
      </c>
      <c r="J55" s="12" t="s">
        <v>2023</v>
      </c>
    </row>
    <row r="56" customFormat="false" ht="15" hidden="false" customHeight="false" outlineLevel="0" collapsed="false">
      <c r="A56" s="4" t="s">
        <v>2153</v>
      </c>
      <c r="B56" s="4" t="s">
        <v>2154</v>
      </c>
      <c r="C56" s="3" t="s">
        <v>2155</v>
      </c>
      <c r="D56" s="12" t="s">
        <v>2156</v>
      </c>
      <c r="E56" s="4" t="s">
        <v>1578</v>
      </c>
      <c r="F56" s="115" t="n">
        <v>10.212</v>
      </c>
      <c r="G56" s="115" t="n">
        <v>12.67</v>
      </c>
      <c r="H56" s="115" t="n">
        <v>16.186</v>
      </c>
      <c r="I56" s="12" t="s">
        <v>2157</v>
      </c>
      <c r="J56" s="12" t="s">
        <v>2023</v>
      </c>
    </row>
    <row r="57" customFormat="false" ht="15" hidden="false" customHeight="false" outlineLevel="0" collapsed="false">
      <c r="A57" s="4" t="s">
        <v>2158</v>
      </c>
      <c r="B57" s="4" t="s">
        <v>2159</v>
      </c>
      <c r="C57" s="3" t="s">
        <v>2160</v>
      </c>
      <c r="D57" s="12" t="s">
        <v>2127</v>
      </c>
      <c r="E57" s="4" t="s">
        <v>1578</v>
      </c>
      <c r="F57" s="115" t="n">
        <v>1.55003663914234</v>
      </c>
      <c r="G57" s="115" t="n">
        <v>2.08645378736555</v>
      </c>
      <c r="H57" s="115" t="n">
        <v>3.39439662035368</v>
      </c>
      <c r="I57" s="12" t="s">
        <v>2161</v>
      </c>
      <c r="J57" s="12" t="s">
        <v>2023</v>
      </c>
    </row>
    <row r="58" customFormat="false" ht="15" hidden="false" customHeight="false" outlineLevel="0" collapsed="false">
      <c r="A58" s="4" t="s">
        <v>2162</v>
      </c>
      <c r="B58" s="4" t="s">
        <v>2163</v>
      </c>
      <c r="C58" s="3" t="s">
        <v>2164</v>
      </c>
      <c r="D58" s="12" t="s">
        <v>2127</v>
      </c>
      <c r="E58" s="4" t="s">
        <v>1578</v>
      </c>
      <c r="F58" s="115" t="n">
        <v>2.04104144426194</v>
      </c>
      <c r="G58" s="115" t="n">
        <v>2.98269559427618</v>
      </c>
      <c r="H58" s="115" t="n">
        <v>5.59559440727497</v>
      </c>
      <c r="I58" s="12" t="s">
        <v>2165</v>
      </c>
      <c r="J58" s="12" t="s">
        <v>2023</v>
      </c>
    </row>
    <row r="59" customFormat="false" ht="15" hidden="false" customHeight="false" outlineLevel="0" collapsed="false">
      <c r="A59" s="4" t="s">
        <v>2166</v>
      </c>
      <c r="B59" s="4" t="s">
        <v>2167</v>
      </c>
      <c r="C59" s="4" t="s">
        <v>2168</v>
      </c>
      <c r="D59" s="12" t="s">
        <v>2169</v>
      </c>
      <c r="E59" s="4" t="s">
        <v>1578</v>
      </c>
      <c r="F59" s="115" t="n">
        <v>32.4824679759956</v>
      </c>
      <c r="G59" s="115" t="n">
        <v>48.7237019639935</v>
      </c>
      <c r="H59" s="115" t="n">
        <v>64.9649359519913</v>
      </c>
      <c r="I59" s="12" t="s">
        <v>2170</v>
      </c>
      <c r="J59" s="12" t="s">
        <v>2023</v>
      </c>
    </row>
    <row r="60" customFormat="false" ht="15" hidden="false" customHeight="false" outlineLevel="0" collapsed="false">
      <c r="A60" s="4" t="s">
        <v>2171</v>
      </c>
      <c r="B60" s="4" t="s">
        <v>2172</v>
      </c>
      <c r="C60" s="4" t="s">
        <v>2173</v>
      </c>
      <c r="D60" s="7" t="s">
        <v>378</v>
      </c>
      <c r="E60" s="4" t="s">
        <v>2021</v>
      </c>
      <c r="F60" s="115" t="n">
        <v>6</v>
      </c>
      <c r="G60" s="115" t="n">
        <v>6</v>
      </c>
      <c r="H60" s="115" t="n">
        <v>4</v>
      </c>
      <c r="I60" s="12" t="s">
        <v>2174</v>
      </c>
      <c r="J60" s="12" t="s">
        <v>2023</v>
      </c>
    </row>
    <row r="61" customFormat="false" ht="15" hidden="false" customHeight="false" outlineLevel="0" collapsed="false">
      <c r="A61" s="4" t="s">
        <v>2175</v>
      </c>
      <c r="B61" s="4" t="s">
        <v>2172</v>
      </c>
      <c r="C61" s="4" t="s">
        <v>2173</v>
      </c>
      <c r="D61" s="7" t="s">
        <v>378</v>
      </c>
      <c r="E61" s="4" t="s">
        <v>2025</v>
      </c>
      <c r="F61" s="115" t="n">
        <v>6</v>
      </c>
      <c r="G61" s="115" t="n">
        <v>6</v>
      </c>
      <c r="H61" s="115" t="n">
        <v>4</v>
      </c>
      <c r="I61" s="12" t="s">
        <v>2176</v>
      </c>
      <c r="J61" s="12" t="s">
        <v>2023</v>
      </c>
    </row>
    <row r="62" customFormat="false" ht="15" hidden="false" customHeight="false" outlineLevel="0" collapsed="false">
      <c r="A62" s="4" t="s">
        <v>2177</v>
      </c>
      <c r="B62" s="4" t="s">
        <v>2172</v>
      </c>
      <c r="C62" s="4" t="s">
        <v>2173</v>
      </c>
      <c r="D62" s="7" t="s">
        <v>378</v>
      </c>
      <c r="E62" s="4" t="s">
        <v>2028</v>
      </c>
      <c r="F62" s="115" t="n">
        <v>6</v>
      </c>
      <c r="G62" s="115" t="n">
        <v>6</v>
      </c>
      <c r="H62" s="115" t="n">
        <v>4</v>
      </c>
      <c r="I62" s="12" t="s">
        <v>2178</v>
      </c>
      <c r="J62" s="12" t="s">
        <v>2023</v>
      </c>
    </row>
    <row r="63" customFormat="false" ht="15" hidden="false" customHeight="false" outlineLevel="0" collapsed="false">
      <c r="A63" s="4" t="s">
        <v>2179</v>
      </c>
      <c r="B63" s="4" t="s">
        <v>2172</v>
      </c>
      <c r="C63" s="4" t="s">
        <v>2173</v>
      </c>
      <c r="D63" s="7" t="s">
        <v>378</v>
      </c>
      <c r="E63" s="4" t="s">
        <v>2031</v>
      </c>
      <c r="F63" s="115" t="n">
        <v>6</v>
      </c>
      <c r="G63" s="115" t="n">
        <v>6</v>
      </c>
      <c r="H63" s="115" t="n">
        <v>4</v>
      </c>
      <c r="I63" s="12" t="s">
        <v>2180</v>
      </c>
      <c r="J63" s="12" t="s">
        <v>2023</v>
      </c>
    </row>
    <row r="64" customFormat="false" ht="15" hidden="false" customHeight="false" outlineLevel="0" collapsed="false">
      <c r="A64" s="4" t="s">
        <v>2181</v>
      </c>
      <c r="B64" s="4" t="s">
        <v>2172</v>
      </c>
      <c r="C64" s="4" t="s">
        <v>2173</v>
      </c>
      <c r="D64" s="7" t="s">
        <v>378</v>
      </c>
      <c r="E64" s="4" t="s">
        <v>2034</v>
      </c>
      <c r="F64" s="115" t="n">
        <v>6</v>
      </c>
      <c r="G64" s="115" t="n">
        <v>6</v>
      </c>
      <c r="H64" s="115" t="n">
        <v>4</v>
      </c>
      <c r="I64" s="12" t="s">
        <v>2182</v>
      </c>
      <c r="J64" s="12" t="s">
        <v>2023</v>
      </c>
    </row>
    <row r="65" customFormat="false" ht="15" hidden="false" customHeight="false" outlineLevel="0" collapsed="false">
      <c r="A65" s="4" t="s">
        <v>2183</v>
      </c>
      <c r="B65" s="4" t="s">
        <v>2184</v>
      </c>
      <c r="C65" s="3" t="s">
        <v>2185</v>
      </c>
      <c r="D65" s="12" t="s">
        <v>2102</v>
      </c>
      <c r="E65" s="4" t="s">
        <v>2021</v>
      </c>
      <c r="F65" s="115" t="n">
        <v>3.5700449</v>
      </c>
      <c r="G65" s="115" t="n">
        <v>4.58503566666667</v>
      </c>
      <c r="H65" s="115" t="n">
        <v>8.53018585</v>
      </c>
      <c r="I65" s="12" t="s">
        <v>2186</v>
      </c>
      <c r="J65" s="12" t="s">
        <v>2023</v>
      </c>
    </row>
    <row r="66" customFormat="false" ht="15" hidden="false" customHeight="false" outlineLevel="0" collapsed="false">
      <c r="A66" s="4" t="s">
        <v>2187</v>
      </c>
      <c r="B66" s="4" t="s">
        <v>2184</v>
      </c>
      <c r="C66" s="3" t="s">
        <v>2185</v>
      </c>
      <c r="D66" s="12" t="s">
        <v>2102</v>
      </c>
      <c r="E66" s="4" t="s">
        <v>2025</v>
      </c>
      <c r="F66" s="115" t="n">
        <v>3.4398984</v>
      </c>
      <c r="G66" s="115" t="n">
        <v>4.002529</v>
      </c>
      <c r="H66" s="115" t="n">
        <v>6.9125511</v>
      </c>
      <c r="I66" s="12" t="s">
        <v>2188</v>
      </c>
      <c r="J66" s="12" t="s">
        <v>2023</v>
      </c>
    </row>
    <row r="67" customFormat="false" ht="15" hidden="false" customHeight="false" outlineLevel="0" collapsed="false">
      <c r="A67" s="4" t="s">
        <v>2189</v>
      </c>
      <c r="B67" s="4" t="s">
        <v>2184</v>
      </c>
      <c r="C67" s="3" t="s">
        <v>2185</v>
      </c>
      <c r="D67" s="12" t="s">
        <v>2102</v>
      </c>
      <c r="E67" s="4" t="s">
        <v>2028</v>
      </c>
      <c r="F67" s="115" t="n">
        <v>4.7591504</v>
      </c>
      <c r="G67" s="115" t="n">
        <v>6.24091733333333</v>
      </c>
      <c r="H67" s="115" t="n">
        <v>12.7376266</v>
      </c>
      <c r="I67" s="12" t="s">
        <v>2190</v>
      </c>
      <c r="J67" s="12" t="s">
        <v>2023</v>
      </c>
    </row>
    <row r="68" customFormat="false" ht="15" hidden="false" customHeight="false" outlineLevel="0" collapsed="false">
      <c r="A68" s="4" t="s">
        <v>2191</v>
      </c>
      <c r="B68" s="4" t="s">
        <v>2184</v>
      </c>
      <c r="C68" s="3" t="s">
        <v>2185</v>
      </c>
      <c r="D68" s="12" t="s">
        <v>2102</v>
      </c>
      <c r="E68" s="4" t="s">
        <v>2031</v>
      </c>
      <c r="F68" s="115" t="n">
        <v>5.5455672</v>
      </c>
      <c r="G68" s="115" t="n">
        <v>6.264392</v>
      </c>
      <c r="H68" s="115" t="n">
        <v>10.6593938</v>
      </c>
      <c r="I68" s="12" t="s">
        <v>2192</v>
      </c>
      <c r="J68" s="12" t="s">
        <v>2023</v>
      </c>
    </row>
    <row r="69" customFormat="false" ht="15" hidden="false" customHeight="false" outlineLevel="0" collapsed="false">
      <c r="A69" s="4" t="s">
        <v>2193</v>
      </c>
      <c r="B69" s="4" t="s">
        <v>2184</v>
      </c>
      <c r="C69" s="3" t="s">
        <v>2185</v>
      </c>
      <c r="D69" s="12" t="s">
        <v>2102</v>
      </c>
      <c r="E69" s="4" t="s">
        <v>2034</v>
      </c>
      <c r="F69" s="115" t="n">
        <v>5.974263</v>
      </c>
      <c r="G69" s="115" t="n">
        <v>8.34763</v>
      </c>
      <c r="H69" s="115" t="n">
        <v>16.3703895</v>
      </c>
      <c r="I69" s="12" t="s">
        <v>2194</v>
      </c>
      <c r="J69" s="12" t="s">
        <v>2023</v>
      </c>
    </row>
    <row r="70" customFormat="false" ht="15" hidden="false" customHeight="false" outlineLevel="0" collapsed="false">
      <c r="A70" s="4" t="s">
        <v>2195</v>
      </c>
      <c r="B70" s="4" t="s">
        <v>2196</v>
      </c>
      <c r="C70" s="3" t="s">
        <v>2197</v>
      </c>
      <c r="D70" s="12" t="s">
        <v>2102</v>
      </c>
      <c r="E70" s="4" t="s">
        <v>2021</v>
      </c>
      <c r="F70" s="115" t="n">
        <v>0.507733333333333</v>
      </c>
      <c r="G70" s="115" t="n">
        <v>0.634416666666667</v>
      </c>
      <c r="H70" s="115" t="n">
        <v>0.812233333333334</v>
      </c>
      <c r="I70" s="12" t="s">
        <v>2198</v>
      </c>
      <c r="J70" s="12" t="s">
        <v>2023</v>
      </c>
    </row>
    <row r="71" customFormat="false" ht="15" hidden="false" customHeight="false" outlineLevel="0" collapsed="false">
      <c r="A71" s="4" t="s">
        <v>2199</v>
      </c>
      <c r="B71" s="4" t="s">
        <v>2196</v>
      </c>
      <c r="C71" s="3" t="s">
        <v>2197</v>
      </c>
      <c r="D71" s="12" t="s">
        <v>2102</v>
      </c>
      <c r="E71" s="4" t="s">
        <v>2025</v>
      </c>
      <c r="F71" s="115" t="n">
        <v>0.507733333333333</v>
      </c>
      <c r="G71" s="115" t="n">
        <v>0.634416666666667</v>
      </c>
      <c r="H71" s="115" t="n">
        <v>0.812233333333334</v>
      </c>
      <c r="I71" s="12" t="s">
        <v>2200</v>
      </c>
      <c r="J71" s="12" t="s">
        <v>2023</v>
      </c>
    </row>
    <row r="72" customFormat="false" ht="15" hidden="false" customHeight="false" outlineLevel="0" collapsed="false">
      <c r="A72" s="4" t="s">
        <v>2201</v>
      </c>
      <c r="B72" s="4" t="s">
        <v>2196</v>
      </c>
      <c r="C72" s="3" t="s">
        <v>2197</v>
      </c>
      <c r="D72" s="12" t="s">
        <v>2102</v>
      </c>
      <c r="E72" s="4" t="s">
        <v>2028</v>
      </c>
      <c r="F72" s="115" t="n">
        <v>0.507733333333333</v>
      </c>
      <c r="G72" s="115" t="n">
        <v>0.634416666666667</v>
      </c>
      <c r="H72" s="115" t="n">
        <v>0.812233333333334</v>
      </c>
      <c r="I72" s="12" t="s">
        <v>2202</v>
      </c>
      <c r="J72" s="12" t="s">
        <v>2023</v>
      </c>
    </row>
    <row r="73" customFormat="false" ht="15" hidden="false" customHeight="false" outlineLevel="0" collapsed="false">
      <c r="A73" s="4" t="s">
        <v>2203</v>
      </c>
      <c r="B73" s="4" t="s">
        <v>2196</v>
      </c>
      <c r="C73" s="3" t="s">
        <v>2197</v>
      </c>
      <c r="D73" s="12" t="s">
        <v>2102</v>
      </c>
      <c r="E73" s="4" t="s">
        <v>2031</v>
      </c>
      <c r="F73" s="115" t="n">
        <v>0.507733333333333</v>
      </c>
      <c r="G73" s="115" t="n">
        <v>0.634416666666667</v>
      </c>
      <c r="H73" s="115" t="n">
        <v>0.812233333333334</v>
      </c>
      <c r="I73" s="12" t="s">
        <v>2204</v>
      </c>
      <c r="J73" s="12" t="s">
        <v>2023</v>
      </c>
    </row>
    <row r="74" customFormat="false" ht="15" hidden="false" customHeight="false" outlineLevel="0" collapsed="false">
      <c r="A74" s="4" t="s">
        <v>2205</v>
      </c>
      <c r="B74" s="4" t="s">
        <v>2196</v>
      </c>
      <c r="C74" s="3" t="s">
        <v>2197</v>
      </c>
      <c r="D74" s="12" t="s">
        <v>2102</v>
      </c>
      <c r="E74" s="4" t="s">
        <v>2034</v>
      </c>
      <c r="F74" s="115" t="n">
        <v>0.507733333333333</v>
      </c>
      <c r="G74" s="115" t="n">
        <v>0.634416666666667</v>
      </c>
      <c r="H74" s="115" t="n">
        <v>0.812233333333334</v>
      </c>
      <c r="I74" s="12" t="s">
        <v>2206</v>
      </c>
      <c r="J74" s="12" t="s">
        <v>2023</v>
      </c>
    </row>
    <row r="75" customFormat="false" ht="15" hidden="false" customHeight="false" outlineLevel="0" collapsed="false">
      <c r="A75" s="4" t="s">
        <v>2207</v>
      </c>
      <c r="B75" s="4" t="s">
        <v>2208</v>
      </c>
      <c r="C75" s="3" t="s">
        <v>2209</v>
      </c>
      <c r="D75" s="12" t="s">
        <v>77</v>
      </c>
      <c r="E75" s="4" t="s">
        <v>2021</v>
      </c>
      <c r="F75" s="23" t="n">
        <v>0.7</v>
      </c>
      <c r="G75" s="23" t="n">
        <v>0.8</v>
      </c>
      <c r="H75" s="23" t="n">
        <v>0.9</v>
      </c>
      <c r="I75" s="12" t="s">
        <v>2210</v>
      </c>
      <c r="J75" s="12" t="s">
        <v>2023</v>
      </c>
    </row>
    <row r="76" customFormat="false" ht="15" hidden="false" customHeight="false" outlineLevel="0" collapsed="false">
      <c r="A76" s="4" t="s">
        <v>2211</v>
      </c>
      <c r="B76" s="4" t="s">
        <v>2208</v>
      </c>
      <c r="C76" s="3" t="s">
        <v>2209</v>
      </c>
      <c r="D76" s="12" t="s">
        <v>77</v>
      </c>
      <c r="E76" s="4" t="s">
        <v>2025</v>
      </c>
      <c r="F76" s="23" t="n">
        <v>0.7</v>
      </c>
      <c r="G76" s="23" t="n">
        <v>0.8</v>
      </c>
      <c r="H76" s="23" t="n">
        <v>0.9</v>
      </c>
      <c r="I76" s="12" t="s">
        <v>2212</v>
      </c>
      <c r="J76" s="12" t="s">
        <v>2023</v>
      </c>
    </row>
    <row r="77" customFormat="false" ht="15" hidden="false" customHeight="false" outlineLevel="0" collapsed="false">
      <c r="A77" s="4" t="s">
        <v>2213</v>
      </c>
      <c r="B77" s="4" t="s">
        <v>2208</v>
      </c>
      <c r="C77" s="3" t="s">
        <v>2209</v>
      </c>
      <c r="D77" s="12" t="s">
        <v>77</v>
      </c>
      <c r="E77" s="4" t="s">
        <v>2028</v>
      </c>
      <c r="F77" s="23" t="n">
        <v>0.7</v>
      </c>
      <c r="G77" s="23" t="n">
        <v>0.8</v>
      </c>
      <c r="H77" s="23" t="n">
        <v>0.9</v>
      </c>
      <c r="I77" s="12" t="s">
        <v>2214</v>
      </c>
      <c r="J77" s="12" t="s">
        <v>2023</v>
      </c>
    </row>
    <row r="78" customFormat="false" ht="15" hidden="false" customHeight="false" outlineLevel="0" collapsed="false">
      <c r="A78" s="4" t="s">
        <v>2215</v>
      </c>
      <c r="B78" s="4" t="s">
        <v>2208</v>
      </c>
      <c r="C78" s="3" t="s">
        <v>2209</v>
      </c>
      <c r="D78" s="12" t="s">
        <v>77</v>
      </c>
      <c r="E78" s="4" t="s">
        <v>2031</v>
      </c>
      <c r="F78" s="23" t="n">
        <v>0.7</v>
      </c>
      <c r="G78" s="23" t="n">
        <v>0.8</v>
      </c>
      <c r="H78" s="23" t="n">
        <v>0.9</v>
      </c>
      <c r="I78" s="12" t="s">
        <v>2216</v>
      </c>
      <c r="J78" s="12" t="s">
        <v>2023</v>
      </c>
    </row>
    <row r="79" customFormat="false" ht="15" hidden="false" customHeight="false" outlineLevel="0" collapsed="false">
      <c r="A79" s="4" t="s">
        <v>2217</v>
      </c>
      <c r="B79" s="4" t="s">
        <v>2208</v>
      </c>
      <c r="C79" s="3" t="s">
        <v>2209</v>
      </c>
      <c r="D79" s="12" t="s">
        <v>77</v>
      </c>
      <c r="E79" s="4" t="s">
        <v>2034</v>
      </c>
      <c r="F79" s="23" t="n">
        <v>0.7</v>
      </c>
      <c r="G79" s="23" t="n">
        <v>0.8</v>
      </c>
      <c r="H79" s="23" t="n">
        <v>0.9</v>
      </c>
      <c r="I79" s="12" t="s">
        <v>2218</v>
      </c>
      <c r="J79" s="12" t="s">
        <v>2023</v>
      </c>
    </row>
    <row r="80" customFormat="false" ht="15" hidden="false" customHeight="false" outlineLevel="0" collapsed="false">
      <c r="A80" s="4" t="s">
        <v>2219</v>
      </c>
      <c r="B80" s="4" t="s">
        <v>2220</v>
      </c>
      <c r="C80" s="3" t="s">
        <v>340</v>
      </c>
      <c r="D80" s="12" t="s">
        <v>2221</v>
      </c>
      <c r="E80" s="4" t="s">
        <v>2021</v>
      </c>
      <c r="F80" s="115" t="n">
        <v>0.06</v>
      </c>
      <c r="G80" s="115" t="n">
        <v>0.08</v>
      </c>
      <c r="H80" s="115" t="n">
        <v>0.1</v>
      </c>
      <c r="I80" s="12" t="s">
        <v>2222</v>
      </c>
      <c r="J80" s="12" t="s">
        <v>2023</v>
      </c>
    </row>
    <row r="81" customFormat="false" ht="15" hidden="false" customHeight="false" outlineLevel="0" collapsed="false">
      <c r="A81" s="4" t="s">
        <v>2223</v>
      </c>
      <c r="B81" s="4" t="s">
        <v>2220</v>
      </c>
      <c r="C81" s="3" t="s">
        <v>340</v>
      </c>
      <c r="D81" s="12" t="s">
        <v>2221</v>
      </c>
      <c r="E81" s="4" t="s">
        <v>2025</v>
      </c>
      <c r="F81" s="115" t="n">
        <v>0.06</v>
      </c>
      <c r="G81" s="115" t="n">
        <v>0.08</v>
      </c>
      <c r="H81" s="115" t="n">
        <v>0.1</v>
      </c>
      <c r="I81" s="12" t="s">
        <v>2224</v>
      </c>
      <c r="J81" s="12" t="s">
        <v>2023</v>
      </c>
    </row>
    <row r="82" customFormat="false" ht="15" hidden="false" customHeight="false" outlineLevel="0" collapsed="false">
      <c r="A82" s="4" t="s">
        <v>2225</v>
      </c>
      <c r="B82" s="4" t="s">
        <v>2220</v>
      </c>
      <c r="C82" s="3" t="s">
        <v>340</v>
      </c>
      <c r="D82" s="12" t="s">
        <v>2221</v>
      </c>
      <c r="E82" s="4" t="s">
        <v>2028</v>
      </c>
      <c r="F82" s="115" t="n">
        <v>0.06</v>
      </c>
      <c r="G82" s="115" t="n">
        <v>0.08</v>
      </c>
      <c r="H82" s="115" t="n">
        <v>0.1</v>
      </c>
      <c r="I82" s="12" t="s">
        <v>2226</v>
      </c>
      <c r="J82" s="12" t="s">
        <v>2023</v>
      </c>
    </row>
    <row r="83" customFormat="false" ht="15" hidden="false" customHeight="false" outlineLevel="0" collapsed="false">
      <c r="A83" s="4" t="s">
        <v>2227</v>
      </c>
      <c r="B83" s="4" t="s">
        <v>2220</v>
      </c>
      <c r="C83" s="3" t="s">
        <v>340</v>
      </c>
      <c r="D83" s="12" t="s">
        <v>2221</v>
      </c>
      <c r="E83" s="4" t="s">
        <v>2031</v>
      </c>
      <c r="F83" s="115" t="n">
        <v>0.06</v>
      </c>
      <c r="G83" s="115" t="n">
        <v>0.08</v>
      </c>
      <c r="H83" s="115" t="n">
        <v>0.1</v>
      </c>
      <c r="I83" s="12" t="s">
        <v>2228</v>
      </c>
      <c r="J83" s="12" t="s">
        <v>2023</v>
      </c>
    </row>
    <row r="84" customFormat="false" ht="15" hidden="false" customHeight="false" outlineLevel="0" collapsed="false">
      <c r="A84" s="4" t="s">
        <v>2229</v>
      </c>
      <c r="B84" s="4" t="s">
        <v>2220</v>
      </c>
      <c r="C84" s="3" t="s">
        <v>340</v>
      </c>
      <c r="D84" s="12" t="s">
        <v>2221</v>
      </c>
      <c r="E84" s="4" t="s">
        <v>2034</v>
      </c>
      <c r="F84" s="115" t="n">
        <v>0.06</v>
      </c>
      <c r="G84" s="115" t="n">
        <v>0.08</v>
      </c>
      <c r="H84" s="115" t="n">
        <v>0.1</v>
      </c>
      <c r="I84" s="12" t="s">
        <v>2230</v>
      </c>
      <c r="J84" s="12" t="s">
        <v>2023</v>
      </c>
    </row>
    <row r="85" customFormat="false" ht="15" hidden="false" customHeight="false" outlineLevel="0" collapsed="false">
      <c r="A85" s="4" t="s">
        <v>2231</v>
      </c>
      <c r="B85" s="4" t="s">
        <v>2232</v>
      </c>
      <c r="C85" s="3" t="s">
        <v>2233</v>
      </c>
      <c r="D85" s="12" t="s">
        <v>2102</v>
      </c>
      <c r="E85" s="4" t="s">
        <v>2021</v>
      </c>
      <c r="F85" s="115" t="n">
        <v>0.428405388</v>
      </c>
      <c r="G85" s="115" t="n">
        <v>0.82530642</v>
      </c>
      <c r="H85" s="115" t="n">
        <v>1.364829736</v>
      </c>
      <c r="I85" s="12" t="s">
        <v>2234</v>
      </c>
      <c r="J85" s="12" t="s">
        <v>2023</v>
      </c>
    </row>
    <row r="86" customFormat="false" ht="15" hidden="false" customHeight="false" outlineLevel="0" collapsed="false">
      <c r="A86" s="4" t="s">
        <v>2235</v>
      </c>
      <c r="B86" s="4" t="s">
        <v>2232</v>
      </c>
      <c r="C86" s="3" t="s">
        <v>2233</v>
      </c>
      <c r="D86" s="12" t="s">
        <v>2102</v>
      </c>
      <c r="E86" s="4" t="s">
        <v>2025</v>
      </c>
      <c r="F86" s="115" t="n">
        <v>0.412787808</v>
      </c>
      <c r="G86" s="115" t="n">
        <v>0.72045522</v>
      </c>
      <c r="H86" s="115" t="n">
        <v>1.106008176</v>
      </c>
      <c r="I86" s="12" t="s">
        <v>2236</v>
      </c>
      <c r="J86" s="12" t="s">
        <v>2023</v>
      </c>
    </row>
    <row r="87" customFormat="false" ht="15" hidden="false" customHeight="false" outlineLevel="0" collapsed="false">
      <c r="A87" s="4" t="s">
        <v>2237</v>
      </c>
      <c r="B87" s="4" t="s">
        <v>2232</v>
      </c>
      <c r="C87" s="3" t="s">
        <v>2233</v>
      </c>
      <c r="D87" s="12" t="s">
        <v>2102</v>
      </c>
      <c r="E87" s="4" t="s">
        <v>2028</v>
      </c>
      <c r="F87" s="115" t="n">
        <v>0.571098048</v>
      </c>
      <c r="G87" s="115" t="n">
        <v>1.12336512</v>
      </c>
      <c r="H87" s="115" t="n">
        <v>2.038020256</v>
      </c>
      <c r="I87" s="12" t="s">
        <v>2238</v>
      </c>
      <c r="J87" s="12" t="s">
        <v>2023</v>
      </c>
    </row>
    <row r="88" customFormat="false" ht="15" hidden="false" customHeight="false" outlineLevel="0" collapsed="false">
      <c r="A88" s="4" t="s">
        <v>2239</v>
      </c>
      <c r="B88" s="4" t="s">
        <v>2232</v>
      </c>
      <c r="C88" s="3" t="s">
        <v>2233</v>
      </c>
      <c r="D88" s="12" t="s">
        <v>2102</v>
      </c>
      <c r="E88" s="4" t="s">
        <v>2031</v>
      </c>
      <c r="F88" s="115" t="n">
        <v>0.665468064</v>
      </c>
      <c r="G88" s="115" t="n">
        <v>1.12759056</v>
      </c>
      <c r="H88" s="115" t="n">
        <v>1.705503008</v>
      </c>
      <c r="I88" s="12" t="s">
        <v>2240</v>
      </c>
      <c r="J88" s="12" t="s">
        <v>2023</v>
      </c>
    </row>
    <row r="89" customFormat="false" ht="15" hidden="false" customHeight="false" outlineLevel="0" collapsed="false">
      <c r="A89" s="4" t="s">
        <v>2241</v>
      </c>
      <c r="B89" s="4" t="s">
        <v>2232</v>
      </c>
      <c r="C89" s="3" t="s">
        <v>2233</v>
      </c>
      <c r="D89" s="12" t="s">
        <v>2102</v>
      </c>
      <c r="E89" s="4" t="s">
        <v>2034</v>
      </c>
      <c r="F89" s="115" t="n">
        <v>0.71691156</v>
      </c>
      <c r="G89" s="115" t="n">
        <v>1.5025734</v>
      </c>
      <c r="H89" s="115" t="n">
        <v>2.61926232</v>
      </c>
      <c r="I89" s="12" t="s">
        <v>2242</v>
      </c>
      <c r="J89" s="12" t="s">
        <v>2023</v>
      </c>
    </row>
    <row r="90" customFormat="false" ht="15" hidden="false" customHeight="false" outlineLevel="0" collapsed="false">
      <c r="A90" s="4" t="s">
        <v>2243</v>
      </c>
      <c r="B90" s="4" t="s">
        <v>2244</v>
      </c>
      <c r="C90" s="3" t="s">
        <v>2245</v>
      </c>
      <c r="D90" s="12" t="s">
        <v>2102</v>
      </c>
      <c r="E90" s="4" t="s">
        <v>2021</v>
      </c>
      <c r="F90" s="115" t="n">
        <v>0.15318</v>
      </c>
      <c r="G90" s="115" t="n">
        <v>0.2534</v>
      </c>
      <c r="H90" s="115" t="n">
        <v>0.40465</v>
      </c>
      <c r="I90" s="12" t="s">
        <v>2246</v>
      </c>
      <c r="J90" s="12" t="s">
        <v>2023</v>
      </c>
    </row>
    <row r="91" customFormat="false" ht="15" hidden="false" customHeight="false" outlineLevel="0" collapsed="false">
      <c r="A91" s="4" t="s">
        <v>2247</v>
      </c>
      <c r="B91" s="4" t="s">
        <v>2244</v>
      </c>
      <c r="C91" s="3" t="s">
        <v>2245</v>
      </c>
      <c r="D91" s="12" t="s">
        <v>2102</v>
      </c>
      <c r="E91" s="4" t="s">
        <v>2025</v>
      </c>
      <c r="F91" s="115" t="n">
        <v>0.15318</v>
      </c>
      <c r="G91" s="115" t="n">
        <v>0.2534</v>
      </c>
      <c r="H91" s="115" t="n">
        <v>0.40465</v>
      </c>
      <c r="I91" s="12" t="s">
        <v>2248</v>
      </c>
      <c r="J91" s="12" t="s">
        <v>2023</v>
      </c>
    </row>
    <row r="92" customFormat="false" ht="15" hidden="false" customHeight="false" outlineLevel="0" collapsed="false">
      <c r="A92" s="4" t="s">
        <v>2249</v>
      </c>
      <c r="B92" s="4" t="s">
        <v>2244</v>
      </c>
      <c r="C92" s="3" t="s">
        <v>2245</v>
      </c>
      <c r="D92" s="12" t="s">
        <v>2102</v>
      </c>
      <c r="E92" s="4" t="s">
        <v>2028</v>
      </c>
      <c r="F92" s="115" t="n">
        <v>0.15318</v>
      </c>
      <c r="G92" s="115" t="n">
        <v>0.2534</v>
      </c>
      <c r="H92" s="115" t="n">
        <v>0.40465</v>
      </c>
      <c r="I92" s="12" t="s">
        <v>2250</v>
      </c>
      <c r="J92" s="12" t="s">
        <v>2023</v>
      </c>
    </row>
    <row r="93" customFormat="false" ht="15" hidden="false" customHeight="false" outlineLevel="0" collapsed="false">
      <c r="A93" s="4" t="s">
        <v>2251</v>
      </c>
      <c r="B93" s="4" t="s">
        <v>2244</v>
      </c>
      <c r="C93" s="3" t="s">
        <v>2245</v>
      </c>
      <c r="D93" s="12" t="s">
        <v>2102</v>
      </c>
      <c r="E93" s="4" t="s">
        <v>2031</v>
      </c>
      <c r="F93" s="115" t="n">
        <v>0.15318</v>
      </c>
      <c r="G93" s="115" t="n">
        <v>0.2534</v>
      </c>
      <c r="H93" s="115" t="n">
        <v>0.40465</v>
      </c>
      <c r="I93" s="12" t="s">
        <v>2252</v>
      </c>
      <c r="J93" s="12" t="s">
        <v>2023</v>
      </c>
    </row>
    <row r="94" customFormat="false" ht="15" hidden="false" customHeight="false" outlineLevel="0" collapsed="false">
      <c r="A94" s="4" t="s">
        <v>2253</v>
      </c>
      <c r="B94" s="4" t="s">
        <v>2244</v>
      </c>
      <c r="C94" s="3" t="s">
        <v>2245</v>
      </c>
      <c r="D94" s="12" t="s">
        <v>2102</v>
      </c>
      <c r="E94" s="4" t="s">
        <v>2034</v>
      </c>
      <c r="F94" s="115" t="n">
        <v>0.15318</v>
      </c>
      <c r="G94" s="115" t="n">
        <v>0.2534</v>
      </c>
      <c r="H94" s="115" t="n">
        <v>0.40465</v>
      </c>
      <c r="I94" s="12" t="s">
        <v>2254</v>
      </c>
      <c r="J94" s="12" t="s">
        <v>2023</v>
      </c>
    </row>
    <row r="95" customFormat="false" ht="15" hidden="false" customHeight="false" outlineLevel="0" collapsed="false">
      <c r="A95" s="4" t="s">
        <v>2255</v>
      </c>
      <c r="B95" s="4" t="s">
        <v>2256</v>
      </c>
      <c r="C95" s="3" t="s">
        <v>2257</v>
      </c>
      <c r="D95" s="12" t="s">
        <v>2102</v>
      </c>
      <c r="E95" s="4" t="s">
        <v>2021</v>
      </c>
      <c r="F95" s="115" t="n">
        <v>0.24</v>
      </c>
      <c r="G95" s="115" t="n">
        <v>0.325</v>
      </c>
      <c r="H95" s="115" t="n">
        <v>0.41</v>
      </c>
      <c r="I95" s="12" t="s">
        <v>2258</v>
      </c>
      <c r="J95" s="12" t="s">
        <v>2023</v>
      </c>
    </row>
    <row r="96" customFormat="false" ht="15" hidden="false" customHeight="false" outlineLevel="0" collapsed="false">
      <c r="A96" s="4" t="s">
        <v>2259</v>
      </c>
      <c r="B96" s="4" t="s">
        <v>2256</v>
      </c>
      <c r="C96" s="3" t="s">
        <v>2257</v>
      </c>
      <c r="D96" s="12" t="s">
        <v>2102</v>
      </c>
      <c r="E96" s="4" t="s">
        <v>2025</v>
      </c>
      <c r="F96" s="115" t="n">
        <v>0.24</v>
      </c>
      <c r="G96" s="115" t="n">
        <v>0.325</v>
      </c>
      <c r="H96" s="115" t="n">
        <v>0.41</v>
      </c>
      <c r="I96" s="12" t="s">
        <v>2260</v>
      </c>
      <c r="J96" s="12" t="s">
        <v>2023</v>
      </c>
    </row>
    <row r="97" customFormat="false" ht="15" hidden="false" customHeight="false" outlineLevel="0" collapsed="false">
      <c r="A97" s="4" t="s">
        <v>2261</v>
      </c>
      <c r="B97" s="4" t="s">
        <v>2256</v>
      </c>
      <c r="C97" s="3" t="s">
        <v>2257</v>
      </c>
      <c r="D97" s="12" t="s">
        <v>2102</v>
      </c>
      <c r="E97" s="4" t="s">
        <v>2028</v>
      </c>
      <c r="F97" s="115" t="n">
        <v>0.24</v>
      </c>
      <c r="G97" s="115" t="n">
        <v>0.325</v>
      </c>
      <c r="H97" s="115" t="n">
        <v>0.41</v>
      </c>
      <c r="I97" s="12" t="s">
        <v>2262</v>
      </c>
      <c r="J97" s="12" t="s">
        <v>2023</v>
      </c>
    </row>
    <row r="98" customFormat="false" ht="15" hidden="false" customHeight="false" outlineLevel="0" collapsed="false">
      <c r="A98" s="4" t="s">
        <v>2263</v>
      </c>
      <c r="B98" s="4" t="s">
        <v>2256</v>
      </c>
      <c r="C98" s="3" t="s">
        <v>2257</v>
      </c>
      <c r="D98" s="12" t="s">
        <v>2102</v>
      </c>
      <c r="E98" s="4" t="s">
        <v>2031</v>
      </c>
      <c r="F98" s="115" t="n">
        <v>0.24</v>
      </c>
      <c r="G98" s="115" t="n">
        <v>0.325</v>
      </c>
      <c r="H98" s="115" t="n">
        <v>0.41</v>
      </c>
      <c r="I98" s="12" t="s">
        <v>2264</v>
      </c>
      <c r="J98" s="12" t="s">
        <v>2023</v>
      </c>
    </row>
    <row r="99" customFormat="false" ht="15" hidden="false" customHeight="false" outlineLevel="0" collapsed="false">
      <c r="A99" s="4" t="s">
        <v>2265</v>
      </c>
      <c r="B99" s="4" t="s">
        <v>2256</v>
      </c>
      <c r="C99" s="3" t="s">
        <v>2257</v>
      </c>
      <c r="D99" s="12" t="s">
        <v>2102</v>
      </c>
      <c r="E99" s="4" t="s">
        <v>2034</v>
      </c>
      <c r="F99" s="115" t="n">
        <v>0.24</v>
      </c>
      <c r="G99" s="115" t="n">
        <v>0.325</v>
      </c>
      <c r="H99" s="115" t="n">
        <v>0.41</v>
      </c>
      <c r="I99" s="12" t="s">
        <v>2266</v>
      </c>
      <c r="J99" s="12" t="s">
        <v>2023</v>
      </c>
    </row>
    <row r="100" customFormat="false" ht="15" hidden="false" customHeight="false" outlineLevel="0" collapsed="false">
      <c r="A100" s="4" t="s">
        <v>2267</v>
      </c>
      <c r="B100" s="4" t="s">
        <v>2268</v>
      </c>
      <c r="C100" s="3" t="s">
        <v>2269</v>
      </c>
      <c r="D100" s="12" t="s">
        <v>2102</v>
      </c>
      <c r="E100" s="4" t="s">
        <v>2021</v>
      </c>
      <c r="F100" s="115" t="n">
        <v>0.0948968082</v>
      </c>
      <c r="G100" s="115" t="n">
        <v>0.20090107</v>
      </c>
      <c r="H100" s="115" t="n">
        <v>0.4024539472</v>
      </c>
      <c r="I100" s="12" t="s">
        <v>2270</v>
      </c>
      <c r="J100" s="12" t="s">
        <v>2023</v>
      </c>
    </row>
    <row r="101" customFormat="false" ht="15" hidden="false" customHeight="false" outlineLevel="0" collapsed="false">
      <c r="A101" s="4" t="s">
        <v>2271</v>
      </c>
      <c r="B101" s="4" t="s">
        <v>2268</v>
      </c>
      <c r="C101" s="3" t="s">
        <v>2269</v>
      </c>
      <c r="D101" s="12" t="s">
        <v>2102</v>
      </c>
      <c r="E101" s="4" t="s">
        <v>2025</v>
      </c>
      <c r="F101" s="115" t="n">
        <v>0.0925541712</v>
      </c>
      <c r="G101" s="115" t="n">
        <v>0.18342587</v>
      </c>
      <c r="H101" s="115" t="n">
        <v>0.3506896352</v>
      </c>
      <c r="I101" s="12" t="s">
        <v>2272</v>
      </c>
      <c r="J101" s="12" t="s">
        <v>2023</v>
      </c>
    </row>
    <row r="102" customFormat="false" ht="15" hidden="false" customHeight="false" outlineLevel="0" collapsed="false">
      <c r="A102" s="4" t="s">
        <v>2273</v>
      </c>
      <c r="B102" s="4" t="s">
        <v>2268</v>
      </c>
      <c r="C102" s="3" t="s">
        <v>2269</v>
      </c>
      <c r="D102" s="12" t="s">
        <v>2102</v>
      </c>
      <c r="E102" s="4" t="s">
        <v>2028</v>
      </c>
      <c r="F102" s="115" t="n">
        <v>0.1163007072</v>
      </c>
      <c r="G102" s="115" t="n">
        <v>0.25057752</v>
      </c>
      <c r="H102" s="115" t="n">
        <v>0.5370920512</v>
      </c>
      <c r="I102" s="12" t="s">
        <v>2274</v>
      </c>
      <c r="J102" s="12" t="s">
        <v>2023</v>
      </c>
    </row>
    <row r="103" customFormat="false" ht="15" hidden="false" customHeight="false" outlineLevel="0" collapsed="false">
      <c r="A103" s="4" t="s">
        <v>2275</v>
      </c>
      <c r="B103" s="4" t="s">
        <v>2268</v>
      </c>
      <c r="C103" s="3" t="s">
        <v>2269</v>
      </c>
      <c r="D103" s="12" t="s">
        <v>2102</v>
      </c>
      <c r="E103" s="4" t="s">
        <v>2031</v>
      </c>
      <c r="F103" s="115" t="n">
        <v>0.1304562096</v>
      </c>
      <c r="G103" s="115" t="n">
        <v>0.25128176</v>
      </c>
      <c r="H103" s="115" t="n">
        <v>0.4705886016</v>
      </c>
      <c r="I103" s="12" t="s">
        <v>2276</v>
      </c>
      <c r="J103" s="12" t="s">
        <v>2023</v>
      </c>
    </row>
    <row r="104" customFormat="false" ht="15" hidden="false" customHeight="false" outlineLevel="0" collapsed="false">
      <c r="A104" s="4" t="s">
        <v>2277</v>
      </c>
      <c r="B104" s="4" t="s">
        <v>2268</v>
      </c>
      <c r="C104" s="3" t="s">
        <v>2269</v>
      </c>
      <c r="D104" s="12" t="s">
        <v>2102</v>
      </c>
      <c r="E104" s="4" t="s">
        <v>2034</v>
      </c>
      <c r="F104" s="115" t="n">
        <v>0.138172734</v>
      </c>
      <c r="G104" s="115" t="n">
        <v>0.3137789</v>
      </c>
      <c r="H104" s="115" t="n">
        <v>0.653340464</v>
      </c>
      <c r="I104" s="12" t="s">
        <v>2278</v>
      </c>
      <c r="J104" s="12" t="s">
        <v>2023</v>
      </c>
    </row>
    <row r="105" customFormat="false" ht="15" hidden="false" customHeight="false" outlineLevel="0" collapsed="false">
      <c r="A105" s="4" t="s">
        <v>2279</v>
      </c>
      <c r="B105" s="4" t="s">
        <v>2280</v>
      </c>
      <c r="C105" s="3" t="s">
        <v>2281</v>
      </c>
      <c r="D105" s="12" t="s">
        <v>2102</v>
      </c>
      <c r="E105" s="4" t="s">
        <v>2021</v>
      </c>
      <c r="F105" s="115" t="n">
        <v>1.3211941962</v>
      </c>
      <c r="G105" s="115" t="n">
        <v>2.27737549</v>
      </c>
      <c r="H105" s="115" t="n">
        <v>3.6068536832</v>
      </c>
      <c r="I105" s="12" t="s">
        <v>2282</v>
      </c>
      <c r="J105" s="12" t="s">
        <v>2023</v>
      </c>
    </row>
    <row r="106" customFormat="false" ht="15" hidden="false" customHeight="false" outlineLevel="0" collapsed="false">
      <c r="A106" s="4" t="s">
        <v>2283</v>
      </c>
      <c r="B106" s="4" t="s">
        <v>2280</v>
      </c>
      <c r="C106" s="3" t="s">
        <v>2281</v>
      </c>
      <c r="D106" s="12" t="s">
        <v>2102</v>
      </c>
      <c r="E106" s="4" t="s">
        <v>2025</v>
      </c>
      <c r="F106" s="115" t="n">
        <v>1.3032339792</v>
      </c>
      <c r="G106" s="115" t="n">
        <v>2.15504909</v>
      </c>
      <c r="H106" s="115" t="n">
        <v>3.2962678112</v>
      </c>
      <c r="I106" s="12" t="s">
        <v>2284</v>
      </c>
      <c r="J106" s="12" t="s">
        <v>2023</v>
      </c>
    </row>
    <row r="107" customFormat="false" ht="15" hidden="false" customHeight="false" outlineLevel="0" collapsed="false">
      <c r="A107" s="4" t="s">
        <v>2285</v>
      </c>
      <c r="B107" s="4" t="s">
        <v>2280</v>
      </c>
      <c r="C107" s="3" t="s">
        <v>2281</v>
      </c>
      <c r="D107" s="12" t="s">
        <v>2102</v>
      </c>
      <c r="E107" s="4" t="s">
        <v>2028</v>
      </c>
      <c r="F107" s="115" t="n">
        <v>1.4852907552</v>
      </c>
      <c r="G107" s="115" t="n">
        <v>2.62511064</v>
      </c>
      <c r="H107" s="115" t="n">
        <v>4.4146823072</v>
      </c>
      <c r="I107" s="12" t="s">
        <v>2286</v>
      </c>
      <c r="J107" s="12" t="s">
        <v>2023</v>
      </c>
    </row>
    <row r="108" customFormat="false" ht="15" hidden="false" customHeight="false" outlineLevel="0" collapsed="false">
      <c r="A108" s="4" t="s">
        <v>2287</v>
      </c>
      <c r="B108" s="4" t="s">
        <v>2280</v>
      </c>
      <c r="C108" s="3" t="s">
        <v>2281</v>
      </c>
      <c r="D108" s="12" t="s">
        <v>2102</v>
      </c>
      <c r="E108" s="4" t="s">
        <v>2031</v>
      </c>
      <c r="F108" s="115" t="n">
        <v>1.5938162736</v>
      </c>
      <c r="G108" s="115" t="n">
        <v>2.63004032</v>
      </c>
      <c r="H108" s="115" t="n">
        <v>4.0156616096</v>
      </c>
      <c r="I108" s="12" t="s">
        <v>2288</v>
      </c>
      <c r="J108" s="12" t="s">
        <v>2023</v>
      </c>
    </row>
    <row r="109" customFormat="false" ht="15" hidden="false" customHeight="false" outlineLevel="0" collapsed="false">
      <c r="A109" s="4" t="s">
        <v>2289</v>
      </c>
      <c r="B109" s="4" t="s">
        <v>2280</v>
      </c>
      <c r="C109" s="3" t="s">
        <v>2281</v>
      </c>
      <c r="D109" s="12" t="s">
        <v>2102</v>
      </c>
      <c r="E109" s="4" t="s">
        <v>2034</v>
      </c>
      <c r="F109" s="115" t="n">
        <v>1.652976294</v>
      </c>
      <c r="G109" s="115" t="n">
        <v>3.0675203</v>
      </c>
      <c r="H109" s="115" t="n">
        <v>5.112172784</v>
      </c>
      <c r="I109" s="12" t="s">
        <v>2290</v>
      </c>
      <c r="J109" s="12" t="s">
        <v>2023</v>
      </c>
    </row>
    <row r="110" customFormat="false" ht="15" hidden="false" customHeight="false" outlineLevel="0" collapsed="false">
      <c r="A110" s="4" t="s">
        <v>2291</v>
      </c>
      <c r="B110" s="4" t="s">
        <v>2292</v>
      </c>
      <c r="C110" s="3" t="s">
        <v>2293</v>
      </c>
      <c r="D110" s="12" t="s">
        <v>2102</v>
      </c>
      <c r="E110" s="4" t="s">
        <v>2021</v>
      </c>
      <c r="F110" s="115" t="n">
        <v>4.00488774987164</v>
      </c>
      <c r="G110" s="115" t="n">
        <v>4.00488774987164</v>
      </c>
      <c r="H110" s="115" t="n">
        <v>4.00488774987164</v>
      </c>
      <c r="I110" s="12" t="s">
        <v>2294</v>
      </c>
      <c r="J110" s="12" t="s">
        <v>2023</v>
      </c>
    </row>
    <row r="111" customFormat="false" ht="15" hidden="false" customHeight="false" outlineLevel="0" collapsed="false">
      <c r="A111" s="4" t="s">
        <v>2295</v>
      </c>
      <c r="B111" s="4" t="s">
        <v>2292</v>
      </c>
      <c r="C111" s="3" t="s">
        <v>2293</v>
      </c>
      <c r="D111" s="12" t="s">
        <v>2102</v>
      </c>
      <c r="E111" s="4" t="s">
        <v>2025</v>
      </c>
      <c r="F111" s="115" t="n">
        <v>20.1746158611128</v>
      </c>
      <c r="G111" s="115" t="n">
        <v>20.1746158611128</v>
      </c>
      <c r="H111" s="115" t="n">
        <v>20.1746158611128</v>
      </c>
      <c r="I111" s="12" t="s">
        <v>2296</v>
      </c>
      <c r="J111" s="12" t="s">
        <v>2023</v>
      </c>
    </row>
    <row r="112" customFormat="false" ht="15" hidden="false" customHeight="false" outlineLevel="0" collapsed="false">
      <c r="A112" s="4" t="s">
        <v>2297</v>
      </c>
      <c r="B112" s="4" t="s">
        <v>2292</v>
      </c>
      <c r="C112" s="3" t="s">
        <v>2293</v>
      </c>
      <c r="D112" s="12" t="s">
        <v>2102</v>
      </c>
      <c r="E112" s="4" t="s">
        <v>2028</v>
      </c>
      <c r="F112" s="115" t="n">
        <v>26.2652356996766</v>
      </c>
      <c r="G112" s="115" t="n">
        <v>26.2652356996766</v>
      </c>
      <c r="H112" s="115" t="n">
        <v>26.2652356996766</v>
      </c>
      <c r="I112" s="12" t="s">
        <v>2298</v>
      </c>
      <c r="J112" s="12" t="s">
        <v>2023</v>
      </c>
    </row>
    <row r="113" customFormat="false" ht="15" hidden="false" customHeight="false" outlineLevel="0" collapsed="false">
      <c r="A113" s="4" t="s">
        <v>2299</v>
      </c>
      <c r="B113" s="4" t="s">
        <v>2292</v>
      </c>
      <c r="C113" s="3" t="s">
        <v>2293</v>
      </c>
      <c r="D113" s="12" t="s">
        <v>2102</v>
      </c>
      <c r="E113" s="4" t="s">
        <v>2031</v>
      </c>
      <c r="F113" s="115" t="n">
        <v>48.7237019639935</v>
      </c>
      <c r="G113" s="115" t="n">
        <v>48.7237019639935</v>
      </c>
      <c r="H113" s="115" t="n">
        <v>48.7237019639935</v>
      </c>
      <c r="I113" s="12" t="s">
        <v>2300</v>
      </c>
      <c r="J113" s="12" t="s">
        <v>2023</v>
      </c>
    </row>
    <row r="114" customFormat="false" ht="15" hidden="false" customHeight="false" outlineLevel="0" collapsed="false">
      <c r="A114" s="4" t="s">
        <v>2301</v>
      </c>
      <c r="B114" s="4" t="s">
        <v>2292</v>
      </c>
      <c r="C114" s="3" t="s">
        <v>2293</v>
      </c>
      <c r="D114" s="12" t="s">
        <v>2102</v>
      </c>
      <c r="E114" s="4" t="s">
        <v>2034</v>
      </c>
      <c r="F114" s="115" t="n">
        <v>68.9276257152094</v>
      </c>
      <c r="G114" s="115" t="n">
        <v>68.9276257152094</v>
      </c>
      <c r="H114" s="115" t="n">
        <v>68.9276257152094</v>
      </c>
      <c r="I114" s="12" t="s">
        <v>2302</v>
      </c>
      <c r="J114" s="12" t="s">
        <v>2023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2026-10-08T09:14:14Z</dcterms:created>
  <dc:creator>openpyxl</dc:creator>
  <dc:description/>
  <dc:language>en-US</dc:language>
  <cp:lastModifiedBy/>
  <dcterms:modified xsi:type="dcterms:W3CDTF">2026-10-08T09:14:14Z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