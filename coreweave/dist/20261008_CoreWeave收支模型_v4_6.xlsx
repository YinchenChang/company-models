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資產負債_既有債務" sheetId="9" state="visible" r:id="rId11"/>
    <sheet name="資產負債_新債與新股" sheetId="10" state="visible" r:id="rId12"/>
    <sheet name="資產負債_租賃承諾" sheetId="11" state="visible" r:id="rId13"/>
    <sheet name="損益" sheetId="12" state="visible" r:id="rId14"/>
    <sheet name="評價_DCF與目標價" sheetId="13" state="visible" r:id="rId15"/>
    <sheet name="評價_反向DCF" sheetId="14" state="visible" r:id="rId16"/>
    <sheet name="評價_可比公司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<sst xmlns="http://schemas.openxmlformats.org/spreadsheetml/2006/main" count="3839" uniqueCount="2169">
  <si>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v4.6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v4.6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</si>
  <si>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</si>
  <si>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</si>
  <si>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</si>
  <si>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</si>
  <si>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</si>
  <si>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</si>
  <si>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</si>
  <si>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</si>
  <si>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</si>
  <si>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</si>
  <si>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</si>
  <si>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</si>
  <si>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</si>
  <si>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</si>
  <si>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</si>
  <si>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</si>
  <si>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</si>
  <si>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</si>
  <si>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</si>
  <si>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</si>
  <si>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</si>
  <si>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</si>
  <si>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</si>
  <si>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</si>
  <si>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</si>
  <si>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</si>
  <si>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</si>
  <si>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</si>
  <si>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</si>
  <si>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</si>
  <si>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</si>
  <si>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</si>
  <si>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</si>
  <si>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</si>
  <si>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</si>
  <si>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</si>
  <si>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</si>
  <si>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</si>
  <si>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</si>
  <si>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</si>
  <si>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</si>
  <si>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</si>
  <si>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</si>
  <si>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</si>
  <si>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</si>
  <si>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</si>
  <si>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</si>
  <si>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</si>
  <si>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</si>
  <si>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</si>
  <si>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</si>
  <si>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</si>
  <si>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</si>
  <si>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</si>
  <si>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</si>
  <si>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</si>
  <si>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</si>
  <si>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</si>
  <si>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</si>
  <si>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</si>
  <si>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</si>
  <si>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</si>
  <si>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</si>
  <si>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</si>
  <si>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</si>
  <si>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</si>
  <si>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</si>
  <si>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</si>
  <si>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</si>
  <si>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</si>
  <si>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</si>
  <si>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</si>
  <si>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</si>
  <si>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</si>
  <si>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</si>
  <si>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</si>
  <si>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</si>
  <si>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</si>
  <si>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</si>
  <si>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</si>
  <si>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</si>
  <si>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</si>
  <si>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</si>
  <si>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</si>
  <si>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</si>
  <si>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</si>
  <si>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</si>
  <si>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</si>
  <si>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</si>
  <si>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</si>
  <si>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</si>
  <si>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</si>
  <si>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</si>
  <si>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</si>
  <si>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</si>
  <si>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</si>
  <si>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</si>
  <si>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</si>
  <si>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</si>
  <si>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</si>
  <si>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</si>
  <si>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</si>
  <si>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</si>
  <si>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</si>
  <si>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</si>
  <si>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</si>
  <si>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</si>
  <si>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</si>
  <si>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</si>
  <si>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</si>
  <si>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</si>
  <si>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</si>
  <si>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</si>
  <si>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</si>
  <si>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</si>
  <si>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</si>
  <si>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</si>
  <si>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</si>
  <si>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</si>
  <si>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</si>
  <si>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</si>
  <si>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</si>
  <si>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</si>
  <si>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</si>
  <si>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</si>
  <si>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</si>
  <si>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</si>
  <si>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</si>
  <si>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</si>
  <si>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</si>
  <si>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</si>
  <si>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</si>
  <si>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</si>
  <si>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</si>
  <si>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</si>
  <si>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</si>
  <si>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</si>
  <si>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</si>
  <si>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</si>
  <si>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</si>
  <si>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</si>
  <si>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</si>
  <si>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</si>
  <si>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</si>
  <si>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</si>
  <si>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</si>
  <si>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</si>
  <si>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</si>
  <si>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</si>
  <si>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</si>
  <si>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</si>
  <si>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</si>
  <si>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</si>
  <si>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</si>
  <si>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</si>
  <si>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</si>
  <si>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</si>
  <si>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</si>
  <si>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</si>
  <si>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</si>
  <si>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</si>
  <si>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</si>
  <si>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</si>
  <si>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</si>
  <si>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</si>
  <si>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</si>
  <si>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</si>
  <si>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</si>
  <si>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</si>
  <si>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</si>
  <si>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</si>
  <si>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</si>
  <si>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</si>
  <si>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</si>
  <si>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</si>
  <si>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</si>
  <si>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</si>
  <si>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</si>
  <si>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</si>
  <si>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</si>
  <si>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</si>
  <si>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</si>
  <si>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</si>
  <si>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</si>
  <si>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</si>
  <si>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</si>
  <si>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</si>
  <si>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</si>
  <si>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</si>
  <si>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</si>
  <si>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</si>
  <si>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</si>
  <si>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</si>
  <si>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</si>
  <si>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</si>
  <si>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</si>
  <si>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</si>
  <si>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</si>
  <si>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</si>
  <si>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</si>
  <si>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</si>
  <si>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</si>
  <si>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</si>
  <si>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</si>
  <si>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</si>
  <si>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</si>
  <si>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</si>
  <si>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</si>
  <si>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</si>
  <si>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</si>
  <si>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</si>
  <si>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</si>
  <si>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</si>
  <si>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</si>
  <si>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</si>
  <si>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</si>
  <si>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</si>
  <si>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</si>
  <si>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</si>
  <si>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</si>
  <si>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</si>
  <si>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</si>
  <si>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</si>
  <si>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</si>
  <si>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</si>
  <si>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</si>
  <si>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</si>
  <si>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</si>
  <si>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</si>
  <si>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legacy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</si>
  <si>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</si>
  <si>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</si>
  <si>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</si>
  <si>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</si>
  <si>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</si>
  <si>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</si>
  <si>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</si>
  <si>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</si>
  <si>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</si>
  <si>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</si>
  <si>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</si>
  <si>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</si>
  <si>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</si>
  <si>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</si>
  <si>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</si>
  <si>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</si>
  <si>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</si>
  <si>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</si>
  <si>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</si>
  <si>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</si>
  <si>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</si>
  <si>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</si>
  <si>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</si>
  <si>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</si>
  <si>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</si>
  <si>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</si>
  <si>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</si>
  <si>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</si>
  <si>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</si>
  <si>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</si>
  <si>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</si>
  <si>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</si>
  <si>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</si>
  <si>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</si>
  <si>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</si>
  <si>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</si>
  <si>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</si>
  <si>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</si>
  <si>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</si>
  <si>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</si>
  <si>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</si>
  <si>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</si>
  <si>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</si>
  <si>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</si>
  <si>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</si>
  <si>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</si>
  <si>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</si>
  <si>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</si>
  <si>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</si>
  <si>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</si>
  <si>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</si>
  <si>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</si>
  <si>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</si>
  <si>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</si>
  <si>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</si>
  <si>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</si>
  <si>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</si>
  <si>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</si>
  <si>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</si>
  <si>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</si>
  <si>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</si>
  <si>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</si>
  <si>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</si>
  <si>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</si>
  <si>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</si>
  <si>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</si>
  <si>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</si>
  <si>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</si>
  <si>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</si>
  <si>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</si>
  <si>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</si>
  <si>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</si>
  <si>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</si>
  <si>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</si>
  <si>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</si>
  <si>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</si>
  <si>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</si>
  <si>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</si>
  <si>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</si>
  <si>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</si>
  <si>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</si>
  <si>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</si>
  <si>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</si>
  <si>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</si>
  <si>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</si>
  <si>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</si>
  <si>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</si>
  <si>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</si>
  <si>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</si>
  <si>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</si>
  <si>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</si>
  <si>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</si>
  <si>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</si>
  <si>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</si>
  <si>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</si>
  <si>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</si>
  <si>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</si>
  <si>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</si>
  <si>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</si>
  <si>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</si>
  <si>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</si>
  <si>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</si>
  <si>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</si>
  <si>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</si>
  <si>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</si>
  <si>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</si>
  <si>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</si>
  <si>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</si>
  <si>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</si>
  <si>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</si>
  <si>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</si>
  <si>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</si>
  <si>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</si>
  <si>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</si>
  <si>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</si>
  <si>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</si>
  <si>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</si>
  <si>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</si>
  <si>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</si>
  <si>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</si>
  <si>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</si>
  <si>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</si>
  <si>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</si>
  <si>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</si>
  <si>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</si>
  <si>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</si>
  <si>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</si>
  <si>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</si>
  <si>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</si>
  <si>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</si>
  <si>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</si>
  <si>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</si>
  <si>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</si>
  <si>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</si>
  <si>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</si>
  <si>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</si>
  <si>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</si>
  <si>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</si>
  <si>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</si>
  <si>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</si>
  <si>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</si>
  <si>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</si>
  <si>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</si>
  <si>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</si>
  <si>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</si>
  <si>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</si>
  <si>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</si>
  <si>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</si>
  <si>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</si>
  <si>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</si>
  <si>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</si>
  <si>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</si>
  <si>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</si>
  <si>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</si>
  <si>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</si>
  <si>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</si>
  <si>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</si>
  <si>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</si>
  <si>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</si>
  <si>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</si>
  <si>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</si>
  <si>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</si>
  <si>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</si>
  <si>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</si>
  <si>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</si>
  <si>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</si>
  <si>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</si>
  <si>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</si>
  <si>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</si>
  <si>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</si>
  <si>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</si>
  <si>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</si>
  <si>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</si>
  <si>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</si>
  <si>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</si>
  <si>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</si>
  <si>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</si>
  <si>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</si>
  <si>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</si>
  <si>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</si>
  <si>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</si>
  <si>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</si>
  <si>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</si>
  <si>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</si>
  <si>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</si>
  <si>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</si>
  <si>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</si>
  <si>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</si>
  <si>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</si>
  <si>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</si>
  <si>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</si>
  <si>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</si>
  <si>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</si>
  <si>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</si>
  <si>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</si>
  <si>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</si>
  <si>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</si>
  <si>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</si>
  <si>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</si>
  <si>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</si>
  <si>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</si>
  <si>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</si>
  <si>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</si>
  <si>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</si>
  <si>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</si>
  <si>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</si>
  <si>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</si>
  <si>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</si>
  <si>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</si>
  <si>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</si>
  <si>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</si>
  <si>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</si>
  <si>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</si>
  <si>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</si>
  <si>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</si>
  <si>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</si>
  <si>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</si>
  <si>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</si>
  <si>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</si>
  <si>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</si>
  <si>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</si>
  <si>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</si>
  <si>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</si>
  <si>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</si>
  <si>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</si>
  <si>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</si>
  <si>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</si>
  <si>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</si>
  <si>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</si>
  <si>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</si>
  <si>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</si>
  <si>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</si>
  <si>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</si>
  <si>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</si>
  <si>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</si>
  <si>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</si>
  <si>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</si>
  <si>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</si>
  <si>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</si>
  <si>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</si>
  <si>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</si>
  <si>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</si>
  <si>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</si>
  <si>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</si>
  <si>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</si>
  <si>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</si>
  <si>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</si>
  <si>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</si>
  <si>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</si>
  <si>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</si>
  <si>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</si>
  <si>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</si>
  <si>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</si>
  <si>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</si>
  <si>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</si>
  <si>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</si>
  <si>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</si>
  <si>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</si>
  <si>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</si>
  <si>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</si>
  <si>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</si>
  <si>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</si>
  <si>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</si>
  <si>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</si>
  <si>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</si>
  <si>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</si>
  <si>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</si>
  <si>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</si>
  <si>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</si>
  <si>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</si>
  <si>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</si>
  <si>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</si>
  <si>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</si>
  <si>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</si>
  <si>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</si>
  <si>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</si>
  <si>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</si>
  <si>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</si>
  <si>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</si>
  <si>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</si>
  <si>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</si>
  <si>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</si>
  <si>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</si>
  <si>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</si>
  <si>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</si>
  <si>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</si>
  <si>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</si>
  <si>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</si>
  <si>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</si>
  <si>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</si>
  <si>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</si>
  <si>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</si>
  <si>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</si>
  <si>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</si>
  <si>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</si>
  <si>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</si>
  <si>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</si>
  <si>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</si>
  <si>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</si>
  <si>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</si>
  <si>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</si>
  <si>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</si>
  <si>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</si>
  <si>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</si>
  <si>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</si>
  <si>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</si>
  <si>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</si>
  <si>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</si>
  <si>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</si>
  <si>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</si>
  <si>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</si>
  <si>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</si>
  <si>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</si>
  <si>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</si>
  <si>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</si>
  <si>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</si>
  <si>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</si>
  <si>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</si>
  <si>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</si>
  <si>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</si>
  <si>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</si>
  <si>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</si>
  <si>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</si>
  <si>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</si>
  <si>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</si>
  <si>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</si>
  <si>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</si>
  <si>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</si>
  <si>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</si>
  <si>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</si>
  <si>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</si>
  <si>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</si>
  <si>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</si>
  <si>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</si>
  <si>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</si>
  <si>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</si>
  <si>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</si>
  <si>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</si>
  <si>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</si>
  <si>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</si>
  <si>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</si>
  <si>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</si>
  <si>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</si>
  <si>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</si>
  <si>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</si>
  <si>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</si>
  <si>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</si>
  <si>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</si>
  <si>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</si>
  <si>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</si>
  <si>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</si>
  <si>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</si>
  <si>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</si>
  <si>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</si>
  <si>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</si>
  <si>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</si>
  <si>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</si>
  <si>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</si>
  <si>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</si>
  <si>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</si>
  <si>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</si>
  <si>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</si>
  <si>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</si>
  <si>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</si>
  <si>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</si>
  <si>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</si>
  <si>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</si>
  <si>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</si>
  <si>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</si>
  <si>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</si>
  <si>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</si>
  <si>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</si>
  <si>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</si>
  <si>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</si>
  <si>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</si>
  <si>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</si>
  <si>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</si>
  <si>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</si>
  <si>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</si>
  <si>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</si>
  <si>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</si>
  <si>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</si>
  <si>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</si>
  <si>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</si>
  <si>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</si>
  <si>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</si>
  <si>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</si>
  <si>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</si>
  <si>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</si>
  <si>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</si>
  <si>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</si>
  <si>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</si>
  <si>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</si>
  <si>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</si>
  <si>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</si>
  <si>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</si>
  <si>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</si>
  <si>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</si>
  <si>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</si>
  <si>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</si>
  <si>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</si>
  <si>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</si>
  <si>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</si>
  <si>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</si>
  <si>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</si>
  <si>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</si>
  <si>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</si>
  <si>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</si>
  <si>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</si>
  <si>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</si>
  <si>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</si>
  <si>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</si>
  <si>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</si>
  <si>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</si>
  <si>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</si>
  <si>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</si>
  <si>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</si>
  <si>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</si>
  <si>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</si>
  <si>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</si>
  <si>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</si>
  <si>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</si>
  <si>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</si>
  <si>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</si>
  <si>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</si>
  <si>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</si>
  <si>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</si>
  <si>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</si>
  <si>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</si>
  <si>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</si>
  <si>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</si>
  <si>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</si>
  <si>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</si>
  <si>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</si>
  <si>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</si>
  <si>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</si>
  <si>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</si>
  <si>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</si>
  <si>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</si>
  <si>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</si>
  <si>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</si>
  <si>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</si>
  <si>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</si>
  <si>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</si>
  <si>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</si>
  <si>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</si>
  <si>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</si>
  <si>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</si>
  <si>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</si>
  <si>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</si>
  <si>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</si>
  <si>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</si>
  <si>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</si>
  <si>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</si>
  <si>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</si>
  <si>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</si>
  <si>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</si>
  <si>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</si>
  <si>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</si>
  <si>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</si>
  <si>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</si>
  <si>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</si>
  <si>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</si>
  <si>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</si>
  <si>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</si>
  <si>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</si>
  <si>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</si>
  <si>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</si>
  <si>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</si>
  <si>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</si>
  <si>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</si>
  <si>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</si>
  <si>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</si>
  <si>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</si>
  <si>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</si>
  <si>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</si>
  <si>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</si>
  <si>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</si>
  <si>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</si>
  <si>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</si>
  <si>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</si>
  <si>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</si>
  <si>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</si>
  <si>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</si>
  <si>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</si>
  <si>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</si>
  <si>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</si>
  <si>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</si>
  <si>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</si>
  <si>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</si>
  <si>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</si>
  <si>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</si>
  <si>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</si>
  <si>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</si>
  <si>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</si>
  <si>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</si>
  <si>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</si>
  <si>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</si>
  <si>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</si>
  <si>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</si>
  <si>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</si>
  <si>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</si>
  <si>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</si>
  <si>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</si>
  <si>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</si>
  <si>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</si>
  <si>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</si>
  <si>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</si>
  <si>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</si>
  <si>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</si>
  <si>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</si>
  <si>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</si>
  <si>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</si>
  <si>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</si>
  <si>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</si>
  <si>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</si>
  <si>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</si>
  <si>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</si>
  <si>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</si>
  <si>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</si>
  <si>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</si>
  <si>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</si>
  <si>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</si>
  <si>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</si>
  <si>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</si>
  <si>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</si>
  <si>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</si>
  <si>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</si>
  <si>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</si>
  <si>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</si>
  <si>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</si>
  <si>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</si>
  <si>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</si>
  <si>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</si>
  <si>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</si>
  <si>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</si>
  <si>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</si>
  <si>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</si>
  <si>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</si>
  <si>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</si>
  <si>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</si>
  <si>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</si>
  <si>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</si>
  <si>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</si>
  <si>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</si>
  <si>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</si>
  <si>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</si>
  <si>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</si>
  <si>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</si>
  <si>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</si>
  <si>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</si>
  <si>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</si>
  <si>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</si>
  <si>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</si>
  <si>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</si>
  <si>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</si>
  <si>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</si>
  <si>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</si>
  <si>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</si>
  <si>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</si>
  <si>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</si>
  <si>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</si>
  <si>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</si>
  <si>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</si>
  <si>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</si>
  <si>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</si>
  <si>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</si>
  <si>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</si>
  <si>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</si>
  <si>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</si>
  <si>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</si>
  <si>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</si>
  <si>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</si>
  <si>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</si>
  <si>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</si>
  <si>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</si>
  <si>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</si>
  <si>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</si>
  <si>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</si>
  <si>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</si>
  <si>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</si>
  <si>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</si>
  <si>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</si>
  <si>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</si>
  <si>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</si>
  <si>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</si>
  <si>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</si>
  <si>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</si>
  <si>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</si>
  <si>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</si>
  <si>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</si>
  <si>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</si>
  <si>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</si>
  <si>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</si>
  <si>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</si>
  <si>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</si>
  <si>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</si>
  <si>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</si>
  <si>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</si>
  <si>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</si>
  <si>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</si>
  <si>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</si>
  <si>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</si>
  <si>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</si>
  <si>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</si>
  <si>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</si>
  <si>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</si>
  <si>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</si>
  <si>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</si>
  <si>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</si>
  <si>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</si>
  <si>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</si>
  <si>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</si>
  <si>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</si>
  <si>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</si>
  <si>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</si>
  <si>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</si>
  <si>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</si>
  <si>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</si>
  <si>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</si>
  <si>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</si>
  <si>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</si>
  <si>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</si>
  <si>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</si>
  <si>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</si>
  <si>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</si>
  <si>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</si>
  <si>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</si>
  <si>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</si>
  <si>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</si>
  <si>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</si>
  <si>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</si>
  <si>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</si>
  <si>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</si>
  <si>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</si>
  <si>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</si>
  <si>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</si>
  <si>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</si>
  <si>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</si>
  <si>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</si>
  <si>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</si>
  <si>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</si>
  <si>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</si>
  <si>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</si>
  <si>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</si>
  <si>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</si>
  <si>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</si>
  <si>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</si>
  <si>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</si>
  <si>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</si>
  <si>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</si>
  <si>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</si>
  <si>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</si>
  <si>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</si>
  <si>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</si>
  <si>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</si>
  <si>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</si>
  <si>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</si>
  <si>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</si>
  <si>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</si>
  <si>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</si>
  <si>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</si>
  <si>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</si>
  <si>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</si>
  <si>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</si>
  <si>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</si>
  <si>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</si>
  <si>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</si>
  <si>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</si>
  <si>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</si>
  <si>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</si>
  <si>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</si>
  <si>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</si>
  <si>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</si>
  <si>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</si>
  <si>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</si>
  <si>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</si>
  <si>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</si>
  <si>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</si>
  <si>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</si>
  <si>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</si>
  <si>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</si>
  <si>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</si>
  <si>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</si>
  <si>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</si>
  <si>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</si>
  <si>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</si>
  <si>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</si>
  <si>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</si>
  <si>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</si>
  <si>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</si>
  <si>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</si>
  <si>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</si>
  <si>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</si>
  <si>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</si>
  <si>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</si>
  <si>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</si>
  <si>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</si>
  <si>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</si>
  <si>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</si>
  <si>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</si>
  <si>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</si>
  <si>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</si>
  <si>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</si>
  <si>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</si>
  <si>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</si>
  <si>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</si>
  <si>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</si>
  <si>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</si>
  <si>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</si>
  <si>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</si>
  <si>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</si>
  <si>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</si>
  <si>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</si>
  <si>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</si>
  <si>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</si>
  <si>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</si>
  <si>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</si>
  <si>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</si>
  <si>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</si>
  <si>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</si>
  <si>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</si>
  <si>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</si>
  <si>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</si>
  <si>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</si>
  <si>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</si>
  <si>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</si>
  <si>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</si>
  <si>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</si>
  <si>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</si>
  <si>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</si>
  <si>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</si>
  <si>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</si>
  <si>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</si>
  <si>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</si>
  <si>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</si>
  <si>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</si>
  <si>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</si>
  <si>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</si>
  <si>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</si>
  <si>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</si>
  <si>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</si>
  <si>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</si>
  <si>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</si>
  <si>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</si>
  <si>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</si>
  <si>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</si>
  <si>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</si>
  <si>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</si>
  <si>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</si>
  <si>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</si>
  <si>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</si>
  <si>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</si>
  <si>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</si>
  <si>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</si>
  <si>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</si>
  <si>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</si>
  <si>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</si>
  <si>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</si>
  <si>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</si>
  <si>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</si>
  <si>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</si>
  <si>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</si>
  <si>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</si>
  <si>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</si>
  <si>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</si>
  <si>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</si>
  <si>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</si>
  <si>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</si>
  <si>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</si>
  <si>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</si>
  <si>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</si>
  <si>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</si>
  <si>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</si>
  <si>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</si>
  <si>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</si>
  <si>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</si>
  <si>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</si>
  <si>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</si>
  <si>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</si>
  <si>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</si>
  <si>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</si>
  <si>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</si>
  <si>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</si>
  <si>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</si>
  <si>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</si>
  <si>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</si>
  <si>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</si>
  <si>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</si>
  <si>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</si>
  <si>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</si>
  <si>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</si>
  <si>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</si>
  <si>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</si>
  <si>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</si>
  <si>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</si>
  <si>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</si>
  <si>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</si>
  <si>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</si>
  <si>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</si>
  <si>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</si>
  <si>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</si>
  <si>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</si>
  <si>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</si>
  <si>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</si>
  <si>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</si>
  <si>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</si>
  <si>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</si>
  <si>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</si>
  <si>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</si>
  <si>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</si>
  <si>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</si>
  <si>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</si>
  <si>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</si>
  <si>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</si>
  <si>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</si>
  <si>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</si>
  <si>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</si>
  <si>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</si>
  <si>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</si>
  <si>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</si>
  <si>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</si>
  <si>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</si>
  <si>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</si>
  <si>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</si>
  <si>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</si>
  <si>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</si>
  <si>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</si>
  <si>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</si>
  <si>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</si>
  <si>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</si>
  <si>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</si>
  <si>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</si>
  <si>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</si>
  <si>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</si>
  <si>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</si>
  <si>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</si>
  <si>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</si>
  <si>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</si>
  <si>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</si>
  <si>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</si>
  <si>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</si>
  <si>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</si>
  <si>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</si>
  <si>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</si>
  <si>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</si>
  <si>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</si>
  <si>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</si>
  <si>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</si>
  <si>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</si>
  <si>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</si>
  <si>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</si>
  <si>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</si>
  <si>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</si>
  <si>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</si>
  <si>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</si>
  <si>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</si>
  <si>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</si>
  <si>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</si>
  <si>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</si>
  <si>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</si>
  <si>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</si>
  <si>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</si>
  <si>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</si>
  <si>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</si>
  <si>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</si>
  <si>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</si>
  <si>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</si>
  <si>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</si>
  <si>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</si>
  <si>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</si>
  <si>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</si>
  <si>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</si>
  <si>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</si>
  <si>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</si>
  <si>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</si>
  <si>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</si>
  <si>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</si>
  <si>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</si>
  <si>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</si>
  <si>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</si>
  <si>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</si>
  <si>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</si>
  <si>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</si>
  <si>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</si>
  <si>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</si>
  <si>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</si>
  <si>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</si>
  <si>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</si>
  <si>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</si>
  <si>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</si>
  <si>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</si>
  <si>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</si>
  <si>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</si>
  <si>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</si>
  <si>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</si>
  <si>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</si>
  <si>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</si>
  <si>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</si>
  <si>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</si>
  <si>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</si>
  <si>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</si>
  <si>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</si>
  <si>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</si>
  <si>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</si>
  <si>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</si>
  <si>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</si>
  <si>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</si>
  <si>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</si>
  <si>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</si>
  <si>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</si>
  <si>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</si>
  <si>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</si>
  <si>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</si>
  <si>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</si>
  <si>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</si>
  <si>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</si>
  <si>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</si>
  <si>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</si>
  <si>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</si>
  <si>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</si>
  <si>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</si>
  <si>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</si>
  <si>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</si>
  <si>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</si>
  <si>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</si>
  <si>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</si>
  <si>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</si>
  <si>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</si>
  <si>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</si>
  <si>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</si>
  <si>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</si>
  <si>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</si>
  <si>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</si>
  <si>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</si>
  <si>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</si>
  <si>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</si>
  <si>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</si>
  <si>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</si>
  <si>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</si>
  <si>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</si>
  <si>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</si>
  <si>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</si>
  <si>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</si>
  <si>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</si>
  <si>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</si>
  <si>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</si>
  <si>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</si>
  <si>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</si>
  <si>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</si>
  <si>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</si>
  <si>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</si>
  <si>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</si>
  <si>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</si>
  <si>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</si>
  <si>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</si>
  <si>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</si>
  <si>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</si>
  <si>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</si>
  <si>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</si>
  <si>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</si>
  <si>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</si>
  <si>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</si>
  <si>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</si>
  <si>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</si>
  <si>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</si>
  <si>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</si>
  <si>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</si>
  <si>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</si>
  <si>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</si>
  <si>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</si>
  <si>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</si>
  <si>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</si>
  <si>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</si>
  <si>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</si>
  <si>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</si>
  <si>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</si>
  <si>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</si>
  <si>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</si>
  <si>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</si>
  <si>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t xml:space="preserve">Tokenomics 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</si>
  <si>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</si>
  <si>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</si>
  <si>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</si>
  <si>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</si>
  <si>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</si>
  <si>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</si>
  <si>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</si>
  <si>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</si>
  <si>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</si>
  <si>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</si>
  <si>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</si>
  <si>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</si>
  <si>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</si>
  <si>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</si>
  <si>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</si>
  <si>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</si>
  <si>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</si>
  <si>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</si>
  <si>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</si>
  <si>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</si>
  <si>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</si>
  <si>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收入對照（收入方法：備案 </t>
    </r>
    <r>
      <rPr>
        <b val="true"/>
        <sz val="10"/>
        <color rgb="FF1F3864"/>
        <rFont val="Arial"/>
        <family val="0"/>
        <charset val="1"/>
      </rPr>
      <t xml:space="preserve">legacy——</t>
    </r>
    <r>
      <rPr>
        <b val="true"/>
        <sz val="10"/>
        <color rgb="FF1F3864"/>
        <rFont val="Noto Sans CJK SC"/>
        <family val="2"/>
      </rPr>
      <t xml:space="preserve">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年收入為輸入，以下為對照列，不入損益）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</si>
  <si>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</si>
  <si>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</si>
  <si>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</si>
  <si>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</si>
  <si>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</si>
  <si>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</si>
  <si>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</si>
  <si>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</si>
  <si>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</si>
  <si>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</si>
  <si>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</si>
  <si>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</si>
  <si>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</si>
  <si>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</si>
  <si>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</si>
  <si>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</si>
  <si>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</si>
  <si>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</si>
  <si>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t xml:space="preserve">倍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</si>
  <si>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</si>
  <si>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</si>
  <si>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</si>
  <si>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</si>
  <si>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</si>
  <si>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</si>
  <si>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</si>
  <si>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</si>
  <si>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</si>
  <si>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</si>
  <si>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</si>
  <si>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</si>
  <si>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</si>
  <si>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</si>
  <si>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</si>
  <si>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</si>
  <si>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</si>
  <si>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</si>
  <si>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</si>
  <si>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</si>
  <si>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</si>
  <si>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</si>
  <si>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</si>
  <si>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</si>
  <si>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</si>
  <si>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</si>
  <si>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</si>
  <si>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</si>
  <si>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</si>
  <si>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</si>
  <si>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</si>
  <si>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</si>
  <si>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</si>
  <si>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</si>
  <si>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</si>
  <si>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</si>
  <si>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</si>
  <si>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</si>
  <si>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</si>
  <si>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</si>
  <si>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</si>
  <si>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</si>
  <si>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</si>
  <si>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</si>
  <si>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</si>
  <si>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</si>
  <si>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</si>
  <si>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</si>
  <si>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</si>
  <si>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</si>
  <si>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</si>
  <si>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</si>
  <si>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</si>
  <si>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</si>
  <si>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</si>
  <si>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</si>
  <si>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</si>
  <si>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</si>
  <si>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</si>
  <si>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</si>
  <si>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</si>
  <si>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</si>
  <si>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</si>
  <si>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</si>
  <si>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</si>
  <si>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</si>
  <si>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</si>
  <si>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</si>
  <si>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</si>
  <si>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</si>
  <si>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</si>
  <si>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</si>
  <si>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</si>
  <si>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</si>
  <si>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</si>
  <si>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</si>
  <si>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</si>
  <si>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</si>
  <si>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</si>
  <si>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</si>
  <si>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</si>
  <si>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</si>
  <si>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</si>
  <si>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</si>
  <si>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</si>
  <si>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</si>
  <si>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</si>
  <si>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</si>
  <si>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</si>
  <si>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</si>
  <si>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</si>
  <si>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</si>
  <si>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</si>
  <si>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</si>
  <si>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</si>
  <si>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</si>
  <si>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</si>
  <si>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</si>
  <si>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</si>
  <si>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</si>
  <si>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</si>
  <si>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</si>
  <si>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</si>
  <si>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</si>
  <si>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</si>
  <si>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</si>
  <si>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</si>
  <si>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</si>
  <si>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</si>
  <si>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</si>
  <si>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</si>
  <si>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</si>
  <si>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</si>
  <si>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</si>
  <si>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</si>
  <si>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</si>
  <si>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</si>
  <si>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</si>
  <si>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</si>
  <si>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</si>
  <si>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</si>
  <si>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</si>
  <si>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</si>
  <si>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</si>
  <si>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</si>
  <si>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</si>
  <si>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</si>
  <si>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</si>
  <si>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</si>
  <si>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</si>
  <si>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</si>
  <si>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</si>
  <si>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</si>
  <si>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</si>
  <si>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</si>
  <si>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</si>
  <si>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</si>
  <si>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</si>
  <si>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</si>
  <si>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</si>
  <si>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</si>
  <si>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</si>
  <si>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</si>
  <si>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</si>
  <si>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</si>
  <si>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</si>
  <si>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</si>
  <si>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</si>
  <si>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</si>
  <si>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</si>
  <si>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</si>
  <si>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</si>
  <si>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</si>
  <si>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</si>
  <si>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</si>
  <si>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</si>
  <si>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</si>
  <si>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</si>
  <si>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</si>
  <si>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</si>
  <si>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</si>
  <si>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</si>
  <si>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</si>
  <si>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</si>
  <si>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</si>
  <si>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</si>
  <si>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</si>
  <si>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</si>
  <si>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</si>
  <si>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</si>
  <si>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</si>
  <si>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</si>
  <si>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</si>
  <si>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</si>
  <si>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</si>
  <si>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</si>
  <si>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</si>
  <si>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</si>
  <si>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</si>
  <si>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</si>
  <si>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</si>
  <si>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</si>
  <si>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</si>
  <si>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</si>
  <si>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</si>
  <si>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</si>
  <si>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</si>
  <si>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</si>
  <si>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</si>
  <si>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</si>
  <si>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</si>
  <si>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</si>
  <si>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</si>
  <si>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</si>
  <si>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</si>
  <si>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</si>
  <si>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</si>
  <si>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</si>
  <si>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</si>
  <si>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</si>
  <si>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</si>
  <si>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</si>
  <si>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</si>
  <si>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</si>
  <si>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</si>
  <si>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</si>
  <si>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</si>
  <si>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</si>
  <si>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</si>
  <si>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</si>
  <si>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</si>
  <si>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</si>
  <si>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</si>
  <si>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</si>
  <si>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</si>
  <si>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</si>
  <si>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</si>
  <si>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</si>
  <si>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</si>
  <si>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</si>
  <si>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</si>
  <si>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</si>
  <si>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</si>
  <si>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</si>
  <si>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</si>
  <si>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</si>
  <si>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</si>
  <si>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</si>
  <si>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</si>
  <si>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</si>
  <si>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</si>
  <si>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</si>
  <si>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</si>
  <si>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</si>
  <si>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</si>
  <si>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</si>
  <si>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</si>
  <si>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</si>
  <si>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</si>
  <si>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</si>
  <si>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</si>
  <si>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</si>
  <si>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</si>
  <si>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</si>
  <si>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</si>
  <si>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</si>
  <si>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</si>
  <si>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</si>
  <si>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</si>
  <si>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</si>
  <si>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</si>
  <si>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</si>
  <si>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</si>
  <si>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</si>
  <si>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</si>
  <si>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</si>
  <si>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</si>
  <si>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</si>
  <si>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</si>
  <si>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</si>
  <si>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</si>
  <si>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</si>
  <si>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</si>
  <si>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</si>
  <si>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</si>
  <si>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</si>
  <si>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</si>
  <si>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</si>
  <si>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</si>
  <si>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</si>
  <si>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</si>
  <si>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</si>
  <si>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</si>
  <si>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</si>
  <si>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</si>
  <si>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</si>
  <si>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</si>
  <si>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</si>
  <si>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</si>
  <si>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</si>
  <si>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</si>
  <si>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</si>
  <si>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</si>
  <si>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</si>
  <si>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</si>
  <si>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</si>
  <si>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</si>
  <si>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</si>
  <si>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</si>
  <si>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</si>
  <si>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</si>
  <si>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</si>
  <si>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</si>
  <si>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</si>
  <si>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</si>
  <si>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</si>
  <si>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</si>
  <si>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</si>
  <si>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</si>
  <si>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</si>
  <si>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</si>
  <si>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</si>
  <si>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</si>
  <si>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</si>
  <si>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</si>
  <si>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</si>
  <si>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</si>
  <si>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</si>
  <si>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</si>
  <si>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</si>
  <si>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</si>
  <si>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</si>
  <si>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</si>
  <si>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</si>
  <si>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</si>
  <si>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</si>
  <si>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</si>
  <si>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</si>
  <si>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</si>
  <si>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</si>
  <si>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</si>
  <si>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</si>
  <si>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</si>
  <si>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</si>
  <si>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</si>
  <si>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</si>
  <si>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</si>
  <si>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</si>
  <si>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</si>
  <si>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</si>
  <si>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</si>
  <si>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</si>
  <si>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</si>
  <si>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</si>
  <si>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</si>
  <si>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</si>
  <si>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</si>
  <si>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</si>
  <si>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</si>
  <si>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</si>
  <si>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</si>
  <si>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</si>
  <si>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</si>
  <si>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</si>
  <si>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</si>
  <si>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</si>
  <si>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</si>
  <si>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</si>
  <si>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</si>
  <si>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</si>
  <si>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</si>
  <si>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</si>
  <si>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</si>
  <si>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</si>
  <si>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</si>
  <si>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</si>
  <si>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</si>
  <si>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</si>
  <si>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</si>
  <si>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</si>
  <si>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</si>
  <si>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</si>
  <si>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</si>
  <si>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</si>
  <si>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</si>
  <si>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</si>
  <si>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</si>
  <si>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</si>
  <si>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</si>
  <si>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</si>
  <si>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</si>
  <si>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</si>
  <si>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</si>
  <si>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</si>
  <si>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</si>
  <si>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</si>
  <si>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</si>
  <si>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</si>
  <si>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</si>
  <si>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</si>
  <si>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</si>
  <si>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</si>
  <si>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</si>
  <si>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</si>
  <si>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</si>
  <si>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</si>
  <si>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</si>
  <si>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</si>
  <si>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</si>
  <si>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</si>
  <si>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</si>
  <si>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</si>
  <si>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</si>
  <si>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</si>
  <si>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</si>
  <si>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</si>
  <si>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</si>
  <si>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</si>
  <si>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</si>
  <si>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</si>
  <si>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</si>
  <si>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</si>
  <si>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</si>
  <si>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</si>
  <si>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</si>
  <si>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</si>
  <si>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</si>
  <si>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</si>
  <si>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</si>
  <si>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</si>
  <si>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</si>
  <si>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</si>
  <si>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</si>
  <si>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</si>
  <si>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</si>
  <si>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</si>
  <si>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</si>
  <si>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</si>
  <si>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</si>
  <si>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</si>
  <si>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</si>
  <si>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</si>
  <si>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</si>
  <si>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</si>
  <si>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</si>
  <si>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</si>
  <si>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</si>
  <si>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</si>
  <si>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</si>
  <si>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</si>
  <si>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</si>
  <si>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</si>
  <si>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</si>
  <si>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</si>
  <si>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</si>
  <si>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</si>
  <si>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</si>
  <si>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</si>
  <si>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</si>
  <si>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</si>
  <si>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</si>
  <si>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</si>
  <si>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</si>
  <si>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</si>
  <si>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</si>
  <si>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</si>
  <si>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</si>
  <si>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</si>
  <si>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</si>
  <si>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</si>
  <si>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</si>
  <si>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</si>
  <si>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</si>
  <si>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</si>
  <si>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</si>
  <si>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</si>
  <si>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</si>
  <si>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</si>
  <si>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</si>
  <si>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</si>
  <si>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</si>
  <si>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</si>
  <si>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</si>
  <si>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</si>
  <si>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</si>
  <si>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</si>
  <si>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</si>
  <si>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</si>
  <si>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</si>
  <si>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</si>
  <si>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</si>
  <si>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</si>
  <si>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</si>
  <si>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</si>
  <si>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</si>
  <si>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</si>
  <si>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</si>
  <si>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</si>
  <si>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</si>
  <si>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</si>
  <si>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</si>
  <si>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</si>
  <si>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</si>
  <si>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</si>
  <si>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</si>
  <si>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</si>
  <si>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</si>
  <si>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</si>
  <si>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</si>
  <si>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</si>
  <si>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</si>
  <si>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</si>
  <si>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</si>
  <si>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</si>
  <si>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</si>
  <si>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</si>
  <si>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</si>
  <si>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</si>
  <si>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</si>
  <si>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</si>
  <si>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</si>
  <si>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</si>
  <si>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</si>
  <si>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</si>
  <si>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</si>
  <si>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v4.6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</si>
  <si>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</si>
  <si>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</si>
  <si>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</si>
  <si>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</si>
  <si>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</si>
  <si>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</si>
  <si>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</si>
  <si>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</si>
  <si>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</si>
  <si>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</si>
  <si>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</si>
  <si>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</si>
  <si>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</si>
  <si>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</si>
  <si>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</si>
  <si>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</si>
  <si>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</si>
  <si>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</si>
  <si>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</si>
  <si>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</si>
  <si>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</si>
  <si>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</si>
  <si>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</si>
  <si>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</si>
  <si>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</si>
  <si>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</si>
  <si>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</si>
  <si>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</si>
  <si>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</si>
  <si>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</si>
  <si>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</si>
  <si>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</si>
  <si>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</si>
  <si>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</si>
  <si>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</si>
  <si>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</si>
  <si>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</si>
  <si>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</si>
  <si>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</si>
  <si>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</si>
  <si>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</si>
  <si>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</si>
  <si>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</si>
  <si>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</si>
  <si>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</si>
  <si>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</si>
  <si>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</si>
  <si>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</si>
  <si>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</si>
  <si>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</si>
  <si>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</si>
  <si>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</si>
  <si>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</si>
  <si>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</si>
  <si>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</si>
  <si>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</si>
  <si>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</si>
  <si>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</si>
  <si>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</si>
  <si>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</si>
  <si>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</si>
  <si>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</si>
  <si>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</si>
  <si>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</si>
  <si>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</si>
  <si>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</si>
  <si>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</si>
  <si>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</si>
  <si>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</si>
  <si>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</si>
  <si>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</si>
  <si>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</si>
  <si>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</si>
  <si>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</si>
  <si>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</si>
  <si>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</si>
  <si>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</si>
  <si>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</si>
  <si>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</si>
  <si>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</si>
  <si>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</si>
  <si>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</si>
  <si>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</si>
  <si>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</si>
  <si>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</si>
  <si>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</si>
  <si>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</si>
  <si>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</si>
  <si>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</si>
  <si>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</si>
  <si>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</si>
  <si>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</si>
  <si>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</si>
  <si>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</si>
  <si>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</si>
  <si>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</si>
  <si>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</si>
  <si>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</si>
  <si>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</si>
  <si>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</si>
  <si>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</si>
  <si>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</si>
  <si>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</si>
  <si>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</si>
  <si>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</si>
  <si>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</si>
  <si>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</si>
  <si>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</si>
  <si>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</si>
  <si>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</si>
  <si>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</si>
  <si>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</si>
  <si>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</si>
  <si>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</si>
  <si>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</si>
  <si>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</si>
  <si>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</si>
  <si>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</si>
  <si>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</si>
  <si>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</si>
  <si>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</si>
  <si>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</si>
  <si>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</si>
  <si>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</si>
  <si>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</si>
  <si>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</si>
  <si>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20261007_Tokenomics_v5.26.xlsx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4074684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</si>
  <si>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</si>
  <si>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</si>
  <si>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</si>
  <si>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</si>
  <si>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</si>
  <si>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</si>
  <si>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</si>
  <si>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</si>
  <si>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</si>
  <si>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</si>
  <si>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</si>
  <si>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</si>
  <si>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</si>
  <si>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</si>
  <si>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</si>
  <si>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v5.26 · 4074684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</si>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</sst>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#,##0.000;\(#,##0.000\);\-"/>
    <numFmt numFmtId="173" formatCode="0.00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0.000%"/>
    <numFmt numFmtId="181" formatCode="0.00\x"/>
    <numFmt numFmtId="182" formatCode="0.0"/>
    <numFmt numFmtId="183" formatCode="0%"/>
    <numFmt numFmtId="184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29.6784724968844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輸入與假設!$C$165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-0.670714828615507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19.9489203041466</v>
      </c>
      <c r="D10" s="13" t="n">
        <f aca="false">評價_DCF與目標價!D62</f>
        <v>43.9927732107067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15.2100320467989</v>
      </c>
      <c r="D11" s="13" t="n">
        <f aca="false">評價_DCF與目標價!D64</f>
        <v>29.6784724968844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-46.9320275031156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$29.7，較現價 $90.13 低 67%；情境區間 $19.9–$44.0，方法區間 $15.2–$29.7；點位低於賣出門檻 $76.6 達 $46.9。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$44.0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經濟持有成本（含廠房資本回收的打平線）$"&amp;TEXT(每MW經濟性!D83,"0.0")&amp;"m 的 "&amp;TEXT(每MW經濟性!D84,"0.00")&amp;" 倍"&amp;IF(每MW經濟性!D84&lt;1,"，未回收全部持有成本","")&amp;"。"</f>
        <v>每 MW（FY27）：年收入 $10.6m、現金成本 $4.3m（含租金 $1.6m）、EBITDA $6.2m；計費單價為 Tokenomics 經濟持有成本（含廠房資本回收的打平線）$11.6m 的 0.99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13.066</v>
      </c>
      <c r="D20" s="11" t="n">
        <f aca="false">損益!D26</f>
        <v>26.1275</v>
      </c>
      <c r="E20" s="11" t="n">
        <f aca="false">損益!E26</f>
        <v>36.6694155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輸入與假設!$C$259</f>
        <v>12.882</v>
      </c>
      <c r="D21" s="11" t="n">
        <f aca="false">輸入與假設!$D$259</f>
        <v>26.376</v>
      </c>
      <c r="E21" s="11" t="n">
        <f aca="false">輸入與假設!$E$259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0.0142834963514982</v>
      </c>
      <c r="D22" s="14" t="n">
        <f aca="false">D20/D21-1</f>
        <v>-0.00942144373673048</v>
      </c>
      <c r="E22" s="14" t="n">
        <f aca="false">E20/E21-1</f>
        <v>-0.138204101057579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輸入與假設!$C$231+損益!C19</f>
        <v>7.52567694596192</v>
      </c>
      <c r="D23" s="11" t="n">
        <f aca="false">損益!D31</f>
        <v>15.4151399217952</v>
      </c>
      <c r="E23" s="11" t="n">
        <f aca="false">損益!E31</f>
        <v>22.1041134311729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輸入與假設!$C$260</f>
        <v>7.574</v>
      </c>
      <c r="D24" s="11" t="n">
        <f aca="false">輸入與假設!$D$260</f>
        <v>16.656</v>
      </c>
      <c r="E24" s="11" t="n">
        <f aca="false">輸入與假設!$E$260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-0.00638012332163751</v>
      </c>
      <c r="D25" s="14" t="n">
        <f aca="false">D23/D24-1</f>
        <v>-0.0744992842341984</v>
      </c>
      <c r="E25" s="14" t="n">
        <f aca="false">E23/E24-1</f>
        <v>-0.234012079177569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-0.0483230540380824</v>
      </c>
      <c r="D26" s="11" t="n">
        <f aca="false">D23-D24</f>
        <v>-1.24086007820481</v>
      </c>
      <c r="E26" s="11" t="n">
        <f aca="false">E23-E24</f>
        <v>-6.7528865688271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0.575974050662936</v>
      </c>
      <c r="D27" s="14" t="n">
        <f aca="false">D23/D20</f>
        <v>0.589996743729603</v>
      </c>
      <c r="E27" s="14" t="n">
        <f aca="false">E23/E20</f>
        <v>0.602794266823612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輸入與假設!$C$261</f>
        <v>0.588</v>
      </c>
      <c r="D28" s="14" t="n">
        <f aca="false">輸入與假設!$D$261</f>
        <v>0.632</v>
      </c>
      <c r="E28" s="14" t="n">
        <f aca="false">輸入與假設!$E$261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-0.0120259493370642</v>
      </c>
      <c r="D29" s="14" t="n">
        <f aca="false">D27-D28</f>
        <v>-0.0420032562703974</v>
      </c>
      <c r="E29" s="14" t="n">
        <f aca="false">E27-E28</f>
        <v>-0.0752057331763879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輸入與假設!$C$215+輸入與假設!C$137</f>
        <v>37.800888825</v>
      </c>
      <c r="D30" s="11" t="n">
        <f aca="false">輸入與假設!D$137</f>
        <v>42.29920882</v>
      </c>
      <c r="E30" s="11" t="n">
        <f aca="false">輸入與假設!E$137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輸入與假設!$C$266</f>
        <v>35.953</v>
      </c>
      <c r="D31" s="11" t="n">
        <f aca="false">輸入與假設!$D$266</f>
        <v>46.476</v>
      </c>
      <c r="E31" s="11" t="n">
        <f aca="false">輸入與假設!$E$266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0.0513973472311073</v>
      </c>
      <c r="D32" s="14" t="n">
        <f aca="false">D30/D31-1</f>
        <v>-0.0898698506756176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46.2977917845754</v>
      </c>
      <c r="D33" s="11" t="n">
        <f aca="false">資產負債_新債與新股!D22</f>
        <v>77.3166347816497</v>
      </c>
      <c r="E33" s="11" t="n">
        <f aca="false">資產負債_新債與新股!E22</f>
        <v>94.1030314836808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輸入與假設!$C$268</f>
        <v>46.442</v>
      </c>
      <c r="D34" s="11" t="n">
        <f aca="false">輸入與假設!$D$268</f>
        <v>74.707</v>
      </c>
      <c r="E34" s="11" t="n">
        <f aca="false">輸入與假設!$E$268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-0.00310512500375915</v>
      </c>
      <c r="D35" s="14" t="n">
        <f aca="false">D33/D34-1</f>
        <v>0.0349315965257568</v>
      </c>
      <c r="E35" s="14" t="n">
        <f aca="false">E33/E34-1</f>
        <v>-0.0201581494634386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-0.144208215424584</v>
      </c>
      <c r="D36" s="11" t="n">
        <f aca="false">D33-D34</f>
        <v>2.60963478164972</v>
      </c>
      <c r="E36" s="11" t="n">
        <f aca="false">E33-E34</f>
        <v>-1.93596851631918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MID(IF(ABS(C22)&gt;輸入與假設!$C$301,"、營收 "&amp;IF(C22&lt;0,"−","+")&amp;TEXT(ABS(C22)*100,"0.0")&amp;"%","")&amp;IF(ABS(C25)&gt;輸入與假設!$C$301,"、EBITDA "&amp;IF(C26&lt;0,"−","+")&amp;"$"&amp;TEXT(ABS(C26),"#,##0.00")&amp;"bn"&amp;"／"&amp;IF(C29&lt;0,"−","+")&amp;TEXT(ABS(C29)*100,"0.0")&amp;"pt","")&amp;IF(ABS(C32)&gt;輸入與假設!$C$301,"、CapEx "&amp;IF(C32&lt;0,"−","+")&amp;TEXT(ABS(C32)*100,"0.0")&amp;"%",""),2,999)</f>
        <v>CapEx +5.1%</v>
      </c>
      <c r="D37" s="11" t="str">
        <f aca="false">MID(IF(ABS(D22)&gt;輸入與假設!$C$301,"、營收 "&amp;IF(D22&lt;0,"−","+")&amp;TEXT(ABS(D22)*100,"0.0")&amp;"%","")&amp;IF(ABS(D25)&gt;輸入與假設!$C$301,"、EBITDA "&amp;IF(D26&lt;0,"−","+")&amp;"$"&amp;TEXT(ABS(D26),"#,##0.00")&amp;"bn"&amp;"／"&amp;IF(D29&lt;0,"−","+")&amp;TEXT(ABS(D29)*100,"0.0")&amp;"pt","")&amp;IF(ABS(D32)&gt;輸入與假設!$C$301,"、CapEx "&amp;IF(D32&lt;0,"−","+")&amp;TEXT(ABS(D32)*100,"0.0")&amp;"%",""),2,999)</f>
        <v>EBITDA −$1.24bn／−4.2pt、CapEx −9.0%</v>
      </c>
      <c r="E37" s="11" t="str">
        <f aca="false">MID(IF(ABS(E22)&gt;輸入與假設!$C$301,"、營收 "&amp;IF(E22&lt;0,"−","+")&amp;TEXT(ABS(E22)*100,"0.0")&amp;"%","")&amp;IF(ABS(E25)&gt;輸入與假設!$C$301,"、EBITDA "&amp;IF(E26&lt;0,"−","+")&amp;"$"&amp;TEXT(ABS(E26),"#,##0.00")&amp;"bn"&amp;"／"&amp;IF(E29&lt;0,"−","+")&amp;TEXT(ABS(E29)*100,"0.0")&amp;"pt","")&amp;IF(ABS(E32)&gt;輸入與假設!$C$301,"、CapEx "&amp;IF(E32&lt;0,"−","+")&amp;TEXT(ABS(E32)*100,"0.0")&amp;"%",""),2,999)</f>
        <v>營收 −13.8%、EBITDA −$6.75bn／−7.5pt、CapEx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"&amp;IF(ROUND(ABS(輸入與假設!$C$301)*100,4)=INT(ROUND(ABS(輸入與假設!$C$301)*100,4)),TEXT(ROUND(ABS(輸入與假設!$C$301)*100,4),"0"),TEXT(ROUND(ABS(輸入與假設!$C$301)*100,4),"0.0"))&amp;"%"&amp;" 以內。","分歧始於 FY26（"&amp;C37&amp;"）"&amp;"；FY27 "&amp;IF(D37="","回到 "&amp;IF(ROUND(ABS(輸入與假設!$C$301)*100,4)=INT(ROUND(ABS(輸入與假設!$C$301)*100,4)),TEXT(ROUND(ABS(輸入與假設!$C$301)*100,4),"0"),TEXT(ROUND(ABS(輸入與假設!$C$301)*100,4),"0.0"))&amp;"%"&amp;" 以內",D37)&amp;"；FY28 "&amp;IF(E37="","回到 "&amp;IF(ROUND(ABS(輸入與假設!$C$301)*100,4)=INT(ROUND(ABS(輸入與假設!$C$301)*100,4)),TEXT(ROUND(ABS(輸入與假設!$C$301)*100,4),"0"),TEXT(ROUND(ABS(輸入與假設!$C$301)*100,4),"0.0"))&amp;"%"&amp;" 以內",E37)&amp;"。","FY26 營收、EBITDA、CapEx 與共識差距在 "&amp;IF(ROUND(ABS(輸入與假設!$C$301)*100,4)=INT(ROUND(ABS(輸入與假設!$C$301)*100,4)),TEXT(ROUND(ABS(輸入與假設!$C$301)*100,4),"0"),TEXT(ROUND(ABS(輸入與假設!$C$301)*100,4),"0.0"))&amp;"%"&amp;" 以內；分歧始於 FY27（"&amp;D37&amp;"）"&amp;"；FY28 "&amp;IF(E37="","回到 "&amp;IF(ROUND(ABS(輸入與假設!$C$301)*100,4)=INT(ROUND(ABS(輸入與假設!$C$301)*100,4)),TEXT(ROUND(ABS(輸入與假設!$C$301)*100,4),"0"),TEXT(ROUND(ABS(輸入與假設!$C$301)*100,4),"0.0"))&amp;"%"&amp;" 以內",E37)&amp;"。","FY26–FY27 營收、EBITDA、CapEx 與共識差距在 "&amp;IF(ROUND(ABS(輸入與假設!$C$301)*100,4)=INT(ROUND(ABS(輸入與假設!$C$301)*100,4)),TEXT(ROUND(ABS(輸入與假設!$C$301)*100,4),"0"),TEXT(ROUND(ABS(輸入與假設!$C$301)*100,4),"0.0"))&amp;"%"&amp;" 以內；分歧始於 FY28（"&amp;E37&amp;"）。")</f>
        <v>分歧始於 FY26（CapEx +5.1%）；FY27 EBITDA −$1.24bn／−4.2pt、CapEx −9.0%；FY28 營收 −13.8%、EBITDA −$6.75bn／−7.5pt、CapEx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IF(ABS(C29)&gt;輸入與假設!$C$302,"觀點","")</f>
        <v/>
      </c>
      <c r="D40" s="11" t="str">
        <f aca="false">IF(ABS(C29)&gt;輸入與假設!$C$302,"EBITDA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IF(ABS(C32)&gt;輸入與假設!$C$301,"觀點","")</f>
        <v>觀點</v>
      </c>
      <c r="D41" s="11" t="str">
        <f aca="false">IF(ABS(C32)&gt;輸入與假設!$C$301,"CapEx 依新增 MW 計算：新增 "&amp;IF((輸入與假設!C$130)&lt;0,"−","")&amp;TEXT(ABS((輸入與假設!C$130)),"#,##0")&amp;" MW × Tokenomics 每 MW $"&amp;IF((輸入與假設!C$120)&lt;0,"−","")&amp;TEXT(ABS((輸入與假設!C$120)),"#,##0")&amp;"m（IF_CapexIT × 新增世代，含次年預建）；共識口徑未揭露","")</f>
        <v>CapEx 依新增 MW 計算：新增 1,000 MW × Tokenomics 每 MW $35m（IF_CapexIT × 新增世代，含次年預建）；共識口徑未揭露</v>
      </c>
    </row>
    <row r="42" customFormat="false" ht="15" hidden="false" customHeight="false" outlineLevel="1" collapsed="false">
      <c r="A42" s="3" t="s">
        <v>123</v>
      </c>
      <c r="C42" s="11" t="str">
        <f aca="false">IF(ABS(C35)&gt;輸入與假設!$C$301,"觀點","")</f>
        <v/>
      </c>
      <c r="D42" s="11" t="str">
        <f aca="false">IF(ABS(C35)&gt;輸入與假設!$C$301,"淨負債隨 CapEx 與融資需求而定（模型 CapEx 差距 "&amp;IF((C32)&lt;0,"−","+")&amp;TEXT(ABS((C32))*100,"#,##0.0")&amp;"%"&amp;"）；共識淨負債不含租賃、口徑未揭露","")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IF(ABS(D29)&gt;輸入與假設!$C$302,"觀點","")</f>
        <v>觀點</v>
      </c>
      <c r="D43" s="11" t="str">
        <f aca="false">IF(ABS(D29)&gt;輸入與假設!$C$302,"EBITDA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59.0% 對共識 63.2%：模型改為由下而上（Tokenomics 電費與維護 × 平均在役 MW＋管銷率，再扣租金），不含爬坡期閒置產能與未揭露成本；營收差距 −0.9%</v>
      </c>
    </row>
    <row r="44" customFormat="false" ht="15" hidden="false" customHeight="false" outlineLevel="1" collapsed="false">
      <c r="A44" s="3" t="s">
        <v>125</v>
      </c>
      <c r="C44" s="11" t="str">
        <f aca="false">IF(ABS(D32)&gt;輸入與假設!$C$301,"觀點","")</f>
        <v>觀點</v>
      </c>
      <c r="D44" s="11" t="str">
        <f aca="false">IF(ABS(D32)&gt;輸入與假設!$C$301,"CapEx 依新增 MW 計算：新增 "&amp;IF((輸入與假設!D$130)&lt;0,"−","")&amp;TEXT(ABS((輸入與假設!D$130)),"#,##0")&amp;" MW × 每 MW $"&amp;IF((輸入與假設!D$120)&lt;0,"−","")&amp;TEXT(ABS((輸入與假設!D$120)),"#,##0")&amp;"m（含次年預建）；共識口徑未揭露","")</f>
        <v>CapEx 依新增 MW 計算：新增 1,250 MW × 每 MW $38m（含次年預建）；共識口徑未揭露</v>
      </c>
    </row>
    <row r="45" customFormat="false" ht="15" hidden="false" customHeight="false" outlineLevel="1" collapsed="false">
      <c r="A45" s="3" t="s">
        <v>126</v>
      </c>
      <c r="C45" s="11" t="str">
        <f aca="false">IF(ABS(D35)&gt;輸入與假設!$C$301,"觀點","")</f>
        <v/>
      </c>
      <c r="D45" s="11" t="str">
        <f aca="false">IF(ABS(D35)&gt;輸入與假設!$C$301,"淨負債隨 CapEx 與融資需求而定（模型 CapEx 差距 "&amp;IF((D32)&lt;0,"−","+")&amp;TEXT(ABS((D32))*100,"#,##0.0")&amp;"%"&amp;"）；共識淨負債不含租賃、口徑未揭露","")</f>
        <v/>
      </c>
    </row>
    <row r="46" customFormat="false" ht="15" hidden="false" customHeight="false" outlineLevel="1" collapsed="false">
      <c r="A46" s="3" t="s">
        <v>127</v>
      </c>
      <c r="C46" s="11" t="str">
        <f aca="false">IF(ABS(E22)&gt;輸入與假設!$C$301,"觀點","")</f>
        <v>觀點</v>
      </c>
      <c r="D46" s="11" t="str">
        <f aca="false">IF(ABS(E22)&gt;輸入與假設!$C$301,"營收由模型 MW 路徑決定：FY28 年底 Accepted "&amp;IF((輸入與假設!E$26)&lt;0,"−","")&amp;TEXT(ABS((輸入與假設!E$26)),"#,##0")&amp;" MW（目前情境）；共識未揭露 MW 假設","")</f>
        <v>營收由模型 MW 路徑決定：FY28 年底 Accepted 4,000 MW（目前情境）；共識未揭露 MW 假設</v>
      </c>
    </row>
    <row r="47" customFormat="false" ht="15" hidden="false" customHeight="false" outlineLevel="1" collapsed="false">
      <c r="A47" s="3" t="s">
        <v>128</v>
      </c>
      <c r="C47" s="11" t="str">
        <f aca="false">IF(ABS(E29)&gt;輸入與假設!$C$302,"觀點","")</f>
        <v>觀點</v>
      </c>
      <c r="D47" s="11" t="str">
        <f aca="false">IF(ABS(E29)&gt;輸入與假設!$C$302,"EBITDA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60.3% 對共識 67.8%：模型改為由下而上（Tokenomics 電費與維護 × 平均在役 MW＋管銷率，再扣租金），不含爬坡期閒置產能與未揭露成本；營收差距 −13.8%</v>
      </c>
    </row>
    <row r="48" customFormat="false" ht="15" hidden="false" customHeight="false" outlineLevel="1" collapsed="false">
      <c r="A48" s="3" t="s">
        <v>129</v>
      </c>
      <c r="C48" s="11" t="str">
        <f aca="false">IF(ABS(E32)&gt;輸入與假設!$C$301,"觀點","")</f>
        <v>觀點</v>
      </c>
      <c r="D48" s="11" t="str">
        <f aca="false">IF(ABS(E32)&gt;輸入與假設!$C$301,"CapEx 依新增 MW 計算：新增 "&amp;IF((輸入與假設!E$130)&lt;0,"−","")&amp;TEXT(ABS((輸入與假設!E$130)),"#,##0")&amp;" MW × 每 MW $"&amp;IF((輸入與假設!E$120)&lt;0,"−","")&amp;TEXT(ABS((輸入與假設!E$120)),"#,##0")&amp;"m（含次年預建）；共識口徑未揭露","")</f>
        <v>CapEx 依新增 MW 計算：新增 900 MW × 每 MW $38m（含次年預建）；共識口徑未揭露</v>
      </c>
    </row>
    <row r="49" customFormat="false" ht="15" hidden="false" customHeight="false" outlineLevel="1" collapsed="false">
      <c r="A49" s="3" t="s">
        <v>130</v>
      </c>
      <c r="C49" s="11" t="str">
        <f aca="false">IF(ABS(E35)&gt;輸入與假設!$C$301,"觀點","")</f>
        <v/>
      </c>
      <c r="D49" s="11" t="str">
        <f aca="false">IF(ABS(E35)&gt;輸入與假設!$C$301,"淨負債隨 CapEx 與融資需求而定（模型 CapEx 差距 "&amp;IF((E32)&lt;0,"−","+")&amp;TEXT(ABS((E32))*100,"#,##0.0")&amp;"%"&amp;"）；共識淨負債不含租賃、口徑未揭露","")</f>
        <v/>
      </c>
    </row>
    <row r="50" customFormat="false" ht="15" hidden="false" customHeight="false" outlineLevel="1" collapsed="false">
      <c r="A50" s="3" t="s">
        <v>131</v>
      </c>
      <c r="C50" s="10" t="n">
        <f aca="false">SUMPRODUCT(--(ABS(C22:E22)&gt;輸入與假設!$C$301))+SUMPRODUCT(--(ABS(C29:E29)&gt;輸入與假設!$C$302))+SUMPRODUCT(--(ABS(C32:E32)&gt;輸入與假設!$C$301))+SUMPRODUCT(--(ABS(C35:E35)&gt;輸入與假設!$C$301))</f>
        <v>6</v>
      </c>
      <c r="I50" s="7" t="s">
        <v>132</v>
      </c>
    </row>
    <row r="51" customFormat="false" ht="15" hidden="false" customHeight="false" outlineLevel="1" collapsed="false">
      <c r="A51" s="3" t="s">
        <v>133</v>
      </c>
      <c r="C51" s="11" t="str">
        <f aca="false">IF(C50=0,"","需附原因的 "&amp;C50&amp;" 項差距："&amp;MID(IF((COUNTIF(C40,"觀點")+COUNTIF(C41,"觀點")+COUNTIF(C42,"觀點")+COUNTIF(C43,"觀點")+COUNTIF(C44,"觀點")+COUNTIF(C45,"觀點")+COUNTIF(C46,"觀點")+COUNTIF(C47,"觀點")+COUNTIF(C48,"觀點")+COUNTIF(C49,"觀點"))&gt;0,"、觀點 "&amp;(COUNTIF(C40,"觀點")+COUNTIF(C41,"觀點")+COUNTIF(C42,"觀點")+COUNTIF(C43,"觀點")+COUNTIF(C44,"觀點")+COUNTIF(C45,"觀點")+COUNTIF(C46,"觀點")+COUNTIF(C47,"觀點")+COUNTIF(C48,"觀點")+COUNTIF(C49,"觀點"))&amp;" 項","")&amp;IF((COUNTIF(C40,"拆法")+COUNTIF(C41,"拆法")+COUNTIF(C42,"拆法")+COUNTIF(C43,"拆法")+COUNTIF(C44,"拆法")+COUNTIF(C45,"拆法")+COUNTIF(C46,"拆法")+COUNTIF(C47,"拆法")+COUNTIF(C48,"拆法")+COUNTIF(C49,"拆法"))&gt;0,"、拆法 "&amp;(COUNTIF(C40,"拆法")+COUNTIF(C41,"拆法")+COUNTIF(C42,"拆法")+COUNTIF(C43,"拆法")+COUNTIF(C44,"拆法")+COUNTIF(C45,"拆法")+COUNTIF(C46,"拆法")+COUNTIF(C47,"拆法")+COUNTIF(C48,"拆法")+COUNTIF(C49,"拆法"))&amp;"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)&amp;" 項","")&amp;IF((C50-((COUNTIF(C40,"觀點")+COUNTIF(C41,"觀點")+COUNTIF(C42,"觀點")+COUNTIF(C43,"觀點")+COUNTIF(C44,"觀點")+COUNTIF(C45,"觀點")+COUNTIF(C46,"觀點")+COUNTIF(C47,"觀點")+COUNTIF(C48,"觀點")+COUNTIF(C49,"觀點"))+(COUNTIF(C40,"拆法")+COUNTIF(C41,"拆法")+COUNTIF(C42,"拆法")+COUNTIF(C43,"拆法")+COUNTIF(C44,"拆法")+COUNTIF(C45,"拆法")+COUNTIF(C46,"拆法")+COUNTIF(C47,"拆法")+COUNTIF(C48,"拆法")+COUNTIF(C49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)))&gt;0,"、未歸類 "&amp;(C50-((COUNTIF(C40,"觀點")+COUNTIF(C41,"觀點")+COUNTIF(C42,"觀點")+COUNTIF(C43,"觀點")+COUNTIF(C44,"觀點")+COUNTIF(C45,"觀點")+COUNTIF(C46,"觀點")+COUNTIF(C47,"觀點")+COUNTIF(C48,"觀點")+COUNTIF(C49,"觀點"))+(COUNTIF(C40,"拆法")+COUNTIF(C41,"拆法")+COUNTIF(C42,"拆法")+COUNTIF(C43,"拆法")+COUNTIF(C44,"拆法")+COUNTIF(C45,"拆法")+COUNTIF(C46,"拆法")+COUNTIF(C47,"拆法")+COUNTIF(C48,"拆法")+COUNTIF(C49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)))&amp;" 項",""),2,999)&amp;"；原因見「損益與評價 → 市場共識」。")</f>
        <v>需附原因的 6 項差距：觀點 6 項；原因見「損益與評價 → 市場共識」。</v>
      </c>
      <c r="I51" s="7" t="s">
        <v>134</v>
      </c>
    </row>
    <row r="53" customFormat="false" ht="15" hidden="false" customHeight="false" outlineLevel="0" collapsed="false">
      <c r="A53" s="8" t="s">
        <v>135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136</v>
      </c>
      <c r="B54" s="12" t="s">
        <v>137</v>
      </c>
      <c r="C54" s="17" t="n">
        <f aca="false">(輸入與假設!$C$242*輸入與假設!$C$166+輸入與假設!$E$268)/輸入與假設!$E$260</f>
        <v>6.19241327927366</v>
      </c>
      <c r="I54" s="7" t="s">
        <v>138</v>
      </c>
    </row>
    <row r="55" customFormat="false" ht="15" hidden="false" customHeight="false" outlineLevel="1" collapsed="false">
      <c r="A55" s="3" t="s">
        <v>139</v>
      </c>
      <c r="B55" s="12" t="s">
        <v>137</v>
      </c>
      <c r="C55" s="17" t="n">
        <f aca="false">(輸入與假設!$C$165*輸入與假設!$C$166+輸入與假設!$E$268)/輸入與假設!$E$260</f>
        <v>5.16149669057768</v>
      </c>
      <c r="I55" s="7" t="s">
        <v>140</v>
      </c>
    </row>
    <row r="56" customFormat="false" ht="15" hidden="false" customHeight="false" outlineLevel="1" collapsed="false">
      <c r="A56" s="3" t="s">
        <v>141</v>
      </c>
      <c r="B56" s="12" t="s">
        <v>137</v>
      </c>
      <c r="C56" s="17" t="n">
        <f aca="false">MAX(輸入與假設!$C$179,輸入與假設!$C$180)</f>
        <v>6</v>
      </c>
      <c r="I56" s="7" t="s">
        <v>142</v>
      </c>
    </row>
    <row r="57" customFormat="false" ht="15" hidden="false" customHeight="false" outlineLevel="1" collapsed="false">
      <c r="A57" s="2" t="s">
        <v>143</v>
      </c>
      <c r="C57" s="11" t="str">
        <f aca="false">"共識平均目標價 $"&amp;TEXT(輸入與假設!$C$242,"0.00")&amp;" 隱含 FY28 EV/EBITDA "&amp;TEXT(C54,"0.0")&amp;"x，"&amp;IF(ROUND(C54,1)&gt;C56,"高於",IF(ROUND(C54,1)&lt;C56,"低於","等於"))&amp;"模型方法區間上緣 "&amp;IF(C56=INT(C56),TEXT(C56,"0"),TEXT(C56,"0.0"))&amp;"x；現價 $"&amp;TEXT(輸入與假設!$C$165,"0.00")&amp;" 隱含 "&amp;TEXT(C55,"0.0")&amp;"x。"</f>
        <v>共識平均目標價 $140.81 隱含 FY28 EV/EBITDA 6.2x，高於模型方法區間上緣 6x；現價 $90.13 隱含 5.2x。</v>
      </c>
    </row>
    <row r="58" customFormat="false" ht="15" hidden="false" customHeight="false" outlineLevel="1" collapsed="false">
      <c r="A58" s="3" t="s">
        <v>144</v>
      </c>
      <c r="C58" s="18" t="n">
        <f aca="false">評價_反向DCF!B18</f>
        <v>10.5</v>
      </c>
      <c r="D58" s="18" t="n">
        <f aca="false">評價_反向DCF!C18</f>
        <v>16.7538</v>
      </c>
      <c r="E58" s="14" t="n">
        <f aca="false">評價_反向DCF!D18</f>
        <v>0.5956</v>
      </c>
      <c r="I58" s="7" t="s">
        <v>145</v>
      </c>
    </row>
    <row r="59" customFormat="false" ht="15" hidden="false" customHeight="false" outlineLevel="1" collapsed="false">
      <c r="A59" s="3" t="s">
        <v>146</v>
      </c>
      <c r="C59" s="18" t="n">
        <f aca="false">評價_反向DCF!B19</f>
        <v>37.5864</v>
      </c>
      <c r="D59" s="18" t="n">
        <f aca="false">評價_反向DCF!C19</f>
        <v>14.8946</v>
      </c>
      <c r="E59" s="14" t="n">
        <f aca="false">評價_反向DCF!D19</f>
        <v>-0.6037</v>
      </c>
    </row>
    <row r="60" customFormat="false" ht="15" hidden="false" customHeight="false" outlineLevel="1" collapsed="false">
      <c r="A60" s="3" t="s">
        <v>147</v>
      </c>
      <c r="C60" s="14" t="n">
        <f aca="false">評價_反向DCF!B20</f>
        <v>0.5691</v>
      </c>
      <c r="D60" s="14" t="n">
        <f aca="false">評價_反向DCF!C20</f>
        <v>0.9118</v>
      </c>
      <c r="E60" s="14" t="n">
        <f aca="false">評價_反向DCF!D20</f>
        <v>0.3427</v>
      </c>
    </row>
    <row r="61" customFormat="false" ht="15" hidden="false" customHeight="false" outlineLevel="1" collapsed="false">
      <c r="A61" s="3" t="s">
        <v>148</v>
      </c>
      <c r="C61" s="18" t="n">
        <f aca="false">評價_反向DCF!B21</f>
        <v>10.5</v>
      </c>
      <c r="D61" s="18" t="n">
        <f aca="false">評價_反向DCF!C21</f>
        <v>14.1575</v>
      </c>
      <c r="E61" s="14" t="n">
        <f aca="false">評價_反向DCF!D21</f>
        <v>0.3483</v>
      </c>
    </row>
    <row r="63" customFormat="false" ht="15" hidden="false" customHeight="false" outlineLevel="0" collapsed="false">
      <c r="A63" s="8" t="s">
        <v>149</v>
      </c>
      <c r="B63" s="9"/>
      <c r="C63" s="9"/>
      <c r="D63" s="9"/>
      <c r="E63" s="9"/>
      <c r="F63" s="9"/>
      <c r="G63" s="9"/>
      <c r="H63" s="9"/>
    </row>
    <row r="64" customFormat="false" ht="15" hidden="false" customHeight="false" outlineLevel="1" collapsed="false">
      <c r="A64" s="3" t="s">
        <v>150</v>
      </c>
      <c r="C64" s="11" t="str">
        <f aca="false">季度追蹤!C12</f>
        <v>Q3'26</v>
      </c>
      <c r="I64" s="7" t="s">
        <v>151</v>
      </c>
    </row>
    <row r="65" customFormat="false" ht="15" hidden="false" customHeight="false" outlineLevel="1" collapsed="false">
      <c r="A65" s="3" t="s">
        <v>152</v>
      </c>
      <c r="B65" s="12" t="s">
        <v>93</v>
      </c>
      <c r="C65" s="11" t="n">
        <f aca="false">季度追蹤!C6</f>
        <v>3.66266666666667</v>
      </c>
      <c r="D65" s="11" t="n">
        <f aca="false">季度追蹤!D6</f>
        <v>3.541</v>
      </c>
      <c r="E65" s="11" t="n">
        <f aca="false">季度追蹤!F6</f>
        <v>3.45</v>
      </c>
      <c r="F65" s="11" t="n">
        <f aca="false">季度追蹤!G6</f>
        <v>3.6</v>
      </c>
      <c r="G65" s="11" t="str">
        <f aca="false">季度追蹤!I6</f>
        <v>待公布</v>
      </c>
      <c r="I65" s="7" t="s">
        <v>153</v>
      </c>
    </row>
    <row r="66" customFormat="false" ht="15" hidden="false" customHeight="false" outlineLevel="1" collapsed="false">
      <c r="A66" s="2" t="s">
        <v>154</v>
      </c>
      <c r="C66" s="11" t="str">
        <f aca="false">INDEX(季度追蹤!$C$139:$H$139,輸入與假設!$C$307)</f>
        <v>營收：模型 $3.66bn｜共識 $3.54bn（+3.4%）｜指引 $3.45–3.60bn（中點 +3.9%，高於上緣）〔觀點〕</v>
      </c>
    </row>
    <row r="67" customFormat="false" ht="15" hidden="false" customHeight="false" outlineLevel="1" collapsed="false">
      <c r="A67" s="3" t="s">
        <v>155</v>
      </c>
      <c r="B67" s="12" t="s">
        <v>93</v>
      </c>
      <c r="C67" s="11" t="n">
        <f aca="false">季度追蹤!C9</f>
        <v>-0.0660420191099291</v>
      </c>
      <c r="D67" s="11" t="str">
        <f aca="false">季度追蹤!D9</f>
        <v>不適用</v>
      </c>
      <c r="E67" s="11" t="n">
        <f aca="false">季度追蹤!F9</f>
        <v>0.2</v>
      </c>
      <c r="F67" s="11" t="n">
        <f aca="false">季度追蹤!G9</f>
        <v>0.26</v>
      </c>
      <c r="G67" s="11" t="str">
        <f aca="false">季度追蹤!I9</f>
        <v>待公布</v>
      </c>
      <c r="I67" s="7" t="s">
        <v>153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INDEX(季度追蹤!$C$142:$H$142,輸入與假設!$C$307)</f>
        <v>調整後營業利益：模型 −$0.07bn｜指引 $0.20–0.26bn（中點 −$0.30bn／−8.3pt，低於下緣）〔已知限制〕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季度追蹤!C10</f>
        <v>12.5</v>
      </c>
      <c r="D69" s="11" t="str">
        <f aca="false">季度追蹤!D10</f>
        <v>不適用</v>
      </c>
      <c r="E69" s="11" t="n">
        <f aca="false">季度追蹤!F10</f>
        <v>11.5</v>
      </c>
      <c r="F69" s="11" t="n">
        <f aca="false">季度追蹤!G10</f>
        <v>13.5</v>
      </c>
      <c r="G69" s="11" t="str">
        <f aca="false">季度追蹤!I10</f>
        <v>待公布</v>
      </c>
      <c r="I69" s="7" t="s">
        <v>153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INDEX(季度追蹤!$C$143:$H$143,輸入與假設!$C$307)</f>
        <v>CapEx（毛額）：模型 $12.50bn｜指引 $11.50–13.50bn（中點 +0.0%，區間上半部）</v>
      </c>
    </row>
    <row r="71" customFormat="false" ht="15" hidden="false" customHeight="false" outlineLevel="1" collapsed="false">
      <c r="A71" s="3" t="s">
        <v>159</v>
      </c>
      <c r="B71" s="7" t="s">
        <v>160</v>
      </c>
      <c r="C71" s="10" t="n">
        <f aca="false">輸入與假設!$C$252</f>
        <v>21</v>
      </c>
      <c r="D71" s="10" t="n">
        <f aca="false">輸入與假設!$C$253</f>
        <v>7</v>
      </c>
      <c r="E71" s="10" t="n">
        <f aca="false">輸入與假設!$C$254</f>
        <v>9</v>
      </c>
      <c r="F71" s="10" t="n">
        <f aca="false">輸入與假設!$C$255</f>
        <v>1</v>
      </c>
      <c r="G71" s="10" t="n">
        <f aca="false">輸入與假設!$C$256</f>
        <v>2</v>
      </c>
      <c r="I71" s="12" t="s">
        <v>161</v>
      </c>
    </row>
    <row r="72" customFormat="false" ht="15" hidden="false" customHeight="false" outlineLevel="1" collapsed="false">
      <c r="A72" s="3" t="s">
        <v>162</v>
      </c>
      <c r="B72" s="12" t="s">
        <v>74</v>
      </c>
      <c r="C72" s="13" t="n">
        <f aca="false">輸入與假設!$C$242</f>
        <v>140.81</v>
      </c>
      <c r="D72" s="13" t="n">
        <f aca="false">輸入與假設!$C$243</f>
        <v>140</v>
      </c>
      <c r="E72" s="13" t="n">
        <f aca="false">輸入與假設!$C$244</f>
        <v>39</v>
      </c>
      <c r="F72" s="13" t="n">
        <f aca="false">輸入與假設!$C$245</f>
        <v>317</v>
      </c>
      <c r="I72" s="12" t="s">
        <v>163</v>
      </c>
    </row>
    <row r="73" customFormat="false" ht="15" hidden="false" customHeight="false" outlineLevel="1" collapsed="false"/>
    <row r="74" customFormat="false" ht="15" hidden="false" customHeight="false" outlineLevel="1" collapsed="false">
      <c r="A74" s="7" t="s">
        <v>164</v>
      </c>
    </row>
    <row r="75" customFormat="false" ht="15" hidden="false" customHeight="false" outlineLevel="1" collapsed="false">
      <c r="A75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166</v>
      </c>
    </row>
    <row r="2" customFormat="false" ht="15" hidden="false" customHeight="false" outlineLevel="0" collapsed="false">
      <c r="A2" s="12" t="s">
        <v>167</v>
      </c>
    </row>
    <row r="4" customFormat="false" ht="15" hidden="false" customHeight="false" outlineLevel="0" collapsed="false">
      <c r="A4" s="8" t="s">
        <v>168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169</v>
      </c>
      <c r="C5" s="19" t="n">
        <v>2</v>
      </c>
      <c r="D5" s="2" t="str">
        <f aca="false">CHOOSE(C5,"保守 4.2 GW","基準 5.6 GW","積極 8 GW")</f>
        <v>基準 5.6 GW</v>
      </c>
      <c r="I5" s="7" t="s">
        <v>170</v>
      </c>
    </row>
    <row r="6" customFormat="false" ht="15" hidden="false" customHeight="false" outlineLevel="1" collapsed="false">
      <c r="A6" s="20" t="s">
        <v>171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172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173</v>
      </c>
      <c r="G7" s="16" t="s">
        <v>174</v>
      </c>
      <c r="I7" s="16" t="s">
        <v>175</v>
      </c>
    </row>
    <row r="8" customFormat="false" ht="15" hidden="false" customHeight="false" outlineLevel="2" collapsed="false">
      <c r="A8" s="3" t="s">
        <v>176</v>
      </c>
      <c r="B8" s="12" t="s">
        <v>177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178</v>
      </c>
    </row>
    <row r="9" customFormat="false" ht="15" hidden="false" customHeight="false" outlineLevel="2" collapsed="false">
      <c r="A9" s="3" t="s">
        <v>179</v>
      </c>
      <c r="B9" s="12" t="s">
        <v>177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180</v>
      </c>
    </row>
    <row r="10" customFormat="false" ht="15" hidden="false" customHeight="false" outlineLevel="2" collapsed="false">
      <c r="A10" s="3" t="s">
        <v>181</v>
      </c>
      <c r="B10" s="12" t="s">
        <v>177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182</v>
      </c>
    </row>
    <row r="11" customFormat="false" ht="15" hidden="false" customHeight="false" outlineLevel="2" collapsed="false">
      <c r="A11" s="4" t="s">
        <v>183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184</v>
      </c>
    </row>
    <row r="12" customFormat="false" ht="15" hidden="false" customHeight="false" outlineLevel="2" collapsed="false">
      <c r="A12" s="3" t="s">
        <v>185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186</v>
      </c>
    </row>
    <row r="13" customFormat="false" ht="15" hidden="false" customHeight="false" outlineLevel="2" collapsed="false">
      <c r="A13" s="3" t="s">
        <v>187</v>
      </c>
      <c r="B13" s="12" t="s">
        <v>177</v>
      </c>
      <c r="C13" s="22" t="n">
        <v>1500</v>
      </c>
      <c r="I13" s="12" t="s">
        <v>188</v>
      </c>
    </row>
    <row r="14" customFormat="false" ht="15" hidden="false" customHeight="false" outlineLevel="0" collapsed="false">
      <c r="A14" s="8" t="s">
        <v>189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190</v>
      </c>
      <c r="B15" s="12" t="s">
        <v>93</v>
      </c>
      <c r="C15" s="25" t="n">
        <v>103.7</v>
      </c>
      <c r="I15" s="12" t="s">
        <v>191</v>
      </c>
    </row>
    <row r="16" customFormat="false" ht="15" hidden="false" customHeight="false" outlineLevel="1" collapsed="false">
      <c r="A16" s="4" t="s">
        <v>192</v>
      </c>
      <c r="B16" s="12" t="s">
        <v>93</v>
      </c>
      <c r="C16" s="24" t="n">
        <v>25</v>
      </c>
      <c r="I16" s="7" t="s">
        <v>193</v>
      </c>
    </row>
    <row r="17" customFormat="false" ht="15" hidden="false" customHeight="false" outlineLevel="1" collapsed="false">
      <c r="A17" s="3" t="s">
        <v>194</v>
      </c>
      <c r="B17" s="12" t="s">
        <v>77</v>
      </c>
      <c r="C17" s="26" t="n">
        <v>0.84</v>
      </c>
      <c r="I17" s="12" t="s">
        <v>195</v>
      </c>
    </row>
    <row r="18" customFormat="false" ht="15" hidden="false" customHeight="false" outlineLevel="1" collapsed="false">
      <c r="A18" s="4" t="s">
        <v>196</v>
      </c>
      <c r="B18" s="12" t="s">
        <v>77</v>
      </c>
      <c r="C18" s="23" t="n">
        <v>0.84</v>
      </c>
      <c r="I18" s="7" t="s">
        <v>197</v>
      </c>
    </row>
    <row r="19" customFormat="false" ht="15" hidden="false" customHeight="false" outlineLevel="1" collapsed="false">
      <c r="A19" s="4" t="s">
        <v>198</v>
      </c>
      <c r="B19" s="12" t="s">
        <v>177</v>
      </c>
      <c r="C19" s="22" t="n">
        <v>850</v>
      </c>
      <c r="I19" s="12" t="s">
        <v>199</v>
      </c>
    </row>
    <row r="20" customFormat="false" ht="15" hidden="false" customHeight="false" outlineLevel="1" collapsed="false">
      <c r="A20" s="4" t="s">
        <v>200</v>
      </c>
      <c r="B20" s="12" t="s">
        <v>177</v>
      </c>
      <c r="C20" s="22" t="n">
        <v>1350</v>
      </c>
      <c r="I20" s="7" t="s">
        <v>201</v>
      </c>
    </row>
    <row r="21" customFormat="false" ht="15" hidden="false" customHeight="false" outlineLevel="1" collapsed="false">
      <c r="A21" s="3" t="s">
        <v>202</v>
      </c>
      <c r="B21" s="7"/>
      <c r="C21" s="22" t="n">
        <v>1</v>
      </c>
      <c r="I21" s="12" t="s">
        <v>203</v>
      </c>
    </row>
    <row r="22" customFormat="false" ht="15" hidden="false" customHeight="false" outlineLevel="1" collapsed="false">
      <c r="A22" s="3" t="s">
        <v>204</v>
      </c>
      <c r="B22" s="12" t="s">
        <v>77</v>
      </c>
      <c r="C22" s="23" t="n">
        <v>1</v>
      </c>
      <c r="I22" s="7" t="s">
        <v>205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173</v>
      </c>
      <c r="G23" s="27" t="s">
        <v>174</v>
      </c>
      <c r="I23" s="15" t="s">
        <v>206</v>
      </c>
    </row>
    <row r="24" customFormat="false" ht="15" hidden="false" customHeight="false" outlineLevel="1" collapsed="false">
      <c r="A24" s="3" t="s">
        <v>207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208</v>
      </c>
    </row>
    <row r="25" customFormat="false" ht="15" hidden="false" customHeight="false" outlineLevel="1" collapsed="false">
      <c r="A25" s="4" t="s">
        <v>209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210</v>
      </c>
    </row>
    <row r="26" customFormat="false" ht="15" hidden="false" customHeight="false" outlineLevel="1" collapsed="false">
      <c r="A26" s="4" t="s">
        <v>211</v>
      </c>
      <c r="B26" s="12" t="s">
        <v>177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212</v>
      </c>
    </row>
    <row r="27" customFormat="false" ht="15" hidden="false" customHeight="false" outlineLevel="1" collapsed="false">
      <c r="A27" s="4" t="s">
        <v>213</v>
      </c>
      <c r="B27" s="12" t="s">
        <v>177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214</v>
      </c>
    </row>
    <row r="28" customFormat="false" ht="15" hidden="false" customHeight="false" outlineLevel="1" collapsed="false">
      <c r="A28" s="3" t="s">
        <v>215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216</v>
      </c>
    </row>
    <row r="29" customFormat="false" ht="15" hidden="false" customHeight="false" outlineLevel="1" collapsed="false">
      <c r="A29" s="3" t="s">
        <v>217</v>
      </c>
      <c r="B29" s="12" t="s">
        <v>218</v>
      </c>
      <c r="C29" s="30" t="n">
        <v>0.0112</v>
      </c>
      <c r="D29" s="30" t="n">
        <v>0.0115</v>
      </c>
      <c r="E29" s="30" t="n">
        <v>0.0115</v>
      </c>
      <c r="F29" s="30" t="n">
        <v>0.011</v>
      </c>
      <c r="G29" s="30" t="n">
        <v>0.0105</v>
      </c>
      <c r="I29" s="7" t="s">
        <v>219</v>
      </c>
    </row>
    <row r="30" customFormat="false" ht="15" hidden="false" customHeight="false" outlineLevel="1" collapsed="false">
      <c r="A30" s="3" t="s">
        <v>220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221</v>
      </c>
    </row>
    <row r="31" customFormat="false" ht="15" hidden="false" customHeight="false" outlineLevel="1" collapsed="false">
      <c r="A31" s="3" t="s">
        <v>222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223</v>
      </c>
    </row>
    <row r="32" customFormat="false" ht="15" hidden="false" customHeight="false" outlineLevel="1" collapsed="false">
      <c r="A32" s="3" t="s">
        <v>224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225</v>
      </c>
    </row>
    <row r="33" customFormat="false" ht="15" hidden="false" customHeight="false" outlineLevel="1" collapsed="false">
      <c r="A33" s="3" t="s">
        <v>226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227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228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229</v>
      </c>
      <c r="C36" s="4" t="s">
        <v>230</v>
      </c>
      <c r="I36" s="12" t="s">
        <v>231</v>
      </c>
    </row>
    <row r="37" customFormat="false" ht="15" hidden="true" customHeight="false" outlineLevel="2" collapsed="false">
      <c r="A37" s="4" t="s">
        <v>232</v>
      </c>
      <c r="B37" s="7"/>
      <c r="C37" s="22" t="n">
        <v>1</v>
      </c>
      <c r="I37" s="12" t="s">
        <v>233</v>
      </c>
    </row>
    <row r="38" customFormat="false" ht="15" hidden="true" customHeight="false" outlineLevel="2" collapsed="false">
      <c r="A38" s="4" t="s">
        <v>234</v>
      </c>
      <c r="B38" s="7"/>
      <c r="C38" s="22" t="n">
        <v>2</v>
      </c>
      <c r="I38" s="7" t="s">
        <v>235</v>
      </c>
    </row>
    <row r="39" customFormat="false" ht="15" hidden="true" customHeight="false" outlineLevel="2" collapsed="false">
      <c r="A39" s="3" t="s">
        <v>236</v>
      </c>
      <c r="B39" s="7"/>
      <c r="C39" s="22" t="n">
        <v>0</v>
      </c>
      <c r="I39" s="12" t="s">
        <v>237</v>
      </c>
    </row>
    <row r="40" customFormat="false" ht="15" hidden="true" customHeight="false" outlineLevel="2" collapsed="false">
      <c r="A40" s="4" t="s">
        <v>238</v>
      </c>
      <c r="B40" s="7"/>
      <c r="C40" s="22" t="n">
        <v>2</v>
      </c>
      <c r="I40" s="7" t="s">
        <v>239</v>
      </c>
    </row>
    <row r="41" customFormat="false" ht="15" hidden="true" customHeight="false" outlineLevel="2" collapsed="false">
      <c r="A41" s="3" t="s">
        <v>240</v>
      </c>
      <c r="B41" s="12" t="s">
        <v>177</v>
      </c>
      <c r="C41" s="22" t="n">
        <v>1500</v>
      </c>
      <c r="I41" s="12" t="s">
        <v>241</v>
      </c>
    </row>
    <row r="42" customFormat="false" ht="15" hidden="true" customHeight="false" outlineLevel="2" collapsed="false">
      <c r="A42" s="3" t="s">
        <v>242</v>
      </c>
      <c r="B42" s="12" t="s">
        <v>77</v>
      </c>
      <c r="C42" s="23" t="n">
        <v>0.272667</v>
      </c>
      <c r="I42" s="12" t="s">
        <v>243</v>
      </c>
    </row>
    <row r="43" customFormat="false" ht="15" hidden="true" customHeight="false" outlineLevel="2" collapsed="false">
      <c r="A43" s="3" t="s">
        <v>244</v>
      </c>
      <c r="B43" s="12" t="s">
        <v>77</v>
      </c>
      <c r="C43" s="23" t="n">
        <v>0.293667</v>
      </c>
      <c r="I43" s="12" t="s">
        <v>245</v>
      </c>
    </row>
    <row r="44" customFormat="false" ht="15" hidden="true" customHeight="false" outlineLevel="2" collapsed="false">
      <c r="A44" s="3" t="s">
        <v>246</v>
      </c>
      <c r="B44" s="12" t="s">
        <v>77</v>
      </c>
      <c r="C44" s="23" t="n">
        <v>0.433666</v>
      </c>
      <c r="I44" s="12" t="s">
        <v>245</v>
      </c>
    </row>
    <row r="45" customFormat="false" ht="15" hidden="true" customHeight="false" outlineLevel="2" collapsed="false">
      <c r="A45" s="3" t="s">
        <v>247</v>
      </c>
      <c r="B45" s="12" t="s">
        <v>77</v>
      </c>
      <c r="C45" s="23" t="n">
        <v>0</v>
      </c>
      <c r="I45" s="12" t="s">
        <v>245</v>
      </c>
    </row>
    <row r="46" customFormat="false" ht="15" hidden="true" customHeight="false" outlineLevel="2" collapsed="false">
      <c r="A46" s="3" t="s">
        <v>248</v>
      </c>
      <c r="B46" s="12" t="s">
        <v>77</v>
      </c>
      <c r="C46" s="23" t="n">
        <v>0</v>
      </c>
      <c r="I46" s="12" t="s">
        <v>245</v>
      </c>
    </row>
    <row r="47" customFormat="false" ht="17.15" hidden="true" customHeight="false" outlineLevel="2" collapsed="false">
      <c r="A47" s="15" t="s">
        <v>249</v>
      </c>
      <c r="B47" s="15" t="s">
        <v>88</v>
      </c>
      <c r="C47" s="27" t="s">
        <v>89</v>
      </c>
      <c r="D47" s="27" t="s">
        <v>90</v>
      </c>
      <c r="E47" s="27" t="s">
        <v>91</v>
      </c>
      <c r="F47" s="27" t="s">
        <v>173</v>
      </c>
      <c r="G47" s="27" t="s">
        <v>174</v>
      </c>
      <c r="I47" s="15" t="s">
        <v>206</v>
      </c>
    </row>
    <row r="48" customFormat="false" ht="15" hidden="true" customHeight="false" outlineLevel="2" collapsed="false">
      <c r="A48" s="3" t="s">
        <v>250</v>
      </c>
      <c r="B48" s="12" t="s">
        <v>77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I48" s="7" t="s">
        <v>251</v>
      </c>
    </row>
    <row r="49" customFormat="false" ht="15" hidden="true" customHeight="false" outlineLevel="2" collapsed="false">
      <c r="A49" s="3" t="s">
        <v>252</v>
      </c>
      <c r="B49" s="12" t="s">
        <v>77</v>
      </c>
      <c r="C49" s="23" t="n">
        <v>0.2</v>
      </c>
      <c r="D49" s="23" t="n">
        <v>0</v>
      </c>
      <c r="E49" s="23" t="n">
        <v>0</v>
      </c>
      <c r="F49" s="23" t="n">
        <v>0</v>
      </c>
      <c r="G49" s="23" t="n">
        <v>0</v>
      </c>
    </row>
    <row r="50" customFormat="false" ht="15" hidden="true" customHeight="false" outlineLevel="2" collapsed="false">
      <c r="A50" s="3" t="s">
        <v>253</v>
      </c>
      <c r="B50" s="12" t="s">
        <v>77</v>
      </c>
      <c r="C50" s="23" t="n">
        <v>0.8</v>
      </c>
      <c r="D50" s="23" t="n">
        <v>0.5</v>
      </c>
      <c r="E50" s="23" t="n">
        <v>0</v>
      </c>
      <c r="F50" s="23" t="n">
        <v>0</v>
      </c>
      <c r="G50" s="23" t="n">
        <v>0</v>
      </c>
    </row>
    <row r="51" customFormat="false" ht="15" hidden="true" customHeight="false" outlineLevel="2" collapsed="false">
      <c r="A51" s="3" t="s">
        <v>254</v>
      </c>
      <c r="B51" s="12" t="s">
        <v>77</v>
      </c>
      <c r="C51" s="23" t="n">
        <v>0</v>
      </c>
      <c r="D51" s="23" t="n">
        <v>0.5</v>
      </c>
      <c r="E51" s="23" t="n">
        <v>1</v>
      </c>
      <c r="F51" s="23" t="n">
        <v>1</v>
      </c>
      <c r="G51" s="23" t="n">
        <v>1</v>
      </c>
    </row>
    <row r="52" customFormat="false" ht="15" hidden="true" customHeight="false" outlineLevel="2" collapsed="false">
      <c r="A52" s="3" t="s">
        <v>255</v>
      </c>
      <c r="B52" s="12" t="s">
        <v>77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</row>
    <row r="53" customFormat="false" ht="15" hidden="true" customHeight="false" outlineLevel="2" collapsed="false">
      <c r="A53" s="3" t="s">
        <v>256</v>
      </c>
      <c r="B53" s="12" t="s">
        <v>77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I53" s="12" t="s">
        <v>257</v>
      </c>
    </row>
    <row r="54" customFormat="false" ht="15" hidden="true" customHeight="false" outlineLevel="2" collapsed="false">
      <c r="A54" s="3" t="s">
        <v>258</v>
      </c>
      <c r="B54" s="12" t="s">
        <v>77</v>
      </c>
      <c r="C54" s="23" t="n">
        <v>0.2</v>
      </c>
      <c r="D54" s="23" t="n">
        <v>0</v>
      </c>
      <c r="E54" s="23" t="n">
        <v>0</v>
      </c>
      <c r="F54" s="23" t="n">
        <v>0</v>
      </c>
      <c r="G54" s="23" t="n">
        <v>0</v>
      </c>
    </row>
    <row r="55" customFormat="false" ht="15" hidden="true" customHeight="false" outlineLevel="2" collapsed="false">
      <c r="A55" s="3" t="s">
        <v>259</v>
      </c>
      <c r="B55" s="12" t="s">
        <v>77</v>
      </c>
      <c r="C55" s="23" t="n">
        <v>0.8</v>
      </c>
      <c r="D55" s="23" t="n">
        <v>0.5</v>
      </c>
      <c r="E55" s="23" t="n">
        <v>0</v>
      </c>
      <c r="F55" s="23" t="n">
        <v>0</v>
      </c>
      <c r="G55" s="23" t="n">
        <v>0</v>
      </c>
    </row>
    <row r="56" customFormat="false" ht="15" hidden="true" customHeight="false" outlineLevel="2" collapsed="false">
      <c r="A56" s="3" t="s">
        <v>260</v>
      </c>
      <c r="B56" s="12" t="s">
        <v>77</v>
      </c>
      <c r="C56" s="23" t="n">
        <v>0</v>
      </c>
      <c r="D56" s="23" t="n">
        <v>0.5</v>
      </c>
      <c r="E56" s="23" t="n">
        <v>1</v>
      </c>
      <c r="F56" s="23" t="n">
        <v>0</v>
      </c>
      <c r="G56" s="23" t="n">
        <v>0</v>
      </c>
    </row>
    <row r="57" customFormat="false" ht="15" hidden="true" customHeight="false" outlineLevel="2" collapsed="false">
      <c r="A57" s="3" t="s">
        <v>261</v>
      </c>
      <c r="B57" s="12" t="s">
        <v>77</v>
      </c>
      <c r="C57" s="23" t="n">
        <v>0</v>
      </c>
      <c r="D57" s="23" t="n">
        <v>0</v>
      </c>
      <c r="E57" s="23" t="n">
        <v>0</v>
      </c>
      <c r="F57" s="23" t="n">
        <v>1</v>
      </c>
      <c r="G57" s="23" t="n">
        <v>1</v>
      </c>
    </row>
    <row r="58" customFormat="false" ht="15" hidden="true" customHeight="false" outlineLevel="2" collapsed="false">
      <c r="A58" s="3" t="s">
        <v>262</v>
      </c>
      <c r="B58" s="12" t="s">
        <v>77</v>
      </c>
      <c r="C58" s="31" t="n">
        <f aca="false">IF(輸入與假設!$C$39=1,C53,C48)</f>
        <v>0</v>
      </c>
      <c r="D58" s="31" t="n">
        <f aca="false">IF(輸入與假設!$C$39=1,D53,D48)</f>
        <v>0</v>
      </c>
      <c r="E58" s="31" t="n">
        <f aca="false">IF(輸入與假設!$C$39=1,E53,E48)</f>
        <v>0</v>
      </c>
      <c r="F58" s="31" t="n">
        <f aca="false">IF(輸入與假設!$C$39=1,F53,F48)</f>
        <v>0</v>
      </c>
      <c r="G58" s="31" t="n">
        <f aca="false">IF(輸入與假設!$C$39=1,G53,G48)</f>
        <v>0</v>
      </c>
      <c r="I58" s="7" t="s">
        <v>263</v>
      </c>
    </row>
    <row r="59" customFormat="false" ht="15" hidden="true" customHeight="false" outlineLevel="2" collapsed="false">
      <c r="A59" s="3" t="s">
        <v>264</v>
      </c>
      <c r="B59" s="12" t="s">
        <v>77</v>
      </c>
      <c r="C59" s="31" t="n">
        <f aca="false">IF(輸入與假設!$C$39=1,C54,C49)</f>
        <v>0.2</v>
      </c>
      <c r="D59" s="31" t="n">
        <f aca="false">IF(輸入與假設!$C$39=1,D54,D49)</f>
        <v>0</v>
      </c>
      <c r="E59" s="31" t="n">
        <f aca="false">IF(輸入與假設!$C$39=1,E54,E49)</f>
        <v>0</v>
      </c>
      <c r="F59" s="31" t="n">
        <f aca="false">IF(輸入與假設!$C$39=1,F54,F49)</f>
        <v>0</v>
      </c>
      <c r="G59" s="31" t="n">
        <f aca="false">IF(輸入與假設!$C$39=1,G54,G49)</f>
        <v>0</v>
      </c>
    </row>
    <row r="60" customFormat="false" ht="15" hidden="true" customHeight="false" outlineLevel="2" collapsed="false">
      <c r="A60" s="3" t="s">
        <v>265</v>
      </c>
      <c r="B60" s="12" t="s">
        <v>77</v>
      </c>
      <c r="C60" s="31" t="n">
        <f aca="false">IF(輸入與假設!$C$39=1,C55,C50)</f>
        <v>0.8</v>
      </c>
      <c r="D60" s="31" t="n">
        <f aca="false">IF(輸入與假設!$C$39=1,D55,D50)</f>
        <v>0.5</v>
      </c>
      <c r="E60" s="31" t="n">
        <f aca="false">IF(輸入與假設!$C$39=1,E55,E50)</f>
        <v>0</v>
      </c>
      <c r="F60" s="31" t="n">
        <f aca="false">IF(輸入與假設!$C$39=1,F55,F50)</f>
        <v>0</v>
      </c>
      <c r="G60" s="31" t="n">
        <f aca="false">IF(輸入與假設!$C$39=1,G55,G50)</f>
        <v>0</v>
      </c>
    </row>
    <row r="61" customFormat="false" ht="15" hidden="true" customHeight="false" outlineLevel="2" collapsed="false">
      <c r="A61" s="3" t="s">
        <v>266</v>
      </c>
      <c r="B61" s="12" t="s">
        <v>77</v>
      </c>
      <c r="C61" s="31" t="n">
        <f aca="false">IF(輸入與假設!$C$39=1,C56,C51)</f>
        <v>0</v>
      </c>
      <c r="D61" s="31" t="n">
        <f aca="false">IF(輸入與假設!$C$39=1,D56,D51)</f>
        <v>0.5</v>
      </c>
      <c r="E61" s="31" t="n">
        <f aca="false">IF(輸入與假設!$C$39=1,E56,E51)</f>
        <v>1</v>
      </c>
      <c r="F61" s="31" t="n">
        <f aca="false">IF(輸入與假設!$C$39=1,F56,F51)</f>
        <v>1</v>
      </c>
      <c r="G61" s="31" t="n">
        <f aca="false">IF(輸入與假設!$C$39=1,G56,G51)</f>
        <v>1</v>
      </c>
    </row>
    <row r="62" customFormat="false" ht="15" hidden="true" customHeight="false" outlineLevel="2" collapsed="false">
      <c r="A62" s="3" t="s">
        <v>267</v>
      </c>
      <c r="B62" s="12" t="s">
        <v>77</v>
      </c>
      <c r="C62" s="31" t="n">
        <f aca="false">IF(輸入與假設!$C$39=1,C57,C52)</f>
        <v>0</v>
      </c>
      <c r="D62" s="31" t="n">
        <f aca="false">IF(輸入與假設!$C$39=1,D57,D52)</f>
        <v>0</v>
      </c>
      <c r="E62" s="31" t="n">
        <f aca="false">IF(輸入與假設!$C$39=1,E57,E52)</f>
        <v>0</v>
      </c>
      <c r="F62" s="31" t="n">
        <f aca="false">IF(輸入與假設!$C$39=1,F57,F52)</f>
        <v>0</v>
      </c>
      <c r="G62" s="31" t="n">
        <f aca="false">IF(輸入與假設!$C$39=1,G57,G52)</f>
        <v>0</v>
      </c>
    </row>
    <row r="63" customFormat="false" ht="15" hidden="true" customHeight="false" outlineLevel="2" collapsed="false">
      <c r="A63" s="3" t="s">
        <v>268</v>
      </c>
      <c r="B63" s="12" t="s">
        <v>77</v>
      </c>
      <c r="C63" s="31" t="n">
        <f aca="false">SUM(C58:C62)</f>
        <v>1</v>
      </c>
      <c r="D63" s="31" t="n">
        <f aca="false">SUM(D58:D62)</f>
        <v>1</v>
      </c>
      <c r="E63" s="31" t="n">
        <f aca="false">SUM(E58:E62)</f>
        <v>1</v>
      </c>
      <c r="F63" s="31" t="n">
        <f aca="false">SUM(F58:F62)</f>
        <v>1</v>
      </c>
      <c r="G63" s="31" t="n">
        <f aca="false">SUM(G58:G62)</f>
        <v>1</v>
      </c>
      <c r="I63" s="7" t="s">
        <v>269</v>
      </c>
    </row>
    <row r="64" customFormat="false" ht="17.15" hidden="true" customHeight="false" outlineLevel="2" collapsed="false">
      <c r="A64" s="16" t="s">
        <v>270</v>
      </c>
      <c r="B64" s="15" t="s">
        <v>271</v>
      </c>
      <c r="C64" s="16" t="s">
        <v>272</v>
      </c>
      <c r="D64" s="15" t="s">
        <v>273</v>
      </c>
      <c r="E64" s="15" t="s">
        <v>274</v>
      </c>
      <c r="F64" s="16" t="s">
        <v>275</v>
      </c>
      <c r="G64" s="15" t="s">
        <v>276</v>
      </c>
      <c r="I64" s="12" t="s">
        <v>277</v>
      </c>
    </row>
    <row r="65" customFormat="false" ht="15" hidden="true" customHeight="false" outlineLevel="2" collapsed="false">
      <c r="A65" s="4" t="s">
        <v>278</v>
      </c>
      <c r="B65" s="12" t="s">
        <v>279</v>
      </c>
      <c r="C65" s="32" t="n">
        <f aca="true">OFFSET(TK_CapexIT_H100,0,輸入與假設!$C$38-2)*F65</f>
        <v>27.510214</v>
      </c>
      <c r="D65" s="32" t="n">
        <f aca="true">OFFSET(TK_CapexTotal_H100,0,輸入與假設!$C$38-2)*F65</f>
        <v>40.180214</v>
      </c>
      <c r="E65" s="32" t="n">
        <f aca="false">TK_FacilityGW_H100</f>
        <v>1.2</v>
      </c>
      <c r="F65" s="32" t="n">
        <f aca="false">IF(輸入與假設!$C$37=2,1/E65,1)</f>
        <v>1</v>
      </c>
      <c r="G65" s="32" t="n">
        <f aca="false">TK_DeprLifeIT_H100</f>
        <v>6</v>
      </c>
    </row>
    <row r="66" customFormat="false" ht="15" hidden="true" customHeight="false" outlineLevel="2" collapsed="false">
      <c r="A66" s="4" t="s">
        <v>280</v>
      </c>
      <c r="B66" s="12" t="s">
        <v>281</v>
      </c>
      <c r="C66" s="32" t="n">
        <f aca="true">OFFSET(TK_CapexIT_GB200,0,輸入與假設!$C$38-2)*F66</f>
        <v>24.015174</v>
      </c>
      <c r="D66" s="32" t="n">
        <f aca="true">OFFSET(TK_CapexTotal_GB200,0,輸入與假設!$C$38-2)*F66</f>
        <v>36.685174</v>
      </c>
      <c r="E66" s="32" t="n">
        <f aca="false">TK_FacilityGW_GB200</f>
        <v>1.2</v>
      </c>
      <c r="F66" s="32" t="n">
        <f aca="false">IF(輸入與假設!$C$37=2,1/E66,1)</f>
        <v>1</v>
      </c>
      <c r="G66" s="32" t="n">
        <f aca="false">TK_DeprLifeIT_GB200</f>
        <v>6</v>
      </c>
    </row>
    <row r="67" customFormat="false" ht="15" hidden="true" customHeight="false" outlineLevel="2" collapsed="false">
      <c r="A67" s="4" t="s">
        <v>282</v>
      </c>
      <c r="B67" s="12" t="s">
        <v>283</v>
      </c>
      <c r="C67" s="32" t="n">
        <f aca="true">OFFSET(TK_CapexIT_GB300,0,輸入與假設!$C$38-2)*F67</f>
        <v>37.445504</v>
      </c>
      <c r="D67" s="32" t="n">
        <f aca="true">OFFSET(TK_CapexTotal_GB300,0,輸入與假設!$C$38-2)*F67</f>
        <v>50.115504</v>
      </c>
      <c r="E67" s="32" t="n">
        <f aca="false">TK_FacilityGW_GB300</f>
        <v>1.2</v>
      </c>
      <c r="F67" s="32" t="n">
        <f aca="false">IF(輸入與假設!$C$37=2,1/E67,1)</f>
        <v>1</v>
      </c>
      <c r="G67" s="32" t="n">
        <f aca="false">TK_DeprLifeIT_GB300</f>
        <v>6</v>
      </c>
    </row>
    <row r="68" customFormat="false" ht="15" hidden="true" customHeight="false" outlineLevel="2" collapsed="false">
      <c r="A68" s="4" t="s">
        <v>284</v>
      </c>
      <c r="B68" s="12" t="s">
        <v>285</v>
      </c>
      <c r="C68" s="32" t="n">
        <f aca="true">OFFSET(TK_CapexIT_VR200,0,輸入與假設!$C$38-2)*F68</f>
        <v>37.586352</v>
      </c>
      <c r="D68" s="32" t="n">
        <f aca="true">OFFSET(TK_CapexTotal_VR200,0,輸入與假設!$C$38-2)*F68</f>
        <v>50.256352</v>
      </c>
      <c r="E68" s="32" t="n">
        <f aca="false">TK_FacilityGW_VR200</f>
        <v>1.2</v>
      </c>
      <c r="F68" s="32" t="n">
        <f aca="false">IF(輸入與假設!$C$37=2,1/E68,1)</f>
        <v>1</v>
      </c>
      <c r="G68" s="32" t="n">
        <f aca="false">TK_DeprLifeIT_VR200</f>
        <v>6</v>
      </c>
    </row>
    <row r="69" customFormat="false" ht="15" hidden="true" customHeight="false" outlineLevel="2" collapsed="false">
      <c r="A69" s="4" t="s">
        <v>286</v>
      </c>
      <c r="B69" s="12" t="s">
        <v>287</v>
      </c>
      <c r="C69" s="32" t="n">
        <f aca="true">OFFSET(TK_CapexIT_RU,0,輸入與假設!$C$38-2)*F69</f>
        <v>50.08578</v>
      </c>
      <c r="D69" s="32" t="n">
        <f aca="true">OFFSET(TK_CapexTotal_RU,0,輸入與假設!$C$38-2)*F69</f>
        <v>62.75578</v>
      </c>
      <c r="E69" s="32" t="n">
        <f aca="false">TK_FacilityGW_RU</f>
        <v>1.2</v>
      </c>
      <c r="F69" s="32" t="n">
        <f aca="false">IF(輸入與假設!$C$37=2,1/E69,1)</f>
        <v>1</v>
      </c>
      <c r="G69" s="32" t="n">
        <f aca="false">TK_DeprLifeIT_RU</f>
        <v>6</v>
      </c>
    </row>
    <row r="70" customFormat="false" ht="17.15" hidden="true" customHeight="false" outlineLevel="2" collapsed="false">
      <c r="A70" s="16" t="s">
        <v>288</v>
      </c>
      <c r="B70" s="15" t="s">
        <v>271</v>
      </c>
      <c r="C70" s="15" t="s">
        <v>289</v>
      </c>
      <c r="D70" s="16" t="s">
        <v>290</v>
      </c>
      <c r="E70" s="15" t="s">
        <v>291</v>
      </c>
      <c r="F70" s="15" t="s">
        <v>292</v>
      </c>
      <c r="I70" s="12" t="s">
        <v>293</v>
      </c>
    </row>
    <row r="71" customFormat="false" ht="15" hidden="true" customHeight="false" outlineLevel="2" collapsed="false">
      <c r="A71" s="4" t="s">
        <v>294</v>
      </c>
      <c r="B71" s="12" t="s">
        <v>279</v>
      </c>
      <c r="C71" s="32" t="n">
        <f aca="true">OFFSET(TK_PowerCost_H100,0,輸入與假設!$C$38-2)*F65</f>
        <v>0.672768</v>
      </c>
      <c r="D71" s="32" t="n">
        <f aca="true">OFFSET(TK_MaintIT_H100,0,輸入與假設!$C$38-2)*F65</f>
        <v>0.82530642</v>
      </c>
      <c r="E71" s="32" t="n">
        <f aca="true">OFFSET(TK_StaffSW_H100,0,輸入與假設!$C$38-2)*F65</f>
        <v>0.325</v>
      </c>
      <c r="F71" s="32" t="n">
        <f aca="true">OFFSET(TK_TaxIns_H100,0,輸入與假設!$C$38-2)*F65*C65/D65</f>
        <v>0.13755107</v>
      </c>
    </row>
    <row r="72" customFormat="false" ht="15" hidden="true" customHeight="false" outlineLevel="2" collapsed="false">
      <c r="A72" s="4" t="s">
        <v>295</v>
      </c>
      <c r="B72" s="12" t="s">
        <v>281</v>
      </c>
      <c r="C72" s="32" t="n">
        <f aca="true">OFFSET(TK_PowerCost_GB200,0,輸入與假設!$C$38-2)*F66</f>
        <v>0.672768</v>
      </c>
      <c r="D72" s="32" t="n">
        <f aca="true">OFFSET(TK_MaintIT_GB200,0,輸入與假設!$C$38-2)*F66</f>
        <v>0.72045522</v>
      </c>
      <c r="E72" s="32" t="n">
        <f aca="true">OFFSET(TK_StaffSW_GB200,0,輸入與假設!$C$38-2)*F66</f>
        <v>0.325</v>
      </c>
      <c r="F72" s="32" t="n">
        <f aca="true">OFFSET(TK_TaxIns_GB200,0,輸入與假設!$C$38-2)*F66*C66/D66</f>
        <v>0.12007587</v>
      </c>
    </row>
    <row r="73" customFormat="false" ht="15" hidden="true" customHeight="false" outlineLevel="2" collapsed="false">
      <c r="A73" s="4" t="s">
        <v>296</v>
      </c>
      <c r="B73" s="12" t="s">
        <v>283</v>
      </c>
      <c r="C73" s="32" t="n">
        <f aca="true">OFFSET(TK_PowerCost_GB300,0,輸入與假設!$C$38-2)*F67</f>
        <v>0.672768</v>
      </c>
      <c r="D73" s="32" t="n">
        <f aca="true">OFFSET(TK_MaintIT_GB300,0,輸入與假設!$C$38-2)*F67</f>
        <v>1.12336512</v>
      </c>
      <c r="E73" s="32" t="n">
        <f aca="true">OFFSET(TK_StaffSW_GB300,0,輸入與假設!$C$38-2)*F67</f>
        <v>0.325</v>
      </c>
      <c r="F73" s="32" t="n">
        <f aca="true">OFFSET(TK_TaxIns_GB300,0,輸入與假設!$C$38-2)*F67*C67/D67</f>
        <v>0.18722752</v>
      </c>
    </row>
    <row r="74" customFormat="false" ht="15" hidden="true" customHeight="false" outlineLevel="2" collapsed="false">
      <c r="A74" s="4" t="s">
        <v>297</v>
      </c>
      <c r="B74" s="12" t="s">
        <v>285</v>
      </c>
      <c r="C74" s="32" t="n">
        <f aca="true">OFFSET(TK_PowerCost_VR200,0,輸入與假設!$C$38-2)*F68</f>
        <v>0.672768</v>
      </c>
      <c r="D74" s="32" t="n">
        <f aca="true">OFFSET(TK_MaintIT_VR200,0,輸入與假設!$C$38-2)*F68</f>
        <v>1.12759056</v>
      </c>
      <c r="E74" s="32" t="n">
        <f aca="true">OFFSET(TK_StaffSW_VR200,0,輸入與假設!$C$38-2)*F68</f>
        <v>0.325</v>
      </c>
      <c r="F74" s="32" t="n">
        <f aca="true">OFFSET(TK_TaxIns_VR200,0,輸入與假設!$C$38-2)*F68*C68/D68</f>
        <v>0.18793176</v>
      </c>
    </row>
    <row r="75" customFormat="false" ht="15" hidden="true" customHeight="false" outlineLevel="2" collapsed="false">
      <c r="A75" s="4" t="s">
        <v>298</v>
      </c>
      <c r="B75" s="12" t="s">
        <v>287</v>
      </c>
      <c r="C75" s="32" t="n">
        <f aca="true">OFFSET(TK_PowerCost_RU,0,輸入與假設!$C$38-2)*F69</f>
        <v>0.672768</v>
      </c>
      <c r="D75" s="32" t="n">
        <f aca="true">OFFSET(TK_MaintIT_RU,0,輸入與假設!$C$38-2)*F69</f>
        <v>1.5025734</v>
      </c>
      <c r="E75" s="32" t="n">
        <f aca="true">OFFSET(TK_StaffSW_RU,0,輸入與假設!$C$38-2)*F69</f>
        <v>0.325</v>
      </c>
      <c r="F75" s="32" t="n">
        <f aca="true">OFFSET(TK_TaxIns_RU,0,輸入與假設!$C$38-2)*F69*C69/D69</f>
        <v>0.2504289</v>
      </c>
    </row>
    <row r="76" customFormat="false" ht="17.15" hidden="true" customHeight="false" outlineLevel="2" collapsed="false">
      <c r="A76" s="16" t="s">
        <v>299</v>
      </c>
      <c r="B76" s="15" t="s">
        <v>271</v>
      </c>
      <c r="C76" s="16" t="s">
        <v>300</v>
      </c>
      <c r="D76" s="16" t="s">
        <v>301</v>
      </c>
      <c r="E76" s="15" t="s">
        <v>302</v>
      </c>
      <c r="F76" s="15" t="s">
        <v>303</v>
      </c>
      <c r="I76" s="12" t="s">
        <v>304</v>
      </c>
    </row>
    <row r="77" customFormat="false" ht="15" hidden="true" customHeight="false" outlineLevel="2" collapsed="false">
      <c r="A77" s="4" t="s">
        <v>305</v>
      </c>
      <c r="B77" s="12" t="s">
        <v>279</v>
      </c>
      <c r="C77" s="32" t="n">
        <f aca="false">TK_GPUsPerGW_H100*F65/1000</f>
        <v>718.048</v>
      </c>
      <c r="D77" s="32" t="n">
        <f aca="true">OFFSET(TK_GPUhrEcon_H100,0,輸入與假設!$C$38-2)</f>
        <v>1.60502925637165</v>
      </c>
      <c r="E77" s="32" t="n">
        <f aca="true">OFFSET(TK_HoldEcon_H100,0,輸入與假設!$C$38-2)*F65</f>
        <v>10.0957952959174</v>
      </c>
      <c r="F77" s="32"/>
    </row>
    <row r="78" customFormat="false" ht="15" hidden="true" customHeight="false" outlineLevel="2" collapsed="false">
      <c r="A78" s="4" t="s">
        <v>306</v>
      </c>
      <c r="B78" s="12" t="s">
        <v>281</v>
      </c>
      <c r="C78" s="32" t="n">
        <f aca="false">TK_GPUsPerGW_GB200*F66/1000</f>
        <v>501.768</v>
      </c>
      <c r="D78" s="32" t="n">
        <f aca="true">OFFSET(TK_GPUhrEcon_GB200,0,輸入與假設!$C$38-2)</f>
        <v>2.08645378736555</v>
      </c>
      <c r="E78" s="32" t="n">
        <f aca="true">OFFSET(TK_HoldEcon_GB200,0,輸入與假設!$C$38-2)*F66</f>
        <v>9.17098191725462</v>
      </c>
      <c r="F78" s="32"/>
    </row>
    <row r="79" customFormat="false" ht="15" hidden="true" customHeight="false" outlineLevel="2" collapsed="false">
      <c r="A79" s="4" t="s">
        <v>307</v>
      </c>
      <c r="B79" s="12" t="s">
        <v>283</v>
      </c>
      <c r="C79" s="32" t="n">
        <f aca="false">TK_GPUsPerGW_GB300*F67/1000</f>
        <v>487.008</v>
      </c>
      <c r="D79" s="32" t="n">
        <f aca="true">OFFSET(TK_GPUhrEcon_GB300,0,輸入與假設!$C$38-2)</f>
        <v>2.98269559427618</v>
      </c>
      <c r="E79" s="32" t="n">
        <f aca="true">OFFSET(TK_HoldEcon_GB300,0,輸入與假設!$C$38-2)*F67</f>
        <v>12.7247463559608</v>
      </c>
      <c r="F79" s="32"/>
    </row>
    <row r="80" customFormat="false" ht="15" hidden="true" customHeight="false" outlineLevel="2" collapsed="false">
      <c r="A80" s="4" t="s">
        <v>308</v>
      </c>
      <c r="B80" s="12" t="s">
        <v>285</v>
      </c>
      <c r="C80" s="32" t="n">
        <f aca="false">TK_GPUsPerGW_VR200*F68/1000</f>
        <v>291.744</v>
      </c>
      <c r="D80" s="32" t="n">
        <f aca="true">OFFSET(TK_GPUhrEcon_VR200,0,輸入與假設!$C$38-2)</f>
        <v>4.99359409623699</v>
      </c>
      <c r="E80" s="32" t="n">
        <f aca="true">OFFSET(TK_HoldEcon_VR200,0,輸入與假設!$C$38-2)*F68</f>
        <v>12.7620157762701</v>
      </c>
      <c r="F80" s="32"/>
    </row>
    <row r="81" customFormat="false" ht="15" hidden="true" customHeight="false" outlineLevel="2" collapsed="false">
      <c r="A81" s="4" t="s">
        <v>309</v>
      </c>
      <c r="B81" s="12" t="s">
        <v>287</v>
      </c>
      <c r="C81" s="32" t="n">
        <f aca="false">TK_GPUsPerGW_RU*F69/1000</f>
        <v>194.76</v>
      </c>
      <c r="D81" s="32" t="n">
        <f aca="true">OFFSET(TK_GPUhrEcon_RU,0,輸入與假設!$C$38-2)</f>
        <v>9.41883786448199</v>
      </c>
      <c r="E81" s="32" t="n">
        <f aca="true">OFFSET(TK_HoldEcon_RU,0,輸入與假設!$C$38-2)*F69</f>
        <v>16.0694566753819</v>
      </c>
      <c r="F81" s="32"/>
    </row>
    <row r="83" customFormat="false" ht="15" hidden="false" customHeight="false" outlineLevel="0" collapsed="false">
      <c r="A83" s="8" t="s">
        <v>310</v>
      </c>
      <c r="B83" s="9"/>
      <c r="C83" s="9"/>
      <c r="D83" s="9"/>
      <c r="E83" s="9"/>
      <c r="F83" s="9"/>
      <c r="G83" s="9"/>
      <c r="H83" s="9"/>
    </row>
    <row r="84" customFormat="false" ht="15" hidden="false" customHeight="false" outlineLevel="1" collapsed="false">
      <c r="A84" s="3" t="s">
        <v>311</v>
      </c>
      <c r="B84" s="12" t="s">
        <v>77</v>
      </c>
      <c r="C84" s="26" t="n">
        <v>0.59</v>
      </c>
      <c r="I84" s="12" t="s">
        <v>312</v>
      </c>
    </row>
    <row r="85" customFormat="false" ht="15" hidden="false" customHeight="false" outlineLevel="1" collapsed="false">
      <c r="A85" s="3" t="s">
        <v>313</v>
      </c>
      <c r="B85" s="12" t="s">
        <v>77</v>
      </c>
      <c r="C85" s="33" t="n">
        <f aca="false">每MW經濟性!G71</f>
        <v>0.569106583132596</v>
      </c>
      <c r="I85" s="12" t="s">
        <v>314</v>
      </c>
    </row>
    <row r="86" customFormat="false" ht="15" hidden="false" customHeight="false" outlineLevel="1" collapsed="false">
      <c r="A86" s="15" t="s">
        <v>87</v>
      </c>
      <c r="B86" s="15" t="s">
        <v>88</v>
      </c>
      <c r="C86" s="27" t="s">
        <v>89</v>
      </c>
      <c r="D86" s="27" t="s">
        <v>90</v>
      </c>
      <c r="E86" s="27" t="s">
        <v>91</v>
      </c>
      <c r="F86" s="27" t="s">
        <v>173</v>
      </c>
      <c r="G86" s="27" t="s">
        <v>174</v>
      </c>
      <c r="I86" s="15" t="s">
        <v>206</v>
      </c>
    </row>
    <row r="87" customFormat="false" ht="15" hidden="false" customHeight="false" outlineLevel="1" collapsed="false">
      <c r="A87" s="4" t="s">
        <v>315</v>
      </c>
      <c r="B87" s="12" t="s">
        <v>77</v>
      </c>
      <c r="C87" s="31" t="n">
        <f aca="false">每MW經濟性!C71+(輸入與假設!$C$85-每MW經濟性!$G$71)*0/4</f>
        <v>0.577520140967778</v>
      </c>
      <c r="D87" s="31" t="n">
        <f aca="false">每MW經濟性!D71+(輸入與假設!$C$85-每MW經濟性!$G$71)*1/4</f>
        <v>0.589996743729603</v>
      </c>
      <c r="E87" s="31" t="n">
        <f aca="false">每MW經濟性!E71+(輸入與假設!$C$85-每MW經濟性!$G$71)*2/4</f>
        <v>0.602794266823612</v>
      </c>
      <c r="F87" s="31" t="n">
        <f aca="false">每MW經濟性!F71+(輸入與假設!$C$85-每MW經濟性!$G$71)*3/4</f>
        <v>0.592555894798447</v>
      </c>
      <c r="G87" s="31" t="n">
        <f aca="false">每MW經濟性!G71+(輸入與假設!$C$85-每MW經濟性!$G$71)*4/4</f>
        <v>0.569106583132596</v>
      </c>
      <c r="I87" s="12" t="s">
        <v>316</v>
      </c>
    </row>
    <row r="88" customFormat="false" ht="15" hidden="false" customHeight="false" outlineLevel="1" collapsed="false">
      <c r="A88" s="3" t="s">
        <v>317</v>
      </c>
      <c r="B88" s="12" t="s">
        <v>93</v>
      </c>
      <c r="C88" s="34" t="n">
        <f aca="false">輸入與假設!C$33*運營_產能與收入!C35</f>
        <v>0.221039234968332</v>
      </c>
      <c r="D88" s="34" t="n">
        <f aca="false">輸入與假設!D$33*運營_產能與收入!D35</f>
        <v>0.740757436486277</v>
      </c>
      <c r="E88" s="34" t="n">
        <f aca="false">輸入與假設!E$33*運營_產能與收入!E35</f>
        <v>1.31698425587909</v>
      </c>
      <c r="F88" s="34" t="n">
        <f aca="false">輸入與假設!F$33*運營_產能與收入!F35</f>
        <v>1.99775652663061</v>
      </c>
      <c r="G88" s="34" t="n">
        <f aca="false">輸入與假設!G$33*運營_產能與收入!G35</f>
        <v>2.60097628406929</v>
      </c>
      <c r="I88" s="7" t="s">
        <v>318</v>
      </c>
    </row>
    <row r="89" customFormat="false" ht="15" hidden="false" customHeight="false" outlineLevel="1" collapsed="true">
      <c r="A89" s="20" t="s">
        <v>319</v>
      </c>
      <c r="B89" s="21"/>
      <c r="C89" s="21"/>
      <c r="D89" s="21"/>
      <c r="E89" s="21"/>
      <c r="F89" s="21"/>
      <c r="G89" s="21"/>
      <c r="H89" s="21"/>
    </row>
    <row r="90" customFormat="false" ht="15" hidden="true" customHeight="false" outlineLevel="2" collapsed="false">
      <c r="A90" s="3" t="s">
        <v>320</v>
      </c>
      <c r="B90" s="7"/>
      <c r="C90" s="22" t="n">
        <v>0</v>
      </c>
      <c r="I90" s="12" t="s">
        <v>321</v>
      </c>
    </row>
    <row r="91" customFormat="false" ht="15" hidden="true" customHeight="false" outlineLevel="2" collapsed="false">
      <c r="A91" s="3" t="s">
        <v>322</v>
      </c>
      <c r="B91" s="12" t="s">
        <v>323</v>
      </c>
      <c r="C91" s="22" t="n">
        <v>60</v>
      </c>
      <c r="D91" s="22" t="n">
        <v>62</v>
      </c>
      <c r="E91" s="22" t="n">
        <v>64</v>
      </c>
      <c r="F91" s="22" t="n">
        <v>66</v>
      </c>
      <c r="G91" s="22" t="n">
        <v>68</v>
      </c>
      <c r="I91" s="12" t="s">
        <v>324</v>
      </c>
    </row>
    <row r="92" customFormat="false" ht="15" hidden="true" customHeight="false" outlineLevel="2" collapsed="false">
      <c r="A92" s="4" t="s">
        <v>325</v>
      </c>
      <c r="B92" s="7"/>
      <c r="C92" s="35" t="n">
        <v>1.25</v>
      </c>
      <c r="D92" s="35" t="n">
        <v>1.24</v>
      </c>
      <c r="E92" s="35" t="n">
        <v>1.22</v>
      </c>
      <c r="F92" s="35" t="n">
        <v>1.2</v>
      </c>
      <c r="G92" s="35" t="n">
        <v>1.2</v>
      </c>
      <c r="I92" s="12" t="s">
        <v>324</v>
      </c>
    </row>
    <row r="93" customFormat="false" ht="15" hidden="true" customHeight="false" outlineLevel="2" collapsed="false">
      <c r="A93" s="3" t="s">
        <v>326</v>
      </c>
      <c r="B93" s="12" t="s">
        <v>327</v>
      </c>
      <c r="C93" s="35" t="n">
        <v>0.15</v>
      </c>
      <c r="D93" s="35" t="n">
        <v>0.15</v>
      </c>
      <c r="E93" s="35" t="n">
        <v>0.16</v>
      </c>
      <c r="F93" s="35" t="n">
        <v>0.16</v>
      </c>
      <c r="G93" s="35" t="n">
        <v>0.17</v>
      </c>
      <c r="I93" s="12" t="s">
        <v>324</v>
      </c>
    </row>
    <row r="94" customFormat="false" ht="15" hidden="false" customHeight="false" outlineLevel="1" collapsed="true">
      <c r="A94" s="20" t="s">
        <v>328</v>
      </c>
      <c r="B94" s="21"/>
      <c r="C94" s="21"/>
      <c r="D94" s="21"/>
      <c r="E94" s="21"/>
      <c r="F94" s="21"/>
      <c r="G94" s="21"/>
      <c r="H94" s="21"/>
    </row>
    <row r="95" customFormat="false" ht="15" hidden="true" customHeight="false" outlineLevel="2" collapsed="false">
      <c r="A95" s="3" t="s">
        <v>329</v>
      </c>
      <c r="B95" s="12" t="s">
        <v>93</v>
      </c>
      <c r="C95" s="24" t="n">
        <v>2.575</v>
      </c>
      <c r="I95" s="12" t="s">
        <v>330</v>
      </c>
    </row>
    <row r="96" customFormat="false" ht="15" hidden="true" customHeight="false" outlineLevel="2" collapsed="false">
      <c r="A96" s="3" t="s">
        <v>331</v>
      </c>
      <c r="B96" s="12" t="s">
        <v>93</v>
      </c>
      <c r="C96" s="24" t="n">
        <v>0.879</v>
      </c>
      <c r="I96" s="12" t="s">
        <v>330</v>
      </c>
    </row>
    <row r="97" customFormat="false" ht="15" hidden="true" customHeight="false" outlineLevel="2" collapsed="false">
      <c r="A97" s="3" t="s">
        <v>332</v>
      </c>
      <c r="B97" s="12" t="s">
        <v>93</v>
      </c>
      <c r="C97" s="24" t="n">
        <v>1.507</v>
      </c>
      <c r="I97" s="12" t="s">
        <v>333</v>
      </c>
    </row>
    <row r="98" customFormat="false" ht="15" hidden="true" customHeight="false" outlineLevel="2" collapsed="false">
      <c r="A98" s="3" t="s">
        <v>334</v>
      </c>
      <c r="B98" s="12" t="s">
        <v>93</v>
      </c>
      <c r="C98" s="24" t="n">
        <v>0.06</v>
      </c>
      <c r="I98" s="12" t="s">
        <v>330</v>
      </c>
    </row>
    <row r="99" customFormat="false" ht="15" hidden="true" customHeight="false" outlineLevel="2" collapsed="false">
      <c r="A99" s="3" t="s">
        <v>335</v>
      </c>
      <c r="B99" s="12" t="s">
        <v>93</v>
      </c>
      <c r="C99" s="24" t="n">
        <v>0.012</v>
      </c>
      <c r="I99" s="12" t="s">
        <v>336</v>
      </c>
    </row>
    <row r="100" customFormat="false" ht="15" hidden="true" customHeight="false" outlineLevel="2" collapsed="false">
      <c r="A100" s="3" t="s">
        <v>337</v>
      </c>
      <c r="B100" s="12" t="s">
        <v>93</v>
      </c>
      <c r="C100" s="24" t="n">
        <v>0.178</v>
      </c>
      <c r="I100" s="12" t="s">
        <v>330</v>
      </c>
    </row>
    <row r="101" customFormat="false" ht="15" hidden="true" customHeight="false" outlineLevel="2" collapsed="false">
      <c r="A101" s="3" t="s">
        <v>338</v>
      </c>
      <c r="B101" s="12" t="s">
        <v>93</v>
      </c>
      <c r="C101" s="24" t="n">
        <v>0.084</v>
      </c>
      <c r="I101" s="12" t="s">
        <v>336</v>
      </c>
    </row>
    <row r="102" customFormat="false" ht="15" hidden="true" customHeight="false" outlineLevel="2" collapsed="false">
      <c r="A102" s="3" t="s">
        <v>339</v>
      </c>
      <c r="B102" s="12" t="s">
        <v>93</v>
      </c>
      <c r="C102" s="24" t="n">
        <v>1.393</v>
      </c>
      <c r="I102" s="12" t="s">
        <v>340</v>
      </c>
    </row>
    <row r="103" customFormat="false" ht="15" hidden="true" customHeight="false" outlineLevel="2" collapsed="false">
      <c r="A103" s="3" t="s">
        <v>341</v>
      </c>
      <c r="B103" s="12" t="s">
        <v>93</v>
      </c>
      <c r="C103" s="24" t="n">
        <v>0.069</v>
      </c>
      <c r="I103" s="12" t="s">
        <v>342</v>
      </c>
    </row>
    <row r="104" customFormat="false" ht="15" hidden="true" customHeight="false" outlineLevel="2" collapsed="false">
      <c r="A104" s="3" t="s">
        <v>343</v>
      </c>
      <c r="B104" s="12" t="s">
        <v>93</v>
      </c>
      <c r="C104" s="24" t="n">
        <v>0.5</v>
      </c>
      <c r="I104" s="12" t="s">
        <v>344</v>
      </c>
    </row>
    <row r="105" customFormat="false" ht="15" hidden="true" customHeight="false" outlineLevel="2" collapsed="false">
      <c r="A105" s="3" t="s">
        <v>345</v>
      </c>
      <c r="B105" s="12" t="s">
        <v>93</v>
      </c>
      <c r="C105" s="24" t="n">
        <v>0.15</v>
      </c>
      <c r="I105" s="12" t="s">
        <v>344</v>
      </c>
    </row>
    <row r="106" customFormat="false" ht="15" hidden="true" customHeight="false" outlineLevel="2" collapsed="false">
      <c r="A106" s="3" t="s">
        <v>346</v>
      </c>
      <c r="B106" s="7"/>
      <c r="C106" s="22" t="n">
        <v>1</v>
      </c>
      <c r="I106" s="12" t="s">
        <v>347</v>
      </c>
    </row>
    <row r="107" customFormat="false" ht="15" hidden="true" customHeight="false" outlineLevel="2" collapsed="false">
      <c r="A107" s="3" t="s">
        <v>348</v>
      </c>
      <c r="B107" s="12" t="s">
        <v>77</v>
      </c>
      <c r="C107" s="31" t="n">
        <f aca="false">IF(輸入與假設!$C$106=2,(輸入與假設!$C$98+輸入與假設!$C$100)/輸入與假設!$C$95,(輸入與假設!$C$98-輸入與假設!$C$99+輸入與假設!$C$100-輸入與假設!$C$101)/輸入與假設!$C$95)</f>
        <v>0.0551456310679611</v>
      </c>
      <c r="I107" s="7" t="s">
        <v>349</v>
      </c>
    </row>
    <row r="108" customFormat="false" ht="15" hidden="true" customHeight="false" outlineLevel="2" collapsed="false">
      <c r="A108" s="3" t="s">
        <v>350</v>
      </c>
      <c r="B108" s="12" t="s">
        <v>177</v>
      </c>
      <c r="C108" s="22" t="n">
        <v>500</v>
      </c>
      <c r="I108" s="7" t="s">
        <v>351</v>
      </c>
    </row>
    <row r="110" customFormat="false" ht="15" hidden="false" customHeight="false" outlineLevel="0" collapsed="false">
      <c r="A110" s="8" t="s">
        <v>352</v>
      </c>
      <c r="B110" s="9"/>
      <c r="C110" s="9"/>
      <c r="D110" s="9"/>
      <c r="E110" s="9"/>
      <c r="F110" s="9"/>
      <c r="G110" s="9"/>
      <c r="H110" s="9"/>
    </row>
    <row r="111" customFormat="false" ht="15" hidden="false" customHeight="false" outlineLevel="1" collapsed="false">
      <c r="A111" s="3" t="s">
        <v>353</v>
      </c>
      <c r="B111" s="12" t="s">
        <v>77</v>
      </c>
      <c r="C111" s="23" t="n">
        <v>0.35</v>
      </c>
      <c r="I111" s="7" t="s">
        <v>354</v>
      </c>
    </row>
    <row r="112" customFormat="false" ht="15" hidden="false" customHeight="false" outlineLevel="1" collapsed="false">
      <c r="A112" s="4" t="s">
        <v>355</v>
      </c>
      <c r="B112" s="12" t="s">
        <v>177</v>
      </c>
      <c r="C112" s="29" t="n">
        <f aca="false">CHOOSE(輸入與假設!$C$5,I8,I9,I10)</f>
        <v>500</v>
      </c>
      <c r="I112" s="7" t="s">
        <v>356</v>
      </c>
    </row>
    <row r="113" customFormat="false" ht="15" hidden="false" customHeight="false" outlineLevel="1" collapsed="false">
      <c r="A113" s="4" t="s">
        <v>357</v>
      </c>
      <c r="B113" s="12" t="s">
        <v>93</v>
      </c>
      <c r="C113" s="24" t="n">
        <v>35</v>
      </c>
      <c r="I113" s="7" t="s">
        <v>358</v>
      </c>
    </row>
    <row r="114" customFormat="false" ht="15" hidden="false" customHeight="false" outlineLevel="1" collapsed="false">
      <c r="A114" s="4" t="s">
        <v>359</v>
      </c>
      <c r="B114" s="7" t="s">
        <v>360</v>
      </c>
      <c r="C114" s="29" t="n">
        <f aca="false">ROUND(SUMPRODUCT($C$42:$C$46,$G$65:$G$69),0)</f>
        <v>6</v>
      </c>
      <c r="I114" s="7" t="s">
        <v>361</v>
      </c>
    </row>
    <row r="115" customFormat="false" ht="15" hidden="false" customHeight="false" outlineLevel="1" collapsed="false">
      <c r="A115" s="4" t="s">
        <v>362</v>
      </c>
      <c r="B115" s="12" t="s">
        <v>177</v>
      </c>
      <c r="C115" s="22" t="n">
        <v>100</v>
      </c>
      <c r="I115" s="7" t="s">
        <v>363</v>
      </c>
    </row>
    <row r="116" customFormat="false" ht="15" hidden="false" customHeight="false" outlineLevel="1" collapsed="false">
      <c r="A116" s="4" t="s">
        <v>364</v>
      </c>
      <c r="B116" s="12" t="s">
        <v>177</v>
      </c>
      <c r="C116" s="22" t="n">
        <v>360</v>
      </c>
      <c r="I116" s="12" t="s">
        <v>365</v>
      </c>
    </row>
    <row r="117" customFormat="false" ht="15" hidden="false" customHeight="false" outlineLevel="1" collapsed="false">
      <c r="A117" s="4" t="s">
        <v>366</v>
      </c>
      <c r="B117" s="12" t="s">
        <v>93</v>
      </c>
      <c r="C117" s="24" t="n">
        <v>46.736</v>
      </c>
      <c r="I117" s="12" t="s">
        <v>367</v>
      </c>
    </row>
    <row r="118" customFormat="false" ht="15" hidden="false" customHeight="false" outlineLevel="1" collapsed="false">
      <c r="A118" s="3" t="s">
        <v>368</v>
      </c>
      <c r="B118" s="12" t="s">
        <v>77</v>
      </c>
      <c r="C118" s="23" t="n">
        <v>1</v>
      </c>
      <c r="I118" s="7" t="s">
        <v>369</v>
      </c>
    </row>
    <row r="119" customFormat="false" ht="15" hidden="false" customHeight="false" outlineLevel="1" collapsed="false">
      <c r="A119" s="15" t="s">
        <v>87</v>
      </c>
      <c r="B119" s="15" t="s">
        <v>88</v>
      </c>
      <c r="C119" s="27" t="s">
        <v>89</v>
      </c>
      <c r="D119" s="27" t="s">
        <v>90</v>
      </c>
      <c r="E119" s="27" t="s">
        <v>91</v>
      </c>
      <c r="F119" s="27" t="s">
        <v>173</v>
      </c>
      <c r="G119" s="27" t="s">
        <v>174</v>
      </c>
      <c r="I119" s="15" t="s">
        <v>206</v>
      </c>
    </row>
    <row r="120" customFormat="false" ht="15" hidden="false" customHeight="false" outlineLevel="1" collapsed="false">
      <c r="A120" s="3" t="s">
        <v>370</v>
      </c>
      <c r="B120" s="12" t="s">
        <v>327</v>
      </c>
      <c r="C120" s="36" t="n">
        <f aca="false">SUMPRODUCT(C58:C62,$C$65:$C$69)</f>
        <v>34.759438</v>
      </c>
      <c r="D120" s="36" t="n">
        <f aca="false">SUMPRODUCT(D58:D62,$C$65:$C$69)</f>
        <v>37.515928</v>
      </c>
      <c r="E120" s="36" t="n">
        <f aca="false">SUMPRODUCT(E58:E62,$C$65:$C$69)</f>
        <v>37.586352</v>
      </c>
      <c r="F120" s="36" t="n">
        <f aca="false">SUMPRODUCT(F58:F62,$C$65:$C$69)</f>
        <v>37.586352</v>
      </c>
      <c r="G120" s="36" t="n">
        <f aca="false">SUMPRODUCT(G58:G62,$C$65:$C$69)</f>
        <v>37.586352</v>
      </c>
      <c r="I120" s="7" t="s">
        <v>371</v>
      </c>
    </row>
    <row r="121" customFormat="false" ht="15" hidden="false" customHeight="false" outlineLevel="1" collapsed="false">
      <c r="A121" s="3" t="s">
        <v>372</v>
      </c>
      <c r="B121" s="12" t="s">
        <v>327</v>
      </c>
      <c r="C121" s="37" t="n">
        <v>34</v>
      </c>
      <c r="D121" s="37" t="n">
        <v>34</v>
      </c>
      <c r="E121" s="37" t="n">
        <v>34</v>
      </c>
      <c r="F121" s="37" t="n">
        <v>34</v>
      </c>
      <c r="G121" s="37" t="n">
        <v>34</v>
      </c>
      <c r="I121" s="7" t="s">
        <v>373</v>
      </c>
    </row>
    <row r="122" customFormat="false" ht="15" hidden="false" customHeight="false" outlineLevel="1" collapsed="false">
      <c r="A122" s="3" t="s">
        <v>374</v>
      </c>
      <c r="B122" s="12" t="s">
        <v>77</v>
      </c>
      <c r="C122" s="23" t="n">
        <v>0.08</v>
      </c>
      <c r="D122" s="23" t="n">
        <v>0.08</v>
      </c>
      <c r="E122" s="23" t="n">
        <v>0.08</v>
      </c>
      <c r="F122" s="23" t="n">
        <v>0.08</v>
      </c>
      <c r="G122" s="23" t="n">
        <v>0.08</v>
      </c>
      <c r="I122" s="12" t="s">
        <v>375</v>
      </c>
    </row>
    <row r="123" customFormat="false" ht="15" hidden="false" customHeight="false" outlineLevel="1" collapsed="false">
      <c r="A123" s="3" t="s">
        <v>376</v>
      </c>
      <c r="B123" s="12" t="s">
        <v>93</v>
      </c>
      <c r="C123" s="24" t="n">
        <v>1.04</v>
      </c>
      <c r="D123" s="24" t="n">
        <v>2.339</v>
      </c>
      <c r="E123" s="24" t="n">
        <v>2.306</v>
      </c>
      <c r="F123" s="24" t="n">
        <v>2.373</v>
      </c>
      <c r="G123" s="24" t="n">
        <v>2.289</v>
      </c>
      <c r="I123" s="7" t="s">
        <v>377</v>
      </c>
    </row>
    <row r="124" customFormat="false" ht="15" hidden="false" customHeight="false" outlineLevel="1" collapsed="false">
      <c r="A124" s="3" t="s">
        <v>378</v>
      </c>
      <c r="B124" s="12" t="s">
        <v>93</v>
      </c>
      <c r="C124" s="34" t="n">
        <f aca="false">C12*MAX(0,C26-輸入與假設!$C$13)/(C10-輸入與假設!$C$13)</f>
        <v>0.3</v>
      </c>
      <c r="D124" s="34" t="n">
        <f aca="false">D12*MAX(0,D26-輸入與假設!$C$13)/(D10-輸入與假設!$C$13)</f>
        <v>1.6</v>
      </c>
      <c r="E124" s="34" t="n">
        <f aca="false">E12*MAX(0,E26-輸入與假設!$C$13)/(E10-輸入與假設!$C$13)</f>
        <v>2.41935483870968</v>
      </c>
      <c r="F124" s="34" t="n">
        <f aca="false">F12*MAX(0,F26-輸入與假設!$C$13)/(F10-輸入與假設!$C$13)</f>
        <v>2.75</v>
      </c>
      <c r="G124" s="34" t="n">
        <f aca="false">G12*MAX(0,G26-輸入與假設!$C$13)/(G10-輸入與假設!$C$13)</f>
        <v>2.90153846153846</v>
      </c>
      <c r="I124" s="7" t="s">
        <v>379</v>
      </c>
    </row>
    <row r="125" customFormat="false" ht="15" hidden="false" customHeight="false" outlineLevel="1" collapsed="false">
      <c r="A125" s="4" t="s">
        <v>380</v>
      </c>
      <c r="B125" s="12" t="s">
        <v>93</v>
      </c>
      <c r="C125" s="24" t="n">
        <v>1.15</v>
      </c>
      <c r="D125" s="24" t="n">
        <v>0</v>
      </c>
      <c r="E125" s="24" t="n">
        <v>0</v>
      </c>
      <c r="F125" s="24" t="n">
        <v>0</v>
      </c>
      <c r="G125" s="24" t="n">
        <v>0</v>
      </c>
      <c r="I125" s="12" t="s">
        <v>381</v>
      </c>
    </row>
    <row r="126" customFormat="false" ht="15" hidden="false" customHeight="false" outlineLevel="1" collapsed="false">
      <c r="A126" s="4" t="s">
        <v>382</v>
      </c>
      <c r="B126" s="12" t="s">
        <v>93</v>
      </c>
      <c r="C126" s="24" t="n">
        <v>0.1</v>
      </c>
      <c r="D126" s="24" t="n">
        <v>0.4</v>
      </c>
      <c r="E126" s="24" t="n">
        <v>0.3</v>
      </c>
      <c r="F126" s="24" t="n">
        <v>0.2</v>
      </c>
      <c r="G126" s="24" t="n">
        <v>0.2</v>
      </c>
      <c r="I126" s="7" t="s">
        <v>383</v>
      </c>
    </row>
    <row r="127" customFormat="false" ht="15" hidden="false" customHeight="false" outlineLevel="1" collapsed="false">
      <c r="A127" s="4" t="s">
        <v>384</v>
      </c>
      <c r="B127" s="12" t="s">
        <v>93</v>
      </c>
      <c r="C127" s="34" t="n">
        <f aca="false">C125+C126</f>
        <v>1.25</v>
      </c>
      <c r="D127" s="34" t="n">
        <f aca="false">D125+D126</f>
        <v>0.4</v>
      </c>
      <c r="E127" s="34" t="n">
        <f aca="false">E125+E126</f>
        <v>0.3</v>
      </c>
      <c r="F127" s="34" t="n">
        <f aca="false">F125+F126</f>
        <v>0.2</v>
      </c>
      <c r="G127" s="34" t="n">
        <f aca="false">G125+G126</f>
        <v>0.2</v>
      </c>
      <c r="I127" s="7" t="s">
        <v>385</v>
      </c>
    </row>
    <row r="128" customFormat="false" ht="15" hidden="false" customHeight="false" outlineLevel="1" collapsed="true">
      <c r="A128" s="38" t="s">
        <v>386</v>
      </c>
      <c r="B128" s="21"/>
      <c r="C128" s="21"/>
      <c r="D128" s="21"/>
      <c r="E128" s="21"/>
      <c r="F128" s="21"/>
      <c r="G128" s="21"/>
      <c r="H128" s="21"/>
    </row>
    <row r="129" customFormat="false" ht="15" hidden="true" customHeight="false" outlineLevel="2" collapsed="false">
      <c r="A129" s="3" t="s">
        <v>387</v>
      </c>
      <c r="B129" s="12" t="s">
        <v>177</v>
      </c>
      <c r="C129" s="29" t="n">
        <f aca="false">輸入與假設!$C$19</f>
        <v>850</v>
      </c>
      <c r="D129" s="29" t="n">
        <f aca="false">C26</f>
        <v>1850</v>
      </c>
      <c r="E129" s="29" t="n">
        <f aca="false">D26</f>
        <v>3100</v>
      </c>
      <c r="F129" s="29" t="n">
        <f aca="false">E26</f>
        <v>4000</v>
      </c>
      <c r="G129" s="29" t="n">
        <f aca="false">F26</f>
        <v>4800</v>
      </c>
      <c r="I129" s="12" t="s">
        <v>388</v>
      </c>
    </row>
    <row r="130" customFormat="false" ht="15" hidden="true" customHeight="false" outlineLevel="2" collapsed="false">
      <c r="A130" s="3" t="s">
        <v>389</v>
      </c>
      <c r="B130" s="12" t="s">
        <v>177</v>
      </c>
      <c r="C130" s="29" t="n">
        <f aca="false">C26-C129</f>
        <v>1000</v>
      </c>
      <c r="D130" s="29" t="n">
        <f aca="false">D26-D129</f>
        <v>1250</v>
      </c>
      <c r="E130" s="29" t="n">
        <f aca="false">E26-E129</f>
        <v>900</v>
      </c>
      <c r="F130" s="29" t="n">
        <f aca="false">F26-F129</f>
        <v>800</v>
      </c>
      <c r="G130" s="29" t="n">
        <f aca="false">G26-G129</f>
        <v>800</v>
      </c>
    </row>
    <row r="131" customFormat="false" ht="15" hidden="true" customHeight="false" outlineLevel="2" collapsed="false">
      <c r="A131" s="3" t="s">
        <v>390</v>
      </c>
      <c r="B131" s="12" t="s">
        <v>177</v>
      </c>
      <c r="C131" s="29" t="n">
        <f aca="false">D26-C26</f>
        <v>1250</v>
      </c>
      <c r="D131" s="29" t="n">
        <f aca="false">E26-D26</f>
        <v>900</v>
      </c>
      <c r="E131" s="29" t="n">
        <f aca="false">F26-E26</f>
        <v>800</v>
      </c>
      <c r="F131" s="29" t="n">
        <f aca="false">G26-F26</f>
        <v>800</v>
      </c>
      <c r="G131" s="29" t="n">
        <f aca="false">輸入與假設!$C$112</f>
        <v>500</v>
      </c>
    </row>
    <row r="132" customFormat="false" ht="15" hidden="true" customHeight="false" outlineLevel="2" collapsed="false">
      <c r="A132" s="3" t="s">
        <v>391</v>
      </c>
      <c r="B132" s="12" t="s">
        <v>93</v>
      </c>
      <c r="C132" s="34" t="n">
        <f aca="false">(C130*(1-輸入與假設!$C$111)+C131*輸入與假設!$C$111)*C120*輸入與假設!$C$118/1000</f>
        <v>37.800888825</v>
      </c>
      <c r="D132" s="34" t="n">
        <f aca="false">(D130*(1-輸入與假設!$C$111)+D131*輸入與假設!$C$111)*D120*輸入與假設!$C$118/1000</f>
        <v>42.29920882</v>
      </c>
      <c r="E132" s="34" t="n">
        <f aca="false">(E130*(1-輸入與假設!$C$111)+E131*輸入與假設!$C$111)*E120*輸入與假設!$C$118/1000</f>
        <v>32.51219448</v>
      </c>
      <c r="F132" s="34" t="n">
        <f aca="false">(F130*(1-輸入與假設!$C$111)+F131*輸入與假設!$C$111)*F120*輸入與假設!$C$118/1000</f>
        <v>30.0690816</v>
      </c>
      <c r="G132" s="34" t="n">
        <f aca="false">(G130*(1-輸入與假設!$C$111)+G131*輸入與假設!$C$111)*G120*輸入與假設!$C$118/1000</f>
        <v>26.12251464</v>
      </c>
      <c r="I132" s="7" t="s">
        <v>392</v>
      </c>
    </row>
    <row r="133" customFormat="false" ht="15" hidden="true" customHeight="false" outlineLevel="2" collapsed="false">
      <c r="A133" s="3" t="s">
        <v>393</v>
      </c>
      <c r="B133" s="12" t="s">
        <v>93</v>
      </c>
      <c r="C133" s="34" t="n">
        <f aca="false">MAX(C132,輸入與假設!$C$113)-輸入與假設!$C$215</f>
        <v>21.661888825</v>
      </c>
      <c r="D133" s="34" t="n">
        <f aca="false">D132</f>
        <v>42.29920882</v>
      </c>
      <c r="E133" s="34" t="n">
        <f aca="false">E132</f>
        <v>32.51219448</v>
      </c>
      <c r="F133" s="34" t="n">
        <f aca="false">F132</f>
        <v>30.0690816</v>
      </c>
      <c r="G133" s="34" t="n">
        <f aca="false">G132</f>
        <v>26.12251464</v>
      </c>
      <c r="I133" s="12" t="s">
        <v>394</v>
      </c>
    </row>
    <row r="134" customFormat="false" ht="15" hidden="true" customHeight="false" outlineLevel="2" collapsed="false">
      <c r="A134" s="4" t="s">
        <v>395</v>
      </c>
      <c r="B134" s="12" t="s">
        <v>93</v>
      </c>
      <c r="C134" s="34" t="n">
        <f aca="false">IF(2026-輸入與假設!$C$114=2023,輸入與假設!$C$115,IF(2026-輸入與假設!$C$114=2024,輸入與假設!$C$116-輸入與假設!$C$115,IF(2026-輸入與假設!$C$114=2025,輸入與假設!$C$19-輸入與假設!$C$116,0)))*C120*輸入與假設!$C$118/1000</f>
        <v>0</v>
      </c>
      <c r="D134" s="34" t="n">
        <f aca="false">IF(2027-輸入與假設!$C$114=2023,輸入與假設!$C$115,IF(2027-輸入與假設!$C$114=2024,輸入與假設!$C$116-輸入與假設!$C$115,IF(2027-輸入與假設!$C$114=2025,輸入與假設!$C$19-輸入與假設!$C$116,0)))*D120*輸入與假設!$C$118/1000</f>
        <v>0</v>
      </c>
      <c r="E134" s="34" t="n">
        <f aca="false">IF(2028-輸入與假設!$C$114=2023,輸入與假設!$C$115,IF(2028-輸入與假設!$C$114=2024,輸入與假設!$C$116-輸入與假設!$C$115,IF(2028-輸入與假設!$C$114=2025,輸入與假設!$C$19-輸入與假設!$C$116,0)))*E120*輸入與假設!$C$118/1000</f>
        <v>0</v>
      </c>
      <c r="F134" s="34" t="n">
        <f aca="false">IF(2029-輸入與假設!$C$114=2023,輸入與假設!$C$115,IF(2029-輸入與假設!$C$114=2024,輸入與假設!$C$116-輸入與假設!$C$115,IF(2029-輸入與假設!$C$114=2025,輸入與假設!$C$19-輸入與假設!$C$116,0)))*F120*輸入與假設!$C$118/1000</f>
        <v>3.7586352</v>
      </c>
      <c r="G134" s="34" t="n">
        <f aca="false">IF(2030-輸入與假設!$C$114=2023,輸入與假設!$C$115,IF(2030-輸入與假設!$C$114=2024,輸入與假設!$C$116-輸入與假設!$C$115,IF(2030-輸入與假設!$C$114=2025,輸入與假設!$C$19-輸入與假設!$C$116,0)))*G120*輸入與假設!$C$118/1000</f>
        <v>9.77245152</v>
      </c>
      <c r="I134" s="7" t="s">
        <v>396</v>
      </c>
    </row>
    <row r="135" customFormat="false" ht="15" hidden="true" customHeight="false" outlineLevel="2" collapsed="false">
      <c r="A135" s="3" t="s">
        <v>397</v>
      </c>
      <c r="B135" s="12" t="s">
        <v>93</v>
      </c>
      <c r="C135" s="34" t="n">
        <f aca="false">輸入與假設!$C$117</f>
        <v>46.736</v>
      </c>
      <c r="D135" s="34" t="n">
        <f aca="false">C135+C133</f>
        <v>68.397888825</v>
      </c>
      <c r="E135" s="34" t="n">
        <f aca="false">D135+D133</f>
        <v>110.697097645</v>
      </c>
      <c r="F135" s="34" t="n">
        <f aca="false">E135+E133</f>
        <v>143.209292125</v>
      </c>
      <c r="G135" s="34" t="n">
        <f aca="false">F135+F133</f>
        <v>173.278373725</v>
      </c>
      <c r="I135" s="7" t="s">
        <v>398</v>
      </c>
    </row>
    <row r="136" customFormat="false" ht="15" hidden="false" customHeight="false" outlineLevel="1" collapsed="false">
      <c r="A136" s="38" t="s">
        <v>399</v>
      </c>
      <c r="B136" s="21"/>
      <c r="C136" s="21"/>
      <c r="D136" s="21"/>
      <c r="E136" s="21"/>
      <c r="F136" s="21"/>
      <c r="G136" s="21"/>
      <c r="H136" s="21"/>
    </row>
    <row r="137" customFormat="false" ht="15" hidden="false" customHeight="false" outlineLevel="2" collapsed="false">
      <c r="A137" s="3" t="s">
        <v>400</v>
      </c>
      <c r="B137" s="12" t="s">
        <v>93</v>
      </c>
      <c r="C137" s="39" t="n">
        <f aca="false">C133+C134</f>
        <v>21.661888825</v>
      </c>
      <c r="D137" s="39" t="n">
        <f aca="false">D133+D134</f>
        <v>42.29920882</v>
      </c>
      <c r="E137" s="39" t="n">
        <f aca="false">E133+E134</f>
        <v>32.51219448</v>
      </c>
      <c r="F137" s="39" t="n">
        <f aca="false">F133+F134</f>
        <v>33.8277168</v>
      </c>
      <c r="G137" s="39" t="n">
        <f aca="false">G133+G134</f>
        <v>35.89496616</v>
      </c>
      <c r="I137" s="7" t="s">
        <v>401</v>
      </c>
    </row>
    <row r="138" customFormat="false" ht="15" hidden="false" customHeight="false" outlineLevel="2" collapsed="false">
      <c r="A138" s="4" t="s">
        <v>402</v>
      </c>
      <c r="B138" s="12" t="s">
        <v>93</v>
      </c>
      <c r="C138" s="39" t="n">
        <f aca="false">(C135+0.5*C133)/輸入與假設!$C$114*C24</f>
        <v>4.79724536770833</v>
      </c>
      <c r="D138" s="39" t="n">
        <f aca="false">(D135+0.5*D133)/輸入與假設!$C$114*D24</f>
        <v>14.9245822058333</v>
      </c>
      <c r="E138" s="39" t="n">
        <f aca="false">(E135+0.5*E133)/輸入與假設!$C$114*E24</f>
        <v>21.1588658141667</v>
      </c>
      <c r="F138" s="39" t="n">
        <f aca="false">(F135+0.5*F133)/輸入與假設!$C$114*F24</f>
        <v>26.3739721541667</v>
      </c>
      <c r="G138" s="39" t="n">
        <f aca="false">(G135+0.5*G133)/輸入與假設!$C$114*G24</f>
        <v>31.0566051741667</v>
      </c>
      <c r="I138" s="7" t="s">
        <v>403</v>
      </c>
    </row>
    <row r="140" customFormat="false" ht="15" hidden="false" customHeight="false" outlineLevel="0" collapsed="false">
      <c r="A140" s="8" t="s">
        <v>404</v>
      </c>
      <c r="B140" s="9"/>
      <c r="C140" s="9"/>
      <c r="D140" s="9"/>
      <c r="E140" s="9"/>
      <c r="F140" s="9"/>
      <c r="G140" s="9"/>
      <c r="H140" s="9"/>
    </row>
    <row r="141" customFormat="false" ht="15" hidden="false" customHeight="false" outlineLevel="1" collapsed="false">
      <c r="A141" s="3" t="s">
        <v>405</v>
      </c>
      <c r="B141" s="12" t="s">
        <v>93</v>
      </c>
      <c r="C141" s="24" t="n">
        <v>5.5</v>
      </c>
      <c r="I141" s="12" t="s">
        <v>406</v>
      </c>
    </row>
    <row r="142" customFormat="false" ht="15" hidden="false" customHeight="false" outlineLevel="1" collapsed="false">
      <c r="A142" s="3" t="s">
        <v>407</v>
      </c>
      <c r="B142" s="12" t="s">
        <v>93</v>
      </c>
      <c r="C142" s="24" t="n">
        <v>6.2</v>
      </c>
      <c r="I142" s="12" t="s">
        <v>408</v>
      </c>
    </row>
    <row r="143" customFormat="false" ht="15" hidden="false" customHeight="false" outlineLevel="1" collapsed="false">
      <c r="A143" s="3" t="s">
        <v>409</v>
      </c>
      <c r="B143" s="7"/>
      <c r="C143" s="22" t="n">
        <v>1</v>
      </c>
      <c r="I143" s="7" t="s">
        <v>410</v>
      </c>
    </row>
    <row r="144" customFormat="false" ht="15" hidden="false" customHeight="false" outlineLevel="1" collapsed="false">
      <c r="A144" s="3" t="s">
        <v>411</v>
      </c>
      <c r="B144" s="12" t="s">
        <v>93</v>
      </c>
      <c r="C144" s="24" t="n">
        <v>10</v>
      </c>
      <c r="I144" s="12" t="s">
        <v>412</v>
      </c>
    </row>
    <row r="145" customFormat="false" ht="15" hidden="false" customHeight="false" outlineLevel="1" collapsed="false">
      <c r="A145" s="3" t="s">
        <v>413</v>
      </c>
      <c r="B145" s="7"/>
      <c r="C145" s="22" t="n">
        <v>1</v>
      </c>
      <c r="I145" s="7" t="s">
        <v>414</v>
      </c>
    </row>
    <row r="146" customFormat="false" ht="15" hidden="false" customHeight="false" outlineLevel="1" collapsed="false">
      <c r="A146" s="3" t="s">
        <v>415</v>
      </c>
      <c r="B146" s="7"/>
      <c r="C146" s="22" t="n">
        <v>1</v>
      </c>
      <c r="I146" s="12" t="s">
        <v>416</v>
      </c>
    </row>
    <row r="147" customFormat="false" ht="15" hidden="false" customHeight="false" outlineLevel="1" collapsed="false">
      <c r="A147" s="3" t="s">
        <v>417</v>
      </c>
      <c r="B147" s="12" t="s">
        <v>137</v>
      </c>
      <c r="C147" s="40" t="n">
        <v>1</v>
      </c>
      <c r="I147" s="7" t="s">
        <v>418</v>
      </c>
    </row>
    <row r="148" customFormat="false" ht="15" hidden="false" customHeight="false" outlineLevel="1" collapsed="false">
      <c r="A148" s="3" t="s">
        <v>419</v>
      </c>
      <c r="B148" s="7" t="s">
        <v>360</v>
      </c>
      <c r="C148" s="22" t="n">
        <v>5</v>
      </c>
      <c r="I148" s="12" t="s">
        <v>420</v>
      </c>
    </row>
    <row r="149" customFormat="false" ht="15" hidden="false" customHeight="false" outlineLevel="1" collapsed="false">
      <c r="A149" s="3" t="s">
        <v>421</v>
      </c>
      <c r="B149" s="12" t="s">
        <v>93</v>
      </c>
      <c r="C149" s="24" t="n">
        <v>2</v>
      </c>
      <c r="I149" s="7" t="s">
        <v>422</v>
      </c>
    </row>
    <row r="150" customFormat="false" ht="15" hidden="false" customHeight="false" outlineLevel="1" collapsed="false">
      <c r="A150" s="3" t="s">
        <v>423</v>
      </c>
      <c r="B150" s="12" t="s">
        <v>74</v>
      </c>
      <c r="C150" s="41" t="n">
        <v>90.13</v>
      </c>
      <c r="I150" s="7" t="s">
        <v>424</v>
      </c>
    </row>
    <row r="151" customFormat="false" ht="15" hidden="false" customHeight="false" outlineLevel="1" collapsed="false">
      <c r="A151" s="3" t="s">
        <v>425</v>
      </c>
      <c r="B151" s="12" t="s">
        <v>77</v>
      </c>
      <c r="C151" s="23" t="n">
        <v>0.1</v>
      </c>
      <c r="I151" s="7" t="s">
        <v>426</v>
      </c>
    </row>
    <row r="152" customFormat="false" ht="15" hidden="false" customHeight="false" outlineLevel="1" collapsed="false">
      <c r="A152" s="3" t="s">
        <v>427</v>
      </c>
      <c r="B152" s="12" t="s">
        <v>77</v>
      </c>
      <c r="C152" s="23" t="n">
        <v>0.2</v>
      </c>
      <c r="I152" s="12" t="s">
        <v>428</v>
      </c>
    </row>
    <row r="153" customFormat="false" ht="15" hidden="false" customHeight="false" outlineLevel="1" collapsed="false">
      <c r="A153" s="3" t="s">
        <v>429</v>
      </c>
      <c r="B153" s="12" t="s">
        <v>430</v>
      </c>
      <c r="C153" s="30" t="n">
        <v>0.5865</v>
      </c>
      <c r="I153" s="7" t="s">
        <v>431</v>
      </c>
    </row>
    <row r="154" customFormat="false" ht="15" hidden="false" customHeight="false" outlineLevel="1" collapsed="false">
      <c r="A154" s="3" t="s">
        <v>432</v>
      </c>
      <c r="B154" s="12" t="s">
        <v>77</v>
      </c>
      <c r="C154" s="23" t="n">
        <v>0.12</v>
      </c>
      <c r="I154" s="7" t="s">
        <v>433</v>
      </c>
    </row>
    <row r="155" customFormat="false" ht="15" hidden="false" customHeight="false" outlineLevel="1" collapsed="false">
      <c r="A155" s="4" t="s">
        <v>434</v>
      </c>
      <c r="B155" s="12" t="s">
        <v>435</v>
      </c>
      <c r="C155" s="22" t="n">
        <v>720</v>
      </c>
      <c r="I155" s="12" t="s">
        <v>436</v>
      </c>
    </row>
    <row r="156" customFormat="false" ht="15" hidden="false" customHeight="false" outlineLevel="1" collapsed="false">
      <c r="A156" s="4" t="s">
        <v>437</v>
      </c>
      <c r="B156" s="7"/>
      <c r="C156" s="22" t="n">
        <v>0</v>
      </c>
      <c r="I156" s="7" t="s">
        <v>438</v>
      </c>
    </row>
    <row r="157" customFormat="false" ht="15" hidden="false" customHeight="false" outlineLevel="1" collapsed="false">
      <c r="A157" s="4" t="s">
        <v>439</v>
      </c>
      <c r="B157" s="12" t="s">
        <v>435</v>
      </c>
      <c r="C157" s="22" t="n">
        <v>450</v>
      </c>
      <c r="I157" s="12" t="s">
        <v>440</v>
      </c>
    </row>
    <row r="158" customFormat="false" ht="15" hidden="false" customHeight="false" outlineLevel="1" collapsed="false">
      <c r="A158" s="4" t="s">
        <v>441</v>
      </c>
      <c r="B158" s="12" t="s">
        <v>77</v>
      </c>
      <c r="C158" s="23" t="n">
        <v>0.4</v>
      </c>
      <c r="I158" s="7" t="s">
        <v>442</v>
      </c>
    </row>
    <row r="159" customFormat="false" ht="15" hidden="false" customHeight="false" outlineLevel="1" collapsed="false">
      <c r="A159" s="15" t="s">
        <v>87</v>
      </c>
      <c r="B159" s="15" t="s">
        <v>88</v>
      </c>
      <c r="C159" s="27" t="s">
        <v>89</v>
      </c>
      <c r="D159" s="27" t="s">
        <v>90</v>
      </c>
      <c r="E159" s="27" t="s">
        <v>91</v>
      </c>
      <c r="F159" s="27" t="s">
        <v>173</v>
      </c>
      <c r="G159" s="27" t="s">
        <v>174</v>
      </c>
      <c r="I159" s="15" t="s">
        <v>206</v>
      </c>
    </row>
    <row r="160" customFormat="false" ht="15" hidden="false" customHeight="false" outlineLevel="1" collapsed="false">
      <c r="A160" s="3" t="s">
        <v>443</v>
      </c>
      <c r="B160" s="12" t="s">
        <v>93</v>
      </c>
      <c r="C160" s="24" t="n">
        <v>4.413</v>
      </c>
      <c r="D160" s="24" t="n">
        <v>6.184</v>
      </c>
      <c r="E160" s="24" t="n">
        <v>4.416</v>
      </c>
      <c r="F160" s="24" t="n">
        <v>2.421</v>
      </c>
      <c r="G160" s="24" t="n">
        <v>3.221</v>
      </c>
      <c r="I160" s="7" t="s">
        <v>444</v>
      </c>
    </row>
    <row r="161" customFormat="false" ht="15" hidden="false" customHeight="false" outlineLevel="1" collapsed="false">
      <c r="A161" s="3" t="s">
        <v>445</v>
      </c>
      <c r="B161" s="12" t="s">
        <v>77</v>
      </c>
      <c r="C161" s="23" t="n">
        <v>0.09</v>
      </c>
      <c r="D161" s="23" t="n">
        <v>0.09</v>
      </c>
      <c r="E161" s="23" t="n">
        <v>0.09</v>
      </c>
      <c r="F161" s="23" t="n">
        <v>0.09</v>
      </c>
      <c r="G161" s="23" t="n">
        <v>0.09</v>
      </c>
      <c r="I161" s="7" t="s">
        <v>446</v>
      </c>
    </row>
    <row r="162" customFormat="false" ht="15" hidden="false" customHeight="false" outlineLevel="1" collapsed="false">
      <c r="A162" s="3" t="s">
        <v>447</v>
      </c>
      <c r="B162" s="12" t="s">
        <v>93</v>
      </c>
      <c r="C162" s="42" t="n">
        <f aca="false">資產負債_既有債務!C35</f>
        <v>1.80589628695395</v>
      </c>
      <c r="D162" s="42" t="n">
        <f aca="false">資產負債_既有債務!D35</f>
        <v>2.46600676169447</v>
      </c>
      <c r="E162" s="42" t="n">
        <f aca="false">資產負債_既有債務!E35</f>
        <v>2.02009474796771</v>
      </c>
      <c r="F162" s="42" t="n">
        <f aca="false">資產負債_既有債務!F35</f>
        <v>1.73248149911395</v>
      </c>
      <c r="G162" s="42" t="n">
        <f aca="false">資產負債_既有債務!G35</f>
        <v>1.49513851973222</v>
      </c>
      <c r="I162" s="7" t="s">
        <v>448</v>
      </c>
    </row>
    <row r="164" customFormat="false" ht="15" hidden="false" customHeight="false" outlineLevel="0" collapsed="false">
      <c r="A164" s="8" t="s">
        <v>449</v>
      </c>
      <c r="B164" s="9"/>
      <c r="C164" s="9"/>
      <c r="D164" s="9"/>
      <c r="E164" s="9"/>
      <c r="F164" s="9"/>
      <c r="G164" s="9"/>
      <c r="H164" s="9"/>
    </row>
    <row r="165" customFormat="false" ht="15" hidden="false" customHeight="false" outlineLevel="1" collapsed="false">
      <c r="A165" s="3" t="s">
        <v>450</v>
      </c>
      <c r="B165" s="12" t="s">
        <v>74</v>
      </c>
      <c r="C165" s="41" t="n">
        <v>90.13</v>
      </c>
      <c r="I165" s="12" t="s">
        <v>451</v>
      </c>
    </row>
    <row r="166" customFormat="false" ht="15" hidden="false" customHeight="false" outlineLevel="1" collapsed="false">
      <c r="A166" s="3" t="s">
        <v>452</v>
      </c>
      <c r="B166" s="12" t="s">
        <v>430</v>
      </c>
      <c r="C166" s="43" t="n">
        <v>0.587</v>
      </c>
      <c r="I166" s="12" t="s">
        <v>453</v>
      </c>
    </row>
    <row r="167" customFormat="false" ht="15" hidden="false" customHeight="false" outlineLevel="1" collapsed="false">
      <c r="A167" s="3" t="s">
        <v>454</v>
      </c>
      <c r="B167" s="12" t="s">
        <v>93</v>
      </c>
      <c r="C167" s="24" t="n">
        <v>30</v>
      </c>
      <c r="I167" s="7" t="s">
        <v>455</v>
      </c>
    </row>
    <row r="168" customFormat="false" ht="15" hidden="false" customHeight="false" outlineLevel="1" collapsed="false">
      <c r="A168" s="4" t="s">
        <v>456</v>
      </c>
      <c r="B168" s="12" t="s">
        <v>77</v>
      </c>
      <c r="C168" s="23" t="n">
        <v>0.11</v>
      </c>
      <c r="I168" s="12" t="s">
        <v>225</v>
      </c>
    </row>
    <row r="169" customFormat="false" ht="15" hidden="false" customHeight="false" outlineLevel="1" collapsed="false">
      <c r="A169" s="3" t="s">
        <v>457</v>
      </c>
      <c r="B169" s="12" t="s">
        <v>77</v>
      </c>
      <c r="C169" s="23" t="n">
        <v>0.03</v>
      </c>
      <c r="I169" s="12" t="s">
        <v>225</v>
      </c>
    </row>
    <row r="170" customFormat="false" ht="15" hidden="false" customHeight="false" outlineLevel="1" collapsed="false">
      <c r="A170" s="3" t="s">
        <v>458</v>
      </c>
      <c r="B170" s="12" t="s">
        <v>77</v>
      </c>
      <c r="C170" s="23" t="n">
        <v>0.8</v>
      </c>
      <c r="I170" s="7" t="s">
        <v>459</v>
      </c>
    </row>
    <row r="171" customFormat="false" ht="15" hidden="false" customHeight="false" outlineLevel="1" collapsed="false">
      <c r="A171" s="3" t="s">
        <v>460</v>
      </c>
      <c r="B171" s="12" t="s">
        <v>77</v>
      </c>
      <c r="C171" s="23" t="n">
        <v>0.21</v>
      </c>
      <c r="I171" s="7" t="s">
        <v>461</v>
      </c>
    </row>
    <row r="172" customFormat="false" ht="15" hidden="false" customHeight="false" outlineLevel="1" collapsed="false">
      <c r="A172" s="3" t="s">
        <v>462</v>
      </c>
      <c r="B172" s="12" t="s">
        <v>93</v>
      </c>
      <c r="C172" s="24" t="n">
        <v>4</v>
      </c>
      <c r="I172" s="12" t="s">
        <v>463</v>
      </c>
    </row>
    <row r="173" customFormat="false" ht="15" hidden="false" customHeight="false" outlineLevel="1" collapsed="false">
      <c r="A173" s="4" t="s">
        <v>464</v>
      </c>
      <c r="B173" s="12" t="s">
        <v>77</v>
      </c>
      <c r="C173" s="23" t="n">
        <v>0.8</v>
      </c>
      <c r="I173" s="7" t="s">
        <v>465</v>
      </c>
    </row>
    <row r="174" customFormat="false" ht="15" hidden="false" customHeight="false" outlineLevel="1" collapsed="false">
      <c r="A174" s="3" t="s">
        <v>466</v>
      </c>
      <c r="B174" s="12" t="s">
        <v>77</v>
      </c>
      <c r="C174" s="23" t="n">
        <v>0.02</v>
      </c>
      <c r="I174" s="7" t="s">
        <v>467</v>
      </c>
    </row>
    <row r="175" customFormat="false" ht="15" hidden="false" customHeight="false" outlineLevel="1" collapsed="false">
      <c r="A175" s="4" t="s">
        <v>468</v>
      </c>
      <c r="B175" s="12" t="s">
        <v>137</v>
      </c>
      <c r="C175" s="44" t="n">
        <v>6</v>
      </c>
      <c r="I175" s="7" t="s">
        <v>469</v>
      </c>
    </row>
    <row r="176" customFormat="false" ht="15" hidden="false" customHeight="false" outlineLevel="1" collapsed="false">
      <c r="A176" s="4" t="s">
        <v>470</v>
      </c>
      <c r="B176" s="7"/>
      <c r="C176" s="19" t="n">
        <v>3</v>
      </c>
      <c r="I176" s="7" t="s">
        <v>471</v>
      </c>
    </row>
    <row r="177" customFormat="false" ht="15" hidden="false" customHeight="false" outlineLevel="1" collapsed="false">
      <c r="A177" s="3" t="s">
        <v>472</v>
      </c>
      <c r="B177" s="12" t="s">
        <v>77</v>
      </c>
      <c r="C177" s="23" t="n">
        <v>0.45</v>
      </c>
      <c r="I177" s="7"/>
    </row>
    <row r="178" customFormat="false" ht="15" hidden="false" customHeight="false" outlineLevel="1" collapsed="false">
      <c r="A178" s="3" t="s">
        <v>473</v>
      </c>
      <c r="B178" s="12" t="s">
        <v>77</v>
      </c>
      <c r="C178" s="23" t="n">
        <v>0.55</v>
      </c>
      <c r="I178" s="7"/>
    </row>
    <row r="179" customFormat="false" ht="15" hidden="false" customHeight="false" outlineLevel="1" collapsed="false">
      <c r="A179" s="3" t="s">
        <v>474</v>
      </c>
      <c r="B179" s="12" t="s">
        <v>137</v>
      </c>
      <c r="C179" s="44" t="n">
        <v>5</v>
      </c>
      <c r="I179" s="12" t="s">
        <v>475</v>
      </c>
    </row>
    <row r="180" customFormat="false" ht="15" hidden="false" customHeight="false" outlineLevel="1" collapsed="false">
      <c r="A180" s="3" t="s">
        <v>476</v>
      </c>
      <c r="B180" s="12" t="s">
        <v>137</v>
      </c>
      <c r="C180" s="44" t="n">
        <v>6</v>
      </c>
      <c r="I180" s="7"/>
    </row>
    <row r="181" customFormat="false" ht="15" hidden="false" customHeight="false" outlineLevel="1" collapsed="false">
      <c r="A181" s="3" t="s">
        <v>477</v>
      </c>
      <c r="B181" s="12" t="s">
        <v>77</v>
      </c>
      <c r="C181" s="23" t="n">
        <v>0.01</v>
      </c>
      <c r="I181" s="12" t="s">
        <v>478</v>
      </c>
    </row>
    <row r="182" customFormat="false" ht="15" hidden="false" customHeight="false" outlineLevel="1" collapsed="false">
      <c r="A182" s="3" t="s">
        <v>479</v>
      </c>
      <c r="B182" s="12" t="s">
        <v>93</v>
      </c>
      <c r="C182" s="24" t="n">
        <v>0.7</v>
      </c>
      <c r="I182" s="12" t="s">
        <v>480</v>
      </c>
    </row>
    <row r="183" customFormat="false" ht="15" hidden="false" customHeight="false" outlineLevel="1" collapsed="false">
      <c r="A183" s="38" t="s">
        <v>481</v>
      </c>
      <c r="B183" s="21"/>
      <c r="C183" s="21"/>
      <c r="D183" s="21"/>
      <c r="E183" s="21"/>
      <c r="F183" s="21"/>
      <c r="G183" s="21"/>
      <c r="H183" s="21"/>
    </row>
    <row r="184" customFormat="false" ht="15" hidden="false" customHeight="false" outlineLevel="2" collapsed="false">
      <c r="A184" s="4" t="s">
        <v>482</v>
      </c>
      <c r="B184" s="7"/>
      <c r="C184" s="19" t="n">
        <v>1</v>
      </c>
      <c r="I184" s="12" t="s">
        <v>483</v>
      </c>
    </row>
    <row r="185" customFormat="false" ht="15" hidden="false" customHeight="false" outlineLevel="2" collapsed="false">
      <c r="A185" s="3" t="s">
        <v>484</v>
      </c>
      <c r="B185" s="12" t="s">
        <v>77</v>
      </c>
      <c r="C185" s="23" t="n">
        <v>0.5</v>
      </c>
      <c r="I185" s="7" t="s">
        <v>485</v>
      </c>
    </row>
    <row r="186" customFormat="false" ht="15" hidden="false" customHeight="false" outlineLevel="2" collapsed="false">
      <c r="A186" s="3" t="s">
        <v>486</v>
      </c>
      <c r="B186" s="12" t="s">
        <v>77</v>
      </c>
      <c r="C186" s="23" t="n">
        <v>0.04</v>
      </c>
      <c r="I186" s="7" t="s">
        <v>485</v>
      </c>
    </row>
    <row r="187" customFormat="false" ht="15" hidden="false" customHeight="false" outlineLevel="2" collapsed="false">
      <c r="A187" s="3" t="s">
        <v>487</v>
      </c>
      <c r="B187" s="7" t="s">
        <v>360</v>
      </c>
      <c r="C187" s="37" t="n">
        <v>4.5</v>
      </c>
      <c r="I187" s="7" t="s">
        <v>488</v>
      </c>
    </row>
    <row r="188" customFormat="false" ht="15" hidden="false" customHeight="false" outlineLevel="1" collapsed="false">
      <c r="A188" s="20" t="s">
        <v>489</v>
      </c>
      <c r="B188" s="21"/>
      <c r="C188" s="21"/>
      <c r="D188" s="21"/>
      <c r="E188" s="21"/>
      <c r="F188" s="21"/>
      <c r="G188" s="21"/>
      <c r="H188" s="21"/>
    </row>
    <row r="189" customFormat="false" ht="15" hidden="false" customHeight="false" outlineLevel="2" collapsed="false">
      <c r="A189" s="3" t="s">
        <v>490</v>
      </c>
      <c r="B189" s="7" t="s">
        <v>491</v>
      </c>
      <c r="C189" s="29" t="n">
        <v>12</v>
      </c>
      <c r="I189" s="12" t="s">
        <v>492</v>
      </c>
    </row>
    <row r="190" customFormat="false" ht="15" hidden="false" customHeight="false" outlineLevel="2" collapsed="false">
      <c r="A190" s="3" t="s">
        <v>493</v>
      </c>
      <c r="B190" s="7"/>
      <c r="C190" s="45" t="s">
        <v>494</v>
      </c>
      <c r="I190" s="12" t="s">
        <v>495</v>
      </c>
    </row>
    <row r="191" customFormat="false" ht="15" hidden="false" customHeight="false" outlineLevel="2" collapsed="false">
      <c r="A191" s="3" t="s">
        <v>496</v>
      </c>
      <c r="B191" s="7"/>
      <c r="C191" s="45" t="s">
        <v>497</v>
      </c>
      <c r="I191" s="12" t="s">
        <v>498</v>
      </c>
    </row>
    <row r="192" customFormat="false" ht="15" hidden="false" customHeight="false" outlineLevel="2" collapsed="false">
      <c r="A192" s="3" t="s">
        <v>499</v>
      </c>
      <c r="B192" s="7"/>
      <c r="C192" s="45" t="s">
        <v>500</v>
      </c>
      <c r="I192" s="7" t="s">
        <v>501</v>
      </c>
    </row>
    <row r="193" customFormat="false" ht="15" hidden="false" customHeight="false" outlineLevel="2" collapsed="false">
      <c r="A193" s="3" t="s">
        <v>502</v>
      </c>
      <c r="B193" s="7" t="s">
        <v>360</v>
      </c>
      <c r="C193" s="34" t="n">
        <v>1</v>
      </c>
      <c r="I193" s="7"/>
    </row>
    <row r="194" customFormat="false" ht="15" hidden="false" customHeight="false" outlineLevel="2" collapsed="false">
      <c r="A194" s="3" t="s">
        <v>503</v>
      </c>
      <c r="B194" s="7"/>
      <c r="C194" s="45" t="s">
        <v>504</v>
      </c>
      <c r="I194" s="7" t="s">
        <v>505</v>
      </c>
    </row>
    <row r="195" customFormat="false" ht="15" hidden="false" customHeight="false" outlineLevel="2" collapsed="false">
      <c r="A195" s="3" t="s">
        <v>506</v>
      </c>
      <c r="B195" s="7"/>
      <c r="C195" s="45" t="s">
        <v>507</v>
      </c>
      <c r="I195" s="12" t="s">
        <v>508</v>
      </c>
    </row>
    <row r="196" customFormat="false" ht="15" hidden="false" customHeight="false" outlineLevel="2" collapsed="false">
      <c r="A196" s="3" t="s">
        <v>509</v>
      </c>
      <c r="B196" s="7"/>
      <c r="C196" s="45" t="s">
        <v>510</v>
      </c>
      <c r="I196" s="12" t="s">
        <v>511</v>
      </c>
    </row>
    <row r="197" customFormat="false" ht="15" hidden="false" customHeight="false" outlineLevel="2" collapsed="false">
      <c r="A197" s="3" t="s">
        <v>512</v>
      </c>
      <c r="B197" s="7" t="s">
        <v>360</v>
      </c>
      <c r="C197" s="34" t="n">
        <v>0.5</v>
      </c>
      <c r="I197" s="12" t="s">
        <v>513</v>
      </c>
    </row>
    <row r="198" customFormat="false" ht="15" hidden="false" customHeight="false" outlineLevel="2" collapsed="false">
      <c r="A198" s="15" t="s">
        <v>514</v>
      </c>
      <c r="B198" s="15" t="s">
        <v>88</v>
      </c>
      <c r="C198" s="27" t="s">
        <v>89</v>
      </c>
      <c r="D198" s="27" t="s">
        <v>90</v>
      </c>
      <c r="E198" s="27" t="s">
        <v>91</v>
      </c>
      <c r="F198" s="27" t="s">
        <v>173</v>
      </c>
      <c r="G198" s="27" t="s">
        <v>174</v>
      </c>
      <c r="I198" s="15" t="s">
        <v>206</v>
      </c>
    </row>
    <row r="199" customFormat="false" ht="15" hidden="false" customHeight="false" outlineLevel="2" collapsed="false">
      <c r="A199" s="3" t="s">
        <v>515</v>
      </c>
      <c r="B199" s="7"/>
      <c r="C199" s="45" t="s">
        <v>516</v>
      </c>
      <c r="D199" s="45" t="s">
        <v>517</v>
      </c>
      <c r="E199" s="45" t="s">
        <v>518</v>
      </c>
      <c r="F199" s="45" t="s">
        <v>519</v>
      </c>
      <c r="G199" s="45" t="s">
        <v>520</v>
      </c>
      <c r="I199" s="7" t="s">
        <v>521</v>
      </c>
    </row>
    <row r="200" customFormat="false" ht="15" hidden="false" customHeight="false" outlineLevel="2" collapsed="false">
      <c r="A200" s="3" t="s">
        <v>522</v>
      </c>
      <c r="B200" s="7" t="s">
        <v>360</v>
      </c>
      <c r="C200" s="34" t="n">
        <v>0.5</v>
      </c>
      <c r="D200" s="34" t="n">
        <v>1.5</v>
      </c>
      <c r="E200" s="34" t="n">
        <v>2.5</v>
      </c>
      <c r="F200" s="34" t="n">
        <v>3.5</v>
      </c>
      <c r="G200" s="34" t="n">
        <v>4.5</v>
      </c>
      <c r="I200" s="7" t="s">
        <v>521</v>
      </c>
    </row>
    <row r="201" customFormat="false" ht="15" hidden="false" customHeight="false" outlineLevel="2" collapsed="false">
      <c r="A201" s="3" t="s">
        <v>523</v>
      </c>
      <c r="B201" s="7" t="s">
        <v>360</v>
      </c>
      <c r="C201" s="34" t="n">
        <v>0</v>
      </c>
      <c r="D201" s="34" t="n">
        <v>0.5</v>
      </c>
      <c r="E201" s="34" t="n">
        <v>1.5</v>
      </c>
      <c r="F201" s="34" t="n">
        <v>2.5</v>
      </c>
      <c r="G201" s="34" t="n">
        <v>3.5</v>
      </c>
      <c r="I201" s="7" t="s">
        <v>521</v>
      </c>
    </row>
    <row r="202" customFormat="false" ht="15" hidden="false" customHeight="false" outlineLevel="1" collapsed="false">
      <c r="A202" s="20" t="s">
        <v>524</v>
      </c>
      <c r="B202" s="21"/>
      <c r="C202" s="21"/>
      <c r="D202" s="21"/>
      <c r="E202" s="21"/>
      <c r="F202" s="21"/>
      <c r="G202" s="21"/>
      <c r="H202" s="21"/>
    </row>
    <row r="203" customFormat="false" ht="15" hidden="false" customHeight="false" outlineLevel="2" collapsed="false">
      <c r="A203" s="3" t="s">
        <v>525</v>
      </c>
      <c r="B203" s="12" t="s">
        <v>77</v>
      </c>
      <c r="C203" s="23" t="n">
        <v>0.25</v>
      </c>
      <c r="I203" s="7" t="s">
        <v>526</v>
      </c>
    </row>
    <row r="204" customFormat="false" ht="15" hidden="false" customHeight="false" outlineLevel="2" collapsed="false">
      <c r="A204" s="3" t="s">
        <v>527</v>
      </c>
      <c r="B204" s="12" t="s">
        <v>77</v>
      </c>
      <c r="C204" s="23" t="n">
        <v>0.9</v>
      </c>
      <c r="I204" s="7" t="s">
        <v>528</v>
      </c>
    </row>
    <row r="205" customFormat="false" ht="15" hidden="false" customHeight="false" outlineLevel="2" collapsed="false">
      <c r="A205" s="3" t="s">
        <v>529</v>
      </c>
      <c r="B205" s="12" t="s">
        <v>77</v>
      </c>
      <c r="C205" s="23" t="n">
        <v>-0.15</v>
      </c>
      <c r="I205" s="7" t="s">
        <v>530</v>
      </c>
    </row>
    <row r="206" customFormat="false" ht="15" hidden="false" customHeight="false" outlineLevel="2" collapsed="false">
      <c r="A206" s="3" t="s">
        <v>531</v>
      </c>
      <c r="B206" s="12" t="s">
        <v>137</v>
      </c>
      <c r="C206" s="44" t="n">
        <v>1.5</v>
      </c>
      <c r="I206" s="7" t="s">
        <v>532</v>
      </c>
    </row>
    <row r="207" customFormat="false" ht="15" hidden="false" customHeight="false" outlineLevel="2" collapsed="false">
      <c r="A207" s="3" t="s">
        <v>533</v>
      </c>
      <c r="B207" s="12" t="s">
        <v>77</v>
      </c>
      <c r="C207" s="23" t="n">
        <v>-0.08</v>
      </c>
      <c r="I207" s="7" t="s">
        <v>534</v>
      </c>
    </row>
    <row r="208" customFormat="false" ht="15" hidden="false" customHeight="false" outlineLevel="2" collapsed="false">
      <c r="A208" s="3" t="s">
        <v>535</v>
      </c>
      <c r="B208" s="12" t="s">
        <v>77</v>
      </c>
      <c r="C208" s="23" t="n">
        <v>0.05</v>
      </c>
      <c r="I208" s="7" t="s">
        <v>536</v>
      </c>
    </row>
    <row r="209" customFormat="false" ht="15" hidden="false" customHeight="false" outlineLevel="2" collapsed="false">
      <c r="A209" s="3" t="s">
        <v>537</v>
      </c>
      <c r="B209" s="12" t="s">
        <v>77</v>
      </c>
      <c r="C209" s="23" t="n">
        <v>0.85</v>
      </c>
      <c r="I209" s="7" t="s">
        <v>538</v>
      </c>
    </row>
    <row r="211" customFormat="false" ht="15" hidden="false" customHeight="false" outlineLevel="0" collapsed="true">
      <c r="A211" s="8" t="s">
        <v>539</v>
      </c>
      <c r="B211" s="9"/>
      <c r="C211" s="9"/>
      <c r="D211" s="9"/>
      <c r="E211" s="9"/>
      <c r="F211" s="9"/>
      <c r="G211" s="9"/>
      <c r="H211" s="9"/>
    </row>
    <row r="212" customFormat="false" ht="15" hidden="true" customHeight="false" outlineLevel="1" collapsed="false">
      <c r="A212" s="4" t="s">
        <v>540</v>
      </c>
      <c r="B212" s="12" t="s">
        <v>93</v>
      </c>
      <c r="C212" s="24" t="n">
        <v>3.127</v>
      </c>
      <c r="I212" s="12" t="s">
        <v>541</v>
      </c>
    </row>
    <row r="213" customFormat="false" ht="15" hidden="true" customHeight="false" outlineLevel="1" collapsed="false">
      <c r="A213" s="3" t="s">
        <v>542</v>
      </c>
      <c r="B213" s="12" t="s">
        <v>93</v>
      </c>
      <c r="C213" s="24" t="n">
        <v>3.663</v>
      </c>
      <c r="I213" s="7" t="s">
        <v>543</v>
      </c>
    </row>
    <row r="214" customFormat="false" ht="15" hidden="true" customHeight="false" outlineLevel="1" collapsed="false">
      <c r="A214" s="3" t="s">
        <v>544</v>
      </c>
      <c r="B214" s="12" t="s">
        <v>93</v>
      </c>
      <c r="C214" s="24" t="n">
        <v>14.117</v>
      </c>
      <c r="I214" s="7" t="s">
        <v>545</v>
      </c>
    </row>
    <row r="215" customFormat="false" ht="15" hidden="true" customHeight="false" outlineLevel="1" collapsed="false">
      <c r="A215" s="4" t="s">
        <v>546</v>
      </c>
      <c r="B215" s="12" t="s">
        <v>93</v>
      </c>
      <c r="C215" s="24" t="n">
        <v>16.139</v>
      </c>
      <c r="I215" s="12" t="s">
        <v>547</v>
      </c>
    </row>
    <row r="216" customFormat="false" ht="15" hidden="true" customHeight="false" outlineLevel="1" collapsed="false">
      <c r="A216" s="4" t="s">
        <v>548</v>
      </c>
      <c r="B216" s="12" t="s">
        <v>93</v>
      </c>
      <c r="C216" s="24" t="n">
        <v>0.688</v>
      </c>
      <c r="I216" s="12" t="s">
        <v>549</v>
      </c>
    </row>
    <row r="217" customFormat="false" ht="15" hidden="true" customHeight="false" outlineLevel="1" collapsed="false">
      <c r="A217" s="3" t="s">
        <v>550</v>
      </c>
      <c r="B217" s="12" t="s">
        <v>93</v>
      </c>
      <c r="C217" s="24" t="n">
        <v>16.747</v>
      </c>
      <c r="I217" s="7" t="s">
        <v>551</v>
      </c>
    </row>
    <row r="218" customFormat="false" ht="15" hidden="true" customHeight="false" outlineLevel="1" collapsed="false">
      <c r="A218" s="3" t="s">
        <v>552</v>
      </c>
      <c r="B218" s="12" t="s">
        <v>93</v>
      </c>
      <c r="C218" s="24" t="n">
        <v>5.219</v>
      </c>
      <c r="I218" s="7" t="s">
        <v>553</v>
      </c>
    </row>
    <row r="219" customFormat="false" ht="15" hidden="true" customHeight="false" outlineLevel="1" collapsed="false">
      <c r="A219" s="4" t="s">
        <v>554</v>
      </c>
      <c r="B219" s="12" t="s">
        <v>93</v>
      </c>
      <c r="C219" s="24" t="n">
        <v>0.492</v>
      </c>
      <c r="I219" s="12" t="s">
        <v>555</v>
      </c>
    </row>
    <row r="220" customFormat="false" ht="15" hidden="true" customHeight="false" outlineLevel="1" collapsed="false">
      <c r="A220" s="3" t="s">
        <v>556</v>
      </c>
      <c r="B220" s="12" t="s">
        <v>93</v>
      </c>
      <c r="C220" s="24" t="n">
        <v>2.982</v>
      </c>
      <c r="I220" s="12" t="s">
        <v>557</v>
      </c>
    </row>
    <row r="221" customFormat="false" ht="15" hidden="true" customHeight="false" outlineLevel="1" collapsed="false">
      <c r="A221" s="3" t="s">
        <v>558</v>
      </c>
      <c r="B221" s="12" t="s">
        <v>93</v>
      </c>
      <c r="C221" s="24" t="n">
        <v>1.176</v>
      </c>
      <c r="I221" s="7" t="s">
        <v>559</v>
      </c>
    </row>
    <row r="222" customFormat="false" ht="15" hidden="true" customHeight="false" outlineLevel="1" collapsed="false">
      <c r="A222" s="3" t="s">
        <v>560</v>
      </c>
      <c r="B222" s="12" t="s">
        <v>93</v>
      </c>
      <c r="C222" s="24" t="n">
        <v>0.748</v>
      </c>
      <c r="I222" s="7" t="s">
        <v>561</v>
      </c>
    </row>
    <row r="223" customFormat="false" ht="15" hidden="true" customHeight="false" outlineLevel="1" collapsed="false">
      <c r="A223" s="3" t="s">
        <v>562</v>
      </c>
      <c r="B223" s="12" t="s">
        <v>93</v>
      </c>
      <c r="C223" s="24" t="n">
        <v>4.653</v>
      </c>
      <c r="I223" s="12" t="s">
        <v>563</v>
      </c>
    </row>
    <row r="224" customFormat="false" ht="15" hidden="true" customHeight="false" outlineLevel="1" collapsed="false">
      <c r="A224" s="4" t="s">
        <v>564</v>
      </c>
      <c r="B224" s="12" t="s">
        <v>93</v>
      </c>
      <c r="C224" s="24" t="n">
        <v>-0.193</v>
      </c>
      <c r="I224" s="12" t="s">
        <v>565</v>
      </c>
    </row>
    <row r="225" customFormat="false" ht="15" hidden="true" customHeight="false" outlineLevel="1" collapsed="false">
      <c r="A225" s="3" t="s">
        <v>566</v>
      </c>
      <c r="B225" s="12" t="s">
        <v>93</v>
      </c>
      <c r="C225" s="24" t="n">
        <v>-1.366</v>
      </c>
      <c r="I225" s="12" t="s">
        <v>565</v>
      </c>
    </row>
    <row r="226" customFormat="false" ht="15" hidden="true" customHeight="false" outlineLevel="1" collapsed="false">
      <c r="A226" s="3" t="s">
        <v>567</v>
      </c>
      <c r="B226" s="12" t="s">
        <v>93</v>
      </c>
      <c r="C226" s="24" t="n">
        <v>1.365</v>
      </c>
      <c r="I226" s="7" t="s">
        <v>561</v>
      </c>
    </row>
    <row r="227" customFormat="false" ht="15" hidden="true" customHeight="false" outlineLevel="1" collapsed="false">
      <c r="A227" s="4" t="s">
        <v>568</v>
      </c>
      <c r="B227" s="12" t="s">
        <v>93</v>
      </c>
      <c r="C227" s="24" t="n">
        <v>2.54</v>
      </c>
      <c r="I227" s="7" t="s">
        <v>569</v>
      </c>
    </row>
    <row r="228" customFormat="false" ht="15" hidden="true" customHeight="false" outlineLevel="1" collapsed="false">
      <c r="A228" s="4" t="s">
        <v>570</v>
      </c>
      <c r="B228" s="12" t="s">
        <v>93</v>
      </c>
      <c r="C228" s="24" t="n">
        <v>0.318</v>
      </c>
      <c r="I228" s="7" t="s">
        <v>569</v>
      </c>
    </row>
    <row r="229" customFormat="false" ht="15" hidden="true" customHeight="false" outlineLevel="1" collapsed="false">
      <c r="A229" s="4" t="s">
        <v>571</v>
      </c>
      <c r="B229" s="12" t="s">
        <v>74</v>
      </c>
      <c r="C229" s="24" t="n">
        <v>-2.53</v>
      </c>
      <c r="I229" s="7" t="s">
        <v>572</v>
      </c>
    </row>
    <row r="230" customFormat="false" ht="15" hidden="true" customHeight="false" outlineLevel="1" collapsed="false">
      <c r="A230" s="4" t="s">
        <v>573</v>
      </c>
      <c r="B230" s="12" t="s">
        <v>74</v>
      </c>
      <c r="C230" s="24" t="n">
        <v>-1.94</v>
      </c>
      <c r="I230" s="12" t="s">
        <v>574</v>
      </c>
    </row>
    <row r="231" customFormat="false" ht="15" hidden="true" customHeight="false" outlineLevel="1" collapsed="false">
      <c r="A231" s="3" t="s">
        <v>575</v>
      </c>
      <c r="B231" s="12" t="s">
        <v>93</v>
      </c>
      <c r="C231" s="24" t="n">
        <v>2.667</v>
      </c>
      <c r="I231" s="12" t="s">
        <v>576</v>
      </c>
    </row>
    <row r="233" customFormat="false" ht="15" hidden="false" customHeight="false" outlineLevel="0" collapsed="false">
      <c r="A233" s="8" t="s">
        <v>577</v>
      </c>
      <c r="B233" s="9"/>
      <c r="C233" s="9"/>
      <c r="D233" s="9"/>
      <c r="E233" s="9"/>
      <c r="F233" s="9"/>
      <c r="G233" s="9"/>
      <c r="H233" s="9"/>
      <c r="I233" s="7" t="s">
        <v>578</v>
      </c>
    </row>
    <row r="234" customFormat="false" ht="15" hidden="false" customHeight="false" outlineLevel="1" collapsed="false">
      <c r="A234" s="3" t="s">
        <v>579</v>
      </c>
      <c r="D234" s="13" t="n">
        <f aca="false">評價_DCF與目標價!C48</f>
        <v>29.6784724968844</v>
      </c>
      <c r="E234" s="10" t="n">
        <f aca="false">評價_DCF與目標價!C57</f>
        <v>-1</v>
      </c>
    </row>
    <row r="235" customFormat="false" ht="15" hidden="false" customHeight="false" outlineLevel="1" collapsed="false">
      <c r="A235" s="3" t="s">
        <v>580</v>
      </c>
      <c r="C235" s="10" t="n">
        <v>1</v>
      </c>
      <c r="D235" s="46" t="n">
        <f t="dataTable" ref="D235:E237" dt2D="0" dtr="0" r1="C5"/>
        <v>43.9927732107067</v>
      </c>
      <c r="E235" s="47" t="n">
        <v>-1</v>
      </c>
    </row>
    <row r="236" customFormat="false" ht="15" hidden="false" customHeight="false" outlineLevel="1" collapsed="false">
      <c r="A236" s="3" t="s">
        <v>581</v>
      </c>
      <c r="C236" s="10" t="n">
        <v>2</v>
      </c>
      <c r="D236" s="46" t="n">
        <v>29.6784724968844</v>
      </c>
      <c r="E236" s="47" t="n">
        <v>-1</v>
      </c>
    </row>
    <row r="237" customFormat="false" ht="15" hidden="false" customHeight="false" outlineLevel="1" collapsed="false">
      <c r="A237" s="3" t="s">
        <v>582</v>
      </c>
      <c r="C237" s="10" t="n">
        <v>3</v>
      </c>
      <c r="D237" s="46" t="n">
        <v>19.9489203041466</v>
      </c>
      <c r="E237" s="47" t="n">
        <v>-1</v>
      </c>
    </row>
    <row r="239" customFormat="false" ht="15" hidden="false" customHeight="false" outlineLevel="0" collapsed="false">
      <c r="A239" s="8" t="s">
        <v>583</v>
      </c>
      <c r="B239" s="9"/>
      <c r="C239" s="9"/>
      <c r="D239" s="9"/>
      <c r="E239" s="9"/>
      <c r="F239" s="9"/>
      <c r="G239" s="9"/>
      <c r="H239" s="9"/>
      <c r="I239" s="7" t="s">
        <v>584</v>
      </c>
    </row>
    <row r="240" customFormat="false" ht="15" hidden="false" customHeight="false" outlineLevel="1" collapsed="false">
      <c r="A240" s="15" t="s">
        <v>585</v>
      </c>
      <c r="B240" s="15" t="s">
        <v>88</v>
      </c>
      <c r="C240" s="15" t="s">
        <v>586</v>
      </c>
      <c r="D240" s="15"/>
      <c r="E240" s="15"/>
      <c r="F240" s="15" t="s">
        <v>587</v>
      </c>
      <c r="G240" s="15" t="s">
        <v>588</v>
      </c>
      <c r="H240" s="15"/>
      <c r="I240" s="15" t="s">
        <v>589</v>
      </c>
      <c r="J240" s="15" t="s">
        <v>590</v>
      </c>
    </row>
    <row r="241" customFormat="false" ht="15" hidden="false" customHeight="false" outlineLevel="1" collapsed="false">
      <c r="A241" s="3" t="s">
        <v>591</v>
      </c>
      <c r="B241" s="12" t="s">
        <v>74</v>
      </c>
      <c r="C241" s="41" t="n">
        <v>90.13</v>
      </c>
      <c r="F241" s="12" t="s">
        <v>510</v>
      </c>
      <c r="G241" s="12" t="s">
        <v>592</v>
      </c>
      <c r="I241" s="12" t="s">
        <v>593</v>
      </c>
      <c r="J241" s="7" t="s">
        <v>594</v>
      </c>
    </row>
    <row r="242" customFormat="false" ht="15" hidden="false" customHeight="false" outlineLevel="1" collapsed="false">
      <c r="A242" s="3" t="s">
        <v>595</v>
      </c>
      <c r="B242" s="12" t="s">
        <v>74</v>
      </c>
      <c r="C242" s="41" t="n">
        <v>140.81</v>
      </c>
      <c r="F242" s="12" t="s">
        <v>507</v>
      </c>
      <c r="G242" s="12" t="s">
        <v>596</v>
      </c>
      <c r="I242" s="12" t="s">
        <v>597</v>
      </c>
      <c r="J242" s="7"/>
    </row>
    <row r="243" customFormat="false" ht="15" hidden="false" customHeight="false" outlineLevel="1" collapsed="false">
      <c r="A243" s="3" t="s">
        <v>598</v>
      </c>
      <c r="B243" s="12" t="s">
        <v>74</v>
      </c>
      <c r="C243" s="41" t="n">
        <v>140</v>
      </c>
      <c r="F243" s="12" t="s">
        <v>507</v>
      </c>
      <c r="G243" s="12" t="s">
        <v>596</v>
      </c>
      <c r="I243" s="12" t="s">
        <v>597</v>
      </c>
      <c r="J243" s="7"/>
    </row>
    <row r="244" customFormat="false" ht="15" hidden="false" customHeight="false" outlineLevel="1" collapsed="false">
      <c r="A244" s="3" t="s">
        <v>599</v>
      </c>
      <c r="B244" s="12" t="s">
        <v>74</v>
      </c>
      <c r="C244" s="41" t="n">
        <v>39</v>
      </c>
      <c r="F244" s="12" t="s">
        <v>507</v>
      </c>
      <c r="G244" s="12" t="s">
        <v>596</v>
      </c>
      <c r="I244" s="12" t="s">
        <v>597</v>
      </c>
      <c r="J244" s="7"/>
    </row>
    <row r="245" customFormat="false" ht="15" hidden="false" customHeight="false" outlineLevel="1" collapsed="false">
      <c r="A245" s="3" t="s">
        <v>600</v>
      </c>
      <c r="B245" s="12" t="s">
        <v>74</v>
      </c>
      <c r="C245" s="41" t="n">
        <v>317</v>
      </c>
      <c r="F245" s="12" t="s">
        <v>507</v>
      </c>
      <c r="G245" s="12" t="s">
        <v>596</v>
      </c>
      <c r="I245" s="12" t="s">
        <v>597</v>
      </c>
      <c r="J245" s="7"/>
    </row>
    <row r="246" customFormat="false" ht="15" hidden="false" customHeight="false" outlineLevel="1" collapsed="false">
      <c r="A246" s="3" t="s">
        <v>601</v>
      </c>
      <c r="B246" s="7" t="s">
        <v>160</v>
      </c>
      <c r="C246" s="22" t="n">
        <v>40</v>
      </c>
      <c r="F246" s="12" t="s">
        <v>507</v>
      </c>
      <c r="G246" s="12" t="s">
        <v>596</v>
      </c>
      <c r="I246" s="12" t="s">
        <v>597</v>
      </c>
      <c r="J246" s="7"/>
    </row>
    <row r="247" customFormat="false" ht="15" hidden="false" customHeight="false" outlineLevel="1" collapsed="false">
      <c r="A247" s="3" t="s">
        <v>602</v>
      </c>
      <c r="B247" s="7"/>
      <c r="C247" s="4" t="s">
        <v>603</v>
      </c>
      <c r="F247" s="12" t="s">
        <v>507</v>
      </c>
      <c r="G247" s="12" t="s">
        <v>596</v>
      </c>
      <c r="I247" s="12" t="s">
        <v>597</v>
      </c>
      <c r="J247" s="7"/>
    </row>
    <row r="248" customFormat="false" ht="15" hidden="false" customHeight="false" outlineLevel="1" collapsed="false">
      <c r="A248" s="3" t="s">
        <v>604</v>
      </c>
      <c r="B248" s="12" t="s">
        <v>74</v>
      </c>
      <c r="C248" s="41" t="n">
        <v>140.95</v>
      </c>
      <c r="F248" s="12" t="s">
        <v>507</v>
      </c>
      <c r="G248" s="12" t="s">
        <v>596</v>
      </c>
      <c r="I248" s="12" t="s">
        <v>605</v>
      </c>
      <c r="J248" s="7"/>
    </row>
    <row r="249" customFormat="false" ht="15" hidden="false" customHeight="false" outlineLevel="1" collapsed="false">
      <c r="A249" s="3" t="s">
        <v>606</v>
      </c>
      <c r="B249" s="7" t="s">
        <v>160</v>
      </c>
      <c r="C249" s="22" t="n">
        <v>40</v>
      </c>
      <c r="F249" s="12" t="s">
        <v>507</v>
      </c>
      <c r="G249" s="12" t="s">
        <v>596</v>
      </c>
      <c r="I249" s="12" t="s">
        <v>605</v>
      </c>
      <c r="J249" s="7"/>
    </row>
    <row r="250" customFormat="false" ht="15" hidden="false" customHeight="false" outlineLevel="1" collapsed="false">
      <c r="A250" s="3" t="s">
        <v>607</v>
      </c>
      <c r="B250" s="7"/>
      <c r="C250" s="4" t="s">
        <v>608</v>
      </c>
      <c r="F250" s="12" t="s">
        <v>507</v>
      </c>
      <c r="G250" s="12" t="s">
        <v>596</v>
      </c>
      <c r="I250" s="12" t="s">
        <v>605</v>
      </c>
      <c r="J250" s="7"/>
    </row>
    <row r="251" customFormat="false" ht="17.15" hidden="false" customHeight="false" outlineLevel="1" collapsed="false">
      <c r="A251" s="15" t="s">
        <v>609</v>
      </c>
      <c r="B251" s="15" t="s">
        <v>88</v>
      </c>
      <c r="C251" s="15" t="s">
        <v>586</v>
      </c>
      <c r="D251" s="15"/>
      <c r="E251" s="15"/>
      <c r="F251" s="15" t="s">
        <v>587</v>
      </c>
      <c r="G251" s="15" t="s">
        <v>588</v>
      </c>
      <c r="H251" s="15"/>
      <c r="I251" s="15" t="s">
        <v>589</v>
      </c>
      <c r="J251" s="15" t="s">
        <v>590</v>
      </c>
    </row>
    <row r="252" customFormat="false" ht="15" hidden="false" customHeight="false" outlineLevel="1" collapsed="false">
      <c r="A252" s="3" t="s">
        <v>610</v>
      </c>
      <c r="B252" s="7" t="s">
        <v>160</v>
      </c>
      <c r="C252" s="22" t="n">
        <v>21</v>
      </c>
      <c r="F252" s="12" t="s">
        <v>507</v>
      </c>
      <c r="G252" s="12" t="s">
        <v>596</v>
      </c>
      <c r="I252" s="12" t="s">
        <v>597</v>
      </c>
      <c r="J252" s="7"/>
    </row>
    <row r="253" customFormat="false" ht="15" hidden="false" customHeight="false" outlineLevel="1" collapsed="false">
      <c r="A253" s="3" t="s">
        <v>611</v>
      </c>
      <c r="B253" s="7" t="s">
        <v>160</v>
      </c>
      <c r="C253" s="22" t="n">
        <v>7</v>
      </c>
      <c r="F253" s="12" t="s">
        <v>507</v>
      </c>
      <c r="G253" s="12" t="s">
        <v>596</v>
      </c>
      <c r="I253" s="12" t="s">
        <v>597</v>
      </c>
      <c r="J253" s="7"/>
    </row>
    <row r="254" customFormat="false" ht="15" hidden="false" customHeight="false" outlineLevel="1" collapsed="false">
      <c r="A254" s="3" t="s">
        <v>612</v>
      </c>
      <c r="B254" s="7" t="s">
        <v>160</v>
      </c>
      <c r="C254" s="22" t="n">
        <v>9</v>
      </c>
      <c r="F254" s="12" t="s">
        <v>507</v>
      </c>
      <c r="G254" s="12" t="s">
        <v>596</v>
      </c>
      <c r="I254" s="12" t="s">
        <v>597</v>
      </c>
      <c r="J254" s="7"/>
    </row>
    <row r="255" customFormat="false" ht="15" hidden="false" customHeight="false" outlineLevel="1" collapsed="false">
      <c r="A255" s="3" t="s">
        <v>613</v>
      </c>
      <c r="B255" s="7" t="s">
        <v>160</v>
      </c>
      <c r="C255" s="22" t="n">
        <v>1</v>
      </c>
      <c r="F255" s="12" t="s">
        <v>507</v>
      </c>
      <c r="G255" s="12" t="s">
        <v>596</v>
      </c>
      <c r="I255" s="12" t="s">
        <v>597</v>
      </c>
      <c r="J255" s="7"/>
    </row>
    <row r="256" customFormat="false" ht="15" hidden="false" customHeight="false" outlineLevel="1" collapsed="false">
      <c r="A256" s="3" t="s">
        <v>614</v>
      </c>
      <c r="B256" s="7" t="s">
        <v>160</v>
      </c>
      <c r="C256" s="22" t="n">
        <v>2</v>
      </c>
      <c r="F256" s="12" t="s">
        <v>507</v>
      </c>
      <c r="G256" s="12" t="s">
        <v>596</v>
      </c>
      <c r="I256" s="12" t="s">
        <v>597</v>
      </c>
      <c r="J256" s="7"/>
    </row>
    <row r="257" customFormat="false" ht="15" hidden="false" customHeight="false" outlineLevel="1" collapsed="false">
      <c r="A257" s="3" t="s">
        <v>615</v>
      </c>
      <c r="B257" s="7" t="s">
        <v>160</v>
      </c>
      <c r="C257" s="22" t="n">
        <v>40</v>
      </c>
      <c r="F257" s="12" t="s">
        <v>507</v>
      </c>
      <c r="G257" s="12" t="s">
        <v>596</v>
      </c>
      <c r="I257" s="12" t="s">
        <v>597</v>
      </c>
      <c r="J257" s="7"/>
    </row>
    <row r="258" customFormat="false" ht="17.15" hidden="false" customHeight="false" outlineLevel="1" collapsed="false">
      <c r="A258" s="15" t="s">
        <v>616</v>
      </c>
      <c r="B258" s="15" t="s">
        <v>88</v>
      </c>
      <c r="C258" s="15" t="s">
        <v>586</v>
      </c>
      <c r="D258" s="15"/>
      <c r="E258" s="15"/>
      <c r="F258" s="15" t="s">
        <v>587</v>
      </c>
      <c r="G258" s="15" t="s">
        <v>588</v>
      </c>
      <c r="H258" s="15"/>
      <c r="I258" s="15" t="s">
        <v>589</v>
      </c>
      <c r="J258" s="15" t="s">
        <v>590</v>
      </c>
    </row>
    <row r="259" customFormat="false" ht="15" hidden="false" customHeight="false" outlineLevel="1" collapsed="false">
      <c r="A259" s="3" t="s">
        <v>617</v>
      </c>
      <c r="B259" s="12" t="s">
        <v>93</v>
      </c>
      <c r="C259" s="48" t="n">
        <v>12.882</v>
      </c>
      <c r="D259" s="48" t="n">
        <v>26.376</v>
      </c>
      <c r="E259" s="48" t="n">
        <v>42.55</v>
      </c>
      <c r="F259" s="12" t="s">
        <v>507</v>
      </c>
      <c r="G259" s="12" t="s">
        <v>596</v>
      </c>
      <c r="I259" s="12" t="s">
        <v>618</v>
      </c>
      <c r="J259" s="7"/>
    </row>
    <row r="260" customFormat="false" ht="15" hidden="false" customHeight="false" outlineLevel="1" collapsed="false">
      <c r="A260" s="3" t="s">
        <v>619</v>
      </c>
      <c r="B260" s="12" t="s">
        <v>93</v>
      </c>
      <c r="C260" s="48" t="n">
        <v>7.574</v>
      </c>
      <c r="D260" s="48" t="n">
        <v>16.656</v>
      </c>
      <c r="E260" s="48" t="n">
        <v>28.857</v>
      </c>
      <c r="F260" s="12" t="s">
        <v>507</v>
      </c>
      <c r="G260" s="12" t="s">
        <v>596</v>
      </c>
      <c r="I260" s="12" t="s">
        <v>618</v>
      </c>
      <c r="J260" s="7"/>
    </row>
    <row r="261" customFormat="false" ht="15" hidden="false" customHeight="false" outlineLevel="1" collapsed="false">
      <c r="A261" s="3" t="s">
        <v>620</v>
      </c>
      <c r="B261" s="12" t="s">
        <v>77</v>
      </c>
      <c r="C261" s="23" t="n">
        <v>0.588</v>
      </c>
      <c r="D261" s="23" t="n">
        <v>0.632</v>
      </c>
      <c r="E261" s="23" t="n">
        <v>0.678</v>
      </c>
      <c r="F261" s="12" t="s">
        <v>507</v>
      </c>
      <c r="G261" s="12" t="s">
        <v>596</v>
      </c>
      <c r="I261" s="12" t="s">
        <v>618</v>
      </c>
      <c r="J261" s="7"/>
    </row>
    <row r="262" customFormat="false" ht="15" hidden="false" customHeight="false" outlineLevel="1" collapsed="false">
      <c r="A262" s="3" t="s">
        <v>621</v>
      </c>
      <c r="B262" s="12" t="s">
        <v>93</v>
      </c>
      <c r="C262" s="48" t="n">
        <v>1.063</v>
      </c>
      <c r="D262" s="48" t="n">
        <v>4.119</v>
      </c>
      <c r="E262" s="48" t="n">
        <v>8.418</v>
      </c>
      <c r="F262" s="12" t="s">
        <v>507</v>
      </c>
      <c r="G262" s="12" t="s">
        <v>596</v>
      </c>
      <c r="I262" s="12" t="s">
        <v>618</v>
      </c>
      <c r="J262" s="7"/>
    </row>
    <row r="263" customFormat="false" ht="15" hidden="false" customHeight="false" outlineLevel="1" collapsed="false">
      <c r="A263" s="3" t="s">
        <v>622</v>
      </c>
      <c r="B263" s="12" t="s">
        <v>93</v>
      </c>
      <c r="C263" s="48" t="n">
        <v>2.965</v>
      </c>
      <c r="D263" s="48" t="n">
        <v>5.22</v>
      </c>
      <c r="E263" s="48" t="n">
        <v>7.361</v>
      </c>
      <c r="F263" s="12" t="s">
        <v>507</v>
      </c>
      <c r="G263" s="12" t="s">
        <v>596</v>
      </c>
      <c r="I263" s="12" t="s">
        <v>618</v>
      </c>
      <c r="J263" s="7"/>
    </row>
    <row r="264" customFormat="false" ht="15" hidden="false" customHeight="false" outlineLevel="1" collapsed="false">
      <c r="A264" s="3" t="s">
        <v>623</v>
      </c>
      <c r="B264" s="12" t="s">
        <v>93</v>
      </c>
      <c r="C264" s="48" t="n">
        <v>-2.786</v>
      </c>
      <c r="D264" s="48" t="n">
        <v>-2.526</v>
      </c>
      <c r="E264" s="48" t="n">
        <v>-1.559</v>
      </c>
      <c r="F264" s="12" t="s">
        <v>507</v>
      </c>
      <c r="G264" s="12" t="s">
        <v>596</v>
      </c>
      <c r="I264" s="12" t="s">
        <v>618</v>
      </c>
      <c r="J264" s="7"/>
    </row>
    <row r="265" customFormat="false" ht="15" hidden="false" customHeight="false" outlineLevel="1" collapsed="false">
      <c r="A265" s="3" t="s">
        <v>624</v>
      </c>
      <c r="B265" s="12" t="s">
        <v>74</v>
      </c>
      <c r="C265" s="41" t="n">
        <v>-5.074</v>
      </c>
      <c r="D265" s="41" t="n">
        <v>-4.186</v>
      </c>
      <c r="E265" s="41" t="n">
        <v>-2.177</v>
      </c>
      <c r="F265" s="12" t="s">
        <v>507</v>
      </c>
      <c r="G265" s="12" t="s">
        <v>596</v>
      </c>
      <c r="I265" s="12" t="s">
        <v>618</v>
      </c>
      <c r="J265" s="7"/>
    </row>
    <row r="266" customFormat="false" ht="15" hidden="false" customHeight="false" outlineLevel="1" collapsed="false">
      <c r="A266" s="3" t="s">
        <v>625</v>
      </c>
      <c r="B266" s="12" t="s">
        <v>93</v>
      </c>
      <c r="C266" s="48" t="n">
        <v>35.953</v>
      </c>
      <c r="D266" s="48" t="n">
        <v>46.476</v>
      </c>
      <c r="E266" s="48" t="n">
        <v>50.129</v>
      </c>
      <c r="F266" s="12" t="s">
        <v>507</v>
      </c>
      <c r="G266" s="12" t="s">
        <v>596</v>
      </c>
      <c r="I266" s="12" t="s">
        <v>618</v>
      </c>
      <c r="J266" s="7"/>
    </row>
    <row r="267" customFormat="false" ht="15" hidden="false" customHeight="false" outlineLevel="1" collapsed="false">
      <c r="A267" s="3" t="s">
        <v>626</v>
      </c>
      <c r="B267" s="12" t="s">
        <v>93</v>
      </c>
      <c r="C267" s="48" t="n">
        <v>-28.831</v>
      </c>
      <c r="D267" s="48" t="n">
        <v>-33.741</v>
      </c>
      <c r="E267" s="48" t="n">
        <v>-25.222</v>
      </c>
      <c r="F267" s="12" t="s">
        <v>507</v>
      </c>
      <c r="G267" s="12" t="s">
        <v>596</v>
      </c>
      <c r="I267" s="12" t="s">
        <v>618</v>
      </c>
      <c r="J267" s="7"/>
    </row>
    <row r="268" customFormat="false" ht="15" hidden="false" customHeight="false" outlineLevel="1" collapsed="false">
      <c r="A268" s="3" t="s">
        <v>627</v>
      </c>
      <c r="B268" s="12" t="s">
        <v>93</v>
      </c>
      <c r="C268" s="48" t="n">
        <v>46.442</v>
      </c>
      <c r="D268" s="48" t="n">
        <v>74.707</v>
      </c>
      <c r="E268" s="48" t="n">
        <v>96.039</v>
      </c>
      <c r="F268" s="12" t="s">
        <v>507</v>
      </c>
      <c r="G268" s="12" t="s">
        <v>596</v>
      </c>
      <c r="I268" s="12" t="s">
        <v>618</v>
      </c>
      <c r="J268" s="7"/>
    </row>
    <row r="269" customFormat="false" ht="15" hidden="false" customHeight="false" outlineLevel="1" collapsed="false">
      <c r="A269" s="3" t="s">
        <v>628</v>
      </c>
      <c r="B269" s="7"/>
      <c r="C269" s="4" t="s">
        <v>629</v>
      </c>
      <c r="F269" s="12" t="s">
        <v>507</v>
      </c>
      <c r="G269" s="12" t="s">
        <v>596</v>
      </c>
      <c r="I269" s="12" t="s">
        <v>618</v>
      </c>
      <c r="J269" s="7"/>
    </row>
    <row r="270" customFormat="false" ht="17.15" hidden="false" customHeight="false" outlineLevel="1" collapsed="false">
      <c r="A270" s="16" t="s">
        <v>630</v>
      </c>
      <c r="B270" s="15" t="s">
        <v>88</v>
      </c>
      <c r="C270" s="15" t="s">
        <v>586</v>
      </c>
      <c r="D270" s="15"/>
      <c r="E270" s="15"/>
      <c r="F270" s="15" t="s">
        <v>587</v>
      </c>
      <c r="G270" s="15" t="s">
        <v>588</v>
      </c>
      <c r="H270" s="15"/>
      <c r="I270" s="15" t="s">
        <v>589</v>
      </c>
      <c r="J270" s="15" t="s">
        <v>590</v>
      </c>
    </row>
    <row r="271" customFormat="false" ht="15" hidden="false" customHeight="false" outlineLevel="1" collapsed="false">
      <c r="A271" s="3" t="s">
        <v>631</v>
      </c>
      <c r="B271" s="12" t="s">
        <v>93</v>
      </c>
      <c r="C271" s="48" t="n">
        <v>12.88</v>
      </c>
      <c r="D271" s="48" t="n">
        <v>26.39</v>
      </c>
      <c r="F271" s="12" t="s">
        <v>507</v>
      </c>
      <c r="G271" s="12" t="s">
        <v>596</v>
      </c>
      <c r="I271" s="12" t="s">
        <v>597</v>
      </c>
      <c r="J271" s="7"/>
    </row>
    <row r="272" customFormat="false" ht="15" hidden="false" customHeight="false" outlineLevel="1" collapsed="false">
      <c r="A272" s="3" t="s">
        <v>632</v>
      </c>
      <c r="B272" s="12" t="s">
        <v>93</v>
      </c>
      <c r="C272" s="48" t="n">
        <v>12.4</v>
      </c>
      <c r="D272" s="48" t="n">
        <v>13.2</v>
      </c>
      <c r="F272" s="12" t="s">
        <v>507</v>
      </c>
      <c r="G272" s="12" t="s">
        <v>596</v>
      </c>
      <c r="I272" s="12" t="s">
        <v>597</v>
      </c>
      <c r="J272" s="7"/>
    </row>
    <row r="273" customFormat="false" ht="15" hidden="false" customHeight="false" outlineLevel="1" collapsed="false">
      <c r="A273" s="3" t="s">
        <v>633</v>
      </c>
      <c r="B273" s="12" t="s">
        <v>74</v>
      </c>
      <c r="C273" s="41" t="n">
        <v>-3.95</v>
      </c>
      <c r="D273" s="41" t="n">
        <v>-1.82</v>
      </c>
      <c r="F273" s="12" t="s">
        <v>507</v>
      </c>
      <c r="G273" s="12" t="s">
        <v>596</v>
      </c>
      <c r="I273" s="12" t="s">
        <v>597</v>
      </c>
      <c r="J273" s="7"/>
    </row>
    <row r="274" customFormat="false" ht="15" hidden="false" customHeight="false" outlineLevel="1" collapsed="false">
      <c r="A274" s="3" t="s">
        <v>634</v>
      </c>
      <c r="B274" s="12" t="s">
        <v>74</v>
      </c>
      <c r="C274" s="41" t="n">
        <v>-4.81</v>
      </c>
      <c r="D274" s="41" t="n">
        <v>-1.33</v>
      </c>
      <c r="F274" s="12" t="s">
        <v>507</v>
      </c>
      <c r="G274" s="12" t="s">
        <v>596</v>
      </c>
      <c r="I274" s="12" t="s">
        <v>597</v>
      </c>
      <c r="J274" s="7"/>
    </row>
    <row r="275" customFormat="false" ht="15" hidden="false" customHeight="false" outlineLevel="1" collapsed="false">
      <c r="A275" s="3" t="s">
        <v>635</v>
      </c>
      <c r="B275" s="7" t="s">
        <v>160</v>
      </c>
      <c r="C275" s="22" t="n">
        <v>38</v>
      </c>
      <c r="F275" s="12" t="s">
        <v>507</v>
      </c>
      <c r="G275" s="12" t="s">
        <v>596</v>
      </c>
      <c r="I275" s="12" t="s">
        <v>597</v>
      </c>
      <c r="J275" s="12" t="s">
        <v>636</v>
      </c>
    </row>
    <row r="276" customFormat="false" ht="17.15" hidden="false" customHeight="false" outlineLevel="1" collapsed="false">
      <c r="A276" s="15" t="s">
        <v>637</v>
      </c>
      <c r="B276" s="15" t="s">
        <v>88</v>
      </c>
      <c r="C276" s="15" t="s">
        <v>586</v>
      </c>
      <c r="D276" s="15"/>
      <c r="E276" s="15"/>
      <c r="F276" s="15" t="s">
        <v>587</v>
      </c>
      <c r="G276" s="15" t="s">
        <v>588</v>
      </c>
      <c r="H276" s="15"/>
      <c r="I276" s="15" t="s">
        <v>589</v>
      </c>
      <c r="J276" s="15" t="s">
        <v>590</v>
      </c>
    </row>
    <row r="277" customFormat="false" ht="15" hidden="false" customHeight="false" outlineLevel="1" collapsed="false">
      <c r="A277" s="3" t="s">
        <v>638</v>
      </c>
      <c r="B277" s="12" t="s">
        <v>93</v>
      </c>
      <c r="C277" s="48" t="n">
        <v>3.541</v>
      </c>
      <c r="D277" s="48" t="n">
        <v>4.706</v>
      </c>
      <c r="F277" s="12" t="s">
        <v>507</v>
      </c>
      <c r="G277" s="12" t="s">
        <v>596</v>
      </c>
      <c r="I277" s="12" t="s">
        <v>618</v>
      </c>
      <c r="J277" s="7"/>
    </row>
    <row r="278" customFormat="false" ht="15" hidden="false" customHeight="false" outlineLevel="1" collapsed="false">
      <c r="A278" s="3" t="s">
        <v>639</v>
      </c>
      <c r="B278" s="12" t="s">
        <v>93</v>
      </c>
      <c r="C278" s="48" t="n">
        <v>2.047</v>
      </c>
      <c r="D278" s="48" t="n">
        <v>2.897</v>
      </c>
      <c r="F278" s="12" t="s">
        <v>507</v>
      </c>
      <c r="G278" s="12" t="s">
        <v>596</v>
      </c>
      <c r="I278" s="12" t="s">
        <v>618</v>
      </c>
      <c r="J278" s="7"/>
    </row>
    <row r="279" customFormat="false" ht="15" hidden="false" customHeight="false" outlineLevel="1" collapsed="false">
      <c r="A279" s="3" t="s">
        <v>640</v>
      </c>
      <c r="B279" s="12" t="s">
        <v>93</v>
      </c>
      <c r="C279" s="48" t="n">
        <v>0.2408</v>
      </c>
      <c r="D279" s="48" t="n">
        <v>0.6805</v>
      </c>
      <c r="F279" s="12" t="s">
        <v>507</v>
      </c>
      <c r="G279" s="12" t="s">
        <v>596</v>
      </c>
      <c r="I279" s="12" t="s">
        <v>618</v>
      </c>
      <c r="J279" s="7"/>
    </row>
    <row r="280" customFormat="false" ht="15" hidden="false" customHeight="false" outlineLevel="1" collapsed="false">
      <c r="A280" s="3" t="s">
        <v>641</v>
      </c>
      <c r="B280" s="12" t="s">
        <v>93</v>
      </c>
      <c r="C280" s="48" t="n">
        <v>-0.8388</v>
      </c>
      <c r="D280" s="48" t="n">
        <v>-0.5706</v>
      </c>
      <c r="F280" s="12" t="s">
        <v>507</v>
      </c>
      <c r="G280" s="12" t="s">
        <v>596</v>
      </c>
      <c r="I280" s="12" t="s">
        <v>618</v>
      </c>
      <c r="J280" s="7"/>
    </row>
    <row r="281" customFormat="false" ht="15" hidden="false" customHeight="false" outlineLevel="1" collapsed="false">
      <c r="A281" s="3" t="s">
        <v>642</v>
      </c>
      <c r="B281" s="7"/>
      <c r="C281" s="4" t="s">
        <v>643</v>
      </c>
      <c r="F281" s="12" t="s">
        <v>507</v>
      </c>
      <c r="G281" s="12" t="s">
        <v>596</v>
      </c>
      <c r="I281" s="12" t="s">
        <v>618</v>
      </c>
      <c r="J281" s="7"/>
    </row>
    <row r="282" customFormat="false" ht="15" hidden="false" customHeight="false" outlineLevel="1" collapsed="false">
      <c r="A282" s="15" t="s">
        <v>644</v>
      </c>
      <c r="B282" s="15" t="s">
        <v>88</v>
      </c>
      <c r="C282" s="15" t="s">
        <v>586</v>
      </c>
      <c r="D282" s="15"/>
      <c r="E282" s="15"/>
      <c r="F282" s="15" t="s">
        <v>587</v>
      </c>
      <c r="G282" s="15" t="s">
        <v>588</v>
      </c>
      <c r="H282" s="15"/>
      <c r="I282" s="15" t="s">
        <v>589</v>
      </c>
      <c r="J282" s="15" t="s">
        <v>590</v>
      </c>
    </row>
    <row r="283" customFormat="false" ht="15" hidden="false" customHeight="false" outlineLevel="1" collapsed="false">
      <c r="A283" s="3" t="s">
        <v>645</v>
      </c>
      <c r="B283" s="12" t="s">
        <v>93</v>
      </c>
      <c r="C283" s="48" t="n">
        <v>12.4</v>
      </c>
      <c r="D283" s="48" t="n">
        <v>13.2</v>
      </c>
      <c r="F283" s="7" t="s">
        <v>646</v>
      </c>
      <c r="G283" s="12" t="s">
        <v>596</v>
      </c>
      <c r="I283" s="12" t="s">
        <v>647</v>
      </c>
      <c r="J283" s="7"/>
    </row>
    <row r="284" customFormat="false" ht="15" hidden="false" customHeight="false" outlineLevel="1" collapsed="false">
      <c r="A284" s="3" t="s">
        <v>648</v>
      </c>
      <c r="B284" s="12" t="s">
        <v>93</v>
      </c>
      <c r="C284" s="48" t="n">
        <v>0.96</v>
      </c>
      <c r="D284" s="48" t="n">
        <v>1.15</v>
      </c>
      <c r="F284" s="7" t="s">
        <v>646</v>
      </c>
      <c r="G284" s="12" t="s">
        <v>596</v>
      </c>
      <c r="I284" s="12" t="s">
        <v>647</v>
      </c>
      <c r="J284" s="7"/>
    </row>
    <row r="285" customFormat="false" ht="15" hidden="false" customHeight="false" outlineLevel="1" collapsed="false">
      <c r="A285" s="3" t="s">
        <v>649</v>
      </c>
      <c r="B285" s="12" t="s">
        <v>93</v>
      </c>
      <c r="C285" s="48" t="n">
        <v>35</v>
      </c>
      <c r="D285" s="48" t="n">
        <v>39</v>
      </c>
      <c r="F285" s="7" t="s">
        <v>646</v>
      </c>
      <c r="G285" s="12" t="s">
        <v>596</v>
      </c>
      <c r="I285" s="12" t="s">
        <v>647</v>
      </c>
      <c r="J285" s="7"/>
    </row>
    <row r="286" customFormat="false" ht="15" hidden="false" customHeight="false" outlineLevel="1" collapsed="false">
      <c r="A286" s="3" t="s">
        <v>650</v>
      </c>
      <c r="B286" s="12" t="s">
        <v>93</v>
      </c>
      <c r="C286" s="48" t="n">
        <v>3.45</v>
      </c>
      <c r="D286" s="48" t="n">
        <v>3.6</v>
      </c>
      <c r="F286" s="7" t="s">
        <v>646</v>
      </c>
      <c r="G286" s="12" t="s">
        <v>596</v>
      </c>
      <c r="I286" s="12" t="s">
        <v>647</v>
      </c>
      <c r="J286" s="7" t="s">
        <v>651</v>
      </c>
    </row>
    <row r="287" customFormat="false" ht="17.15" hidden="false" customHeight="false" outlineLevel="1" collapsed="false">
      <c r="A287" s="15" t="s">
        <v>652</v>
      </c>
      <c r="B287" s="15" t="s">
        <v>88</v>
      </c>
      <c r="C287" s="15" t="s">
        <v>586</v>
      </c>
      <c r="D287" s="15"/>
      <c r="E287" s="15"/>
      <c r="F287" s="15" t="s">
        <v>587</v>
      </c>
      <c r="G287" s="15" t="s">
        <v>588</v>
      </c>
      <c r="H287" s="15"/>
      <c r="I287" s="15" t="s">
        <v>589</v>
      </c>
      <c r="J287" s="15" t="s">
        <v>590</v>
      </c>
    </row>
    <row r="288" customFormat="false" ht="15" hidden="false" customHeight="false" outlineLevel="1" collapsed="false">
      <c r="A288" s="3" t="s">
        <v>653</v>
      </c>
      <c r="B288" s="12" t="s">
        <v>93</v>
      </c>
      <c r="C288" s="48" t="n">
        <v>12.63</v>
      </c>
      <c r="F288" s="12" t="s">
        <v>654</v>
      </c>
      <c r="G288" s="12" t="s">
        <v>596</v>
      </c>
      <c r="I288" s="12" t="s">
        <v>655</v>
      </c>
      <c r="J288" s="7"/>
    </row>
    <row r="289" customFormat="false" ht="15" hidden="false" customHeight="false" outlineLevel="1" collapsed="false">
      <c r="A289" s="3" t="s">
        <v>656</v>
      </c>
      <c r="B289" s="12" t="s">
        <v>93</v>
      </c>
      <c r="C289" s="48" t="n">
        <v>3.43</v>
      </c>
      <c r="F289" s="12" t="s">
        <v>654</v>
      </c>
      <c r="G289" s="12" t="s">
        <v>596</v>
      </c>
      <c r="I289" s="12" t="s">
        <v>655</v>
      </c>
      <c r="J289" s="12" t="s">
        <v>657</v>
      </c>
    </row>
    <row r="290" customFormat="false" ht="15" hidden="false" customHeight="false" outlineLevel="1" collapsed="false">
      <c r="A290" s="15" t="s">
        <v>658</v>
      </c>
      <c r="B290" s="15" t="s">
        <v>88</v>
      </c>
      <c r="C290" s="15" t="s">
        <v>586</v>
      </c>
      <c r="D290" s="15"/>
      <c r="E290" s="15"/>
      <c r="F290" s="15" t="s">
        <v>587</v>
      </c>
      <c r="G290" s="15" t="s">
        <v>588</v>
      </c>
      <c r="H290" s="15"/>
      <c r="I290" s="15" t="s">
        <v>589</v>
      </c>
      <c r="J290" s="15" t="s">
        <v>590</v>
      </c>
    </row>
    <row r="291" customFormat="false" ht="15" hidden="false" customHeight="false" outlineLevel="1" collapsed="false">
      <c r="A291" s="3" t="s">
        <v>659</v>
      </c>
      <c r="B291" s="12" t="s">
        <v>74</v>
      </c>
      <c r="C291" s="3" t="s">
        <v>660</v>
      </c>
      <c r="F291" s="12" t="s">
        <v>507</v>
      </c>
      <c r="G291" s="12" t="s">
        <v>596</v>
      </c>
      <c r="I291" s="12" t="s">
        <v>661</v>
      </c>
      <c r="J291" s="12" t="s">
        <v>662</v>
      </c>
    </row>
    <row r="292" customFormat="false" ht="15" hidden="false" customHeight="false" outlineLevel="1" collapsed="false">
      <c r="A292" s="3" t="s">
        <v>663</v>
      </c>
      <c r="B292" s="12" t="s">
        <v>74</v>
      </c>
      <c r="C292" s="41" t="n">
        <v>125</v>
      </c>
      <c r="F292" s="12" t="s">
        <v>507</v>
      </c>
      <c r="G292" s="12" t="s">
        <v>596</v>
      </c>
      <c r="I292" s="12" t="s">
        <v>661</v>
      </c>
      <c r="J292" s="12" t="s">
        <v>664</v>
      </c>
    </row>
    <row r="293" customFormat="false" ht="15" hidden="false" customHeight="false" outlineLevel="1" collapsed="false">
      <c r="A293" s="3" t="s">
        <v>665</v>
      </c>
      <c r="B293" s="12" t="s">
        <v>74</v>
      </c>
      <c r="C293" s="41" t="n">
        <v>120</v>
      </c>
      <c r="F293" s="12" t="s">
        <v>507</v>
      </c>
      <c r="G293" s="12" t="s">
        <v>596</v>
      </c>
      <c r="I293" s="12" t="s">
        <v>661</v>
      </c>
      <c r="J293" s="12" t="s">
        <v>666</v>
      </c>
    </row>
    <row r="294" customFormat="false" ht="15" hidden="false" customHeight="false" outlineLevel="1" collapsed="false">
      <c r="A294" s="3" t="s">
        <v>667</v>
      </c>
      <c r="B294" s="12" t="s">
        <v>74</v>
      </c>
      <c r="C294" s="3" t="s">
        <v>660</v>
      </c>
      <c r="F294" s="12" t="s">
        <v>507</v>
      </c>
      <c r="G294" s="12" t="s">
        <v>596</v>
      </c>
      <c r="I294" s="12" t="s">
        <v>661</v>
      </c>
      <c r="J294" s="12" t="s">
        <v>668</v>
      </c>
    </row>
    <row r="295" customFormat="false" ht="15" hidden="false" customHeight="false" outlineLevel="1" collapsed="false">
      <c r="A295" s="3" t="s">
        <v>669</v>
      </c>
      <c r="B295" s="12" t="s">
        <v>74</v>
      </c>
      <c r="C295" s="41" t="n">
        <v>151</v>
      </c>
      <c r="F295" s="12" t="s">
        <v>507</v>
      </c>
      <c r="G295" s="12" t="s">
        <v>596</v>
      </c>
      <c r="I295" s="12" t="s">
        <v>661</v>
      </c>
      <c r="J295" s="12" t="s">
        <v>670</v>
      </c>
    </row>
    <row r="296" customFormat="false" ht="15" hidden="false" customHeight="false" outlineLevel="1" collapsed="false">
      <c r="A296" s="15" t="s">
        <v>671</v>
      </c>
      <c r="B296" s="15" t="s">
        <v>88</v>
      </c>
      <c r="C296" s="15" t="s">
        <v>586</v>
      </c>
      <c r="D296" s="15"/>
      <c r="E296" s="15"/>
      <c r="F296" s="15" t="s">
        <v>587</v>
      </c>
      <c r="G296" s="15" t="s">
        <v>588</v>
      </c>
      <c r="H296" s="15"/>
      <c r="I296" s="15" t="s">
        <v>589</v>
      </c>
      <c r="J296" s="15" t="s">
        <v>590</v>
      </c>
    </row>
    <row r="297" customFormat="false" ht="15" hidden="false" customHeight="false" outlineLevel="1" collapsed="false">
      <c r="A297" s="3" t="s">
        <v>672</v>
      </c>
      <c r="B297" s="7"/>
      <c r="C297" s="4" t="s">
        <v>673</v>
      </c>
      <c r="F297" s="12" t="s">
        <v>507</v>
      </c>
      <c r="G297" s="7"/>
      <c r="I297" s="7" t="s">
        <v>674</v>
      </c>
      <c r="J297" s="7"/>
    </row>
    <row r="298" customFormat="false" ht="15" hidden="false" customHeight="false" outlineLevel="1" collapsed="false">
      <c r="A298" s="3" t="s">
        <v>675</v>
      </c>
      <c r="B298" s="7"/>
      <c r="C298" s="4" t="s">
        <v>676</v>
      </c>
      <c r="F298" s="12" t="s">
        <v>507</v>
      </c>
      <c r="G298" s="7"/>
      <c r="I298" s="7" t="s">
        <v>674</v>
      </c>
      <c r="J298" s="7"/>
    </row>
    <row r="299" customFormat="false" ht="15" hidden="false" customHeight="false" outlineLevel="1" collapsed="false">
      <c r="A299" s="3" t="s">
        <v>677</v>
      </c>
      <c r="B299" s="7"/>
      <c r="C299" s="4" t="s">
        <v>678</v>
      </c>
      <c r="F299" s="12" t="s">
        <v>507</v>
      </c>
      <c r="G299" s="7"/>
      <c r="I299" s="7" t="s">
        <v>674</v>
      </c>
      <c r="J299" s="7"/>
    </row>
    <row r="300" customFormat="false" ht="15" hidden="false" customHeight="false" outlineLevel="1" collapsed="false">
      <c r="A300" s="3" t="s">
        <v>679</v>
      </c>
      <c r="B300" s="7"/>
      <c r="C300" s="3" t="s">
        <v>680</v>
      </c>
      <c r="F300" s="12" t="s">
        <v>507</v>
      </c>
      <c r="G300" s="7"/>
      <c r="I300" s="7" t="s">
        <v>674</v>
      </c>
      <c r="J300" s="7"/>
    </row>
    <row r="301" customFormat="false" ht="15" hidden="false" customHeight="false" outlineLevel="1" collapsed="false">
      <c r="A301" s="3" t="s">
        <v>681</v>
      </c>
      <c r="B301" s="12" t="s">
        <v>77</v>
      </c>
      <c r="C301" s="23" t="n">
        <v>0.05</v>
      </c>
      <c r="I301" s="7" t="s">
        <v>682</v>
      </c>
    </row>
    <row r="302" customFormat="false" ht="15" hidden="false" customHeight="false" outlineLevel="1" collapsed="false">
      <c r="A302" s="3" t="s">
        <v>683</v>
      </c>
      <c r="B302" s="12" t="s">
        <v>105</v>
      </c>
      <c r="C302" s="23" t="n">
        <v>0.02</v>
      </c>
      <c r="I302" s="7" t="s">
        <v>684</v>
      </c>
    </row>
    <row r="304" customFormat="false" ht="15" hidden="false" customHeight="false" outlineLevel="0" collapsed="false">
      <c r="A304" s="8" t="s">
        <v>685</v>
      </c>
      <c r="B304" s="9"/>
      <c r="C304" s="9"/>
      <c r="D304" s="9"/>
      <c r="E304" s="9"/>
      <c r="F304" s="9"/>
      <c r="G304" s="9"/>
      <c r="H304" s="9"/>
    </row>
    <row r="305" customFormat="false" ht="15" hidden="false" customHeight="false" outlineLevel="1" collapsed="false">
      <c r="A305" s="15" t="s">
        <v>686</v>
      </c>
      <c r="B305" s="15" t="s">
        <v>88</v>
      </c>
      <c r="C305" s="16" t="s">
        <v>687</v>
      </c>
      <c r="D305" s="16" t="s">
        <v>688</v>
      </c>
      <c r="E305" s="16" t="s">
        <v>689</v>
      </c>
      <c r="F305" s="16" t="s">
        <v>690</v>
      </c>
      <c r="G305" s="16" t="s">
        <v>691</v>
      </c>
      <c r="H305" s="16" t="s">
        <v>692</v>
      </c>
      <c r="J305" s="15" t="s">
        <v>693</v>
      </c>
    </row>
    <row r="306" customFormat="false" ht="15" hidden="false" customHeight="false" outlineLevel="1" collapsed="false">
      <c r="A306" s="3" t="s">
        <v>694</v>
      </c>
      <c r="C306" s="29" t="n">
        <v>1</v>
      </c>
      <c r="D306" s="29" t="n">
        <v>1</v>
      </c>
      <c r="E306" s="29" t="n">
        <v>2</v>
      </c>
      <c r="F306" s="29" t="n">
        <v>2</v>
      </c>
      <c r="G306" s="29" t="n">
        <v>2</v>
      </c>
      <c r="H306" s="29" t="n">
        <v>2</v>
      </c>
      <c r="J306" s="7" t="s">
        <v>695</v>
      </c>
    </row>
    <row r="307" customFormat="false" ht="15" hidden="false" customHeight="false" outlineLevel="1" collapsed="false">
      <c r="A307" s="3" t="s">
        <v>696</v>
      </c>
      <c r="C307" s="19" t="n">
        <v>1</v>
      </c>
      <c r="J307" s="7" t="s">
        <v>697</v>
      </c>
    </row>
    <row r="308" customFormat="false" ht="15" hidden="false" customHeight="false" outlineLevel="1" collapsed="false">
      <c r="A308" s="3" t="s">
        <v>698</v>
      </c>
      <c r="B308" s="12" t="s">
        <v>93</v>
      </c>
      <c r="C308" s="48" t="n">
        <v>2.575</v>
      </c>
      <c r="J308" s="7" t="s">
        <v>699</v>
      </c>
    </row>
    <row r="309" customFormat="false" ht="15" hidden="false" customHeight="false" outlineLevel="1" collapsed="false">
      <c r="A309" s="3" t="s">
        <v>700</v>
      </c>
      <c r="B309" s="12" t="s">
        <v>177</v>
      </c>
      <c r="C309" s="22" t="n">
        <v>1500</v>
      </c>
      <c r="J309" s="12" t="s">
        <v>701</v>
      </c>
    </row>
    <row r="310" customFormat="false" ht="15" hidden="false" customHeight="false" outlineLevel="1" collapsed="false">
      <c r="A310" s="3" t="s">
        <v>702</v>
      </c>
      <c r="B310" s="12" t="s">
        <v>93</v>
      </c>
      <c r="C310" s="48"/>
      <c r="D310" s="48"/>
      <c r="E310" s="48"/>
      <c r="F310" s="48"/>
      <c r="G310" s="48"/>
      <c r="H310" s="48"/>
      <c r="J310" s="7" t="s">
        <v>703</v>
      </c>
    </row>
    <row r="311" customFormat="false" ht="15" hidden="false" customHeight="false" outlineLevel="1" collapsed="false">
      <c r="A311" s="3" t="s">
        <v>704</v>
      </c>
      <c r="B311" s="12" t="s">
        <v>93</v>
      </c>
      <c r="C311" s="48"/>
      <c r="D311" s="48"/>
      <c r="E311" s="48"/>
      <c r="F311" s="48"/>
      <c r="G311" s="48"/>
      <c r="H311" s="48"/>
    </row>
    <row r="312" customFormat="false" ht="15" hidden="false" customHeight="false" outlineLevel="1" collapsed="false">
      <c r="A312" s="3" t="s">
        <v>705</v>
      </c>
      <c r="B312" s="12" t="s">
        <v>93</v>
      </c>
      <c r="C312" s="48"/>
      <c r="D312" s="48"/>
      <c r="E312" s="48"/>
      <c r="F312" s="48"/>
      <c r="G312" s="48"/>
      <c r="H312" s="48"/>
    </row>
    <row r="313" customFormat="false" ht="15" hidden="false" customHeight="false" outlineLevel="1" collapsed="false">
      <c r="A313" s="3" t="s">
        <v>706</v>
      </c>
      <c r="B313" s="12" t="s">
        <v>93</v>
      </c>
      <c r="C313" s="48"/>
      <c r="D313" s="48"/>
      <c r="E313" s="48"/>
      <c r="F313" s="48"/>
      <c r="G313" s="48"/>
      <c r="H313" s="48"/>
    </row>
    <row r="314" customFormat="false" ht="15" hidden="false" customHeight="false" outlineLevel="1" collapsed="false">
      <c r="A314" s="3" t="s">
        <v>707</v>
      </c>
      <c r="B314" s="12" t="s">
        <v>177</v>
      </c>
      <c r="C314" s="22"/>
      <c r="D314" s="22"/>
      <c r="E314" s="22"/>
      <c r="F314" s="22"/>
      <c r="G314" s="22"/>
      <c r="H314" s="22"/>
    </row>
    <row r="315" customFormat="false" ht="15" hidden="false" customHeight="false" outlineLevel="1" collapsed="false">
      <c r="A315" s="3" t="s">
        <v>708</v>
      </c>
      <c r="C315" s="49"/>
      <c r="D315" s="49"/>
      <c r="E315" s="49"/>
      <c r="F315" s="49"/>
      <c r="G315" s="49"/>
      <c r="H315" s="49"/>
    </row>
    <row r="316" customFormat="false" ht="15" hidden="false" customHeight="false" outlineLevel="1" collapsed="false">
      <c r="A316" s="3" t="s">
        <v>709</v>
      </c>
      <c r="C316" s="49"/>
      <c r="D316" s="49"/>
      <c r="E316" s="49"/>
      <c r="F316" s="49"/>
      <c r="G316" s="49"/>
      <c r="H316" s="49"/>
    </row>
    <row r="317" customFormat="false" ht="15" hidden="false" customHeight="false" outlineLevel="1" collapsed="false">
      <c r="A317" s="3" t="s">
        <v>710</v>
      </c>
      <c r="C317" s="49"/>
      <c r="D317" s="49"/>
      <c r="E317" s="49"/>
      <c r="F317" s="49"/>
      <c r="G317" s="49"/>
      <c r="H317" s="49"/>
    </row>
    <row r="318" customFormat="false" ht="15" hidden="false" customHeight="false" outlineLevel="1" collapsed="false">
      <c r="A318" s="3" t="s">
        <v>711</v>
      </c>
      <c r="B318" s="12" t="s">
        <v>93</v>
      </c>
      <c r="C318" s="48" t="n">
        <v>3.45</v>
      </c>
      <c r="D318" s="48"/>
      <c r="E318" s="48"/>
      <c r="F318" s="48"/>
      <c r="G318" s="48"/>
      <c r="H318" s="48"/>
      <c r="J318" s="12" t="s">
        <v>712</v>
      </c>
    </row>
    <row r="319" customFormat="false" ht="15" hidden="false" customHeight="false" outlineLevel="1" collapsed="false">
      <c r="A319" s="3" t="s">
        <v>713</v>
      </c>
      <c r="B319" s="12" t="s">
        <v>93</v>
      </c>
      <c r="C319" s="48" t="n">
        <v>3.6</v>
      </c>
      <c r="D319" s="48"/>
      <c r="E319" s="48"/>
      <c r="F319" s="48"/>
      <c r="G319" s="48"/>
      <c r="H319" s="48"/>
    </row>
    <row r="320" customFormat="false" ht="15" hidden="false" customHeight="false" outlineLevel="1" collapsed="false">
      <c r="A320" s="3" t="s">
        <v>714</v>
      </c>
      <c r="B320" s="12" t="s">
        <v>93</v>
      </c>
      <c r="C320" s="48" t="n">
        <v>0.2</v>
      </c>
      <c r="D320" s="48"/>
      <c r="E320" s="48"/>
      <c r="F320" s="48"/>
      <c r="G320" s="48"/>
      <c r="H320" s="48"/>
      <c r="J320" s="12" t="s">
        <v>712</v>
      </c>
    </row>
    <row r="321" customFormat="false" ht="15" hidden="false" customHeight="false" outlineLevel="1" collapsed="false">
      <c r="A321" s="3" t="s">
        <v>715</v>
      </c>
      <c r="B321" s="12" t="s">
        <v>93</v>
      </c>
      <c r="C321" s="48" t="n">
        <v>0.26</v>
      </c>
      <c r="D321" s="48"/>
      <c r="E321" s="48"/>
      <c r="F321" s="48"/>
      <c r="G321" s="48"/>
      <c r="H321" s="48"/>
    </row>
    <row r="322" customFormat="false" ht="15" hidden="false" customHeight="false" outlineLevel="1" collapsed="false">
      <c r="A322" s="3" t="s">
        <v>716</v>
      </c>
      <c r="B322" s="12" t="s">
        <v>93</v>
      </c>
      <c r="C322" s="48" t="n">
        <v>11.5</v>
      </c>
      <c r="D322" s="48"/>
      <c r="E322" s="48"/>
      <c r="F322" s="48"/>
      <c r="G322" s="48"/>
      <c r="H322" s="48"/>
      <c r="J322" s="12" t="s">
        <v>712</v>
      </c>
    </row>
    <row r="323" customFormat="false" ht="15" hidden="false" customHeight="false" outlineLevel="1" collapsed="false">
      <c r="A323" s="3" t="s">
        <v>717</v>
      </c>
      <c r="B323" s="12" t="s">
        <v>93</v>
      </c>
      <c r="C323" s="48" t="n">
        <v>13.5</v>
      </c>
      <c r="D323" s="48"/>
      <c r="E323" s="48"/>
      <c r="F323" s="48"/>
      <c r="G323" s="48"/>
      <c r="H323" s="48"/>
    </row>
    <row r="324" customFormat="false" ht="15" hidden="false" customHeight="false" outlineLevel="1" collapsed="false">
      <c r="A324" s="3" t="s">
        <v>718</v>
      </c>
      <c r="C324" s="49"/>
      <c r="D324" s="50" t="s">
        <v>719</v>
      </c>
      <c r="E324" s="49"/>
      <c r="F324" s="49"/>
      <c r="G324" s="49"/>
      <c r="H324" s="49"/>
      <c r="J324" s="12" t="s">
        <v>720</v>
      </c>
    </row>
    <row r="325" customFormat="false" ht="15" hidden="false" customHeight="false" outlineLevel="1" collapsed="false">
      <c r="A325" s="3" t="s">
        <v>721</v>
      </c>
      <c r="B325" s="12" t="s">
        <v>93</v>
      </c>
      <c r="C325" s="48" t="n">
        <v>12.4</v>
      </c>
      <c r="D325" s="48" t="n">
        <v>13.2</v>
      </c>
      <c r="E325" s="48" t="n">
        <v>4.653</v>
      </c>
      <c r="J325" s="7" t="s">
        <v>722</v>
      </c>
    </row>
    <row r="326" customFormat="false" ht="15" hidden="false" customHeight="false" outlineLevel="1" collapsed="false">
      <c r="A326" s="3" t="s">
        <v>723</v>
      </c>
      <c r="B326" s="12" t="s">
        <v>93</v>
      </c>
      <c r="C326" s="48" t="n">
        <v>35</v>
      </c>
      <c r="D326" s="48" t="n">
        <v>39</v>
      </c>
      <c r="E326" s="48" t="n">
        <v>16.139</v>
      </c>
      <c r="J326" s="7" t="s">
        <v>722</v>
      </c>
    </row>
  </sheetData>
  <dataValidations count="1">
    <dataValidation allowBlank="false" error="請輸入 1–4" errorStyle="stop" errorTitle="錨定年度" operator="between" showDropDown="false" showErrorMessage="true" showInputMessage="false" sqref="C176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724</v>
      </c>
    </row>
    <row r="2" customFormat="false" ht="15" hidden="false" customHeight="false" outlineLevel="0" collapsed="false">
      <c r="A2" s="12" t="s">
        <v>725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173</v>
      </c>
      <c r="G4" s="27" t="s">
        <v>174</v>
      </c>
      <c r="I4" s="15" t="s">
        <v>726</v>
      </c>
    </row>
    <row r="5" customFormat="false" ht="15" hidden="false" customHeight="false" outlineLevel="0" collapsed="false">
      <c r="A5" s="51" t="s">
        <v>727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728</v>
      </c>
      <c r="B6" s="12" t="s">
        <v>93</v>
      </c>
      <c r="C6" s="34" t="n">
        <f aca="false">輸入與假設!$C$215+輸入與假設!C$137</f>
        <v>37.800888825</v>
      </c>
      <c r="D6" s="34" t="n">
        <f aca="false">輸入與假設!D$137</f>
        <v>42.29920882</v>
      </c>
      <c r="E6" s="34" t="n">
        <f aca="false">輸入與假設!E$137</f>
        <v>32.51219448</v>
      </c>
      <c r="F6" s="34" t="n">
        <f aca="false">輸入與假設!F$137</f>
        <v>33.8277168</v>
      </c>
      <c r="G6" s="34" t="n">
        <f aca="false">輸入與假設!G$137</f>
        <v>35.89496616</v>
      </c>
      <c r="I6" s="12" t="s">
        <v>729</v>
      </c>
    </row>
    <row r="7" customFormat="false" ht="15" hidden="false" customHeight="false" outlineLevel="1" collapsed="false">
      <c r="A7" s="3" t="s">
        <v>730</v>
      </c>
      <c r="B7" s="12" t="s">
        <v>77</v>
      </c>
      <c r="C7" s="52" t="n">
        <f aca="false">輸入與假設!C$122</f>
        <v>0.08</v>
      </c>
      <c r="D7" s="52" t="n">
        <f aca="false">輸入與假設!D$122</f>
        <v>0.08</v>
      </c>
      <c r="E7" s="52" t="n">
        <f aca="false">輸入與假設!E$122</f>
        <v>0.08</v>
      </c>
      <c r="F7" s="52" t="n">
        <f aca="false">輸入與假設!F$122</f>
        <v>0.08</v>
      </c>
      <c r="G7" s="52" t="n">
        <f aca="false">輸入與假設!G$122</f>
        <v>0.08</v>
      </c>
    </row>
    <row r="8" customFormat="false" ht="15" hidden="false" customHeight="false" outlineLevel="1" collapsed="false">
      <c r="A8" s="3" t="s">
        <v>731</v>
      </c>
      <c r="B8" s="12" t="s">
        <v>93</v>
      </c>
      <c r="C8" s="34" t="n">
        <f aca="false">輸入與假設!C$137*C7</f>
        <v>1.732951106</v>
      </c>
      <c r="D8" s="34" t="n">
        <f aca="false">輸入與假設!D$137*D7</f>
        <v>3.3839367056</v>
      </c>
      <c r="E8" s="34" t="n">
        <f aca="false">輸入與假設!E$137*E7</f>
        <v>2.6009755584</v>
      </c>
      <c r="F8" s="34" t="n">
        <f aca="false">輸入與假設!F$137*F7</f>
        <v>2.706217344</v>
      </c>
      <c r="G8" s="34" t="n">
        <f aca="false">輸入與假設!G$137*G7</f>
        <v>2.8715972928</v>
      </c>
      <c r="I8" s="12" t="s">
        <v>732</v>
      </c>
    </row>
    <row r="9" customFormat="false" ht="15" hidden="false" customHeight="false" outlineLevel="1" collapsed="false">
      <c r="A9" s="4" t="s">
        <v>733</v>
      </c>
      <c r="B9" s="12" t="s">
        <v>93</v>
      </c>
      <c r="C9" s="34" t="n">
        <f aca="false">輸入與假設!$C$214+輸入與假設!C$137</f>
        <v>35.778888825</v>
      </c>
      <c r="D9" s="34" t="n">
        <f aca="false">輸入與假設!D$137</f>
        <v>42.29920882</v>
      </c>
      <c r="E9" s="34" t="n">
        <f aca="false">輸入與假設!E$137</f>
        <v>32.51219448</v>
      </c>
      <c r="F9" s="34" t="n">
        <f aca="false">輸入與假設!F$137</f>
        <v>33.8277168</v>
      </c>
      <c r="G9" s="34" t="n">
        <f aca="false">輸入與假設!G$137</f>
        <v>35.89496616</v>
      </c>
      <c r="I9" s="12" t="s">
        <v>734</v>
      </c>
    </row>
    <row r="10" customFormat="false" ht="15" hidden="false" customHeight="false" outlineLevel="1" collapsed="false">
      <c r="A10" s="3" t="s">
        <v>735</v>
      </c>
      <c r="B10" s="12" t="s">
        <v>93</v>
      </c>
      <c r="C10" s="42" t="n">
        <f aca="false">輸入與假設!C$123</f>
        <v>1.04</v>
      </c>
      <c r="D10" s="42" t="n">
        <f aca="false">輸入與假設!D$123</f>
        <v>2.339</v>
      </c>
      <c r="E10" s="42" t="n">
        <f aca="false">輸入與假設!E$123</f>
        <v>2.306</v>
      </c>
      <c r="F10" s="42" t="n">
        <f aca="false">輸入與假設!F$123</f>
        <v>2.373</v>
      </c>
      <c r="G10" s="42" t="n">
        <f aca="false">輸入與假設!G$123</f>
        <v>2.289</v>
      </c>
      <c r="I10" s="7" t="s">
        <v>736</v>
      </c>
    </row>
    <row r="11" customFormat="false" ht="15" hidden="false" customHeight="false" outlineLevel="1" collapsed="false">
      <c r="A11" s="3" t="s">
        <v>737</v>
      </c>
      <c r="B11" s="12" t="s">
        <v>93</v>
      </c>
      <c r="C11" s="42" t="n">
        <f aca="false">輸入與假設!C$124</f>
        <v>0.3</v>
      </c>
      <c r="D11" s="42" t="n">
        <f aca="false">輸入與假設!D$124</f>
        <v>1.6</v>
      </c>
      <c r="E11" s="42" t="n">
        <f aca="false">輸入與假設!E$124</f>
        <v>2.41935483870968</v>
      </c>
      <c r="F11" s="42" t="n">
        <f aca="false">輸入與假設!F$124</f>
        <v>2.75</v>
      </c>
      <c r="G11" s="42" t="n">
        <f aca="false">輸入與假設!G$124</f>
        <v>2.90153846153846</v>
      </c>
      <c r="I11" s="7" t="s">
        <v>738</v>
      </c>
    </row>
    <row r="12" customFormat="false" ht="15" hidden="false" customHeight="false" outlineLevel="1" collapsed="false">
      <c r="A12" s="3" t="s">
        <v>739</v>
      </c>
      <c r="B12" s="12" t="s">
        <v>93</v>
      </c>
      <c r="C12" s="34" t="n">
        <f aca="false">C10+C11</f>
        <v>1.34</v>
      </c>
      <c r="D12" s="34" t="n">
        <f aca="false">D10+D11</f>
        <v>3.939</v>
      </c>
      <c r="E12" s="34" t="n">
        <f aca="false">E10+E11</f>
        <v>4.72535483870968</v>
      </c>
      <c r="F12" s="34" t="n">
        <f aca="false">F10+F11</f>
        <v>5.123</v>
      </c>
      <c r="G12" s="34" t="n">
        <f aca="false">G10+G11</f>
        <v>5.19053846153846</v>
      </c>
    </row>
    <row r="13" customFormat="false" ht="15" hidden="false" customHeight="false" outlineLevel="1" collapsed="false">
      <c r="A13" s="3" t="s">
        <v>740</v>
      </c>
      <c r="B13" s="12" t="s">
        <v>93</v>
      </c>
      <c r="C13" s="42" t="n">
        <f aca="false">輸入與假設!C$162</f>
        <v>1.80589628695395</v>
      </c>
      <c r="D13" s="42" t="n">
        <f aca="false">輸入與假設!D$162</f>
        <v>2.46600676169447</v>
      </c>
      <c r="E13" s="42" t="n">
        <f aca="false">輸入與假設!E$162</f>
        <v>2.02009474796771</v>
      </c>
      <c r="F13" s="42" t="n">
        <f aca="false">輸入與假設!F$162</f>
        <v>1.73248149911395</v>
      </c>
      <c r="G13" s="42" t="n">
        <f aca="false">輸入與假設!G$162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741</v>
      </c>
      <c r="B14" s="12" t="s">
        <v>93</v>
      </c>
      <c r="C14" s="34" t="n">
        <f aca="false">輸入與假設!$C$212</f>
        <v>3.127</v>
      </c>
      <c r="D14" s="34" t="n">
        <f aca="false">C41</f>
        <v>1.99999999999999</v>
      </c>
      <c r="E14" s="34" t="n">
        <f aca="false">D41</f>
        <v>1.99999999999999</v>
      </c>
      <c r="F14" s="34" t="n">
        <f aca="false">E41</f>
        <v>1.99999999999999</v>
      </c>
      <c r="G14" s="34" t="n">
        <f aca="false">F41</f>
        <v>1.99999999999999</v>
      </c>
      <c r="I14" s="12" t="s">
        <v>742</v>
      </c>
    </row>
    <row r="15" customFormat="false" ht="15" hidden="false" customHeight="false" outlineLevel="1" collapsed="false">
      <c r="A15" s="3" t="s">
        <v>743</v>
      </c>
      <c r="B15" s="12" t="s">
        <v>77</v>
      </c>
      <c r="C15" s="31" t="n">
        <f aca="false">IF(輸入與假設!$C$156=1,輸入與假設!C$161+MAX(0,輸入與假設!$C$155-450)/100*0.004,輸入與假設!C$161)</f>
        <v>0.09</v>
      </c>
      <c r="D15" s="31" t="n">
        <f aca="false">IF(輸入與假設!$C$156=1,輸入與假設!D$161+MAX(0,輸入與假設!$C$155-450)/100*0.004,輸入與假設!D$161)</f>
        <v>0.09</v>
      </c>
      <c r="E15" s="31" t="n">
        <f aca="false">IF(輸入與假設!$C$156=1,輸入與假設!E$161+MAX(0,輸入與假設!$C$155-450)/100*0.004,輸入與假設!E$161)</f>
        <v>0.09</v>
      </c>
      <c r="F15" s="31" t="n">
        <f aca="false">IF(輸入與假設!$C$156=1,輸入與假設!F$161+MAX(0,輸入與假設!$C$155-450)/100*0.004,輸入與假設!F$161)</f>
        <v>0.09</v>
      </c>
      <c r="G15" s="31" t="n">
        <f aca="false">IF(輸入與假設!$C$156=1,輸入與假設!G$161+MAX(0,輸入與假設!$C$155-450)/100*0.004,輸入與假設!G$161)</f>
        <v>0.09</v>
      </c>
      <c r="I15" s="12" t="s">
        <v>744</v>
      </c>
    </row>
    <row r="16" customFormat="false" ht="15" hidden="false" customHeight="false" outlineLevel="1" collapsed="false">
      <c r="A16" s="3" t="s">
        <v>745</v>
      </c>
      <c r="B16" s="12" t="s">
        <v>93</v>
      </c>
      <c r="C16" s="34" t="n">
        <f aca="false">C63</f>
        <v>0.605690630305894</v>
      </c>
      <c r="D16" s="34" t="n">
        <f aca="false">D63</f>
        <v>4.55963713034847</v>
      </c>
      <c r="E16" s="34" t="n">
        <f aca="false">E63</f>
        <v>6.46785283353127</v>
      </c>
      <c r="F16" s="34" t="n">
        <f aca="false">F63</f>
        <v>7.36102354488207</v>
      </c>
      <c r="G16" s="34" t="n">
        <f aca="false">G63</f>
        <v>8.63509052279057</v>
      </c>
      <c r="I16" s="7" t="s">
        <v>746</v>
      </c>
    </row>
    <row r="17" customFormat="false" ht="15" hidden="false" customHeight="false" outlineLevel="1" collapsed="false">
      <c r="A17" s="3" t="s">
        <v>747</v>
      </c>
      <c r="B17" s="12" t="s">
        <v>93</v>
      </c>
      <c r="C17" s="34" t="n">
        <f aca="false">C13+C16</f>
        <v>2.41158691725985</v>
      </c>
      <c r="D17" s="34" t="n">
        <f aca="false">D13+D16</f>
        <v>7.02564389204294</v>
      </c>
      <c r="E17" s="34" t="n">
        <f aca="false">E13+E16</f>
        <v>8.48794758149898</v>
      </c>
      <c r="F17" s="34" t="n">
        <f aca="false">F13+F16</f>
        <v>9.09350504399601</v>
      </c>
      <c r="G17" s="34" t="n">
        <f aca="false">G13+G16</f>
        <v>10.1302290425228</v>
      </c>
    </row>
    <row r="18" customFormat="false" ht="15" hidden="false" customHeight="false" outlineLevel="1" collapsed="false">
      <c r="A18" s="4" t="s">
        <v>748</v>
      </c>
      <c r="B18" s="12" t="s">
        <v>93</v>
      </c>
      <c r="C18" s="34" t="n">
        <f aca="false">輸入與假設!$C$216+輸入與假設!C$127</f>
        <v>1.938</v>
      </c>
      <c r="D18" s="34" t="n">
        <f aca="false">輸入與假設!D$127</f>
        <v>0.4</v>
      </c>
      <c r="E18" s="34" t="n">
        <f aca="false">輸入與假設!E$127</f>
        <v>0.3</v>
      </c>
      <c r="F18" s="34" t="n">
        <f aca="false">輸入與假設!F$127</f>
        <v>0.2</v>
      </c>
      <c r="G18" s="34" t="n">
        <f aca="false">輸入與假設!G$127</f>
        <v>0.2</v>
      </c>
      <c r="I18" s="12" t="s">
        <v>749</v>
      </c>
    </row>
    <row r="19" customFormat="false" ht="15" hidden="false" customHeight="false" outlineLevel="1" collapsed="false">
      <c r="A19" s="3" t="s">
        <v>750</v>
      </c>
      <c r="B19" s="12" t="s">
        <v>93</v>
      </c>
      <c r="C19" s="34" t="n">
        <f aca="false">0</f>
        <v>0</v>
      </c>
      <c r="D19" s="34" t="n">
        <f aca="false">0</f>
        <v>0</v>
      </c>
      <c r="E19" s="34" t="n">
        <f aca="false">0</f>
        <v>0</v>
      </c>
      <c r="F19" s="34" t="n">
        <f aca="false">0</f>
        <v>0</v>
      </c>
      <c r="G19" s="34" t="n">
        <f aca="false">0</f>
        <v>0</v>
      </c>
      <c r="I19" s="12" t="s">
        <v>751</v>
      </c>
    </row>
    <row r="20" customFormat="false" ht="15" hidden="false" customHeight="false" outlineLevel="1" collapsed="false">
      <c r="A20" s="3" t="s">
        <v>752</v>
      </c>
      <c r="B20" s="12" t="s">
        <v>93</v>
      </c>
      <c r="C20" s="34" t="n">
        <f aca="false">0</f>
        <v>0</v>
      </c>
      <c r="D20" s="34" t="n">
        <f aca="false">0</f>
        <v>0</v>
      </c>
      <c r="E20" s="34" t="n">
        <f aca="false">0</f>
        <v>0</v>
      </c>
      <c r="F20" s="34" t="n">
        <f aca="false">0</f>
        <v>0</v>
      </c>
      <c r="G20" s="34" t="n">
        <f aca="false">0</f>
        <v>0</v>
      </c>
    </row>
    <row r="21" customFormat="false" ht="15" hidden="false" customHeight="false" outlineLevel="1" collapsed="false">
      <c r="A21" s="3" t="s">
        <v>753</v>
      </c>
      <c r="B21" s="12" t="s">
        <v>93</v>
      </c>
      <c r="C21" s="34" t="n">
        <f aca="false">輸入與假設!$C$218+IF(輸入與假設!$C$146=1,輸入與假設!C$160,0)</f>
        <v>9.632</v>
      </c>
      <c r="D21" s="34" t="n">
        <f aca="false">IF(輸入與假設!$C$146=1,輸入與假設!D$160,0)</f>
        <v>6.184</v>
      </c>
      <c r="E21" s="34" t="n">
        <f aca="false">IF(輸入與假設!$C$146=1,輸入與假設!E$160,0)</f>
        <v>4.416</v>
      </c>
      <c r="F21" s="34" t="n">
        <f aca="false">IF(輸入與假設!$C$146=1,輸入與假設!F$160,0)</f>
        <v>2.421</v>
      </c>
      <c r="G21" s="34" t="n">
        <f aca="false">IF(輸入與假設!$C$146=1,輸入與假設!G$160,0)</f>
        <v>3.221</v>
      </c>
      <c r="I21" s="12" t="s">
        <v>754</v>
      </c>
    </row>
    <row r="22" customFormat="false" ht="15" hidden="false" customHeight="false" outlineLevel="1" collapsed="false">
      <c r="A22" s="4" t="s">
        <v>755</v>
      </c>
      <c r="B22" s="12" t="s">
        <v>93</v>
      </c>
      <c r="C22" s="34" t="n">
        <f aca="false">輸入與假設!$C$219</f>
        <v>0.492</v>
      </c>
      <c r="D22" s="34" t="n">
        <f aca="false">0</f>
        <v>0</v>
      </c>
      <c r="E22" s="34" t="n">
        <f aca="false">0</f>
        <v>0</v>
      </c>
      <c r="F22" s="34" t="n">
        <f aca="false">0</f>
        <v>0</v>
      </c>
      <c r="G22" s="34" t="n">
        <f aca="false">0</f>
        <v>0</v>
      </c>
      <c r="I22" s="12" t="s">
        <v>756</v>
      </c>
    </row>
    <row r="23" customFormat="false" ht="15" hidden="false" customHeight="false" outlineLevel="1" collapsed="false">
      <c r="A23" s="2" t="s">
        <v>757</v>
      </c>
      <c r="B23" s="12" t="s">
        <v>93</v>
      </c>
      <c r="C23" s="39" t="n">
        <f aca="false">C9+C12+C17+C18+C19+C20+C21+C22</f>
        <v>51.5924757422599</v>
      </c>
      <c r="D23" s="39" t="n">
        <f aca="false">D9+D12+D17+D18+D19+D20+D21+D22</f>
        <v>59.8478527120429</v>
      </c>
      <c r="E23" s="39" t="n">
        <f aca="false">E9+E12+E17+E18+E19+E20+E21+E22</f>
        <v>50.4414969002087</v>
      </c>
      <c r="F23" s="39" t="n">
        <f aca="false">F9+F12+F17+F18+F19+F20+F21+F22</f>
        <v>50.665221843996</v>
      </c>
      <c r="G23" s="39" t="n">
        <f aca="false">G9+G12+G17+G18+G19+G20+G21+G22</f>
        <v>54.6367336640612</v>
      </c>
      <c r="I23" s="12" t="s">
        <v>758</v>
      </c>
    </row>
    <row r="24" customFormat="false" ht="15" hidden="false" customHeight="false" outlineLevel="0" collapsed="false">
      <c r="A24" s="51" t="s">
        <v>759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760</v>
      </c>
      <c r="B25" s="12" t="s">
        <v>93</v>
      </c>
      <c r="C25" s="42" t="n">
        <f aca="false">輸入與假設!$C$213</f>
        <v>3.663</v>
      </c>
      <c r="D25" s="42" t="n">
        <f aca="false">0</f>
        <v>0</v>
      </c>
      <c r="E25" s="42" t="n">
        <f aca="false">0</f>
        <v>0</v>
      </c>
      <c r="F25" s="42" t="n">
        <f aca="false">0</f>
        <v>0</v>
      </c>
      <c r="G25" s="42" t="n">
        <f aca="false">0</f>
        <v>0</v>
      </c>
      <c r="I25" s="12" t="s">
        <v>761</v>
      </c>
    </row>
    <row r="26" customFormat="false" ht="15" hidden="false" customHeight="false" outlineLevel="1" collapsed="false">
      <c r="A26" s="4" t="s">
        <v>762</v>
      </c>
      <c r="B26" s="12" t="s">
        <v>93</v>
      </c>
      <c r="C26" s="42" t="n">
        <f aca="false">運營_產能與收入!C36</f>
        <v>5.9626936167161</v>
      </c>
      <c r="D26" s="42" t="n">
        <f aca="false">運營_產能與收入!D36</f>
        <v>18.5203155728824</v>
      </c>
      <c r="E26" s="42" t="n">
        <f aca="false">運營_產能與收入!E36</f>
        <v>18.6916282976279</v>
      </c>
      <c r="F26" s="42" t="n">
        <f aca="false">運營_產能與收入!F36</f>
        <v>17.7269034656712</v>
      </c>
      <c r="G26" s="42" t="n">
        <f aca="false">運營_產能與收入!G36</f>
        <v>11.9611006539142</v>
      </c>
    </row>
    <row r="27" customFormat="false" ht="15" hidden="false" customHeight="false" outlineLevel="1" collapsed="false">
      <c r="A27" s="3" t="s">
        <v>763</v>
      </c>
      <c r="B27" s="12" t="s">
        <v>93</v>
      </c>
      <c r="C27" s="42" t="n">
        <f aca="false">運營_產能與收入!C37</f>
        <v>0</v>
      </c>
      <c r="D27" s="42" t="n">
        <f aca="false">運營_產能與收入!D37</f>
        <v>0</v>
      </c>
      <c r="E27" s="42" t="n">
        <f aca="false">運營_產能與收入!E37</f>
        <v>6.62951208627052</v>
      </c>
      <c r="F27" s="42" t="n">
        <f aca="false">運營_產能與收入!F37</f>
        <v>10.2190062464377</v>
      </c>
      <c r="G27" s="42" t="n">
        <f aca="false">運營_產能與收入!G37</f>
        <v>15.8823544882937</v>
      </c>
    </row>
    <row r="28" customFormat="false" ht="15" hidden="false" customHeight="false" outlineLevel="1" collapsed="false">
      <c r="A28" s="3" t="s">
        <v>764</v>
      </c>
      <c r="B28" s="12" t="s">
        <v>93</v>
      </c>
      <c r="C28" s="42" t="n">
        <f aca="false">輸入與假設!C$88</f>
        <v>0.221039234968332</v>
      </c>
      <c r="D28" s="42" t="n">
        <f aca="false">輸入與假設!D$88</f>
        <v>0.740757436486277</v>
      </c>
      <c r="E28" s="42" t="n">
        <f aca="false">輸入與假設!E$88</f>
        <v>1.31698425587909</v>
      </c>
      <c r="F28" s="42" t="n">
        <f aca="false">輸入與假設!F$88</f>
        <v>1.99775652663061</v>
      </c>
      <c r="G28" s="42" t="n">
        <f aca="false">輸入與假設!G$88</f>
        <v>2.60097628406929</v>
      </c>
    </row>
    <row r="29" customFormat="false" ht="15" hidden="false" customHeight="false" outlineLevel="1" collapsed="false">
      <c r="A29" s="3" t="s">
        <v>765</v>
      </c>
      <c r="B29" s="12" t="s">
        <v>93</v>
      </c>
      <c r="C29" s="34" t="n">
        <f aca="false">C8</f>
        <v>1.732951106</v>
      </c>
      <c r="D29" s="34" t="n">
        <f aca="false">D8</f>
        <v>3.3839367056</v>
      </c>
      <c r="E29" s="34" t="n">
        <f aca="false">E8</f>
        <v>2.6009755584</v>
      </c>
      <c r="F29" s="34" t="n">
        <f aca="false">F8</f>
        <v>2.706217344</v>
      </c>
      <c r="G29" s="34" t="n">
        <f aca="false">G8</f>
        <v>2.8715972928</v>
      </c>
    </row>
    <row r="30" customFormat="false" ht="15" hidden="false" customHeight="false" outlineLevel="1" collapsed="false">
      <c r="A30" s="2" t="s">
        <v>766</v>
      </c>
      <c r="B30" s="12" t="s">
        <v>93</v>
      </c>
      <c r="C30" s="39" t="n">
        <f aca="false">C25+C26+C27+C28+C29</f>
        <v>11.5796839576844</v>
      </c>
      <c r="D30" s="39" t="n">
        <f aca="false">D25+D26+D27+D28+D29</f>
        <v>22.6450097149686</v>
      </c>
      <c r="E30" s="39" t="n">
        <f aca="false">E25+E26+E27+E28+E29</f>
        <v>29.2391001981775</v>
      </c>
      <c r="F30" s="39" t="n">
        <f aca="false">F25+F26+F27+F28+F29</f>
        <v>32.6498835827394</v>
      </c>
      <c r="G30" s="39" t="n">
        <f aca="false">G25+G26+G27+G28+G29</f>
        <v>33.3160287190772</v>
      </c>
    </row>
    <row r="31" customFormat="false" ht="15" hidden="false" customHeight="false" outlineLevel="1" collapsed="false">
      <c r="A31" s="3" t="s">
        <v>767</v>
      </c>
      <c r="B31" s="12" t="s">
        <v>93</v>
      </c>
      <c r="C31" s="34" t="n">
        <f aca="false">輸入與假設!$C$220+IF(輸入與假設!$C$143=1,輸入與假設!$C$142,0)</f>
        <v>9.182</v>
      </c>
      <c r="D31" s="34" t="n">
        <f aca="false">0</f>
        <v>0</v>
      </c>
      <c r="E31" s="34" t="n">
        <f aca="false">0</f>
        <v>0</v>
      </c>
      <c r="F31" s="34" t="n">
        <f aca="false">0</f>
        <v>0</v>
      </c>
      <c r="G31" s="34" t="n">
        <f aca="false">0</f>
        <v>0</v>
      </c>
      <c r="I31" s="12" t="s">
        <v>768</v>
      </c>
    </row>
    <row r="32" customFormat="false" ht="15" hidden="false" customHeight="false" outlineLevel="1" collapsed="false">
      <c r="A32" s="4" t="s">
        <v>769</v>
      </c>
      <c r="B32" s="12" t="s">
        <v>93</v>
      </c>
      <c r="C32" s="42" t="n">
        <f aca="false">輸入與假設!$C$217</f>
        <v>16.747</v>
      </c>
      <c r="D32" s="42" t="n">
        <f aca="false">0</f>
        <v>0</v>
      </c>
      <c r="E32" s="42" t="n">
        <f aca="false">0</f>
        <v>0</v>
      </c>
      <c r="F32" s="42" t="n">
        <f aca="false">0</f>
        <v>0</v>
      </c>
      <c r="G32" s="42" t="n">
        <f aca="false">0</f>
        <v>0</v>
      </c>
      <c r="I32" s="12" t="s">
        <v>770</v>
      </c>
    </row>
    <row r="33" customFormat="false" ht="15" hidden="false" customHeight="false" outlineLevel="1" collapsed="false">
      <c r="A33" s="3" t="s">
        <v>771</v>
      </c>
      <c r="B33" s="12" t="s">
        <v>93</v>
      </c>
      <c r="C33" s="34" t="n">
        <f aca="false">C58</f>
        <v>13.4597917845754</v>
      </c>
      <c r="D33" s="34" t="n">
        <f aca="false">D58</f>
        <v>37.2028429970743</v>
      </c>
      <c r="E33" s="34" t="n">
        <f aca="false">E58</f>
        <v>21.2023967020311</v>
      </c>
      <c r="F33" s="34" t="n">
        <f aca="false">F58</f>
        <v>0</v>
      </c>
      <c r="G33" s="34" t="n">
        <f aca="false">G58</f>
        <v>0.524924516319189</v>
      </c>
      <c r="I33" s="7" t="s">
        <v>772</v>
      </c>
    </row>
    <row r="34" customFormat="false" ht="15" hidden="false" customHeight="false" outlineLevel="1" collapsed="false">
      <c r="A34" s="3" t="s">
        <v>773</v>
      </c>
      <c r="B34" s="12" t="s">
        <v>93</v>
      </c>
      <c r="C34" s="34" t="n">
        <f aca="false">C61</f>
        <v>0</v>
      </c>
      <c r="D34" s="34" t="n">
        <f aca="false">D61</f>
        <v>0</v>
      </c>
      <c r="E34" s="34" t="n">
        <f aca="false">E61</f>
        <v>0</v>
      </c>
      <c r="F34" s="34" t="n">
        <f aca="false">F61</f>
        <v>10.572249</v>
      </c>
      <c r="G34" s="34" t="n">
        <f aca="false">G61</f>
        <v>10.572249</v>
      </c>
      <c r="I34" s="7" t="s">
        <v>774</v>
      </c>
    </row>
    <row r="35" customFormat="false" ht="15" hidden="false" customHeight="false" outlineLevel="1" collapsed="false">
      <c r="A35" s="3" t="s">
        <v>775</v>
      </c>
      <c r="B35" s="12" t="s">
        <v>93</v>
      </c>
      <c r="C35" s="34" t="n">
        <f aca="false">C62</f>
        <v>0</v>
      </c>
      <c r="D35" s="34" t="n">
        <f aca="false">D62</f>
        <v>0</v>
      </c>
      <c r="E35" s="34" t="n">
        <f aca="false">E62</f>
        <v>0</v>
      </c>
      <c r="F35" s="34" t="n">
        <f aca="false">F62</f>
        <v>7.44308926125659</v>
      </c>
      <c r="G35" s="34" t="n">
        <f aca="false">G62</f>
        <v>10.2235314286648</v>
      </c>
      <c r="I35" s="7" t="s">
        <v>776</v>
      </c>
    </row>
    <row r="36" customFormat="false" ht="15" hidden="false" customHeight="false" outlineLevel="1" collapsed="false">
      <c r="A36" s="2" t="s">
        <v>777</v>
      </c>
      <c r="B36" s="12" t="s">
        <v>93</v>
      </c>
      <c r="C36" s="39" t="n">
        <f aca="false">C30+C31+C32+C33+C34+C35</f>
        <v>50.9684757422599</v>
      </c>
      <c r="D36" s="39" t="n">
        <f aca="false">D30+D31+D32+D33+D34+D35</f>
        <v>59.8478527120429</v>
      </c>
      <c r="E36" s="39" t="n">
        <f aca="false">E30+E31+E32+E33+E34+E35</f>
        <v>50.4414969002087</v>
      </c>
      <c r="F36" s="39" t="n">
        <f aca="false">F30+F31+F32+F33+F34+F35</f>
        <v>50.665221843996</v>
      </c>
      <c r="G36" s="39" t="n">
        <f aca="false">G30+G31+G32+G33+G34+G35</f>
        <v>54.6367336640613</v>
      </c>
    </row>
    <row r="37" customFormat="false" ht="15" hidden="false" customHeight="false" outlineLevel="0" collapsed="false">
      <c r="A37" s="51" t="s">
        <v>778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779</v>
      </c>
      <c r="B38" s="12" t="s">
        <v>93</v>
      </c>
      <c r="C38" s="34" t="n">
        <f aca="false">輸入與假設!$C$141-(輸入與假設!$C$212+輸入與假設!$C$213+輸入與假設!$C$217+輸入與假設!$C$220-輸入與假設!$C$214-輸入與假設!$C$216-輸入與假設!$C$218-輸入與假設!$C$219)</f>
        <v>-0.502999999999997</v>
      </c>
      <c r="D38" s="34" t="n">
        <f aca="false">0</f>
        <v>0</v>
      </c>
      <c r="E38" s="34" t="n">
        <f aca="false">0</f>
        <v>0</v>
      </c>
      <c r="F38" s="34" t="n">
        <f aca="false">0</f>
        <v>0</v>
      </c>
      <c r="G38" s="34" t="n">
        <f aca="false">0</f>
        <v>0</v>
      </c>
      <c r="I38" s="7" t="s">
        <v>780</v>
      </c>
    </row>
    <row r="39" customFormat="false" ht="15" hidden="false" customHeight="false" outlineLevel="1" collapsed="false">
      <c r="A39" s="2" t="s">
        <v>781</v>
      </c>
      <c r="B39" s="12" t="s">
        <v>93</v>
      </c>
      <c r="C39" s="39" t="n">
        <f aca="false">C30-(C23-C21-C22)</f>
        <v>-29.8887917845754</v>
      </c>
      <c r="D39" s="39" t="n">
        <f aca="false">D30-(D23-D21-D22)</f>
        <v>-31.0188429970743</v>
      </c>
      <c r="E39" s="39" t="n">
        <f aca="false">E30-(E23-E21-E22)</f>
        <v>-16.7863967020311</v>
      </c>
      <c r="F39" s="39" t="n">
        <f aca="false">F30-(F23-F21-F22)</f>
        <v>-15.5943382612566</v>
      </c>
      <c r="G39" s="39" t="n">
        <f aca="false">G30-(G23-G21-G22)</f>
        <v>-18.099704944984</v>
      </c>
      <c r="I39" s="7" t="s">
        <v>782</v>
      </c>
    </row>
    <row r="40" customFormat="false" ht="15" hidden="false" customHeight="false" outlineLevel="1" collapsed="false">
      <c r="A40" s="3" t="s">
        <v>783</v>
      </c>
      <c r="B40" s="12" t="s">
        <v>93</v>
      </c>
      <c r="C40" s="34" t="n">
        <f aca="false">C36-C23+C38</f>
        <v>-1.12700000000001</v>
      </c>
      <c r="D40" s="34" t="n">
        <f aca="false">D36-D23+D38</f>
        <v>0</v>
      </c>
      <c r="E40" s="34" t="n">
        <f aca="false">E36-E23+E38</f>
        <v>0</v>
      </c>
      <c r="F40" s="34" t="n">
        <f aca="false">F36-F23+F38</f>
        <v>0</v>
      </c>
      <c r="G40" s="34" t="n">
        <f aca="false">G36-G23+G38</f>
        <v>0</v>
      </c>
    </row>
    <row r="41" customFormat="false" ht="15" hidden="false" customHeight="false" outlineLevel="1" collapsed="false">
      <c r="A41" s="2" t="s">
        <v>784</v>
      </c>
      <c r="B41" s="12" t="s">
        <v>93</v>
      </c>
      <c r="C41" s="39" t="n">
        <f aca="false">C14+C40</f>
        <v>1.99999999999999</v>
      </c>
      <c r="D41" s="39" t="n">
        <f aca="false">D14+D40</f>
        <v>1.99999999999999</v>
      </c>
      <c r="E41" s="39" t="n">
        <f aca="false">E14+E40</f>
        <v>1.99999999999999</v>
      </c>
      <c r="F41" s="39" t="n">
        <f aca="false">F14+F40</f>
        <v>1.99999999999999</v>
      </c>
      <c r="G41" s="39" t="n">
        <f aca="false">G14+G40</f>
        <v>1.99999999999999</v>
      </c>
      <c r="I41" s="7" t="s">
        <v>785</v>
      </c>
    </row>
    <row r="43" customFormat="false" ht="15" hidden="false" customHeight="false" outlineLevel="0" collapsed="false">
      <c r="A43" s="51" t="s">
        <v>786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787</v>
      </c>
      <c r="B44" s="12" t="s">
        <v>93</v>
      </c>
      <c r="C44" s="34" t="n">
        <f aca="false">C9+C12+C13+C18+C19+C20+C21+C22</f>
        <v>50.986785111954</v>
      </c>
      <c r="D44" s="34" t="n">
        <f aca="false">D9+D12+D13+D18+D19+D20+D21+D22</f>
        <v>55.2882155816945</v>
      </c>
      <c r="E44" s="34" t="n">
        <f aca="false">E9+E12+E13+E18+E19+E20+E21+E22</f>
        <v>43.9736440666774</v>
      </c>
      <c r="F44" s="34" t="n">
        <f aca="false">F9+F12+F13+F18+F19+F20+F21+F22</f>
        <v>43.304198299114</v>
      </c>
      <c r="G44" s="34" t="n">
        <f aca="false">G9+G12+G13+G18+G19+G20+G21+G22</f>
        <v>46.0016431412707</v>
      </c>
      <c r="I44" s="7" t="s">
        <v>788</v>
      </c>
    </row>
    <row r="45" customFormat="false" ht="15" hidden="false" customHeight="false" outlineLevel="1" collapsed="false">
      <c r="A45" s="3" t="s">
        <v>789</v>
      </c>
      <c r="B45" s="12" t="s">
        <v>93</v>
      </c>
      <c r="C45" s="34" t="n">
        <f aca="false">0</f>
        <v>0</v>
      </c>
      <c r="D45" s="34" t="n">
        <f aca="false">C67</f>
        <v>13.4597917845754</v>
      </c>
      <c r="E45" s="34" t="n">
        <f aca="false">D67</f>
        <v>50.6626347816497</v>
      </c>
      <c r="F45" s="34" t="n">
        <f aca="false">E67</f>
        <v>71.8650314836808</v>
      </c>
      <c r="G45" s="34" t="n">
        <f aca="false">F67</f>
        <v>71.8650314836808</v>
      </c>
    </row>
    <row r="46" customFormat="false" ht="15" hidden="false" customHeight="false" outlineLevel="1" collapsed="false">
      <c r="A46" s="3" t="s">
        <v>790</v>
      </c>
      <c r="B46" s="12" t="s">
        <v>77</v>
      </c>
      <c r="C46" s="53" t="n">
        <f aca="false">C15*運營_產能與收入!C7</f>
        <v>0.045</v>
      </c>
      <c r="D46" s="53" t="n">
        <f aca="false">D15*運營_產能與收入!D7</f>
        <v>0.09</v>
      </c>
      <c r="E46" s="53" t="n">
        <f aca="false">E15*運營_產能與收入!E7</f>
        <v>0.09</v>
      </c>
      <c r="F46" s="53" t="n">
        <f aca="false">F15*運營_產能與收入!F7</f>
        <v>0.09</v>
      </c>
      <c r="G46" s="53" t="n">
        <f aca="false">G15*運營_產能與收入!G7</f>
        <v>0.09</v>
      </c>
    </row>
    <row r="47" customFormat="false" ht="15" hidden="false" customHeight="false" outlineLevel="1" collapsed="false">
      <c r="A47" s="3" t="s">
        <v>791</v>
      </c>
      <c r="B47" s="12" t="s">
        <v>93</v>
      </c>
      <c r="C47" s="34" t="n">
        <f aca="false">0</f>
        <v>0</v>
      </c>
      <c r="D47" s="34" t="n">
        <f aca="false">C69</f>
        <v>0</v>
      </c>
      <c r="E47" s="34" t="n">
        <f aca="false">D69</f>
        <v>0</v>
      </c>
      <c r="F47" s="34" t="n">
        <f aca="false">E69</f>
        <v>0</v>
      </c>
      <c r="G47" s="34" t="n">
        <f aca="false">F69</f>
        <v>7.44308926125659</v>
      </c>
    </row>
    <row r="48" customFormat="false" ht="15" hidden="false" customHeight="false" outlineLevel="1" collapsed="false">
      <c r="A48" s="3" t="s">
        <v>792</v>
      </c>
      <c r="B48" s="12" t="s">
        <v>77</v>
      </c>
      <c r="C48" s="53" t="n">
        <f aca="false">(輸入與假設!$C$154+IF(輸入與假設!$C$156=1,MAX(0,輸入與假設!$C$155-輸入與假設!$C$157)/10000*輸入與假設!$C$158,0))*運營_產能與收入!C7</f>
        <v>0.06</v>
      </c>
      <c r="D48" s="53" t="n">
        <f aca="false">(輸入與假設!$C$154+IF(輸入與假設!$C$156=1,MAX(0,輸入與假設!$C$155-輸入與假設!$C$157)/10000*輸入與假設!$C$158,0))*運營_產能與收入!D7</f>
        <v>0.12</v>
      </c>
      <c r="E48" s="53" t="n">
        <f aca="false">(輸入與假設!$C$154+IF(輸入與假設!$C$156=1,MAX(0,輸入與假設!$C$155-輸入與假設!$C$157)/10000*輸入與假設!$C$158,0))*運營_產能與收入!E7</f>
        <v>0.12</v>
      </c>
      <c r="F48" s="53" t="n">
        <f aca="false">(輸入與假設!$C$154+IF(輸入與假設!$C$156=1,MAX(0,輸入與假設!$C$155-輸入與假設!$C$157)/10000*輸入與假設!$C$158,0))*運營_產能與收入!F7</f>
        <v>0.12</v>
      </c>
      <c r="G48" s="53" t="n">
        <f aca="false">(輸入與假設!$C$154+IF(輸入與假設!$C$156=1,MAX(0,輸入與假設!$C$155-輸入與假設!$C$157)/10000*輸入與假設!$C$158,0))*運營_產能與收入!G7</f>
        <v>0.12</v>
      </c>
    </row>
    <row r="49" customFormat="false" ht="15" hidden="false" customHeight="false" outlineLevel="1" collapsed="false">
      <c r="A49" s="3" t="s">
        <v>793</v>
      </c>
      <c r="B49" s="12" t="s">
        <v>93</v>
      </c>
      <c r="C49" s="34" t="n">
        <f aca="false">C14+C30+C31+C32+C38-C44-C46*C45-C48*C47</f>
        <v>-10.8541011542695</v>
      </c>
      <c r="D49" s="34" t="n">
        <f aca="false">D14+D30+D31+D32+D38-D44-D46*D45-D48*D47</f>
        <v>-31.8545871273376</v>
      </c>
      <c r="E49" s="34" t="n">
        <f aca="false">E14+E30+E31+E32+E38-E44-E46*E45-E48*E47</f>
        <v>-17.2941809988483</v>
      </c>
      <c r="F49" s="34" t="n">
        <f aca="false">F14+F30+F31+F32+F38-F44-F46*F45-F48*F47</f>
        <v>-15.1221675499058</v>
      </c>
      <c r="G49" s="34" t="n">
        <f aca="false">G14+G30+G31+G32+G38-G44-G46*G45-G48*G47</f>
        <v>-18.0466379670755</v>
      </c>
    </row>
    <row r="50" customFormat="false" ht="15" hidden="false" customHeight="false" outlineLevel="1" collapsed="false">
      <c r="A50" s="2" t="s">
        <v>794</v>
      </c>
      <c r="B50" s="12" t="s">
        <v>93</v>
      </c>
      <c r="C50" s="39" t="n">
        <f aca="false">MAX(0,輸入與假設!$C$149-C49)</f>
        <v>12.8541011542695</v>
      </c>
      <c r="D50" s="39" t="n">
        <f aca="false">MAX(0,輸入與假設!$C$149-D49)</f>
        <v>33.8545871273376</v>
      </c>
      <c r="E50" s="39" t="n">
        <f aca="false">MAX(0,輸入與假設!$C$149-E49)</f>
        <v>19.2941809988483</v>
      </c>
      <c r="F50" s="39" t="n">
        <f aca="false">MAX(0,輸入與假設!$C$149-F49)</f>
        <v>17.1221675499058</v>
      </c>
      <c r="G50" s="39" t="n">
        <f aca="false">MAX(0,輸入與假設!$C$149-G49)</f>
        <v>20.0466379670755</v>
      </c>
    </row>
    <row r="51" customFormat="false" ht="15" hidden="false" customHeight="false" outlineLevel="1" collapsed="false">
      <c r="A51" s="3" t="s">
        <v>795</v>
      </c>
      <c r="B51" s="12" t="s">
        <v>93</v>
      </c>
      <c r="C51" s="34" t="n">
        <f aca="false">輸入與假設!$C$15+輸入與假設!$C$16</f>
        <v>128.7</v>
      </c>
      <c r="D51" s="34" t="n">
        <f aca="false">C53</f>
        <v>115.50825</v>
      </c>
      <c r="E51" s="34" t="n">
        <f aca="false">D53</f>
        <v>89.12475</v>
      </c>
      <c r="F51" s="34" t="n">
        <f aca="false">E53</f>
        <v>99.902412</v>
      </c>
      <c r="G51" s="34" t="n">
        <f aca="false">F53</f>
        <v>87.0282285</v>
      </c>
      <c r="I51" s="12" t="s">
        <v>796</v>
      </c>
    </row>
    <row r="52" customFormat="false" ht="15" hidden="false" customHeight="false" outlineLevel="1" collapsed="false">
      <c r="A52" s="3" t="s">
        <v>797</v>
      </c>
      <c r="B52" s="12" t="s">
        <v>93</v>
      </c>
      <c r="C52" s="34" t="n">
        <f aca="false">MAX(0,運營_產能與收入!C23/運營_產能與收入!C7-0)*輸入與假設!$C$148</f>
        <v>0</v>
      </c>
      <c r="D52" s="34" t="n">
        <f aca="false">MAX(0,運營_產能與收入!D23/運營_產能與收入!D7-運營_產能與收入!C23/運營_產能與收入!C7)*輸入與假設!$C$148</f>
        <v>0</v>
      </c>
      <c r="E52" s="34" t="n">
        <f aca="false">MAX(0,運營_產能與收入!E23/運營_產能與收入!E7-運營_產能與收入!D23/運營_產能與收入!D7)*輸入與假設!$C$148</f>
        <v>45.6470775</v>
      </c>
      <c r="F52" s="34" t="n">
        <f aca="false">MAX(0,運營_產能與收入!F23/運營_產能與收入!F7-運營_產能與收入!E23/運營_產能與收入!E7)*輸入與假設!$C$148</f>
        <v>26.689665</v>
      </c>
      <c r="G52" s="34" t="n">
        <f aca="false">MAX(0,運營_產能與收入!G23/運營_產能與收入!G7-運營_產能與收入!F23/運營_產能與收入!F7)*輸入與假設!$C$148</f>
        <v>45.1516575</v>
      </c>
    </row>
    <row r="53" customFormat="false" ht="15" hidden="false" customHeight="false" outlineLevel="1" collapsed="false">
      <c r="A53" s="3" t="s">
        <v>798</v>
      </c>
      <c r="B53" s="12" t="s">
        <v>93</v>
      </c>
      <c r="C53" s="34" t="n">
        <f aca="false">C51-運營_產能與收入!C17-運營_產能與收入!C23+C52</f>
        <v>115.50825</v>
      </c>
      <c r="D53" s="34" t="n">
        <f aca="false">D51-運營_產能與收入!D17-運營_產能與收入!D23+D52</f>
        <v>89.12475</v>
      </c>
      <c r="E53" s="34" t="n">
        <f aca="false">E51-運營_產能與收入!E17-運營_產能與收入!E23+E52</f>
        <v>99.902412</v>
      </c>
      <c r="F53" s="34" t="n">
        <f aca="false">F51-運營_產能與收入!F17-運營_產能與收入!F23+F52</f>
        <v>87.0282285</v>
      </c>
      <c r="G53" s="34" t="n">
        <f aca="false">G51-運營_產能與收入!G17-運營_產能與收入!G23+G52</f>
        <v>90.985956</v>
      </c>
      <c r="I53" s="7" t="s">
        <v>799</v>
      </c>
    </row>
    <row r="54" customFormat="false" ht="15" hidden="false" customHeight="false" outlineLevel="1" collapsed="false">
      <c r="A54" s="3" t="s">
        <v>800</v>
      </c>
      <c r="B54" s="12" t="s">
        <v>93</v>
      </c>
      <c r="C54" s="34" t="n">
        <f aca="false">IF(輸入與假設!$C$146=1,資產負債_既有債務!C30,35.551)+3.7</f>
        <v>34.838</v>
      </c>
      <c r="D54" s="34" t="n">
        <f aca="false">IF(輸入與假設!$C$146=1,資產負債_既有債務!D30,35.551)+3.7</f>
        <v>28.654</v>
      </c>
      <c r="E54" s="34" t="n">
        <f aca="false">IF(輸入與假設!$C$146=1,資產負債_既有債務!E30,35.551)+3.7</f>
        <v>24.238</v>
      </c>
      <c r="F54" s="34" t="n">
        <f aca="false">IF(輸入與假設!$C$146=1,資產負債_既有債務!F30,35.551)+3.7</f>
        <v>21.817</v>
      </c>
      <c r="G54" s="34" t="n">
        <f aca="false">IF(輸入與假設!$C$146=1,資產負債_既有債務!G30,35.551)+3.7</f>
        <v>18.596</v>
      </c>
      <c r="I54" s="7" t="s">
        <v>801</v>
      </c>
    </row>
    <row r="55" customFormat="false" ht="15" hidden="false" customHeight="false" outlineLevel="1" collapsed="false">
      <c r="A55" s="3" t="s">
        <v>802</v>
      </c>
      <c r="B55" s="12" t="s">
        <v>93</v>
      </c>
      <c r="C55" s="34" t="n">
        <f aca="false">輸入與假設!$C$147*C53</f>
        <v>115.50825</v>
      </c>
      <c r="D55" s="34" t="n">
        <f aca="false">輸入與假設!$C$147*D53</f>
        <v>89.12475</v>
      </c>
      <c r="E55" s="34" t="n">
        <f aca="false">輸入與假設!$C$147*E53</f>
        <v>99.902412</v>
      </c>
      <c r="F55" s="34" t="n">
        <f aca="false">輸入與假設!$C$147*F53</f>
        <v>87.0282285</v>
      </c>
      <c r="G55" s="34" t="n">
        <f aca="false">輸入與假設!$C$147*G53</f>
        <v>90.985956</v>
      </c>
    </row>
    <row r="56" customFormat="false" ht="15" hidden="false" customHeight="false" outlineLevel="1" collapsed="false">
      <c r="A56" s="3" t="s">
        <v>803</v>
      </c>
      <c r="B56" s="12" t="s">
        <v>93</v>
      </c>
      <c r="C56" s="34" t="n">
        <f aca="false">IF(輸入與假設!$C$145=1,輸入與假設!$C$144,0)</f>
        <v>10</v>
      </c>
      <c r="D56" s="34" t="n">
        <f aca="false">C68</f>
        <v>0</v>
      </c>
      <c r="E56" s="34" t="n">
        <f aca="false">D68</f>
        <v>0</v>
      </c>
      <c r="F56" s="34" t="n">
        <f aca="false">E68</f>
        <v>0</v>
      </c>
      <c r="G56" s="34" t="n">
        <f aca="false">F68</f>
        <v>0</v>
      </c>
    </row>
    <row r="57" customFormat="false" ht="15" hidden="false" customHeight="false" outlineLevel="1" collapsed="false">
      <c r="A57" s="3" t="s">
        <v>804</v>
      </c>
      <c r="B57" s="12" t="s">
        <v>93</v>
      </c>
      <c r="C57" s="34" t="n">
        <f aca="false">MAX(0,C55-(C54+C45),C56)</f>
        <v>80.67025</v>
      </c>
      <c r="D57" s="34" t="n">
        <f aca="false">MAX(0,D55-(D54+D45),D56)</f>
        <v>47.0109582154246</v>
      </c>
      <c r="E57" s="34" t="n">
        <f aca="false">MAX(0,E55-(E54+E45),E56)</f>
        <v>25.0017772183503</v>
      </c>
      <c r="F57" s="34" t="n">
        <f aca="false">MAX(0,F55-(F54+F45),F56)</f>
        <v>0</v>
      </c>
      <c r="G57" s="34" t="n">
        <f aca="false">MAX(0,G55-(G54+G45),G56)</f>
        <v>0.524924516319189</v>
      </c>
      <c r="I57" s="7" t="s">
        <v>805</v>
      </c>
    </row>
    <row r="58" customFormat="false" ht="15" hidden="false" customHeight="false" outlineLevel="1" collapsed="false">
      <c r="A58" s="2" t="s">
        <v>806</v>
      </c>
      <c r="B58" s="12" t="s">
        <v>93</v>
      </c>
      <c r="C58" s="39" t="n">
        <f aca="false">MIN(C57,C50/(1-C46))</f>
        <v>13.4597917845754</v>
      </c>
      <c r="D58" s="39" t="n">
        <f aca="false">MIN(D57,D50/(1-D46))</f>
        <v>37.2028429970743</v>
      </c>
      <c r="E58" s="39" t="n">
        <f aca="false">MIN(E57,E50/(1-E46))</f>
        <v>21.2023967020311</v>
      </c>
      <c r="F58" s="39" t="n">
        <f aca="false">MIN(F57,F50/(1-F46))</f>
        <v>0</v>
      </c>
      <c r="G58" s="39" t="n">
        <f aca="false">MIN(G57,G50/(1-G46))</f>
        <v>0.524924516319189</v>
      </c>
      <c r="I58" s="7" t="s">
        <v>807</v>
      </c>
    </row>
    <row r="59" customFormat="false" ht="15" hidden="false" customHeight="false" outlineLevel="1" collapsed="false">
      <c r="A59" s="3" t="s">
        <v>808</v>
      </c>
      <c r="B59" s="12" t="s">
        <v>93</v>
      </c>
      <c r="C59" s="34" t="n">
        <f aca="false">MAX(0,C50+C46*C58-C58)</f>
        <v>0</v>
      </c>
      <c r="D59" s="34" t="n">
        <f aca="false">MAX(0,D50+D46*D58-D58)</f>
        <v>0</v>
      </c>
      <c r="E59" s="34" t="n">
        <f aca="false">MAX(0,E50+E46*E58-E58)</f>
        <v>0</v>
      </c>
      <c r="F59" s="34" t="n">
        <f aca="false">MAX(0,F50+F46*F58-F58)</f>
        <v>17.1221675499058</v>
      </c>
      <c r="G59" s="34" t="n">
        <f aca="false">MAX(0,G50+G46*G58-G58)</f>
        <v>19.5689566572251</v>
      </c>
    </row>
    <row r="60" customFormat="false" ht="15" hidden="false" customHeight="false" outlineLevel="1" collapsed="false">
      <c r="A60" s="3" t="s">
        <v>809</v>
      </c>
      <c r="B60" s="12" t="s">
        <v>93</v>
      </c>
      <c r="C60" s="34" t="n">
        <f aca="false">IF(輸入與假設!$C$152&gt;=9,1E+099,輸入與假設!$C$152*輸入與假設!$C$150*輸入與假設!$C$153*運營_產能與收入!C7)</f>
        <v>5.2861245</v>
      </c>
      <c r="D60" s="34" t="n">
        <f aca="false">IF(輸入與假設!$C$152&gt;=9,1E+099,輸入與假設!$C$152*輸入與假設!$C$150*輸入與假設!$C$153*運營_產能與收入!D7)</f>
        <v>10.572249</v>
      </c>
      <c r="E60" s="34" t="n">
        <f aca="false">IF(輸入與假設!$C$152&gt;=9,1E+099,輸入與假設!$C$152*輸入與假設!$C$150*輸入與假設!$C$153*運營_產能與收入!E7)</f>
        <v>10.572249</v>
      </c>
      <c r="F60" s="34" t="n">
        <f aca="false">IF(輸入與假設!$C$152&gt;=9,1E+099,輸入與假設!$C$152*輸入與假設!$C$150*輸入與假設!$C$153*運營_產能與收入!F7)</f>
        <v>10.572249</v>
      </c>
      <c r="G60" s="34" t="n">
        <f aca="false">IF(輸入與假設!$C$152&gt;=9,1E+099,輸入與假設!$C$152*輸入與假設!$C$150*輸入與假設!$C$153*運營_產能與收入!G7)</f>
        <v>10.572249</v>
      </c>
      <c r="I60" s="7" t="s">
        <v>810</v>
      </c>
    </row>
    <row r="61" customFormat="false" ht="15" hidden="false" customHeight="false" outlineLevel="1" collapsed="false">
      <c r="A61" s="2" t="s">
        <v>811</v>
      </c>
      <c r="B61" s="12" t="s">
        <v>93</v>
      </c>
      <c r="C61" s="39" t="n">
        <f aca="false">MIN(C59,C60)</f>
        <v>0</v>
      </c>
      <c r="D61" s="39" t="n">
        <f aca="false">MIN(D59,D60)</f>
        <v>0</v>
      </c>
      <c r="E61" s="39" t="n">
        <f aca="false">MIN(E59,E60)</f>
        <v>0</v>
      </c>
      <c r="F61" s="39" t="n">
        <f aca="false">MIN(F59,F60)</f>
        <v>10.572249</v>
      </c>
      <c r="G61" s="39" t="n">
        <f aca="false">MIN(G59,G60)</f>
        <v>10.572249</v>
      </c>
    </row>
    <row r="62" customFormat="false" ht="15" hidden="false" customHeight="false" outlineLevel="1" collapsed="false">
      <c r="A62" s="2" t="s">
        <v>812</v>
      </c>
      <c r="B62" s="12" t="s">
        <v>93</v>
      </c>
      <c r="C62" s="39" t="n">
        <f aca="false">(C59-C61)/(1-C48)</f>
        <v>0</v>
      </c>
      <c r="D62" s="39" t="n">
        <f aca="false">(D59-D61)/(1-D48)</f>
        <v>0</v>
      </c>
      <c r="E62" s="39" t="n">
        <f aca="false">(E59-E61)/(1-E48)</f>
        <v>0</v>
      </c>
      <c r="F62" s="39" t="n">
        <f aca="false">(F59-F61)/(1-F48)</f>
        <v>7.44308926125659</v>
      </c>
      <c r="G62" s="39" t="n">
        <f aca="false">(G59-G61)/(1-G48)</f>
        <v>10.2235314286648</v>
      </c>
    </row>
    <row r="63" customFormat="false" ht="15" hidden="false" customHeight="false" outlineLevel="1" collapsed="false">
      <c r="A63" s="3" t="s">
        <v>813</v>
      </c>
      <c r="B63" s="12" t="s">
        <v>93</v>
      </c>
      <c r="C63" s="34" t="n">
        <f aca="false">C46*(C45+C58)+C48*(C47+C62)</f>
        <v>0.605690630305894</v>
      </c>
      <c r="D63" s="34" t="n">
        <f aca="false">D46*(D45+D58)+D48*(D47+D62)</f>
        <v>4.55963713034847</v>
      </c>
      <c r="E63" s="34" t="n">
        <f aca="false">E46*(E45+E58)+E48*(E47+E62)</f>
        <v>6.46785283353127</v>
      </c>
      <c r="F63" s="34" t="n">
        <f aca="false">F46*(F45+F58)+F48*(F47+F62)</f>
        <v>7.36102354488207</v>
      </c>
      <c r="G63" s="34" t="n">
        <f aca="false">G46*(G45+G58)+G48*(G47+G62)</f>
        <v>8.63509052279057</v>
      </c>
    </row>
    <row r="64" customFormat="false" ht="15" hidden="false" customHeight="false" outlineLevel="1" collapsed="false">
      <c r="A64" s="3" t="s">
        <v>814</v>
      </c>
      <c r="B64" s="12" t="s">
        <v>74</v>
      </c>
      <c r="C64" s="54" t="n">
        <f aca="false">輸入與假設!$C$150*(1-輸入與假設!$C$151)</f>
        <v>81.117</v>
      </c>
      <c r="D64" s="54" t="n">
        <f aca="false">輸入與假設!$C$150*(1-輸入與假設!$C$151)</f>
        <v>81.117</v>
      </c>
      <c r="E64" s="54" t="n">
        <f aca="false">輸入與假設!$C$150*(1-輸入與假設!$C$151)</f>
        <v>81.117</v>
      </c>
      <c r="F64" s="54" t="n">
        <f aca="false">輸入與假設!$C$150*(1-輸入與假設!$C$151)</f>
        <v>81.117</v>
      </c>
      <c r="G64" s="54" t="n">
        <f aca="false">輸入與假設!$C$150*(1-輸入與假設!$C$151)</f>
        <v>81.117</v>
      </c>
    </row>
    <row r="65" customFormat="false" ht="15" hidden="false" customHeight="false" outlineLevel="1" collapsed="false">
      <c r="A65" s="3" t="s">
        <v>815</v>
      </c>
      <c r="B65" s="12" t="s">
        <v>430</v>
      </c>
      <c r="C65" s="55" t="n">
        <f aca="false">C61/C64</f>
        <v>0</v>
      </c>
      <c r="D65" s="55" t="n">
        <f aca="false">D61/D64</f>
        <v>0</v>
      </c>
      <c r="E65" s="55" t="n">
        <f aca="false">E61/E64</f>
        <v>0</v>
      </c>
      <c r="F65" s="55" t="n">
        <f aca="false">F61/F64</f>
        <v>0.130333333333333</v>
      </c>
      <c r="G65" s="55" t="n">
        <f aca="false">G61/G64</f>
        <v>0.130333333333333</v>
      </c>
    </row>
    <row r="66" customFormat="false" ht="15" hidden="false" customHeight="false" outlineLevel="1" collapsed="false">
      <c r="A66" s="2" t="s">
        <v>816</v>
      </c>
      <c r="B66" s="12" t="s">
        <v>430</v>
      </c>
      <c r="C66" s="56" t="n">
        <f aca="false">C65</f>
        <v>0</v>
      </c>
      <c r="D66" s="56" t="n">
        <f aca="false">C66+D65</f>
        <v>0</v>
      </c>
      <c r="E66" s="56" t="n">
        <f aca="false">D66+E65</f>
        <v>0</v>
      </c>
      <c r="F66" s="56" t="n">
        <f aca="false">E66+F65</f>
        <v>0.130333333333333</v>
      </c>
      <c r="G66" s="56" t="n">
        <f aca="false">F66+G65</f>
        <v>0.260666666666667</v>
      </c>
    </row>
    <row r="67" customFormat="false" ht="15" hidden="false" customHeight="false" outlineLevel="1" collapsed="false">
      <c r="A67" s="3" t="s">
        <v>817</v>
      </c>
      <c r="B67" s="12" t="s">
        <v>93</v>
      </c>
      <c r="C67" s="34" t="n">
        <f aca="false">C45+C58</f>
        <v>13.4597917845754</v>
      </c>
      <c r="D67" s="34" t="n">
        <f aca="false">D45+D58</f>
        <v>50.6626347816497</v>
      </c>
      <c r="E67" s="34" t="n">
        <f aca="false">E45+E58</f>
        <v>71.8650314836808</v>
      </c>
      <c r="F67" s="34" t="n">
        <f aca="false">F45+F58</f>
        <v>71.8650314836808</v>
      </c>
      <c r="G67" s="34" t="n">
        <f aca="false">G45+G58</f>
        <v>72.389956</v>
      </c>
    </row>
    <row r="68" customFormat="false" ht="15" hidden="false" customHeight="false" outlineLevel="1" collapsed="false">
      <c r="A68" s="3" t="s">
        <v>818</v>
      </c>
      <c r="B68" s="12" t="s">
        <v>93</v>
      </c>
      <c r="C68" s="34" t="n">
        <f aca="false">C56-MIN(C56,C58)</f>
        <v>0</v>
      </c>
      <c r="D68" s="34" t="n">
        <f aca="false">D56-MIN(D56,D58)</f>
        <v>0</v>
      </c>
      <c r="E68" s="34" t="n">
        <f aca="false">E56-MIN(E56,E58)</f>
        <v>0</v>
      </c>
      <c r="F68" s="34" t="n">
        <f aca="false">F56-MIN(F56,F58)</f>
        <v>0</v>
      </c>
      <c r="G68" s="34" t="n">
        <f aca="false">G56-MIN(G56,G58)</f>
        <v>0</v>
      </c>
    </row>
    <row r="69" customFormat="false" ht="15" hidden="false" customHeight="false" outlineLevel="1" collapsed="false">
      <c r="A69" s="3" t="s">
        <v>819</v>
      </c>
      <c r="B69" s="12" t="s">
        <v>93</v>
      </c>
      <c r="C69" s="34" t="n">
        <f aca="false">C47+C62</f>
        <v>0</v>
      </c>
      <c r="D69" s="34" t="n">
        <f aca="false">D47+D62</f>
        <v>0</v>
      </c>
      <c r="E69" s="34" t="n">
        <f aca="false">E47+E62</f>
        <v>0</v>
      </c>
      <c r="F69" s="34" t="n">
        <f aca="false">F47+F62</f>
        <v>7.44308926125659</v>
      </c>
      <c r="G69" s="34" t="n">
        <f aca="false">G47+G62</f>
        <v>17.6666206899214</v>
      </c>
    </row>
    <row r="70" customFormat="false" ht="15" hidden="false" customHeight="false" outlineLevel="1" collapsed="false">
      <c r="A70" s="2" t="s">
        <v>820</v>
      </c>
      <c r="B70" s="12" t="s">
        <v>93</v>
      </c>
      <c r="C70" s="39" t="n">
        <f aca="false">C54+C67+C69</f>
        <v>48.2977917845754</v>
      </c>
      <c r="D70" s="39" t="n">
        <f aca="false">D54+D67+D69</f>
        <v>79.3166347816497</v>
      </c>
      <c r="E70" s="39" t="n">
        <f aca="false">E54+E67+E69</f>
        <v>96.1030314836808</v>
      </c>
      <c r="F70" s="39" t="n">
        <f aca="false">F54+F67+F69</f>
        <v>101.125120744937</v>
      </c>
      <c r="G70" s="39" t="n">
        <f aca="false">G54+G67+G69</f>
        <v>108.652576689921</v>
      </c>
    </row>
    <row r="71" customFormat="false" ht="15" hidden="false" customHeight="false" outlineLevel="1" collapsed="false">
      <c r="A71" s="2" t="s">
        <v>821</v>
      </c>
      <c r="B71" s="12" t="s">
        <v>93</v>
      </c>
      <c r="C71" s="39" t="n">
        <f aca="false">C14+C30+C31+C32+C38-C44</f>
        <v>-10.8541011542695</v>
      </c>
      <c r="D71" s="39" t="n">
        <f aca="false">C71+D30+D31-D44</f>
        <v>-43.4973070209953</v>
      </c>
      <c r="E71" s="39" t="n">
        <f aca="false">D71+E30+E31-E44</f>
        <v>-58.2318508894952</v>
      </c>
      <c r="F71" s="39" t="n">
        <f aca="false">E71+F30+F31-F44</f>
        <v>-68.8861656058697</v>
      </c>
      <c r="G71" s="39" t="n">
        <f aca="false">F71+G30+G31-G44</f>
        <v>-81.5717800280631</v>
      </c>
      <c r="I71" s="7" t="s">
        <v>822</v>
      </c>
    </row>
    <row r="73" customFormat="false" ht="15" hidden="false" customHeight="false" outlineLevel="0" collapsed="true">
      <c r="A73" s="51" t="s">
        <v>823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824</v>
      </c>
      <c r="C74" s="57" t="n">
        <f aca="false">輸入與假設!$C$212</f>
        <v>3.127</v>
      </c>
    </row>
    <row r="75" customFormat="false" ht="15" hidden="true" customHeight="false" outlineLevel="1" collapsed="false">
      <c r="A75" s="3" t="s">
        <v>825</v>
      </c>
      <c r="C75" s="57" t="n">
        <f aca="false">SUM(C39:G39)</f>
        <v>-111.388074689921</v>
      </c>
    </row>
    <row r="76" customFormat="false" ht="15" hidden="true" customHeight="false" outlineLevel="1" collapsed="false">
      <c r="A76" s="3" t="s">
        <v>826</v>
      </c>
      <c r="C76" s="57" t="n">
        <f aca="false">SUM(C31:G31)</f>
        <v>9.182</v>
      </c>
    </row>
    <row r="77" customFormat="false" ht="15" hidden="true" customHeight="false" outlineLevel="1" collapsed="false">
      <c r="A77" s="3" t="s">
        <v>827</v>
      </c>
      <c r="C77" s="57" t="n">
        <f aca="false">SUM(C32:G32)</f>
        <v>16.747</v>
      </c>
    </row>
    <row r="78" customFormat="false" ht="15" hidden="true" customHeight="false" outlineLevel="1" collapsed="false">
      <c r="A78" s="4" t="s">
        <v>828</v>
      </c>
      <c r="C78" s="57" t="n">
        <f aca="false">-SUM(C22:G22)</f>
        <v>-0.492</v>
      </c>
    </row>
    <row r="79" customFormat="false" ht="15" hidden="true" customHeight="false" outlineLevel="1" collapsed="false">
      <c r="A79" s="3" t="s">
        <v>829</v>
      </c>
      <c r="C79" s="57" t="n">
        <f aca="false">SUM(C38:G38)</f>
        <v>-0.502999999999997</v>
      </c>
    </row>
    <row r="80" customFormat="false" ht="15" hidden="true" customHeight="false" outlineLevel="1" collapsed="false">
      <c r="A80" s="3" t="s">
        <v>830</v>
      </c>
      <c r="C80" s="57" t="n">
        <f aca="false">SUM(C33:G33)+SUM(C34:G34)+SUM(C35:G35)</f>
        <v>111.201074689921</v>
      </c>
    </row>
    <row r="81" customFormat="false" ht="15" hidden="true" customHeight="false" outlineLevel="1" collapsed="false">
      <c r="A81" s="3" t="s">
        <v>831</v>
      </c>
      <c r="C81" s="57" t="n">
        <f aca="false">-SUM(C21:G21)</f>
        <v>-25.874</v>
      </c>
    </row>
    <row r="82" customFormat="false" ht="15" hidden="true" customHeight="false" outlineLevel="1" collapsed="false">
      <c r="A82" s="2" t="s">
        <v>832</v>
      </c>
      <c r="C82" s="58" t="n">
        <f aca="false">SUM(C74:C81)</f>
        <v>2.00000000000003</v>
      </c>
    </row>
    <row r="83" customFormat="false" ht="15" hidden="true" customHeight="false" outlineLevel="1" collapsed="false">
      <c r="A83" s="3" t="s">
        <v>833</v>
      </c>
      <c r="C83" s="57" t="n">
        <f aca="false">G41</f>
        <v>1.99999999999999</v>
      </c>
    </row>
    <row r="84" customFormat="false" ht="15" hidden="true" customHeight="false" outlineLevel="1" collapsed="false">
      <c r="A84" s="2" t="s">
        <v>834</v>
      </c>
      <c r="C84" s="57" t="n">
        <f aca="false">C82-C83</f>
        <v>3.81916720471054E-014</v>
      </c>
      <c r="I84" s="7" t="s">
        <v>835</v>
      </c>
    </row>
    <row r="86" customFormat="false" ht="15" hidden="false" customHeight="false" outlineLevel="0" collapsed="true">
      <c r="A86" s="8" t="s">
        <v>836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837</v>
      </c>
      <c r="C87" s="11" t="n">
        <f aca="false">運營_產能與收入!C27</f>
        <v>13.066</v>
      </c>
      <c r="I87" s="7" t="s">
        <v>838</v>
      </c>
    </row>
    <row r="88" customFormat="false" ht="15" hidden="true" customHeight="false" outlineLevel="1" collapsed="false">
      <c r="A88" s="4" t="s">
        <v>839</v>
      </c>
      <c r="C88" s="11" t="n">
        <f aca="false">C6</f>
        <v>37.800888825</v>
      </c>
      <c r="I88" s="7" t="s">
        <v>840</v>
      </c>
    </row>
    <row r="89" customFormat="false" ht="15" hidden="true" customHeight="false" outlineLevel="1" collapsed="false">
      <c r="A89" s="4" t="s">
        <v>841</v>
      </c>
      <c r="C89" s="11" t="n">
        <f aca="false">輸入與假設!$C$221+輸入與假設!C$162+C16</f>
        <v>3.58758691725985</v>
      </c>
      <c r="I89" s="12" t="s">
        <v>842</v>
      </c>
    </row>
    <row r="90" customFormat="false" ht="15" hidden="true" customHeight="false" outlineLevel="1" collapsed="false">
      <c r="A90" s="4" t="s">
        <v>843</v>
      </c>
      <c r="C90" s="11" t="n">
        <f aca="false">輸入與假設!$C$222+C12</f>
        <v>2.088</v>
      </c>
      <c r="I90" s="12" t="s">
        <v>844</v>
      </c>
    </row>
    <row r="91" customFormat="false" ht="15" hidden="true" customHeight="false" outlineLevel="1" collapsed="false">
      <c r="A91" s="4" t="s">
        <v>845</v>
      </c>
      <c r="C91" s="11" t="n">
        <f aca="false">C21</f>
        <v>9.632</v>
      </c>
      <c r="I91" s="12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847</v>
      </c>
    </row>
    <row r="2" customFormat="false" ht="15" hidden="false" customHeight="false" outlineLevel="0" collapsed="false">
      <c r="A2" s="7" t="s">
        <v>848</v>
      </c>
    </row>
    <row r="4" customFormat="false" ht="15" hidden="false" customHeight="false" outlineLevel="0" collapsed="false">
      <c r="A4" s="8" t="s">
        <v>849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850</v>
      </c>
      <c r="B5" s="15" t="s">
        <v>88</v>
      </c>
      <c r="C5" s="15" t="s">
        <v>851</v>
      </c>
      <c r="D5" s="15" t="s">
        <v>852</v>
      </c>
      <c r="E5" s="15" t="s">
        <v>853</v>
      </c>
      <c r="F5" s="15" t="s">
        <v>854</v>
      </c>
      <c r="G5" s="15" t="s">
        <v>855</v>
      </c>
      <c r="H5" s="15" t="s">
        <v>856</v>
      </c>
      <c r="I5" s="15" t="s">
        <v>857</v>
      </c>
      <c r="J5" s="15" t="s">
        <v>858</v>
      </c>
      <c r="K5" s="15" t="s">
        <v>859</v>
      </c>
      <c r="L5" s="15" t="s">
        <v>860</v>
      </c>
      <c r="M5" s="15" t="s">
        <v>861</v>
      </c>
      <c r="N5" s="15" t="s">
        <v>862</v>
      </c>
      <c r="O5" s="15" t="s">
        <v>858</v>
      </c>
      <c r="P5" s="15" t="s">
        <v>859</v>
      </c>
      <c r="Q5" s="15" t="s">
        <v>863</v>
      </c>
    </row>
    <row r="6" customFormat="false" ht="15" hidden="false" customHeight="false" outlineLevel="1" collapsed="false">
      <c r="A6" s="3" t="s">
        <v>864</v>
      </c>
      <c r="B6" s="12" t="s">
        <v>93</v>
      </c>
      <c r="C6" s="59" t="n">
        <f aca="false">INDEX($C$22:$H$22,輸入與假設!$C$307)</f>
        <v>3.66266666666667</v>
      </c>
      <c r="D6" s="59" t="n">
        <f aca="false">INDEX($C$41:$H$41,輸入與假設!$C$307)</f>
        <v>3.541</v>
      </c>
      <c r="E6" s="60" t="n">
        <f aca="false">INDEX($C$51:$H$51,輸入與假設!$C$307)</f>
        <v>0.0343594088298973</v>
      </c>
      <c r="F6" s="59" t="n">
        <f aca="false">IF(ISNUMBER(INDEX($C$31:$H$31,輸入與假設!$C$307)),INDEX($C$31:$H$31,輸入與假設!$C$307),"不適用")</f>
        <v>3.45</v>
      </c>
      <c r="G6" s="59" t="n">
        <f aca="false">INDEX($C$32:$H$32,輸入與假設!$C$307)</f>
        <v>3.6</v>
      </c>
      <c r="H6" s="60" t="n">
        <f aca="false">INDEX($C$52:$H$52,輸入與假設!$C$307)</f>
        <v>0.0390543735224584</v>
      </c>
      <c r="I6" s="59" t="str">
        <f aca="false">IF(ISNUMBER(INDEX($C$45:$H$45,輸入與假設!$C$307)),INDEX($C$45:$H$45,輸入與假設!$C$307),"待公布")</f>
        <v>待公布</v>
      </c>
      <c r="J6" s="60" t="str">
        <f aca="false">INDEX($C$53:$H$53,輸入與假設!$C$307)</f>
        <v/>
      </c>
      <c r="K6" s="60" t="str">
        <f aca="false">INDEX($C$54:$H$54,輸入與假設!$C$307)</f>
        <v/>
      </c>
      <c r="L6" s="60" t="str">
        <f aca="false">INDEX($C$55:$H$55,輸入與假設!$C$307)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865</v>
      </c>
      <c r="B7" s="12" t="s">
        <v>93</v>
      </c>
      <c r="C7" s="59" t="n">
        <f aca="false">INDEX($C$28:$H$28,輸入與假設!$C$307)</f>
        <v>2.10693598948382</v>
      </c>
      <c r="D7" s="59" t="n">
        <f aca="false">INDEX($C$42:$H$42,輸入與假設!$C$307)</f>
        <v>2.047</v>
      </c>
      <c r="E7" s="59" t="n">
        <f aca="false">INDEX($C$56:$H$56,輸入與假設!$C$307)</f>
        <v>0.0599359894838205</v>
      </c>
      <c r="F7" s="61" t="s">
        <v>866</v>
      </c>
      <c r="G7" s="61" t="s">
        <v>866</v>
      </c>
      <c r="H7" s="59" t="str">
        <f aca="false">INDEX($C$57:$H$57,輸入與假設!$C$307)</f>
        <v>不適用</v>
      </c>
      <c r="I7" s="59" t="str">
        <f aca="false">IF(ISNUMBER(INDEX($C$46:$H$46,輸入與假設!$C$307)),INDEX($C$46:$H$46,輸入與假設!$C$307),"待公布")</f>
        <v>待公布</v>
      </c>
      <c r="J7" s="59" t="str">
        <f aca="false">INDEX($C$58:$H$58,輸入與假設!$C$307)</f>
        <v/>
      </c>
      <c r="K7" s="59" t="str">
        <f aca="false">INDEX($C$59:$H$59,輸入與假設!$C$307)</f>
        <v/>
      </c>
      <c r="L7" s="59" t="str">
        <f aca="false">INDEX($C$60:$H$60,輸入與假設!$C$307)</f>
        <v/>
      </c>
      <c r="M7" s="60" t="n">
        <f aca="false">INDEX($C$61:$H$61,輸入與假設!$C$307)</f>
        <v>-0.00283883883991065</v>
      </c>
      <c r="N7" s="60" t="str">
        <f aca="false">INDEX($C$62:$H$62,輸入與假設!$C$307)</f>
        <v>不適用</v>
      </c>
      <c r="O7" s="60" t="str">
        <f aca="false">INDEX($C$63:$H$63,輸入與假設!$C$307)</f>
        <v/>
      </c>
      <c r="P7" s="60" t="str">
        <f aca="false">INDEX($C$64:$H$64,輸入與假設!$C$307)</f>
        <v/>
      </c>
      <c r="Q7" s="60" t="str">
        <f aca="false">INDEX($C$65:$H$65,輸入與假設!$C$307)</f>
        <v/>
      </c>
    </row>
    <row r="8" customFormat="false" ht="15" hidden="false" customHeight="false" outlineLevel="1" collapsed="false">
      <c r="A8" s="3" t="s">
        <v>867</v>
      </c>
      <c r="B8" s="12" t="s">
        <v>77</v>
      </c>
      <c r="C8" s="60" t="n">
        <f aca="false">INDEX($C$27:$H$27,輸入與假設!$C$307)</f>
        <v>0.575246447802281</v>
      </c>
      <c r="D8" s="60" t="n">
        <f aca="false">INDEX($C$43:$H$43,輸入與假設!$C$307)</f>
        <v>0.578085286642192</v>
      </c>
      <c r="E8" s="60" t="n">
        <f aca="false">INDEX($C$66:$H$66,輸入與假設!$C$307)</f>
        <v>-0.00283883883991065</v>
      </c>
      <c r="F8" s="62" t="s">
        <v>866</v>
      </c>
      <c r="G8" s="62" t="s">
        <v>866</v>
      </c>
      <c r="H8" s="60" t="str">
        <f aca="false">INDEX($C$67:$H$67,輸入與假設!$C$307)</f>
        <v>不適用</v>
      </c>
      <c r="I8" s="60" t="str">
        <f aca="false">IF(ISNUMBER(INDEX($C$47:$H$47,輸入與假設!$C$307)),INDEX($C$47:$H$47,輸入與假設!$C$307),"待公布")</f>
        <v>待公布</v>
      </c>
      <c r="J8" s="60" t="str">
        <f aca="false">INDEX($C$68:$H$68,輸入與假設!$C$307)</f>
        <v/>
      </c>
      <c r="K8" s="60" t="str">
        <f aca="false">INDEX($C$69:$H$69,輸入與假設!$C$307)</f>
        <v/>
      </c>
      <c r="L8" s="60" t="str">
        <f aca="false">INDEX($C$70:$H$70,輸入與假設!$C$307)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868</v>
      </c>
      <c r="B9" s="12" t="s">
        <v>93</v>
      </c>
      <c r="C9" s="59" t="n">
        <f aca="false">INDEX($C$30:$H$30,輸入與假設!$C$307)</f>
        <v>-0.0660420191099291</v>
      </c>
      <c r="D9" s="61" t="s">
        <v>866</v>
      </c>
      <c r="E9" s="59" t="str">
        <f aca="false">INDEX($C$71:$H$71,輸入與假設!$C$307)</f>
        <v>不適用</v>
      </c>
      <c r="F9" s="59" t="n">
        <f aca="false">IF(ISNUMBER(INDEX($C$33:$H$33,輸入與假設!$C$307)),INDEX($C$33:$H$33,輸入與假設!$C$307),IF(INDEX($C$35:$H$35,輸入與假設!$C$307)&lt;&gt;"",INDEX($C$35:$H$35,輸入與假設!$C$307),"不適用"))</f>
        <v>0.2</v>
      </c>
      <c r="G9" s="59" t="n">
        <f aca="false">INDEX($C$34:$H$34,輸入與假設!$C$307)</f>
        <v>0.26</v>
      </c>
      <c r="H9" s="59" t="n">
        <f aca="false">INDEX($C$72:$H$72,輸入與假設!$C$307)</f>
        <v>-0.296042019109929</v>
      </c>
      <c r="I9" s="59" t="str">
        <f aca="false">IF(ISNUMBER(INDEX($C$48:$H$48,輸入與假設!$C$307)),INDEX($C$48:$H$48,輸入與假設!$C$307),"待公布")</f>
        <v>待公布</v>
      </c>
      <c r="J9" s="59" t="str">
        <f aca="false">INDEX($C$73:$H$73,輸入與假設!$C$307)</f>
        <v/>
      </c>
      <c r="K9" s="59" t="str">
        <f aca="false">INDEX($C$74:$H$74,輸入與假設!$C$307)</f>
        <v/>
      </c>
      <c r="L9" s="59" t="str">
        <f aca="false">INDEX($C$75:$H$75,輸入與假設!$C$307)</f>
        <v/>
      </c>
      <c r="M9" s="60" t="str">
        <f aca="false">INDEX($C$76:$H$76,輸入與假設!$C$307)</f>
        <v>不適用</v>
      </c>
      <c r="N9" s="60" t="n">
        <f aca="false">INDEX($C$77:$H$77,輸入與假設!$C$307)</f>
        <v>-0.0832793570313327</v>
      </c>
      <c r="O9" s="60" t="str">
        <f aca="false">INDEX($C$78:$H$78,輸入與假設!$C$307)</f>
        <v/>
      </c>
      <c r="P9" s="60" t="str">
        <f aca="false">INDEX($C$79:$H$79,輸入與假設!$C$307)</f>
        <v/>
      </c>
      <c r="Q9" s="60" t="str">
        <f aca="false">INDEX($C$80:$H$80,輸入與假設!$C$307)</f>
        <v/>
      </c>
    </row>
    <row r="10" customFormat="false" ht="15" hidden="false" customHeight="false" outlineLevel="1" collapsed="false">
      <c r="A10" s="3" t="s">
        <v>869</v>
      </c>
      <c r="B10" s="12" t="s">
        <v>93</v>
      </c>
      <c r="C10" s="59" t="n">
        <f aca="false">INDEX($C$40:$H$40,輸入與假設!$C$307)</f>
        <v>12.5</v>
      </c>
      <c r="D10" s="61" t="s">
        <v>866</v>
      </c>
      <c r="E10" s="60" t="str">
        <f aca="false">INDEX($C$81:$H$81,輸入與假設!$C$307)</f>
        <v>不適用</v>
      </c>
      <c r="F10" s="59" t="n">
        <f aca="false">IF(ISNUMBER(INDEX($C$36:$H$36,輸入與假設!$C$307)),INDEX($C$36:$H$36,輸入與假設!$C$307),"不適用")</f>
        <v>11.5</v>
      </c>
      <c r="G10" s="59" t="n">
        <f aca="false">INDEX($C$37:$H$37,輸入與假設!$C$307)</f>
        <v>13.5</v>
      </c>
      <c r="H10" s="60" t="n">
        <f aca="false">INDEX($C$82:$H$82,輸入與假設!$C$307)</f>
        <v>0</v>
      </c>
      <c r="I10" s="59" t="str">
        <f aca="false">IF(ISNUMBER(INDEX($C$49:$H$49,輸入與假設!$C$307)),INDEX($C$49:$H$49,輸入與假設!$C$307),"待公布")</f>
        <v>待公布</v>
      </c>
      <c r="J10" s="60" t="str">
        <f aca="false">INDEX($C$83:$H$83,輸入與假設!$C$307)</f>
        <v/>
      </c>
      <c r="K10" s="60" t="str">
        <f aca="false">INDEX($C$84:$H$84,輸入與假設!$C$307)</f>
        <v/>
      </c>
      <c r="L10" s="60" t="str">
        <f aca="false">INDEX($C$85:$H$85,輸入與假設!$C$307)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870</v>
      </c>
      <c r="B11" s="12" t="s">
        <v>177</v>
      </c>
      <c r="C11" s="63" t="n">
        <f aca="false">INDEX($C$19:$H$19,輸入與假設!$C$307)</f>
        <v>1675</v>
      </c>
      <c r="D11" s="64" t="s">
        <v>866</v>
      </c>
      <c r="E11" s="63" t="str">
        <f aca="false">INDEX($C$86:$H$86,輸入與假設!$C$307)</f>
        <v>不適用</v>
      </c>
      <c r="F11" s="64" t="s">
        <v>866</v>
      </c>
      <c r="G11" s="64" t="s">
        <v>866</v>
      </c>
      <c r="H11" s="63" t="str">
        <f aca="false">INDEX($C$87:$H$87,輸入與假設!$C$307)</f>
        <v>不適用</v>
      </c>
      <c r="I11" s="63" t="str">
        <f aca="false">IF(ISNUMBER(INDEX($C$50:$H$50,輸入與假設!$C$307)),INDEX($C$50:$H$50,輸入與假設!$C$307),"待公布")</f>
        <v>待公布</v>
      </c>
      <c r="J11" s="63" t="str">
        <f aca="false">INDEX($C$88:$H$88,輸入與假設!$C$307)</f>
        <v/>
      </c>
      <c r="K11" s="63" t="str">
        <f aca="false">INDEX($C$89:$H$89,輸入與假設!$C$307)</f>
        <v/>
      </c>
      <c r="L11" s="63" t="str">
        <f aca="false">INDEX($C$90:$H$90,輸入與假設!$C$307)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871</v>
      </c>
      <c r="C12" s="2" t="str">
        <f aca="false">INDEX($C$16:$H$16,輸入與假設!$C$307)</f>
        <v>Q3'26</v>
      </c>
    </row>
    <row r="13" customFormat="false" ht="17.15" hidden="false" customHeight="false" outlineLevel="1" collapsed="false">
      <c r="A13" s="2" t="s">
        <v>872</v>
      </c>
      <c r="C13" s="0" t="str">
        <f aca="false">IF(INDEX($C$133:$H$133,輸入與假設!$C$307)="","無（差距皆在 "&amp;IF(ROUND(ABS(輸入與假設!$C$301)*100,4)=INT(ROUND(ABS(輸入與假設!$C$301)*100,4)),TEXT(ROUND(ABS(輸入與假設!$C$301)*100,4),"0"),TEXT(ROUND(ABS(輸入與假設!$C$301)*100,4),"0.0"))&amp;"%"&amp;" 以內）",INDEX($C$133:$H$133,輸入與假設!$C$307))</f>
        <v>營收 vs 指引中點 +3.9%：觀點（水準 +$0.115bn（2H26 模型 $8.413bn，指引隱含 $8.147bn）；分配 +$0.023bn）；調整後營業利益 vs 指引中點 −$0.30bn／−8.3pt：已知限制（對照指引隱含折舊 1.82（＝共識 EBITDA 2.05 − 指引中點 0.23，Derived），模型折舊 2.17；缺口 −0.30 ≈ 折舊 −0.36 ＋ EBITDA +0.06；待辦 6 修正折舊）</v>
      </c>
    </row>
    <row r="15" customFormat="false" ht="15" hidden="false" customHeight="false" outlineLevel="0" collapsed="true">
      <c r="A15" s="8" t="s">
        <v>873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687</v>
      </c>
      <c r="D16" s="16" t="s">
        <v>688</v>
      </c>
      <c r="E16" s="16" t="s">
        <v>689</v>
      </c>
      <c r="F16" s="16" t="s">
        <v>690</v>
      </c>
      <c r="G16" s="16" t="s">
        <v>691</v>
      </c>
      <c r="H16" s="16" t="s">
        <v>692</v>
      </c>
    </row>
    <row r="17" customFormat="false" ht="15" hidden="true" customHeight="false" outlineLevel="1" collapsed="false">
      <c r="A17" s="3" t="s">
        <v>874</v>
      </c>
      <c r="C17" s="65" t="n">
        <f aca="false">輸入與假設!C$306</f>
        <v>1</v>
      </c>
      <c r="D17" s="65" t="n">
        <f aca="false">輸入與假設!D$306</f>
        <v>1</v>
      </c>
      <c r="E17" s="65" t="n">
        <f aca="false">輸入與假設!E$306</f>
        <v>2</v>
      </c>
      <c r="F17" s="65" t="n">
        <f aca="false">輸入與假設!F$306</f>
        <v>2</v>
      </c>
      <c r="G17" s="65" t="n">
        <f aca="false">輸入與假設!G$306</f>
        <v>2</v>
      </c>
      <c r="H17" s="65" t="n">
        <f aca="false">輸入與假設!H$306</f>
        <v>2</v>
      </c>
      <c r="J17" s="12" t="s">
        <v>875</v>
      </c>
    </row>
    <row r="18" customFormat="false" ht="15" hidden="true" customHeight="false" outlineLevel="1" collapsed="false">
      <c r="A18" s="3" t="s">
        <v>876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877</v>
      </c>
    </row>
    <row r="19" customFormat="false" ht="15" hidden="true" customHeight="false" outlineLevel="1" collapsed="false">
      <c r="A19" s="3" t="s">
        <v>878</v>
      </c>
      <c r="B19" s="12" t="s">
        <v>177</v>
      </c>
      <c r="C19" s="29" t="n">
        <f aca="false">輸入與假設!$C$309+(輸入與假設!C$26-輸入與假設!$C$309)*1/2</f>
        <v>1675</v>
      </c>
      <c r="D19" s="29" t="n">
        <f aca="false">輸入與假設!$C$309+(輸入與假設!C$26-輸入與假設!$C$309)*2/2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879</v>
      </c>
    </row>
    <row r="20" customFormat="false" ht="15" hidden="true" customHeight="false" outlineLevel="1" collapsed="false">
      <c r="A20" s="3" t="s">
        <v>880</v>
      </c>
      <c r="B20" s="12" t="s">
        <v>177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881</v>
      </c>
    </row>
    <row r="21" customFormat="false" ht="15" hidden="true" customHeight="false" outlineLevel="1" collapsed="false">
      <c r="A21" s="3" t="s">
        <v>882</v>
      </c>
      <c r="B21" s="12" t="s">
        <v>177</v>
      </c>
      <c r="C21" s="29" t="n">
        <f aca="false">C19-輸入與假設!$C$309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883</v>
      </c>
    </row>
    <row r="22" customFormat="false" ht="15" hidden="true" customHeight="false" outlineLevel="1" collapsed="false">
      <c r="A22" s="3" t="s">
        <v>884</v>
      </c>
      <c r="B22" s="12" t="s">
        <v>93</v>
      </c>
      <c r="C22" s="34" t="n">
        <f aca="false">輸入與假設!$C$308+1*(損益!C8-2*輸入與假設!$C$308)/3</f>
        <v>3.66266666666667</v>
      </c>
      <c r="D22" s="34" t="n">
        <f aca="false">輸入與假設!$C$308+2*(損益!C8-2*輸入與假設!$C$308)/3</f>
        <v>4.75033333333333</v>
      </c>
      <c r="E22" s="34" t="n">
        <f aca="false">損益!D8*E20/(E20+F20+G20+H20)</f>
        <v>5.25389945652174</v>
      </c>
      <c r="F22" s="34" t="n">
        <f aca="false">損益!D8*F20/(E20+F20+G20+H20)</f>
        <v>6.10588315217391</v>
      </c>
      <c r="G22" s="34" t="n">
        <f aca="false">損益!D8*G20/(E20+F20+G20+H20)</f>
        <v>6.95786684782609</v>
      </c>
      <c r="H22" s="34" t="n">
        <f aca="false">損益!D8*H20/(E20+F20+G20+H20)</f>
        <v>7.80985054347826</v>
      </c>
      <c r="J22" s="7" t="s">
        <v>885</v>
      </c>
    </row>
    <row r="23" customFormat="false" ht="15" hidden="true" customHeight="false" outlineLevel="1" collapsed="false">
      <c r="A23" s="4" t="s">
        <v>886</v>
      </c>
      <c r="C23" s="59" t="n">
        <f aca="false">C22+D22</f>
        <v>8.413</v>
      </c>
      <c r="D23" s="59" t="n">
        <f aca="false">E22+F22+G22+H22</f>
        <v>26.1275</v>
      </c>
      <c r="J23" s="7" t="s">
        <v>887</v>
      </c>
    </row>
    <row r="24" customFormat="false" ht="15" hidden="true" customHeight="false" outlineLevel="1" collapsed="false">
      <c r="A24" s="4" t="s">
        <v>888</v>
      </c>
      <c r="C24" s="59" t="n">
        <f aca="false">C22*C18+D22*D18</f>
        <v>13.1633333333333</v>
      </c>
      <c r="D24" s="59" t="n">
        <f aca="false">E22*E18+F22*F18+G22*G18+H22*H18</f>
        <v>121.833668478261</v>
      </c>
      <c r="J24" s="7" t="s">
        <v>887</v>
      </c>
    </row>
    <row r="25" customFormat="false" ht="15" hidden="true" customHeight="false" outlineLevel="1" collapsed="false">
      <c r="A25" s="4" t="s">
        <v>889</v>
      </c>
      <c r="C25" s="59" t="n">
        <f aca="false">損益!C19</f>
        <v>4.85867694596192</v>
      </c>
      <c r="D25" s="59" t="n">
        <f aca="false">損益!D19</f>
        <v>15.4151399217952</v>
      </c>
      <c r="J25" s="7" t="s">
        <v>887</v>
      </c>
    </row>
    <row r="26" customFormat="false" ht="15" hidden="true" customHeight="false" outlineLevel="1" collapsed="false">
      <c r="A26" s="4" t="s">
        <v>890</v>
      </c>
      <c r="C26" s="66" t="n">
        <f aca="false">(C25*D24-C24*D25)/(C23*D24-C24*D23)</f>
        <v>0.571219660783546</v>
      </c>
      <c r="D26" s="66" t="n">
        <f aca="false">(C23*D25-D23*C25)/(C23*D24-C24*D23)</f>
        <v>0.00402678701873475</v>
      </c>
      <c r="J26" s="7" t="s">
        <v>891</v>
      </c>
    </row>
    <row r="27" customFormat="false" ht="15" hidden="true" customHeight="false" outlineLevel="1" collapsed="false">
      <c r="A27" s="4" t="s">
        <v>892</v>
      </c>
      <c r="B27" s="12" t="s">
        <v>77</v>
      </c>
      <c r="C27" s="31" t="n">
        <f aca="false">$C$26+$D$26*C18</f>
        <v>0.575246447802281</v>
      </c>
      <c r="D27" s="31" t="n">
        <f aca="false">$C$26+$D$26*D18</f>
        <v>0.579273234821016</v>
      </c>
      <c r="E27" s="31" t="n">
        <f aca="false">$C$26+$D$26*E18</f>
        <v>0.58330002183975</v>
      </c>
      <c r="F27" s="31" t="n">
        <f aca="false">$C$26+$D$26*F18</f>
        <v>0.587326808858485</v>
      </c>
      <c r="G27" s="31" t="n">
        <f aca="false">$C$26+$D$26*G18</f>
        <v>0.59135359587722</v>
      </c>
      <c r="H27" s="31" t="n">
        <f aca="false">$C$26+$D$26*H18</f>
        <v>0.595380382895955</v>
      </c>
      <c r="J27" s="7" t="s">
        <v>893</v>
      </c>
    </row>
    <row r="28" customFormat="false" ht="15" hidden="true" customHeight="false" outlineLevel="1" collapsed="false">
      <c r="A28" s="3" t="s">
        <v>894</v>
      </c>
      <c r="B28" s="12" t="s">
        <v>93</v>
      </c>
      <c r="C28" s="34" t="n">
        <f aca="false">C22*C27</f>
        <v>2.10693598948382</v>
      </c>
      <c r="D28" s="34" t="n">
        <f aca="false">D22*D27</f>
        <v>2.7517409564781</v>
      </c>
      <c r="E28" s="34" t="n">
        <f aca="false">E22*E27</f>
        <v>3.06459966773298</v>
      </c>
      <c r="F28" s="34" t="n">
        <f aca="false">F22*F27</f>
        <v>3.58614886702909</v>
      </c>
      <c r="G28" s="34" t="n">
        <f aca="false">G22*G27</f>
        <v>4.11455958009685</v>
      </c>
      <c r="H28" s="34" t="n">
        <f aca="false">H22*H27</f>
        <v>4.64983180693627</v>
      </c>
    </row>
    <row r="29" customFormat="false" ht="15" hidden="true" customHeight="false" outlineLevel="1" collapsed="false">
      <c r="A29" s="3" t="s">
        <v>895</v>
      </c>
      <c r="B29" s="12" t="s">
        <v>93</v>
      </c>
      <c r="C29" s="34" t="n">
        <f aca="false">(輸入與假設!C$135+輸入與假設!C$133*1/4)/輸入與假設!$C$114*輸入與假設!C$24/2</f>
        <v>2.17297800859375</v>
      </c>
      <c r="D29" s="34" t="n">
        <f aca="false">(輸入與假設!C$135+輸入與假設!C$133*3/4)/輸入與假設!$C$114*輸入與假設!C$24/2</f>
        <v>2.62426735911458</v>
      </c>
      <c r="E29" s="34" t="n">
        <f aca="false">(輸入與假設!D$135+輸入與假設!D$133*1/8)/輸入與假設!$C$114*輸入與假設!D$24/4</f>
        <v>3.07022041364583</v>
      </c>
      <c r="F29" s="34" t="n">
        <f aca="false">(輸入與假設!D$135+輸入與假設!D$133*3/8)/輸入與假設!$C$114*輸入與假設!D$24/4</f>
        <v>3.5108371721875</v>
      </c>
      <c r="G29" s="34" t="n">
        <f aca="false">(輸入與假設!D$135+輸入與假設!D$133*5/8)/輸入與假設!$C$114*輸入與假設!D$24/4</f>
        <v>3.95145393072917</v>
      </c>
      <c r="H29" s="34" t="n">
        <f aca="false">(輸入與假設!D$135+輸入與假設!D$133*7/8)/輸入與假設!$C$114*輸入與假設!D$24/4</f>
        <v>4.39207068927083</v>
      </c>
      <c r="J29" s="7" t="s">
        <v>896</v>
      </c>
    </row>
    <row r="30" customFormat="false" ht="15" hidden="true" customHeight="false" outlineLevel="1" collapsed="false">
      <c r="A30" s="3" t="s">
        <v>897</v>
      </c>
      <c r="B30" s="12" t="s">
        <v>93</v>
      </c>
      <c r="C30" s="34" t="n">
        <f aca="false">C28-C29</f>
        <v>-0.0660420191099291</v>
      </c>
      <c r="D30" s="34" t="n">
        <f aca="false">D28-D29</f>
        <v>0.127473597363515</v>
      </c>
      <c r="E30" s="34" t="n">
        <f aca="false">E28-E29</f>
        <v>-0.00562074591285056</v>
      </c>
      <c r="F30" s="34" t="n">
        <f aca="false">F28-F29</f>
        <v>0.075311694841592</v>
      </c>
      <c r="G30" s="34" t="n">
        <f aca="false">G28-G29</f>
        <v>0.163105649367687</v>
      </c>
      <c r="H30" s="34" t="n">
        <f aca="false">H28-H29</f>
        <v>0.257761117665432</v>
      </c>
      <c r="J30" s="7" t="s">
        <v>898</v>
      </c>
    </row>
    <row r="31" customFormat="false" ht="15" hidden="true" customHeight="false" outlineLevel="1" collapsed="false">
      <c r="A31" s="3" t="s">
        <v>899</v>
      </c>
      <c r="B31" s="12" t="s">
        <v>93</v>
      </c>
      <c r="C31" s="34" t="n">
        <f aca="false">IF(ISNUMBER(輸入與假設!C$318),輸入與假設!C$318,"不適用")</f>
        <v>3.45</v>
      </c>
      <c r="D31" s="34" t="str">
        <f aca="false">IF(ISNUMBER(輸入與假設!D$318),輸入與假設!D$318,"不適用")</f>
        <v>不適用</v>
      </c>
      <c r="E31" s="34" t="str">
        <f aca="false">IF(ISNUMBER(輸入與假設!E$318),輸入與假設!E$318,"不適用")</f>
        <v>不適用</v>
      </c>
      <c r="F31" s="34" t="str">
        <f aca="false">IF(ISNUMBER(輸入與假設!F$318),輸入與假設!F$318,"不適用")</f>
        <v>不適用</v>
      </c>
      <c r="G31" s="34" t="str">
        <f aca="false">IF(ISNUMBER(輸入與假設!G$318),輸入與假設!G$318,"不適用")</f>
        <v>不適用</v>
      </c>
      <c r="H31" s="34" t="str">
        <f aca="false">IF(ISNUMBER(輸入與假設!H$318),輸入與假設!H$318,"不適用")</f>
        <v>不適用</v>
      </c>
    </row>
    <row r="32" customFormat="false" ht="15" hidden="true" customHeight="false" outlineLevel="1" collapsed="false">
      <c r="A32" s="3" t="s">
        <v>900</v>
      </c>
      <c r="B32" s="12" t="s">
        <v>93</v>
      </c>
      <c r="C32" s="34" t="n">
        <f aca="false">IF(ISNUMBER(輸入與假設!C$319),輸入與假設!C$319,"不適用")</f>
        <v>3.6</v>
      </c>
      <c r="D32" s="34" t="str">
        <f aca="false">IF(ISNUMBER(輸入與假設!D$319),輸入與假設!D$319,"不適用")</f>
        <v>不適用</v>
      </c>
      <c r="E32" s="34" t="str">
        <f aca="false">IF(ISNUMBER(輸入與假設!E$319),輸入與假設!E$319,"不適用")</f>
        <v>不適用</v>
      </c>
      <c r="F32" s="34" t="str">
        <f aca="false">IF(ISNUMBER(輸入與假設!F$319),輸入與假設!F$319,"不適用")</f>
        <v>不適用</v>
      </c>
      <c r="G32" s="34" t="str">
        <f aca="false">IF(ISNUMBER(輸入與假設!G$319),輸入與假設!G$319,"不適用")</f>
        <v>不適用</v>
      </c>
      <c r="H32" s="34" t="str">
        <f aca="false">IF(ISNUMBER(輸入與假設!H$319),輸入與假設!H$319,"不適用")</f>
        <v>不適用</v>
      </c>
    </row>
    <row r="33" customFormat="false" ht="15" hidden="true" customHeight="false" outlineLevel="1" collapsed="false">
      <c r="A33" s="3" t="s">
        <v>901</v>
      </c>
      <c r="B33" s="12" t="s">
        <v>93</v>
      </c>
      <c r="C33" s="34" t="n">
        <f aca="false">IF(ISNUMBER(輸入與假設!C$320),輸入與假設!C$320,"不適用")</f>
        <v>0.2</v>
      </c>
      <c r="D33" s="34" t="str">
        <f aca="false">IF(ISNUMBER(輸入與假設!D$320),輸入與假設!D$320,"不適用")</f>
        <v>不適用</v>
      </c>
      <c r="E33" s="34" t="str">
        <f aca="false">IF(ISNUMBER(輸入與假設!E$320),輸入與假設!E$320,"不適用")</f>
        <v>不適用</v>
      </c>
      <c r="F33" s="34" t="str">
        <f aca="false">IF(ISNUMBER(輸入與假設!F$320),輸入與假設!F$320,"不適用")</f>
        <v>不適用</v>
      </c>
      <c r="G33" s="34" t="str">
        <f aca="false">IF(ISNUMBER(輸入與假設!G$320),輸入與假設!G$320,"不適用")</f>
        <v>不適用</v>
      </c>
      <c r="H33" s="34" t="str">
        <f aca="false">IF(ISNUMBER(輸入與假設!H$320),輸入與假設!H$320,"不適用")</f>
        <v>不適用</v>
      </c>
    </row>
    <row r="34" customFormat="false" ht="15" hidden="true" customHeight="false" outlineLevel="1" collapsed="false">
      <c r="A34" s="3" t="s">
        <v>902</v>
      </c>
      <c r="B34" s="12" t="s">
        <v>93</v>
      </c>
      <c r="C34" s="34" t="n">
        <f aca="false">IF(ISNUMBER(輸入與假設!C$321),輸入與假設!C$321,"不適用")</f>
        <v>0.26</v>
      </c>
      <c r="D34" s="34" t="str">
        <f aca="false">IF(ISNUMBER(輸入與假設!D$321),輸入與假設!D$321,"不適用")</f>
        <v>不適用</v>
      </c>
      <c r="E34" s="34" t="str">
        <f aca="false">IF(ISNUMBER(輸入與假設!E$321),輸入與假設!E$321,"不適用")</f>
        <v>不適用</v>
      </c>
      <c r="F34" s="34" t="str">
        <f aca="false">IF(ISNUMBER(輸入與假設!F$321),輸入與假設!F$321,"不適用")</f>
        <v>不適用</v>
      </c>
      <c r="G34" s="34" t="str">
        <f aca="false">IF(ISNUMBER(輸入與假設!G$321),輸入與假設!G$321,"不適用")</f>
        <v>不適用</v>
      </c>
      <c r="H34" s="34" t="str">
        <f aca="false">IF(ISNUMBER(輸入與假設!H$321),輸入與假設!H$321,"不適用")</f>
        <v>不適用</v>
      </c>
    </row>
    <row r="35" customFormat="false" ht="15" hidden="true" customHeight="false" outlineLevel="1" collapsed="false">
      <c r="A35" s="3" t="s">
        <v>903</v>
      </c>
      <c r="C35" s="45" t="str">
        <f aca="false">IF(ISTEXT(輸入與假設!C$324),輸入與假設!C$324,"")</f>
        <v/>
      </c>
      <c r="D35" s="45" t="str">
        <f aca="false">IF(ISTEXT(輸入與假設!D$324),輸入與假設!D$324,"")</f>
        <v>調整後營業利益率 low teens</v>
      </c>
      <c r="E35" s="45" t="str">
        <f aca="false">IF(ISTEXT(輸入與假設!E$324),輸入與假設!E$324,"")</f>
        <v/>
      </c>
      <c r="F35" s="45" t="str">
        <f aca="false">IF(ISTEXT(輸入與假設!F$324),輸入與假設!F$324,"")</f>
        <v/>
      </c>
      <c r="G35" s="45" t="str">
        <f aca="false">IF(ISTEXT(輸入與假設!G$324),輸入與假設!G$324,"")</f>
        <v/>
      </c>
      <c r="H35" s="45" t="str">
        <f aca="false">IF(ISTEXT(輸入與假設!H$324),輸入與假設!H$324,"")</f>
        <v/>
      </c>
      <c r="J35" s="7" t="s">
        <v>904</v>
      </c>
    </row>
    <row r="36" customFormat="false" ht="15" hidden="true" customHeight="false" outlineLevel="1" collapsed="false">
      <c r="A36" s="3" t="s">
        <v>905</v>
      </c>
      <c r="B36" s="12" t="s">
        <v>93</v>
      </c>
      <c r="C36" s="34" t="n">
        <f aca="false">IF(ISNUMBER(輸入與假設!C$322),輸入與假設!C$322,"不適用")</f>
        <v>11.5</v>
      </c>
      <c r="D36" s="34" t="str">
        <f aca="false">IF(ISNUMBER(輸入與假設!D$322),輸入與假設!D$322,"不適用")</f>
        <v>不適用</v>
      </c>
      <c r="E36" s="34" t="str">
        <f aca="false">IF(ISNUMBER(輸入與假設!E$322),輸入與假設!E$322,"不適用")</f>
        <v>不適用</v>
      </c>
      <c r="F36" s="34" t="str">
        <f aca="false">IF(ISNUMBER(輸入與假設!F$322),輸入與假設!F$322,"不適用")</f>
        <v>不適用</v>
      </c>
      <c r="G36" s="34" t="str">
        <f aca="false">IF(ISNUMBER(輸入與假設!G$322),輸入與假設!G$322,"不適用")</f>
        <v>不適用</v>
      </c>
      <c r="H36" s="34" t="str">
        <f aca="false">IF(ISNUMBER(輸入與假設!H$322),輸入與假設!H$322,"不適用")</f>
        <v>不適用</v>
      </c>
    </row>
    <row r="37" customFormat="false" ht="15" hidden="true" customHeight="false" outlineLevel="1" collapsed="false">
      <c r="A37" s="3" t="s">
        <v>906</v>
      </c>
      <c r="B37" s="12" t="s">
        <v>93</v>
      </c>
      <c r="C37" s="34" t="n">
        <f aca="false">IF(ISNUMBER(輸入與假設!C$323),輸入與假設!C$323,"不適用")</f>
        <v>13.5</v>
      </c>
      <c r="D37" s="34" t="str">
        <f aca="false">IF(ISNUMBER(輸入與假設!D$323),輸入與假設!D$323,"不適用")</f>
        <v>不適用</v>
      </c>
      <c r="E37" s="34" t="str">
        <f aca="false">IF(ISNUMBER(輸入與假設!E$323),輸入與假設!E$323,"不適用")</f>
        <v>不適用</v>
      </c>
      <c r="F37" s="34" t="str">
        <f aca="false">IF(ISNUMBER(輸入與假設!F$323),輸入與假設!F$323,"不適用")</f>
        <v>不適用</v>
      </c>
      <c r="G37" s="34" t="str">
        <f aca="false">IF(ISNUMBER(輸入與假設!G$323),輸入與假設!G$323,"不適用")</f>
        <v>不適用</v>
      </c>
      <c r="H37" s="34" t="str">
        <f aca="false">IF(ISNUMBER(輸入與假設!H$323),輸入與假設!H$323,"不適用")</f>
        <v>不適用</v>
      </c>
    </row>
    <row r="38" customFormat="false" ht="15" hidden="true" customHeight="false" outlineLevel="1" collapsed="false">
      <c r="A38" s="4" t="s">
        <v>907</v>
      </c>
      <c r="B38" s="12" t="s">
        <v>93</v>
      </c>
      <c r="C38" s="34" t="n">
        <f aca="false">IF(AND(ISNUMBER(C36),ISNUMBER(C37)),((C36+C37)/2),"")</f>
        <v>12.5</v>
      </c>
      <c r="D38" s="34" t="str">
        <f aca="false">IF(AND(ISNUMBER(D36),ISNUMBER(D37)),((D36+D37)/2),"")</f>
        <v/>
      </c>
      <c r="E38" s="34" t="str">
        <f aca="false">IF(AND(ISNUMBER(E36),ISNUMBER(E37)),((E36+E37)/2),"")</f>
        <v/>
      </c>
      <c r="F38" s="34" t="str">
        <f aca="false">IF(AND(ISNUMBER(F36),ISNUMBER(F37)),((F36+F37)/2),"")</f>
        <v/>
      </c>
      <c r="G38" s="34" t="str">
        <f aca="false">IF(AND(ISNUMBER(G36),ISNUMBER(G37)),((G36+G37)/2),"")</f>
        <v/>
      </c>
      <c r="H38" s="34" t="str">
        <f aca="false">IF(AND(ISNUMBER(H36),ISNUMBER(H37)),((H36+H37)/2),"")</f>
        <v/>
      </c>
      <c r="J38" s="7" t="s">
        <v>908</v>
      </c>
    </row>
    <row r="39" customFormat="false" ht="15" hidden="true" customHeight="false" outlineLevel="1" collapsed="false">
      <c r="A39" s="4" t="s">
        <v>909</v>
      </c>
      <c r="B39" s="12" t="s">
        <v>177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910</v>
      </c>
    </row>
    <row r="40" customFormat="false" ht="15" hidden="true" customHeight="false" outlineLevel="1" collapsed="false">
      <c r="A40" s="4" t="s">
        <v>911</v>
      </c>
      <c r="B40" s="12" t="s">
        <v>93</v>
      </c>
      <c r="C40" s="34" t="n">
        <f aca="false">IF(ISNUMBER(C38),C38,IF((C39+D39)&gt;0,(輸入與假設!C$137-SUM(C38,D38))*C39/(C39+D39),(輸入與假設!C$137-SUM(C38,D38))/(2-COUNT(C38,D38))))</f>
        <v>12.5</v>
      </c>
      <c r="D40" s="34" t="n">
        <f aca="false">IF(ISNUMBER(D38),D38,IF((C39+D39)&gt;0,(輸入與假設!C$137-SUM(C38,D38))*D39/(C39+D39),(輸入與假設!C$137-SUM(C38,D38))/(2-COUNT(C38,D38))))</f>
        <v>9.161888825</v>
      </c>
      <c r="E40" s="34" t="n">
        <f aca="false">IF(ISNUMBER(E38),E38,IF((E39+F39+G39+H39)&gt;0,(輸入與假設!D$137-SUM(E38,F38,G38,H38))*E39/(E39+F39+G39+H39),(輸入與假設!D$137-SUM(E38,F38,G38,H38))/(4-COUNT(E38,F38,G38,H38))))</f>
        <v>10.574802205</v>
      </c>
      <c r="F40" s="34" t="n">
        <f aca="false">IF(ISNUMBER(F38),F38,IF((E39+F39+G39+H39)&gt;0,(輸入與假設!D$137-SUM(E38,F38,G38,H38))*F39/(E39+F39+G39+H39),(輸入與假設!D$137-SUM(E38,F38,G38,H38))/(4-COUNT(E38,F38,G38,H38))))</f>
        <v>10.574802205</v>
      </c>
      <c r="G40" s="34" t="n">
        <f aca="false">IF(ISNUMBER(G38),G38,IF((E39+F39+G39+H39)&gt;0,(輸入與假設!D$137-SUM(E38,F38,G38,H38))*G39/(E39+F39+G39+H39),(輸入與假設!D$137-SUM(E38,F38,G38,H38))/(4-COUNT(E38,F38,G38,H38))))</f>
        <v>10.574802205</v>
      </c>
      <c r="H40" s="34" t="n">
        <f aca="false">IF(ISNUMBER(H38),H38,IF((E39+F39+G39+H39)&gt;0,(輸入與假設!D$137-SUM(E38,F38,G38,H38))*H39/(E39+F39+G39+H39),(輸入與假設!D$137-SUM(E38,F38,G38,H38))/(4-COUNT(E38,F38,G38,H38))))</f>
        <v>10.574802205</v>
      </c>
      <c r="J40" s="7" t="s">
        <v>912</v>
      </c>
    </row>
    <row r="41" customFormat="false" ht="15" hidden="true" customHeight="false" outlineLevel="1" collapsed="false">
      <c r="A41" s="3" t="s">
        <v>913</v>
      </c>
      <c r="B41" s="12" t="s">
        <v>93</v>
      </c>
      <c r="C41" s="34" t="n">
        <f aca="false">IF(ISNUMBER(輸入與假設!$C$277),輸入與假設!$C$277,"不適用")</f>
        <v>3.541</v>
      </c>
      <c r="D41" s="34" t="n">
        <f aca="false">IF(ISNUMBER(輸入與假設!$D$277),輸入與假設!$D$277,"不適用")</f>
        <v>4.706</v>
      </c>
      <c r="E41" s="67" t="s">
        <v>866</v>
      </c>
      <c r="F41" s="67" t="s">
        <v>866</v>
      </c>
      <c r="G41" s="67" t="s">
        <v>866</v>
      </c>
      <c r="H41" s="67" t="s">
        <v>866</v>
      </c>
      <c r="J41" s="12" t="s">
        <v>914</v>
      </c>
    </row>
    <row r="42" customFormat="false" ht="15" hidden="true" customHeight="false" outlineLevel="1" collapsed="false">
      <c r="A42" s="3" t="s">
        <v>915</v>
      </c>
      <c r="B42" s="12" t="s">
        <v>93</v>
      </c>
      <c r="C42" s="67" t="n">
        <f aca="false">IF(ISNUMBER(輸入與假設!$C$278),輸入與假設!$C$278,"不適用")</f>
        <v>2.047</v>
      </c>
      <c r="D42" s="67" t="n">
        <f aca="false">IF(ISNUMBER(輸入與假設!$D$278),輸入與假設!$D$278,"不適用")</f>
        <v>2.897</v>
      </c>
      <c r="E42" s="67" t="s">
        <v>866</v>
      </c>
      <c r="F42" s="67" t="s">
        <v>866</v>
      </c>
      <c r="G42" s="67" t="s">
        <v>866</v>
      </c>
      <c r="H42" s="67" t="s">
        <v>866</v>
      </c>
      <c r="J42" s="12" t="s">
        <v>914</v>
      </c>
    </row>
    <row r="43" customFormat="false" ht="15" hidden="true" customHeight="false" outlineLevel="1" collapsed="false">
      <c r="A43" s="3" t="s">
        <v>916</v>
      </c>
      <c r="B43" s="12" t="s">
        <v>77</v>
      </c>
      <c r="C43" s="31" t="n">
        <f aca="false">IF(AND(ISNUMBER(輸入與假設!$C$278),ISNUMBER(輸入與假設!$C$277)),輸入與假設!$C$278/輸入與假設!$C$277,"不適用")</f>
        <v>0.578085286642192</v>
      </c>
      <c r="D43" s="31" t="n">
        <f aca="false">IF(AND(ISNUMBER(輸入與假設!$D$278),ISNUMBER(輸入與假設!$D$277)),輸入與假設!$D$278/輸入與假設!$D$277,"不適用")</f>
        <v>0.615597110072248</v>
      </c>
      <c r="E43" s="68" t="s">
        <v>866</v>
      </c>
      <c r="F43" s="68" t="s">
        <v>866</v>
      </c>
      <c r="G43" s="68" t="s">
        <v>866</v>
      </c>
      <c r="H43" s="68" t="s">
        <v>866</v>
      </c>
      <c r="J43" s="7" t="s">
        <v>917</v>
      </c>
    </row>
    <row r="44" customFormat="false" ht="15" hidden="true" customHeight="false" outlineLevel="1" collapsed="false">
      <c r="A44" s="3" t="s">
        <v>918</v>
      </c>
      <c r="B44" s="12" t="s">
        <v>93</v>
      </c>
      <c r="C44" s="67" t="n">
        <f aca="false">IF(ISNUMBER(輸入與假設!$C$279),輸入與假設!$C$279,"不適用")</f>
        <v>0.2408</v>
      </c>
      <c r="D44" s="67" t="n">
        <f aca="false">IF(ISNUMBER(輸入與假設!$D$279),輸入與假設!$D$279,"不適用")</f>
        <v>0.6805</v>
      </c>
      <c r="E44" s="67" t="s">
        <v>866</v>
      </c>
      <c r="F44" s="67" t="s">
        <v>866</v>
      </c>
      <c r="G44" s="67" t="s">
        <v>866</v>
      </c>
      <c r="H44" s="67" t="s">
        <v>866</v>
      </c>
      <c r="J44" s="7" t="s">
        <v>919</v>
      </c>
    </row>
    <row r="45" customFormat="false" ht="15" hidden="true" customHeight="false" outlineLevel="1" collapsed="false">
      <c r="A45" s="3" t="s">
        <v>920</v>
      </c>
      <c r="B45" s="12" t="s">
        <v>93</v>
      </c>
      <c r="C45" s="42" t="str">
        <f aca="false">IF(ISNUMBER(輸入與假設!C$310),輸入與假設!C$310,"")</f>
        <v/>
      </c>
      <c r="D45" s="42" t="str">
        <f aca="false">IF(ISNUMBER(輸入與假設!D$310),輸入與假設!D$310,"")</f>
        <v/>
      </c>
      <c r="E45" s="42" t="str">
        <f aca="false">IF(ISNUMBER(輸入與假設!E$310),輸入與假設!E$310,"")</f>
        <v/>
      </c>
      <c r="F45" s="42" t="str">
        <f aca="false">IF(ISNUMBER(輸入與假設!F$310),輸入與假設!F$310,"")</f>
        <v/>
      </c>
      <c r="G45" s="42" t="str">
        <f aca="false">IF(ISNUMBER(輸入與假設!G$310),輸入與假設!G$310,"")</f>
        <v/>
      </c>
      <c r="H45" s="42" t="str">
        <f aca="false">IF(ISNUMBER(輸入與假設!H$310),輸入與假設!H$310,"")</f>
        <v/>
      </c>
    </row>
    <row r="46" customFormat="false" ht="15" hidden="true" customHeight="false" outlineLevel="1" collapsed="false">
      <c r="A46" s="3" t="s">
        <v>921</v>
      </c>
      <c r="B46" s="12" t="s">
        <v>93</v>
      </c>
      <c r="C46" s="42" t="str">
        <f aca="false">IF(ISNUMBER(輸入與假設!C$311),輸入與假設!C$311,"")</f>
        <v/>
      </c>
      <c r="D46" s="42" t="str">
        <f aca="false">IF(ISNUMBER(輸入與假設!D$311),輸入與假設!D$311,"")</f>
        <v/>
      </c>
      <c r="E46" s="42" t="str">
        <f aca="false">IF(ISNUMBER(輸入與假設!E$311),輸入與假設!E$311,"")</f>
        <v/>
      </c>
      <c r="F46" s="42" t="str">
        <f aca="false">IF(ISNUMBER(輸入與假設!F$311),輸入與假設!F$311,"")</f>
        <v/>
      </c>
      <c r="G46" s="42" t="str">
        <f aca="false">IF(ISNUMBER(輸入與假設!G$311),輸入與假設!G$311,"")</f>
        <v/>
      </c>
      <c r="H46" s="42" t="str">
        <f aca="false">IF(ISNUMBER(輸入與假設!H$311),輸入與假設!H$311,"")</f>
        <v/>
      </c>
    </row>
    <row r="47" customFormat="false" ht="15" hidden="true" customHeight="false" outlineLevel="1" collapsed="false">
      <c r="A47" s="3" t="s">
        <v>922</v>
      </c>
      <c r="B47" s="12" t="s">
        <v>77</v>
      </c>
      <c r="C47" s="68" t="str">
        <f aca="false">IF(AND(ISNUMBER(輸入與假設!C$311),ISNUMBER(輸入與假設!C$310)),輸入與假設!C$311/輸入與假設!C$310,"")</f>
        <v/>
      </c>
      <c r="D47" s="68" t="str">
        <f aca="false">IF(AND(ISNUMBER(輸入與假設!D$311),ISNUMBER(輸入與假設!D$310)),輸入與假設!D$311/輸入與假設!D$310,"")</f>
        <v/>
      </c>
      <c r="E47" s="68" t="str">
        <f aca="false">IF(AND(ISNUMBER(輸入與假設!E$311),ISNUMBER(輸入與假設!E$310)),輸入與假設!E$311/輸入與假設!E$310,"")</f>
        <v/>
      </c>
      <c r="F47" s="68" t="str">
        <f aca="false">IF(AND(ISNUMBER(輸入與假設!F$311),ISNUMBER(輸入與假設!F$310)),輸入與假設!F$311/輸入與假設!F$310,"")</f>
        <v/>
      </c>
      <c r="G47" s="68" t="str">
        <f aca="false">IF(AND(ISNUMBER(輸入與假設!G$311),ISNUMBER(輸入與假設!G$310)),輸入與假設!G$311/輸入與假設!G$310,"")</f>
        <v/>
      </c>
      <c r="H47" s="68" t="str">
        <f aca="false">IF(AND(ISNUMBER(輸入與假設!H$311),ISNUMBER(輸入與假設!H$310)),輸入與假設!H$311/輸入與假設!H$310,"")</f>
        <v/>
      </c>
      <c r="J47" s="7" t="s">
        <v>923</v>
      </c>
    </row>
    <row r="48" customFormat="false" ht="15" hidden="true" customHeight="false" outlineLevel="1" collapsed="false">
      <c r="A48" s="3" t="s">
        <v>924</v>
      </c>
      <c r="B48" s="12" t="s">
        <v>93</v>
      </c>
      <c r="C48" s="42" t="str">
        <f aca="false">IF(ISNUMBER(輸入與假設!C$312),輸入與假設!C$312,"")</f>
        <v/>
      </c>
      <c r="D48" s="42" t="str">
        <f aca="false">IF(ISNUMBER(輸入與假設!D$312),輸入與假設!D$312,"")</f>
        <v/>
      </c>
      <c r="E48" s="42" t="str">
        <f aca="false">IF(ISNUMBER(輸入與假設!E$312),輸入與假設!E$312,"")</f>
        <v/>
      </c>
      <c r="F48" s="42" t="str">
        <f aca="false">IF(ISNUMBER(輸入與假設!F$312),輸入與假設!F$312,"")</f>
        <v/>
      </c>
      <c r="G48" s="42" t="str">
        <f aca="false">IF(ISNUMBER(輸入與假設!G$312),輸入與假設!G$312,"")</f>
        <v/>
      </c>
      <c r="H48" s="42" t="str">
        <f aca="false">IF(ISNUMBER(輸入與假設!H$312),輸入與假設!H$312,"")</f>
        <v/>
      </c>
    </row>
    <row r="49" customFormat="false" ht="15" hidden="true" customHeight="false" outlineLevel="1" collapsed="false">
      <c r="A49" s="3" t="s">
        <v>925</v>
      </c>
      <c r="B49" s="12" t="s">
        <v>93</v>
      </c>
      <c r="C49" s="42" t="str">
        <f aca="false">IF(ISNUMBER(輸入與假設!C$313),輸入與假設!C$313,"")</f>
        <v/>
      </c>
      <c r="D49" s="42" t="str">
        <f aca="false">IF(ISNUMBER(輸入與假設!D$313),輸入與假設!D$313,"")</f>
        <v/>
      </c>
      <c r="E49" s="42" t="str">
        <f aca="false">IF(ISNUMBER(輸入與假設!E$313),輸入與假設!E$313,"")</f>
        <v/>
      </c>
      <c r="F49" s="42" t="str">
        <f aca="false">IF(ISNUMBER(輸入與假設!F$313),輸入與假設!F$313,"")</f>
        <v/>
      </c>
      <c r="G49" s="42" t="str">
        <f aca="false">IF(ISNUMBER(輸入與假設!G$313),輸入與假設!G$313,"")</f>
        <v/>
      </c>
      <c r="H49" s="42" t="str">
        <f aca="false">IF(ISNUMBER(輸入與假設!H$313),輸入與假設!H$313,"")</f>
        <v/>
      </c>
    </row>
    <row r="50" customFormat="false" ht="15" hidden="true" customHeight="false" outlineLevel="1" collapsed="false">
      <c r="A50" s="3" t="s">
        <v>926</v>
      </c>
      <c r="B50" s="12" t="s">
        <v>177</v>
      </c>
      <c r="C50" s="42" t="str">
        <f aca="false">IF(ISNUMBER(輸入與假設!C$314),輸入與假設!C$314,"")</f>
        <v/>
      </c>
      <c r="D50" s="42" t="str">
        <f aca="false">IF(ISNUMBER(輸入與假設!D$314),輸入與假設!D$314,"")</f>
        <v/>
      </c>
      <c r="E50" s="42" t="str">
        <f aca="false">IF(ISNUMBER(輸入與假設!E$314),輸入與假設!E$314,"")</f>
        <v/>
      </c>
      <c r="F50" s="42" t="str">
        <f aca="false">IF(ISNUMBER(輸入與假設!F$314),輸入與假設!F$314,"")</f>
        <v/>
      </c>
      <c r="G50" s="42" t="str">
        <f aca="false">IF(ISNUMBER(輸入與假設!G$314),輸入與假設!G$314,"")</f>
        <v/>
      </c>
      <c r="H50" s="42" t="str">
        <f aca="false">IF(ISNUMBER(輸入與假設!H$314),輸入與假設!H$314,"")</f>
        <v/>
      </c>
    </row>
    <row r="51" customFormat="false" ht="15" hidden="true" customHeight="false" outlineLevel="1" collapsed="false">
      <c r="A51" s="3" t="s">
        <v>927</v>
      </c>
      <c r="B51" s="12" t="s">
        <v>77</v>
      </c>
      <c r="C51" s="68" t="n">
        <f aca="false">IF(AND(ISNUMBER(C22),ISNUMBER(C41),C41&lt;&gt;0),C22/(C41)-1,"不適用")</f>
        <v>0.0343594088298973</v>
      </c>
      <c r="D51" s="68" t="n">
        <f aca="false">IF(AND(ISNUMBER(D22),ISNUMBER(D41),D41&lt;&gt;0),D22/(D41)-1,"不適用")</f>
        <v>0.00942059781838789</v>
      </c>
      <c r="E51" s="68" t="str">
        <f aca="false">IF(AND(ISNUMBER(E22),ISNUMBER(E41),E41&lt;&gt;0),E22/(E41)-1,"不適用")</f>
        <v>不適用</v>
      </c>
      <c r="F51" s="68" t="str">
        <f aca="false">IF(AND(ISNUMBER(F22),ISNUMBER(F41),F41&lt;&gt;0),F22/(F41)-1,"不適用")</f>
        <v>不適用</v>
      </c>
      <c r="G51" s="68" t="str">
        <f aca="false">IF(AND(ISNUMBER(G22),ISNUMBER(G41),G41&lt;&gt;0),G22/(G41)-1,"不適用")</f>
        <v>不適用</v>
      </c>
      <c r="H51" s="68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928</v>
      </c>
      <c r="B52" s="12" t="s">
        <v>77</v>
      </c>
      <c r="C52" s="68" t="n">
        <f aca="false">IF(AND(ISNUMBER(C22),ISNUMBER(C31),ISNUMBER(C32)),C22/(((C31+C32)/2))-1,"不適用")</f>
        <v>0.0390543735224584</v>
      </c>
      <c r="D52" s="68" t="str">
        <f aca="false">IF(AND(ISNUMBER(D22),ISNUMBER(D31),ISNUMBER(D32)),D22/(((D31+D32)/2))-1,"不適用")</f>
        <v>不適用</v>
      </c>
      <c r="E52" s="68" t="str">
        <f aca="false">IF(AND(ISNUMBER(E22),ISNUMBER(E31),ISNUMBER(E32)),E22/(((E31+E32)/2))-1,"不適用")</f>
        <v>不適用</v>
      </c>
      <c r="F52" s="68" t="str">
        <f aca="false">IF(AND(ISNUMBER(F22),ISNUMBER(F31),ISNUMBER(F32)),F22/(((F31+F32)/2))-1,"不適用")</f>
        <v>不適用</v>
      </c>
      <c r="G52" s="68" t="str">
        <f aca="false">IF(AND(ISNUMBER(G22),ISNUMBER(G31),ISNUMBER(G32)),G22/(((G31+G32)/2))-1,"不適用")</f>
        <v>不適用</v>
      </c>
      <c r="H52" s="68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929</v>
      </c>
      <c r="B53" s="12" t="s">
        <v>77</v>
      </c>
      <c r="C53" s="68" t="str">
        <f aca="false">IF(ISNUMBER(C45),IF(AND(ISNUMBER(C22),C22&lt;&gt;0),C45/(C22)-1,"不適用"),"")</f>
        <v/>
      </c>
      <c r="D53" s="68" t="str">
        <f aca="false">IF(ISNUMBER(D45),IF(AND(ISNUMBER(D22),D22&lt;&gt;0),D45/(D22)-1,"不適用"),"")</f>
        <v/>
      </c>
      <c r="E53" s="68" t="str">
        <f aca="false">IF(ISNUMBER(E45),IF(AND(ISNUMBER(E22),E22&lt;&gt;0),E45/(E22)-1,"不適用"),"")</f>
        <v/>
      </c>
      <c r="F53" s="68" t="str">
        <f aca="false">IF(ISNUMBER(F45),IF(AND(ISNUMBER(F22),F22&lt;&gt;0),F45/(F22)-1,"不適用"),"")</f>
        <v/>
      </c>
      <c r="G53" s="68" t="str">
        <f aca="false">IF(ISNUMBER(G45),IF(AND(ISNUMBER(G22),G22&lt;&gt;0),G45/(G22)-1,"不適用"),"")</f>
        <v/>
      </c>
      <c r="H53" s="68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930</v>
      </c>
      <c r="B54" s="12" t="s">
        <v>77</v>
      </c>
      <c r="C54" s="68" t="str">
        <f aca="false">IF(ISNUMBER(C45),IF(AND(ISNUMBER(C41),C41&lt;&gt;0),C45/(C41)-1,"不適用"),"")</f>
        <v/>
      </c>
      <c r="D54" s="68" t="str">
        <f aca="false">IF(ISNUMBER(D45),IF(AND(ISNUMBER(D41),D41&lt;&gt;0),D45/(D41)-1,"不適用"),"")</f>
        <v/>
      </c>
      <c r="E54" s="68" t="str">
        <f aca="false">IF(ISNUMBER(E45),IF(AND(ISNUMBER(E41),E41&lt;&gt;0),E45/(E41)-1,"不適用"),"")</f>
        <v/>
      </c>
      <c r="F54" s="68" t="str">
        <f aca="false">IF(ISNUMBER(F45),IF(AND(ISNUMBER(F41),F41&lt;&gt;0),F45/(F41)-1,"不適用"),"")</f>
        <v/>
      </c>
      <c r="G54" s="68" t="str">
        <f aca="false">IF(ISNUMBER(G45),IF(AND(ISNUMBER(G41),G41&lt;&gt;0),G45/(G41)-1,"不適用"),"")</f>
        <v/>
      </c>
      <c r="H54" s="68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931</v>
      </c>
      <c r="B55" s="12" t="s">
        <v>77</v>
      </c>
      <c r="C55" s="68" t="str">
        <f aca="false">IF(ISNUMBER(C45),IF(AND(ISNUMBER(C31),ISNUMBER(C32)),C45/(((C31+C32)/2))-1,"不適用"),"")</f>
        <v/>
      </c>
      <c r="D55" s="68" t="str">
        <f aca="false">IF(ISNUMBER(D45),IF(AND(ISNUMBER(D31),ISNUMBER(D32)),D45/(((D31+D32)/2))-1,"不適用"),"")</f>
        <v/>
      </c>
      <c r="E55" s="68" t="str">
        <f aca="false">IF(ISNUMBER(E45),IF(AND(ISNUMBER(E31),ISNUMBER(E32)),E45/(((E31+E32)/2))-1,"不適用"),"")</f>
        <v/>
      </c>
      <c r="F55" s="68" t="str">
        <f aca="false">IF(ISNUMBER(F45),IF(AND(ISNUMBER(F31),ISNUMBER(F32)),F45/(((F31+F32)/2))-1,"不適用"),"")</f>
        <v/>
      </c>
      <c r="G55" s="68" t="str">
        <f aca="false">IF(ISNUMBER(G45),IF(AND(ISNUMBER(G31),ISNUMBER(G32)),G45/(((G31+G32)/2))-1,"不適用"),"")</f>
        <v/>
      </c>
      <c r="H55" s="68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932</v>
      </c>
      <c r="B56" s="12" t="s">
        <v>93</v>
      </c>
      <c r="C56" s="67" t="n">
        <f aca="false">IF(AND(ISNUMBER(C28),ISNUMBER(C42)),C28-(C42),"不適用")</f>
        <v>0.0599359894838205</v>
      </c>
      <c r="D56" s="67" t="n">
        <f aca="false">IF(AND(ISNUMBER(D28),ISNUMBER(D42)),D28-(D42),"不適用")</f>
        <v>-0.145259043521901</v>
      </c>
      <c r="E56" s="67" t="str">
        <f aca="false">IF(AND(ISNUMBER(E28),ISNUMBER(E42)),E28-(E42),"不適用")</f>
        <v>不適用</v>
      </c>
      <c r="F56" s="67" t="str">
        <f aca="false">IF(AND(ISNUMBER(F28),ISNUMBER(F42)),F28-(F42),"不適用")</f>
        <v>不適用</v>
      </c>
      <c r="G56" s="67" t="str">
        <f aca="false">IF(AND(ISNUMBER(G28),ISNUMBER(G42)),G28-(G42),"不適用")</f>
        <v>不適用</v>
      </c>
      <c r="H56" s="67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933</v>
      </c>
      <c r="B57" s="12" t="s">
        <v>93</v>
      </c>
      <c r="C57" s="67" t="s">
        <v>866</v>
      </c>
      <c r="D57" s="67" t="s">
        <v>866</v>
      </c>
      <c r="E57" s="67" t="s">
        <v>866</v>
      </c>
      <c r="F57" s="67" t="s">
        <v>866</v>
      </c>
      <c r="G57" s="67" t="s">
        <v>866</v>
      </c>
      <c r="H57" s="67" t="s">
        <v>866</v>
      </c>
    </row>
    <row r="58" customFormat="false" ht="15" hidden="true" customHeight="false" outlineLevel="1" collapsed="false">
      <c r="A58" s="3" t="s">
        <v>934</v>
      </c>
      <c r="B58" s="12" t="s">
        <v>93</v>
      </c>
      <c r="C58" s="67" t="str">
        <f aca="false">IF(ISNUMBER(C46),IF(AND(ISNUMBER(C28)),C46-(C28),"不適用"),"")</f>
        <v/>
      </c>
      <c r="D58" s="67" t="str">
        <f aca="false">IF(ISNUMBER(D46),IF(AND(ISNUMBER(D28)),D46-(D28),"不適用"),"")</f>
        <v/>
      </c>
      <c r="E58" s="67" t="str">
        <f aca="false">IF(ISNUMBER(E46),IF(AND(ISNUMBER(E28)),E46-(E28),"不適用"),"")</f>
        <v/>
      </c>
      <c r="F58" s="67" t="str">
        <f aca="false">IF(ISNUMBER(F46),IF(AND(ISNUMBER(F28)),F46-(F28),"不適用"),"")</f>
        <v/>
      </c>
      <c r="G58" s="67" t="str">
        <f aca="false">IF(ISNUMBER(G46),IF(AND(ISNUMBER(G28)),G46-(G28),"不適用"),"")</f>
        <v/>
      </c>
      <c r="H58" s="67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935</v>
      </c>
      <c r="B59" s="12" t="s">
        <v>93</v>
      </c>
      <c r="C59" s="67" t="str">
        <f aca="false">IF(ISNUMBER(C46),IF(AND(ISNUMBER(C42)),C46-(C42),"不適用"),"")</f>
        <v/>
      </c>
      <c r="D59" s="67" t="str">
        <f aca="false">IF(ISNUMBER(D46),IF(AND(ISNUMBER(D42)),D46-(D42),"不適用"),"")</f>
        <v/>
      </c>
      <c r="E59" s="67" t="str">
        <f aca="false">IF(ISNUMBER(E46),IF(AND(ISNUMBER(E42)),E46-(E42),"不適用"),"")</f>
        <v/>
      </c>
      <c r="F59" s="67" t="str">
        <f aca="false">IF(ISNUMBER(F46),IF(AND(ISNUMBER(F42)),F46-(F42),"不適用"),"")</f>
        <v/>
      </c>
      <c r="G59" s="67" t="str">
        <f aca="false">IF(ISNUMBER(G46),IF(AND(ISNUMBER(G42)),G46-(G42),"不適用"),"")</f>
        <v/>
      </c>
      <c r="H59" s="67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936</v>
      </c>
      <c r="B60" s="12" t="s">
        <v>93</v>
      </c>
      <c r="C60" s="67" t="str">
        <f aca="false">IF(ISNUMBER(C46),"不適用","")</f>
        <v/>
      </c>
      <c r="D60" s="67" t="str">
        <f aca="false">IF(ISNUMBER(D46),"不適用","")</f>
        <v/>
      </c>
      <c r="E60" s="67" t="str">
        <f aca="false">IF(ISNUMBER(E46),"不適用","")</f>
        <v/>
      </c>
      <c r="F60" s="67" t="str">
        <f aca="false">IF(ISNUMBER(F46),"不適用","")</f>
        <v/>
      </c>
      <c r="G60" s="67" t="str">
        <f aca="false">IF(ISNUMBER(G46),"不適用","")</f>
        <v/>
      </c>
      <c r="H60" s="67" t="str">
        <f aca="false">IF(ISNUMBER(H46),"不適用","")</f>
        <v/>
      </c>
    </row>
    <row r="61" customFormat="false" ht="15" hidden="true" customHeight="false" outlineLevel="1" collapsed="false">
      <c r="A61" s="3" t="s">
        <v>937</v>
      </c>
      <c r="B61" s="12" t="s">
        <v>105</v>
      </c>
      <c r="C61" s="68" t="n">
        <f aca="false">IF(AND(ISNUMBER(C28),ISNUMBER(C22),C22&lt;&gt;0,ISNUMBER(C42),ISNUMBER(C41),C41&lt;&gt;0),C28/C22-C42/C41,"不適用")</f>
        <v>-0.00283883883991065</v>
      </c>
      <c r="D61" s="68" t="n">
        <f aca="false">IF(AND(ISNUMBER(D28),ISNUMBER(D22),D22&lt;&gt;0,ISNUMBER(D42),ISNUMBER(D41),D41&lt;&gt;0),D28/D22-D42/D41,"不適用")</f>
        <v>-0.0363238752512324</v>
      </c>
      <c r="E61" s="68" t="str">
        <f aca="false">IF(AND(ISNUMBER(E28),ISNUMBER(E22),E22&lt;&gt;0,ISNUMBER(E42),ISNUMBER(E41),E41&lt;&gt;0),E28/E22-E42/E41,"不適用")</f>
        <v>不適用</v>
      </c>
      <c r="F61" s="68" t="str">
        <f aca="false">IF(AND(ISNUMBER(F28),ISNUMBER(F22),F22&lt;&gt;0,ISNUMBER(F42),ISNUMBER(F41),F41&lt;&gt;0),F28/F22-F42/F41,"不適用")</f>
        <v>不適用</v>
      </c>
      <c r="G61" s="68" t="str">
        <f aca="false">IF(AND(ISNUMBER(G28),ISNUMBER(G22),G22&lt;&gt;0,ISNUMBER(G42),ISNUMBER(G41),G41&lt;&gt;0),G28/G22-G42/G41,"不適用")</f>
        <v>不適用</v>
      </c>
      <c r="H61" s="68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938</v>
      </c>
      <c r="B62" s="12" t="s">
        <v>105</v>
      </c>
      <c r="C62" s="68" t="s">
        <v>866</v>
      </c>
      <c r="D62" s="68" t="s">
        <v>866</v>
      </c>
      <c r="E62" s="68" t="s">
        <v>866</v>
      </c>
      <c r="F62" s="68" t="s">
        <v>866</v>
      </c>
      <c r="G62" s="68" t="s">
        <v>866</v>
      </c>
      <c r="H62" s="68" t="s">
        <v>866</v>
      </c>
    </row>
    <row r="63" customFormat="false" ht="15" hidden="true" customHeight="false" outlineLevel="1" collapsed="false">
      <c r="A63" s="3" t="s">
        <v>939</v>
      </c>
      <c r="B63" s="12" t="s">
        <v>105</v>
      </c>
      <c r="C63" s="68" t="str">
        <f aca="false">IF(ISNUMBER(C46),IF(AND(ISNUMBER(C46),ISNUMBER(C45),C45&lt;&gt;0,ISNUMBER(C28),ISNUMBER(C22),C22&lt;&gt;0),C46/C45-C28/C22,"不適用"),"")</f>
        <v/>
      </c>
      <c r="D63" s="68" t="str">
        <f aca="false">IF(ISNUMBER(D46),IF(AND(ISNUMBER(D46),ISNUMBER(D45),D45&lt;&gt;0,ISNUMBER(D28),ISNUMBER(D22),D22&lt;&gt;0),D46/D45-D28/D22,"不適用"),"")</f>
        <v/>
      </c>
      <c r="E63" s="68" t="str">
        <f aca="false">IF(ISNUMBER(E46),IF(AND(ISNUMBER(E46),ISNUMBER(E45),E45&lt;&gt;0,ISNUMBER(E28),ISNUMBER(E22),E22&lt;&gt;0),E46/E45-E28/E22,"不適用"),"")</f>
        <v/>
      </c>
      <c r="F63" s="68" t="str">
        <f aca="false">IF(ISNUMBER(F46),IF(AND(ISNUMBER(F46),ISNUMBER(F45),F45&lt;&gt;0,ISNUMBER(F28),ISNUMBER(F22),F22&lt;&gt;0),F46/F45-F28/F22,"不適用"),"")</f>
        <v/>
      </c>
      <c r="G63" s="68" t="str">
        <f aca="false">IF(ISNUMBER(G46),IF(AND(ISNUMBER(G46),ISNUMBER(G45),G45&lt;&gt;0,ISNUMBER(G28),ISNUMBER(G22),G22&lt;&gt;0),G46/G45-G28/G22,"不適用"),"")</f>
        <v/>
      </c>
      <c r="H63" s="68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940</v>
      </c>
      <c r="B64" s="12" t="s">
        <v>105</v>
      </c>
      <c r="C64" s="68" t="str">
        <f aca="false">IF(ISNUMBER(C46),IF(AND(ISNUMBER(C46),ISNUMBER(C45),C45&lt;&gt;0,ISNUMBER(C42),ISNUMBER(C41),C41&lt;&gt;0),C46/C45-C42/C41,"不適用"),"")</f>
        <v/>
      </c>
      <c r="D64" s="68" t="str">
        <f aca="false">IF(ISNUMBER(D46),IF(AND(ISNUMBER(D46),ISNUMBER(D45),D45&lt;&gt;0,ISNUMBER(D42),ISNUMBER(D41),D41&lt;&gt;0),D46/D45-D42/D41,"不適用"),"")</f>
        <v/>
      </c>
      <c r="E64" s="68" t="str">
        <f aca="false">IF(ISNUMBER(E46),IF(AND(ISNUMBER(E46),ISNUMBER(E45),E45&lt;&gt;0,ISNUMBER(E42),ISNUMBER(E41),E41&lt;&gt;0),E46/E45-E42/E41,"不適用"),"")</f>
        <v/>
      </c>
      <c r="F64" s="68" t="str">
        <f aca="false">IF(ISNUMBER(F46),IF(AND(ISNUMBER(F46),ISNUMBER(F45),F45&lt;&gt;0,ISNUMBER(F42),ISNUMBER(F41),F41&lt;&gt;0),F46/F45-F42/F41,"不適用"),"")</f>
        <v/>
      </c>
      <c r="G64" s="68" t="str">
        <f aca="false">IF(ISNUMBER(G46),IF(AND(ISNUMBER(G46),ISNUMBER(G45),G45&lt;&gt;0,ISNUMBER(G42),ISNUMBER(G41),G41&lt;&gt;0),G46/G45-G42/G41,"不適用"),"")</f>
        <v/>
      </c>
      <c r="H64" s="68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941</v>
      </c>
      <c r="B65" s="12" t="s">
        <v>105</v>
      </c>
      <c r="C65" s="68" t="str">
        <f aca="false">IF(ISNUMBER(C46),"不適用","")</f>
        <v/>
      </c>
      <c r="D65" s="68" t="str">
        <f aca="false">IF(ISNUMBER(D46),"不適用","")</f>
        <v/>
      </c>
      <c r="E65" s="68" t="str">
        <f aca="false">IF(ISNUMBER(E46),"不適用","")</f>
        <v/>
      </c>
      <c r="F65" s="68" t="str">
        <f aca="false">IF(ISNUMBER(F46),"不適用","")</f>
        <v/>
      </c>
      <c r="G65" s="68" t="str">
        <f aca="false">IF(ISNUMBER(G46),"不適用","")</f>
        <v/>
      </c>
      <c r="H65" s="68" t="str">
        <f aca="false">IF(ISNUMBER(H46),"不適用","")</f>
        <v/>
      </c>
    </row>
    <row r="66" customFormat="false" ht="15" hidden="true" customHeight="false" outlineLevel="1" collapsed="false">
      <c r="A66" s="3" t="s">
        <v>942</v>
      </c>
      <c r="B66" s="12" t="s">
        <v>105</v>
      </c>
      <c r="C66" s="68" t="n">
        <f aca="false">IF(AND(ISNUMBER(C27),ISNUMBER(C43)),C27-(C43),"不適用")</f>
        <v>-0.00283883883991065</v>
      </c>
      <c r="D66" s="68" t="n">
        <f aca="false">IF(AND(ISNUMBER(D27),ISNUMBER(D43)),D27-(D43),"不適用")</f>
        <v>-0.0363238752512324</v>
      </c>
      <c r="E66" s="68" t="str">
        <f aca="false">IF(AND(ISNUMBER(E27),ISNUMBER(E43)),E27-(E43),"不適用")</f>
        <v>不適用</v>
      </c>
      <c r="F66" s="68" t="str">
        <f aca="false">IF(AND(ISNUMBER(F27),ISNUMBER(F43)),F27-(F43),"不適用")</f>
        <v>不適用</v>
      </c>
      <c r="G66" s="68" t="str">
        <f aca="false">IF(AND(ISNUMBER(G27),ISNUMBER(G43)),G27-(G43),"不適用")</f>
        <v>不適用</v>
      </c>
      <c r="H66" s="68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943</v>
      </c>
      <c r="B67" s="12" t="s">
        <v>105</v>
      </c>
      <c r="C67" s="68" t="s">
        <v>866</v>
      </c>
      <c r="D67" s="68" t="s">
        <v>866</v>
      </c>
      <c r="E67" s="68" t="s">
        <v>866</v>
      </c>
      <c r="F67" s="68" t="s">
        <v>866</v>
      </c>
      <c r="G67" s="68" t="s">
        <v>866</v>
      </c>
      <c r="H67" s="68" t="s">
        <v>866</v>
      </c>
    </row>
    <row r="68" customFormat="false" ht="15" hidden="true" customHeight="false" outlineLevel="1" collapsed="false">
      <c r="A68" s="3" t="s">
        <v>944</v>
      </c>
      <c r="B68" s="12" t="s">
        <v>105</v>
      </c>
      <c r="C68" s="68" t="str">
        <f aca="false">IF(ISNUMBER(C47),IF(AND(ISNUMBER(C27)),C47-(C27),"不適用"),"")</f>
        <v/>
      </c>
      <c r="D68" s="68" t="str">
        <f aca="false">IF(ISNUMBER(D47),IF(AND(ISNUMBER(D27)),D47-(D27),"不適用"),"")</f>
        <v/>
      </c>
      <c r="E68" s="68" t="str">
        <f aca="false">IF(ISNUMBER(E47),IF(AND(ISNUMBER(E27)),E47-(E27),"不適用"),"")</f>
        <v/>
      </c>
      <c r="F68" s="68" t="str">
        <f aca="false">IF(ISNUMBER(F47),IF(AND(ISNUMBER(F27)),F47-(F27),"不適用"),"")</f>
        <v/>
      </c>
      <c r="G68" s="68" t="str">
        <f aca="false">IF(ISNUMBER(G47),IF(AND(ISNUMBER(G27)),G47-(G27),"不適用"),"")</f>
        <v/>
      </c>
      <c r="H68" s="68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945</v>
      </c>
      <c r="B69" s="12" t="s">
        <v>105</v>
      </c>
      <c r="C69" s="68" t="str">
        <f aca="false">IF(ISNUMBER(C47),IF(AND(ISNUMBER(C43)),C47-(C43),"不適用"),"")</f>
        <v/>
      </c>
      <c r="D69" s="68" t="str">
        <f aca="false">IF(ISNUMBER(D47),IF(AND(ISNUMBER(D43)),D47-(D43),"不適用"),"")</f>
        <v/>
      </c>
      <c r="E69" s="68" t="str">
        <f aca="false">IF(ISNUMBER(E47),IF(AND(ISNUMBER(E43)),E47-(E43),"不適用"),"")</f>
        <v/>
      </c>
      <c r="F69" s="68" t="str">
        <f aca="false">IF(ISNUMBER(F47),IF(AND(ISNUMBER(F43)),F47-(F43),"不適用"),"")</f>
        <v/>
      </c>
      <c r="G69" s="68" t="str">
        <f aca="false">IF(ISNUMBER(G47),IF(AND(ISNUMBER(G43)),G47-(G43),"不適用"),"")</f>
        <v/>
      </c>
      <c r="H69" s="68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946</v>
      </c>
      <c r="B70" s="12" t="s">
        <v>105</v>
      </c>
      <c r="C70" s="68" t="str">
        <f aca="false">IF(ISNUMBER(C47),"不適用","")</f>
        <v/>
      </c>
      <c r="D70" s="68" t="str">
        <f aca="false">IF(ISNUMBER(D47),"不適用","")</f>
        <v/>
      </c>
      <c r="E70" s="68" t="str">
        <f aca="false">IF(ISNUMBER(E47),"不適用","")</f>
        <v/>
      </c>
      <c r="F70" s="68" t="str">
        <f aca="false">IF(ISNUMBER(F47),"不適用","")</f>
        <v/>
      </c>
      <c r="G70" s="68" t="str">
        <f aca="false">IF(ISNUMBER(G47),"不適用","")</f>
        <v/>
      </c>
      <c r="H70" s="68" t="str">
        <f aca="false">IF(ISNUMBER(H47),"不適用","")</f>
        <v/>
      </c>
    </row>
    <row r="71" customFormat="false" ht="15" hidden="true" customHeight="false" outlineLevel="1" collapsed="false">
      <c r="A71" s="3" t="s">
        <v>947</v>
      </c>
      <c r="B71" s="12" t="s">
        <v>93</v>
      </c>
      <c r="C71" s="67" t="s">
        <v>866</v>
      </c>
      <c r="D71" s="67" t="s">
        <v>866</v>
      </c>
      <c r="E71" s="67" t="s">
        <v>866</v>
      </c>
      <c r="F71" s="67" t="s">
        <v>866</v>
      </c>
      <c r="G71" s="67" t="s">
        <v>866</v>
      </c>
      <c r="H71" s="67" t="s">
        <v>866</v>
      </c>
    </row>
    <row r="72" customFormat="false" ht="15" hidden="true" customHeight="false" outlineLevel="1" collapsed="false">
      <c r="A72" s="3" t="s">
        <v>948</v>
      </c>
      <c r="B72" s="12" t="s">
        <v>93</v>
      </c>
      <c r="C72" s="67" t="n">
        <f aca="false">IF(AND(ISNUMBER(C30),ISNUMBER(C33),ISNUMBER(C34)),C30-(((C33+C34)/2)),"不適用")</f>
        <v>-0.296042019109929</v>
      </c>
      <c r="D72" s="67" t="str">
        <f aca="false">IF(AND(ISNUMBER(D30),ISNUMBER(D33),ISNUMBER(D34)),D30-(((D33+D34)/2)),"不適用")</f>
        <v>不適用</v>
      </c>
      <c r="E72" s="67" t="str">
        <f aca="false">IF(AND(ISNUMBER(E30),ISNUMBER(E33),ISNUMBER(E34)),E30-(((E33+E34)/2)),"不適用")</f>
        <v>不適用</v>
      </c>
      <c r="F72" s="67" t="str">
        <f aca="false">IF(AND(ISNUMBER(F30),ISNUMBER(F33),ISNUMBER(F34)),F30-(((F33+F34)/2)),"不適用")</f>
        <v>不適用</v>
      </c>
      <c r="G72" s="67" t="str">
        <f aca="false">IF(AND(ISNUMBER(G30),ISNUMBER(G33),ISNUMBER(G34)),G30-(((G33+G34)/2)),"不適用")</f>
        <v>不適用</v>
      </c>
      <c r="H72" s="67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949</v>
      </c>
      <c r="B73" s="12" t="s">
        <v>93</v>
      </c>
      <c r="C73" s="67" t="str">
        <f aca="false">IF(ISNUMBER(C48),IF(AND(ISNUMBER(C30)),C48-(C30),"不適用"),"")</f>
        <v/>
      </c>
      <c r="D73" s="67" t="str">
        <f aca="false">IF(ISNUMBER(D48),IF(AND(ISNUMBER(D30)),D48-(D30),"不適用"),"")</f>
        <v/>
      </c>
      <c r="E73" s="67" t="str">
        <f aca="false">IF(ISNUMBER(E48),IF(AND(ISNUMBER(E30)),E48-(E30),"不適用"),"")</f>
        <v/>
      </c>
      <c r="F73" s="67" t="str">
        <f aca="false">IF(ISNUMBER(F48),IF(AND(ISNUMBER(F30)),F48-(F30),"不適用"),"")</f>
        <v/>
      </c>
      <c r="G73" s="67" t="str">
        <f aca="false">IF(ISNUMBER(G48),IF(AND(ISNUMBER(G30)),G48-(G30),"不適用"),"")</f>
        <v/>
      </c>
      <c r="H73" s="67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950</v>
      </c>
      <c r="B74" s="12" t="s">
        <v>93</v>
      </c>
      <c r="C74" s="67" t="str">
        <f aca="false">IF(ISNUMBER(C48),"不適用","")</f>
        <v/>
      </c>
      <c r="D74" s="67" t="str">
        <f aca="false">IF(ISNUMBER(D48),"不適用","")</f>
        <v/>
      </c>
      <c r="E74" s="67" t="str">
        <f aca="false">IF(ISNUMBER(E48),"不適用","")</f>
        <v/>
      </c>
      <c r="F74" s="67" t="str">
        <f aca="false">IF(ISNUMBER(F48),"不適用","")</f>
        <v/>
      </c>
      <c r="G74" s="67" t="str">
        <f aca="false">IF(ISNUMBER(G48),"不適用","")</f>
        <v/>
      </c>
      <c r="H74" s="67" t="str">
        <f aca="false">IF(ISNUMBER(H48),"不適用","")</f>
        <v/>
      </c>
    </row>
    <row r="75" customFormat="false" ht="15" hidden="true" customHeight="false" outlineLevel="1" collapsed="false">
      <c r="A75" s="3" t="s">
        <v>951</v>
      </c>
      <c r="B75" s="12" t="s">
        <v>93</v>
      </c>
      <c r="C75" s="67" t="str">
        <f aca="false">IF(ISNUMBER(C48),IF(AND(ISNUMBER(C33),ISNUMBER(C34)),C48-(((C33+C34)/2)),"不適用"),"")</f>
        <v/>
      </c>
      <c r="D75" s="67" t="str">
        <f aca="false">IF(ISNUMBER(D48),IF(AND(ISNUMBER(D33),ISNUMBER(D34)),D48-(((D33+D34)/2)),"不適用"),"")</f>
        <v/>
      </c>
      <c r="E75" s="67" t="str">
        <f aca="false">IF(ISNUMBER(E48),IF(AND(ISNUMBER(E33),ISNUMBER(E34)),E48-(((E33+E34)/2)),"不適用"),"")</f>
        <v/>
      </c>
      <c r="F75" s="67" t="str">
        <f aca="false">IF(ISNUMBER(F48),IF(AND(ISNUMBER(F33),ISNUMBER(F34)),F48-(((F33+F34)/2)),"不適用"),"")</f>
        <v/>
      </c>
      <c r="G75" s="67" t="str">
        <f aca="false">IF(ISNUMBER(G48),IF(AND(ISNUMBER(G33),ISNUMBER(G34)),G48-(((G33+G34)/2)),"不適用"),"")</f>
        <v/>
      </c>
      <c r="H75" s="67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952</v>
      </c>
      <c r="B76" s="12" t="s">
        <v>105</v>
      </c>
      <c r="C76" s="68" t="s">
        <v>866</v>
      </c>
      <c r="D76" s="68" t="s">
        <v>866</v>
      </c>
      <c r="E76" s="68" t="s">
        <v>866</v>
      </c>
      <c r="F76" s="68" t="s">
        <v>866</v>
      </c>
      <c r="G76" s="68" t="s">
        <v>866</v>
      </c>
      <c r="H76" s="68" t="s">
        <v>866</v>
      </c>
    </row>
    <row r="77" customFormat="false" ht="15" hidden="true" customHeight="false" outlineLevel="1" collapsed="false">
      <c r="A77" s="3" t="s">
        <v>953</v>
      </c>
      <c r="B77" s="12" t="s">
        <v>105</v>
      </c>
      <c r="C77" s="68" t="n">
        <f aca="false">IF(AND(ISNUMBER(C30),ISNUMBER(C22),C22&lt;&gt;0,ISNUMBER(C33),ISNUMBER(C34),ISNUMBER(C31),ISNUMBER(C32)),C30/C22-((C33+C34)/2)/((C31+C32)/2),"不適用")</f>
        <v>-0.0832793570313327</v>
      </c>
      <c r="D77" s="68" t="str">
        <f aca="false">IF(AND(ISNUMBER(D30),ISNUMBER(D22),D22&lt;&gt;0,ISNUMBER(D33),ISNUMBER(D34),ISNUMBER(D31),ISNUMBER(D32)),D30/D22-((D33+D34)/2)/((D31+D32)/2),"不適用")</f>
        <v>不適用</v>
      </c>
      <c r="E77" s="68" t="str">
        <f aca="false">IF(AND(ISNUMBER(E30),ISNUMBER(E22),E22&lt;&gt;0,ISNUMBER(E33),ISNUMBER(E34),ISNUMBER(E31),ISNUMBER(E32)),E30/E22-((E33+E34)/2)/((E31+E32)/2),"不適用")</f>
        <v>不適用</v>
      </c>
      <c r="F77" s="68" t="str">
        <f aca="false">IF(AND(ISNUMBER(F30),ISNUMBER(F22),F22&lt;&gt;0,ISNUMBER(F33),ISNUMBER(F34),ISNUMBER(F31),ISNUMBER(F32)),F30/F22-((F33+F34)/2)/((F31+F32)/2),"不適用")</f>
        <v>不適用</v>
      </c>
      <c r="G77" s="68" t="str">
        <f aca="false">IF(AND(ISNUMBER(G30),ISNUMBER(G22),G22&lt;&gt;0,ISNUMBER(G33),ISNUMBER(G34),ISNUMBER(G31),ISNUMBER(G32)),G30/G22-((G33+G34)/2)/((G31+G32)/2),"不適用")</f>
        <v>不適用</v>
      </c>
      <c r="H77" s="68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954</v>
      </c>
      <c r="B78" s="12" t="s">
        <v>105</v>
      </c>
      <c r="C78" s="68" t="str">
        <f aca="false">IF(ISNUMBER(C48),IF(AND(ISNUMBER(C48),ISNUMBER(C45),C45&lt;&gt;0,ISNUMBER(C30),ISNUMBER(C22),C22&lt;&gt;0),C48/C45-C30/C22,"不適用"),"")</f>
        <v/>
      </c>
      <c r="D78" s="68" t="str">
        <f aca="false">IF(ISNUMBER(D48),IF(AND(ISNUMBER(D48),ISNUMBER(D45),D45&lt;&gt;0,ISNUMBER(D30),ISNUMBER(D22),D22&lt;&gt;0),D48/D45-D30/D22,"不適用"),"")</f>
        <v/>
      </c>
      <c r="E78" s="68" t="str">
        <f aca="false">IF(ISNUMBER(E48),IF(AND(ISNUMBER(E48),ISNUMBER(E45),E45&lt;&gt;0,ISNUMBER(E30),ISNUMBER(E22),E22&lt;&gt;0),E48/E45-E30/E22,"不適用"),"")</f>
        <v/>
      </c>
      <c r="F78" s="68" t="str">
        <f aca="false">IF(ISNUMBER(F48),IF(AND(ISNUMBER(F48),ISNUMBER(F45),F45&lt;&gt;0,ISNUMBER(F30),ISNUMBER(F22),F22&lt;&gt;0),F48/F45-F30/F22,"不適用"),"")</f>
        <v/>
      </c>
      <c r="G78" s="68" t="str">
        <f aca="false">IF(ISNUMBER(G48),IF(AND(ISNUMBER(G48),ISNUMBER(G45),G45&lt;&gt;0,ISNUMBER(G30),ISNUMBER(G22),G22&lt;&gt;0),G48/G45-G30/G22,"不適用"),"")</f>
        <v/>
      </c>
      <c r="H78" s="68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955</v>
      </c>
      <c r="B79" s="12" t="s">
        <v>105</v>
      </c>
      <c r="C79" s="68" t="str">
        <f aca="false">IF(ISNUMBER(C48),"不適用","")</f>
        <v/>
      </c>
      <c r="D79" s="68" t="str">
        <f aca="false">IF(ISNUMBER(D48),"不適用","")</f>
        <v/>
      </c>
      <c r="E79" s="68" t="str">
        <f aca="false">IF(ISNUMBER(E48),"不適用","")</f>
        <v/>
      </c>
      <c r="F79" s="68" t="str">
        <f aca="false">IF(ISNUMBER(F48),"不適用","")</f>
        <v/>
      </c>
      <c r="G79" s="68" t="str">
        <f aca="false">IF(ISNUMBER(G48),"不適用","")</f>
        <v/>
      </c>
      <c r="H79" s="68" t="str">
        <f aca="false">IF(ISNUMBER(H48),"不適用","")</f>
        <v/>
      </c>
    </row>
    <row r="80" customFormat="false" ht="15" hidden="true" customHeight="false" outlineLevel="1" collapsed="false">
      <c r="A80" s="3" t="s">
        <v>956</v>
      </c>
      <c r="B80" s="12" t="s">
        <v>105</v>
      </c>
      <c r="C80" s="68" t="str">
        <f aca="false">IF(ISNUMBER(C48),IF(AND(ISNUMBER(C48),ISNUMBER(C45),C45&lt;&gt;0,ISNUMBER(C33),ISNUMBER(C34),ISNUMBER(C31),ISNUMBER(C32)),C48/C45-((C33+C34)/2)/((C31+C32)/2),"不適用"),"")</f>
        <v/>
      </c>
      <c r="D80" s="68" t="str">
        <f aca="false">IF(ISNUMBER(D48),IF(AND(ISNUMBER(D48),ISNUMBER(D45),D45&lt;&gt;0,ISNUMBER(D33),ISNUMBER(D34),ISNUMBER(D31),ISNUMBER(D32)),D48/D45-((D33+D34)/2)/((D31+D32)/2),"不適用"),"")</f>
        <v/>
      </c>
      <c r="E80" s="68" t="str">
        <f aca="false">IF(ISNUMBER(E48),IF(AND(ISNUMBER(E48),ISNUMBER(E45),E45&lt;&gt;0,ISNUMBER(E33),ISNUMBER(E34),ISNUMBER(E31),ISNUMBER(E32)),E48/E45-((E33+E34)/2)/((E31+E32)/2),"不適用"),"")</f>
        <v/>
      </c>
      <c r="F80" s="68" t="str">
        <f aca="false">IF(ISNUMBER(F48),IF(AND(ISNUMBER(F48),ISNUMBER(F45),F45&lt;&gt;0,ISNUMBER(F33),ISNUMBER(F34),ISNUMBER(F31),ISNUMBER(F32)),F48/F45-((F33+F34)/2)/((F31+F32)/2),"不適用"),"")</f>
        <v/>
      </c>
      <c r="G80" s="68" t="str">
        <f aca="false">IF(ISNUMBER(G48),IF(AND(ISNUMBER(G48),ISNUMBER(G45),G45&lt;&gt;0,ISNUMBER(G33),ISNUMBER(G34),ISNUMBER(G31),ISNUMBER(G32)),G48/G45-((G33+G34)/2)/((G31+G32)/2),"不適用"),"")</f>
        <v/>
      </c>
      <c r="H80" s="68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957</v>
      </c>
      <c r="B81" s="12" t="s">
        <v>77</v>
      </c>
      <c r="C81" s="68" t="s">
        <v>866</v>
      </c>
      <c r="D81" s="68" t="s">
        <v>866</v>
      </c>
      <c r="E81" s="68" t="s">
        <v>866</v>
      </c>
      <c r="F81" s="68" t="s">
        <v>866</v>
      </c>
      <c r="G81" s="68" t="s">
        <v>866</v>
      </c>
      <c r="H81" s="68" t="s">
        <v>866</v>
      </c>
    </row>
    <row r="82" customFormat="false" ht="15" hidden="true" customHeight="false" outlineLevel="1" collapsed="false">
      <c r="A82" s="3" t="s">
        <v>958</v>
      </c>
      <c r="B82" s="12" t="s">
        <v>77</v>
      </c>
      <c r="C82" s="68" t="n">
        <f aca="false">IF(AND(ISNUMBER(C40),ISNUMBER(C36),ISNUMBER(C37)),C40/(((C36+C37)/2))-1,"不適用")</f>
        <v>0</v>
      </c>
      <c r="D82" s="68" t="str">
        <f aca="false">IF(AND(ISNUMBER(D40),ISNUMBER(D36),ISNUMBER(D37)),D40/(((D36+D37)/2))-1,"不適用")</f>
        <v>不適用</v>
      </c>
      <c r="E82" s="68" t="str">
        <f aca="false">IF(AND(ISNUMBER(E40),ISNUMBER(E36),ISNUMBER(E37)),E40/(((E36+E37)/2))-1,"不適用")</f>
        <v>不適用</v>
      </c>
      <c r="F82" s="68" t="str">
        <f aca="false">IF(AND(ISNUMBER(F40),ISNUMBER(F36),ISNUMBER(F37)),F40/(((F36+F37)/2))-1,"不適用")</f>
        <v>不適用</v>
      </c>
      <c r="G82" s="68" t="str">
        <f aca="false">IF(AND(ISNUMBER(G40),ISNUMBER(G36),ISNUMBER(G37)),G40/(((G36+G37)/2))-1,"不適用")</f>
        <v>不適用</v>
      </c>
      <c r="H82" s="68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959</v>
      </c>
      <c r="B83" s="12" t="s">
        <v>77</v>
      </c>
      <c r="C83" s="68" t="str">
        <f aca="false">IF(ISNUMBER(C49),IF(AND(ISNUMBER(C40),C40&lt;&gt;0),C49/(C40)-1,"不適用"),"")</f>
        <v/>
      </c>
      <c r="D83" s="68" t="str">
        <f aca="false">IF(ISNUMBER(D49),IF(AND(ISNUMBER(D40),D40&lt;&gt;0),D49/(D40)-1,"不適用"),"")</f>
        <v/>
      </c>
      <c r="E83" s="68" t="str">
        <f aca="false">IF(ISNUMBER(E49),IF(AND(ISNUMBER(E40),E40&lt;&gt;0),E49/(E40)-1,"不適用"),"")</f>
        <v/>
      </c>
      <c r="F83" s="68" t="str">
        <f aca="false">IF(ISNUMBER(F49),IF(AND(ISNUMBER(F40),F40&lt;&gt;0),F49/(F40)-1,"不適用"),"")</f>
        <v/>
      </c>
      <c r="G83" s="68" t="str">
        <f aca="false">IF(ISNUMBER(G49),IF(AND(ISNUMBER(G40),G40&lt;&gt;0),G49/(G40)-1,"不適用"),"")</f>
        <v/>
      </c>
      <c r="H83" s="68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960</v>
      </c>
      <c r="B84" s="12" t="s">
        <v>77</v>
      </c>
      <c r="C84" s="68" t="str">
        <f aca="false">IF(ISNUMBER(C49),"不適用","")</f>
        <v/>
      </c>
      <c r="D84" s="68" t="str">
        <f aca="false">IF(ISNUMBER(D49),"不適用","")</f>
        <v/>
      </c>
      <c r="E84" s="68" t="str">
        <f aca="false">IF(ISNUMBER(E49),"不適用","")</f>
        <v/>
      </c>
      <c r="F84" s="68" t="str">
        <f aca="false">IF(ISNUMBER(F49),"不適用","")</f>
        <v/>
      </c>
      <c r="G84" s="68" t="str">
        <f aca="false">IF(ISNUMBER(G49),"不適用","")</f>
        <v/>
      </c>
      <c r="H84" s="68" t="str">
        <f aca="false">IF(ISNUMBER(H49),"不適用","")</f>
        <v/>
      </c>
    </row>
    <row r="85" customFormat="false" ht="15" hidden="true" customHeight="false" outlineLevel="1" collapsed="false">
      <c r="A85" s="3" t="s">
        <v>961</v>
      </c>
      <c r="B85" s="12" t="s">
        <v>77</v>
      </c>
      <c r="C85" s="68" t="str">
        <f aca="false">IF(ISNUMBER(C49),IF(AND(ISNUMBER(C36),ISNUMBER(C37)),C49/(((C36+C37)/2))-1,"不適用"),"")</f>
        <v/>
      </c>
      <c r="D85" s="68" t="str">
        <f aca="false">IF(ISNUMBER(D49),IF(AND(ISNUMBER(D36),ISNUMBER(D37)),D49/(((D36+D37)/2))-1,"不適用"),"")</f>
        <v/>
      </c>
      <c r="E85" s="68" t="str">
        <f aca="false">IF(ISNUMBER(E49),IF(AND(ISNUMBER(E36),ISNUMBER(E37)),E49/(((E36+E37)/2))-1,"不適用"),"")</f>
        <v/>
      </c>
      <c r="F85" s="68" t="str">
        <f aca="false">IF(ISNUMBER(F49),IF(AND(ISNUMBER(F36),ISNUMBER(F37)),F49/(((F36+F37)/2))-1,"不適用"),"")</f>
        <v/>
      </c>
      <c r="G85" s="68" t="str">
        <f aca="false">IF(ISNUMBER(G49),IF(AND(ISNUMBER(G36),ISNUMBER(G37)),G49/(((G36+G37)/2))-1,"不適用"),"")</f>
        <v/>
      </c>
      <c r="H85" s="68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962</v>
      </c>
      <c r="B86" s="12" t="s">
        <v>177</v>
      </c>
      <c r="C86" s="69" t="s">
        <v>866</v>
      </c>
      <c r="D86" s="69" t="s">
        <v>866</v>
      </c>
      <c r="E86" s="69" t="s">
        <v>866</v>
      </c>
      <c r="F86" s="69" t="s">
        <v>866</v>
      </c>
      <c r="G86" s="69" t="s">
        <v>866</v>
      </c>
      <c r="H86" s="69" t="s">
        <v>866</v>
      </c>
    </row>
    <row r="87" customFormat="false" ht="15" hidden="true" customHeight="false" outlineLevel="1" collapsed="false">
      <c r="A87" s="3" t="s">
        <v>963</v>
      </c>
      <c r="B87" s="12" t="s">
        <v>177</v>
      </c>
      <c r="C87" s="69" t="s">
        <v>866</v>
      </c>
      <c r="D87" s="69" t="s">
        <v>866</v>
      </c>
      <c r="E87" s="69" t="s">
        <v>866</v>
      </c>
      <c r="F87" s="69" t="s">
        <v>866</v>
      </c>
      <c r="G87" s="69" t="s">
        <v>866</v>
      </c>
      <c r="H87" s="69" t="s">
        <v>866</v>
      </c>
    </row>
    <row r="88" customFormat="false" ht="15" hidden="true" customHeight="false" outlineLevel="1" collapsed="false">
      <c r="A88" s="3" t="s">
        <v>964</v>
      </c>
      <c r="B88" s="12" t="s">
        <v>177</v>
      </c>
      <c r="C88" s="69" t="str">
        <f aca="false">IF(ISNUMBER(C50),IF(AND(ISNUMBER(C19)),C50-(C19),"不適用"),"")</f>
        <v/>
      </c>
      <c r="D88" s="69" t="str">
        <f aca="false">IF(ISNUMBER(D50),IF(AND(ISNUMBER(D19)),D50-(D19),"不適用"),"")</f>
        <v/>
      </c>
      <c r="E88" s="69" t="str">
        <f aca="false">IF(ISNUMBER(E50),IF(AND(ISNUMBER(E19)),E50-(E19),"不適用"),"")</f>
        <v/>
      </c>
      <c r="F88" s="69" t="str">
        <f aca="false">IF(ISNUMBER(F50),IF(AND(ISNUMBER(F19)),F50-(F19),"不適用"),"")</f>
        <v/>
      </c>
      <c r="G88" s="69" t="str">
        <f aca="false">IF(ISNUMBER(G50),IF(AND(ISNUMBER(G19)),G50-(G19),"不適用"),"")</f>
        <v/>
      </c>
      <c r="H88" s="69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965</v>
      </c>
      <c r="B89" s="12" t="s">
        <v>177</v>
      </c>
      <c r="C89" s="69" t="str">
        <f aca="false">IF(ISNUMBER(C50),"不適用","")</f>
        <v/>
      </c>
      <c r="D89" s="69" t="str">
        <f aca="false">IF(ISNUMBER(D50),"不適用","")</f>
        <v/>
      </c>
      <c r="E89" s="69" t="str">
        <f aca="false">IF(ISNUMBER(E50),"不適用","")</f>
        <v/>
      </c>
      <c r="F89" s="69" t="str">
        <f aca="false">IF(ISNUMBER(F50),"不適用","")</f>
        <v/>
      </c>
      <c r="G89" s="69" t="str">
        <f aca="false">IF(ISNUMBER(G50),"不適用","")</f>
        <v/>
      </c>
      <c r="H89" s="69" t="str">
        <f aca="false">IF(ISNUMBER(H50),"不適用","")</f>
        <v/>
      </c>
    </row>
    <row r="90" customFormat="false" ht="15" hidden="true" customHeight="false" outlineLevel="1" collapsed="false">
      <c r="A90" s="3" t="s">
        <v>966</v>
      </c>
      <c r="B90" s="12" t="s">
        <v>177</v>
      </c>
      <c r="C90" s="69" t="str">
        <f aca="false">IF(ISNUMBER(C50),"不適用","")</f>
        <v/>
      </c>
      <c r="D90" s="69" t="str">
        <f aca="false">IF(ISNUMBER(D50),"不適用","")</f>
        <v/>
      </c>
      <c r="E90" s="69" t="str">
        <f aca="false">IF(ISNUMBER(E50),"不適用","")</f>
        <v/>
      </c>
      <c r="F90" s="69" t="str">
        <f aca="false">IF(ISNUMBER(F50),"不適用","")</f>
        <v/>
      </c>
      <c r="G90" s="69" t="str">
        <f aca="false">IF(ISNUMBER(G50),"不適用","")</f>
        <v/>
      </c>
      <c r="H90" s="69" t="str">
        <f aca="false">IF(ISNUMBER(H50),"不適用","")</f>
        <v/>
      </c>
    </row>
    <row r="91" customFormat="false" ht="15" hidden="true" customHeight="false" outlineLevel="1" collapsed="false">
      <c r="A91" s="3" t="s">
        <v>967</v>
      </c>
      <c r="B91" s="12" t="s">
        <v>93</v>
      </c>
      <c r="C91" s="67" t="n">
        <f aca="false">IF(COUNT(C41,D41)=2,C41+D41,"不適用")</f>
        <v>8.247</v>
      </c>
      <c r="D91" s="67" t="n">
        <f aca="false">IF(COUNT(C41,D41)=2,C41+D41,"不適用")</f>
        <v>8.247</v>
      </c>
      <c r="E91" s="67" t="str">
        <f aca="false">IF(COUNT(E41,F41,G41,H41)=4,E41+F41+G41+H41,"不適用")</f>
        <v>不適用</v>
      </c>
      <c r="F91" s="67" t="str">
        <f aca="false">IF(COUNT(E41,F41,G41,H41)=4,E41+F41+G41+H41,"不適用")</f>
        <v>不適用</v>
      </c>
      <c r="G91" s="67" t="str">
        <f aca="false">IF(COUNT(E41,F41,G41,H41)=4,E41+F41+G41+H41,"不適用")</f>
        <v>不適用</v>
      </c>
      <c r="H91" s="67" t="str">
        <f aca="false">IF(COUNT(E41,F41,G41,H41)=4,E41+F41+G41+H41,"不適用")</f>
        <v>不適用</v>
      </c>
      <c r="J91" s="7" t="s">
        <v>968</v>
      </c>
    </row>
    <row r="92" customFormat="false" ht="15" hidden="true" customHeight="false" outlineLevel="1" collapsed="false">
      <c r="A92" s="3" t="s">
        <v>969</v>
      </c>
      <c r="B92" s="12" t="s">
        <v>93</v>
      </c>
      <c r="C92" s="67" t="n">
        <f aca="false">IF(AND(ISNUMBER(C91),C91&lt;&gt;0,ISNUMBER(C41),ISNUMBER(C22)),(損益!C8-C91)*(C41)/C91,"不適用")</f>
        <v>0.0712751303504306</v>
      </c>
      <c r="D92" s="67" t="n">
        <f aca="false">IF(AND(ISNUMBER(D91),D91&lt;&gt;0,ISNUMBER(D41),ISNUMBER(D22)),(損益!C8-D91)*(D41)/D91,"不適用")</f>
        <v>0.0947248696495698</v>
      </c>
      <c r="E92" s="67" t="str">
        <f aca="false">IF(AND(ISNUMBER(E91),E91&lt;&gt;0,ISNUMBER(E41),ISNUMBER(E22)),(損益!D8-E91)*(E41)/E91,"不適用")</f>
        <v>不適用</v>
      </c>
      <c r="F92" s="67" t="str">
        <f aca="false">IF(AND(ISNUMBER(F91),F91&lt;&gt;0,ISNUMBER(F41),ISNUMBER(F22)),(損益!D8-F91)*(F41)/F91,"不適用")</f>
        <v>不適用</v>
      </c>
      <c r="G92" s="67" t="str">
        <f aca="false">IF(AND(ISNUMBER(G91),G91&lt;&gt;0,ISNUMBER(G41),ISNUMBER(G22)),(損益!D8-G91)*(G41)/G91,"不適用")</f>
        <v>不適用</v>
      </c>
      <c r="H92" s="67" t="str">
        <f aca="false">IF(AND(ISNUMBER(H91),H91&lt;&gt;0,ISNUMBER(H41),ISNUMBER(H22)),(損益!D8-H91)*(H41)/H91,"不適用")</f>
        <v>不適用</v>
      </c>
      <c r="J92" s="12" t="s">
        <v>970</v>
      </c>
    </row>
    <row r="93" customFormat="false" ht="15" hidden="true" customHeight="false" outlineLevel="1" collapsed="false">
      <c r="A93" s="3" t="s">
        <v>971</v>
      </c>
      <c r="B93" s="12" t="s">
        <v>93</v>
      </c>
      <c r="C93" s="67" t="n">
        <f aca="false">IF(AND(ISNUMBER(C91),C91&lt;&gt;0,ISNUMBER(C41),ISNUMBER(C22)),(C22/損益!C8-(C41)/C91)*損益!C8,"不適用")</f>
        <v>0.0503915363162359</v>
      </c>
      <c r="D93" s="67" t="n">
        <f aca="false">IF(AND(ISNUMBER(D91),D91&lt;&gt;0,ISNUMBER(D41),ISNUMBER(D22)),(D22/損益!C8-(D41)/D91)*損益!C8,"不適用")</f>
        <v>-0.0503915363162364</v>
      </c>
      <c r="E93" s="67" t="str">
        <f aca="false">IF(AND(ISNUMBER(E91),E91&lt;&gt;0,ISNUMBER(E41),ISNUMBER(E22)),(E22/損益!D8-(E41)/E91)*損益!D8,"不適用")</f>
        <v>不適用</v>
      </c>
      <c r="F93" s="67" t="str">
        <f aca="false">IF(AND(ISNUMBER(F91),F91&lt;&gt;0,ISNUMBER(F41),ISNUMBER(F22)),(F22/損益!D8-(F41)/F91)*損益!D8,"不適用")</f>
        <v>不適用</v>
      </c>
      <c r="G93" s="67" t="str">
        <f aca="false">IF(AND(ISNUMBER(G91),G91&lt;&gt;0,ISNUMBER(G41),ISNUMBER(G22)),(G22/損益!D8-(G41)/G91)*損益!D8,"不適用")</f>
        <v>不適用</v>
      </c>
      <c r="H93" s="67" t="str">
        <f aca="false">IF(AND(ISNUMBER(H91),H91&lt;&gt;0,ISNUMBER(H41),ISNUMBER(H22)),(H22/損益!D8-(H41)/H91)*損益!D8,"不適用")</f>
        <v>不適用</v>
      </c>
      <c r="J93" s="12" t="s">
        <v>972</v>
      </c>
    </row>
    <row r="94" customFormat="false" ht="15" hidden="true" customHeight="false" outlineLevel="1" collapsed="false">
      <c r="A94" s="3" t="s">
        <v>973</v>
      </c>
      <c r="B94" s="12" t="s">
        <v>93</v>
      </c>
      <c r="C94" s="67" t="n">
        <f aca="false">(輸入與假設!$C$325+輸入與假設!$D$325)/2-輸入與假設!$E$325</f>
        <v>8.147</v>
      </c>
      <c r="D94" s="67" t="n">
        <f aca="false">(輸入與假設!$C$325+輸入與假設!$D$325)/2-輸入與假設!$E$325</f>
        <v>8.147</v>
      </c>
      <c r="E94" s="67" t="s">
        <v>866</v>
      </c>
      <c r="F94" s="67" t="s">
        <v>866</v>
      </c>
      <c r="G94" s="67" t="s">
        <v>866</v>
      </c>
      <c r="H94" s="67" t="s">
        <v>866</v>
      </c>
      <c r="J94" s="7" t="s">
        <v>974</v>
      </c>
    </row>
    <row r="95" customFormat="false" ht="15" hidden="true" customHeight="false" outlineLevel="1" collapsed="false">
      <c r="A95" s="3" t="s">
        <v>975</v>
      </c>
      <c r="B95" s="12" t="s">
        <v>93</v>
      </c>
      <c r="C95" s="67" t="n">
        <f aca="false">IF(AND(ISNUMBER(C94),C94&lt;&gt;0,ISNUMBER(((C31+C32)/2)),ISNUMBER(C22)),(損益!C8-C94)*(((C31+C32)/2))/C94,"不適用")</f>
        <v>0.115091444703571</v>
      </c>
      <c r="D95" s="67" t="str">
        <f aca="false">IF(AND(ISNUMBER(D94),D94&lt;&gt;0,ISNUMBER(((D31+D32)/2)),ISNUMBER(D22)),(損益!C8-D94)*(((D31+D32)/2))/D94,"不適用")</f>
        <v>不適用</v>
      </c>
      <c r="E95" s="67" t="str">
        <f aca="false">IF(AND(ISNUMBER(E94),E94&lt;&gt;0,ISNUMBER(((E31+E32)/2)),ISNUMBER(E22)),(損益!D8-E94)*(((E31+E32)/2))/E94,"不適用")</f>
        <v>不適用</v>
      </c>
      <c r="F95" s="67" t="str">
        <f aca="false">IF(AND(ISNUMBER(F94),F94&lt;&gt;0,ISNUMBER(((F31+F32)/2)),ISNUMBER(F22)),(損益!D8-F94)*(((F31+F32)/2))/F94,"不適用")</f>
        <v>不適用</v>
      </c>
      <c r="G95" s="67" t="str">
        <f aca="false">IF(AND(ISNUMBER(G94),G94&lt;&gt;0,ISNUMBER(((G31+G32)/2)),ISNUMBER(G22)),(損益!D8-G94)*(((G31+G32)/2))/G94,"不適用")</f>
        <v>不適用</v>
      </c>
      <c r="H95" s="67" t="str">
        <f aca="false">IF(AND(ISNUMBER(H94),H94&lt;&gt;0,ISNUMBER(((H31+H32)/2)),ISNUMBER(H22)),(損益!D8-H94)*(((H31+H32)/2))/H94,"不適用")</f>
        <v>不適用</v>
      </c>
      <c r="J95" s="12" t="s">
        <v>970</v>
      </c>
    </row>
    <row r="96" customFormat="false" ht="15" hidden="true" customHeight="false" outlineLevel="1" collapsed="false">
      <c r="A96" s="3" t="s">
        <v>976</v>
      </c>
      <c r="B96" s="12" t="s">
        <v>93</v>
      </c>
      <c r="C96" s="67" t="n">
        <f aca="false">IF(AND(ISNUMBER(C94),C94&lt;&gt;0,ISNUMBER(((C31+C32)/2)),ISNUMBER(C22)),(C22/損益!C8-(((C31+C32)/2))/C94)*損益!C8,"不適用")</f>
        <v>0.0225752219630952</v>
      </c>
      <c r="D96" s="67" t="str">
        <f aca="false">IF(AND(ISNUMBER(D94),D94&lt;&gt;0,ISNUMBER(((D31+D32)/2)),ISNUMBER(D22)),(D22/損益!C8-(((D31+D32)/2))/D94)*損益!C8,"不適用")</f>
        <v>不適用</v>
      </c>
      <c r="E96" s="67" t="str">
        <f aca="false">IF(AND(ISNUMBER(E94),E94&lt;&gt;0,ISNUMBER(((E31+E32)/2)),ISNUMBER(E22)),(E22/損益!D8-(((E31+E32)/2))/E94)*損益!D8,"不適用")</f>
        <v>不適用</v>
      </c>
      <c r="F96" s="67" t="str">
        <f aca="false">IF(AND(ISNUMBER(F94),F94&lt;&gt;0,ISNUMBER(((F31+F32)/2)),ISNUMBER(F22)),(F22/損益!D8-(((F31+F32)/2))/F94)*損益!D8,"不適用")</f>
        <v>不適用</v>
      </c>
      <c r="G96" s="67" t="str">
        <f aca="false">IF(AND(ISNUMBER(G94),G94&lt;&gt;0,ISNUMBER(((G31+G32)/2)),ISNUMBER(G22)),(G22/損益!D8-(((G31+G32)/2))/G94)*損益!D8,"不適用")</f>
        <v>不適用</v>
      </c>
      <c r="H96" s="67" t="str">
        <f aca="false">IF(AND(ISNUMBER(H94),H94&lt;&gt;0,ISNUMBER(((H31+H32)/2)),ISNUMBER(H22)),(H22/損益!D8-(((H31+H32)/2))/H94)*損益!D8,"不適用")</f>
        <v>不適用</v>
      </c>
      <c r="J96" s="12" t="s">
        <v>972</v>
      </c>
    </row>
    <row r="97" customFormat="false" ht="15" hidden="true" customHeight="false" outlineLevel="1" collapsed="false">
      <c r="A97" s="3" t="s">
        <v>977</v>
      </c>
      <c r="C97" s="45" t="str">
        <f aca="false">IF(ISNUMBER(C51),IF(ABS(C51)&gt;輸入與假設!$C$301,IF(ISNUMBER(C92),IF(ABS(C93)&gt;ABS(C92),"營收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/>
      </c>
      <c r="D97" s="45" t="str">
        <f aca="false">IF(ISNUMBER(D51),IF(ABS(D51)&gt;輸入與假設!$C$301,IF(ISNUMBER(D92),IF(ABS(D93)&gt;ABS(D92),"營收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/>
      </c>
      <c r="E97" s="45" t="str">
        <f aca="false">IF(ISNUMBER(E51),IF(ABS(E51)&gt;輸入與假設!$C$301,IF(ISNUMBER(E92),IF(ABS(E93)&gt;ABS(E92),"營收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5" t="str">
        <f aca="false">IF(ISNUMBER(F51),IF(ABS(F51)&gt;輸入與假設!$C$301,IF(ISNUMBER(F92),IF(ABS(F93)&gt;ABS(F92),"營收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5" t="str">
        <f aca="false">IF(ISNUMBER(G51),IF(ABS(G51)&gt;輸入與假設!$C$301,IF(ISNUMBER(G92),IF(ABS(G93)&gt;ABS(G92),"營收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5" t="str">
        <f aca="false">IF(ISNUMBER(H51),IF(ABS(H51)&gt;輸入與假設!$C$301,IF(ISNUMBER(H92),IF(ABS(H93)&gt;ABS(H92),"營收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978</v>
      </c>
      <c r="C98" s="45" t="str">
        <f aca="false">IF(ISNUMBER(C51),IF(ABS(C51)&gt;輸入與假設!$C$301,IF(ISNUMBER(C92),IF(ABS(C93)&gt;ABS(C92),"拆法","觀點"),"未歸類"),""),"")</f>
        <v/>
      </c>
      <c r="D98" s="45" t="str">
        <f aca="false">IF(ISNUMBER(D51),IF(ABS(D51)&gt;輸入與假設!$C$301,IF(ISNUMBER(D92),IF(ABS(D93)&gt;ABS(D92),"拆法","觀點"),"未歸類"),""),"")</f>
        <v/>
      </c>
      <c r="E98" s="45" t="str">
        <f aca="false">IF(ISNUMBER(E51),IF(ABS(E51)&gt;輸入與假設!$C$301,IF(ISNUMBER(E92),IF(ABS(E93)&gt;ABS(E92),"拆法","觀點"),"未歸類"),""),"")</f>
        <v/>
      </c>
      <c r="F98" s="45" t="str">
        <f aca="false">IF(ISNUMBER(F51),IF(ABS(F51)&gt;輸入與假設!$C$301,IF(ISNUMBER(F92),IF(ABS(F93)&gt;ABS(F92),"拆法","觀點"),"未歸類"),""),"")</f>
        <v/>
      </c>
      <c r="G98" s="45" t="str">
        <f aca="false">IF(ISNUMBER(G51),IF(ABS(G51)&gt;輸入與假設!$C$301,IF(ISNUMBER(G92),IF(ABS(G93)&gt;ABS(G92),"拆法","觀點"),"未歸類"),""),"")</f>
        <v/>
      </c>
      <c r="H98" s="45" t="str">
        <f aca="false">IF(ISNUMBER(H51),IF(ABS(H51)&gt;輸入與假設!$C$301,IF(ISNUMBER(H92),IF(ABS(H93)&gt;ABS(H92),"拆法","觀點"),"未歸類"),""),"")</f>
        <v/>
      </c>
    </row>
    <row r="99" customFormat="false" ht="15" hidden="true" customHeight="false" outlineLevel="1" collapsed="false">
      <c r="A99" s="3" t="s">
        <v>979</v>
      </c>
      <c r="C99" s="45" t="str">
        <f aca="false">IF(ISNUMBER(C52),IF(OR(ABS(C52)&gt;輸入與假設!$C$301,C22&gt;C32,C22&lt;C31),IF(ISNUMBER(C95),IF(ABS(C96)&gt;ABS(C95),"營收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+3.9%：觀點（水準 +$0.115bn（2H26 模型 $8.413bn，指引隱含 $8.147bn）；分配 +$0.023bn）</v>
      </c>
      <c r="D99" s="45" t="str">
        <f aca="false">IF(ISNUMBER(D52),IF(OR(ABS(D52)&gt;輸入與假設!$C$301,D22&gt;D32,D22&lt;D31),IF(ISNUMBER(D95),IF(ABS(D96)&gt;ABS(D95),"營收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5" t="str">
        <f aca="false">IF(ISNUMBER(E52),IF(OR(ABS(E52)&gt;輸入與假設!$C$301,E22&gt;E32,E22&lt;E31),IF(ISNUMBER(E95),IF(ABS(E96)&gt;ABS(E95),"營收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5" t="str">
        <f aca="false">IF(ISNUMBER(F52),IF(OR(ABS(F52)&gt;輸入與假設!$C$301,F22&gt;F32,F22&lt;F31),IF(ISNUMBER(F95),IF(ABS(F96)&gt;ABS(F95),"營收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5" t="str">
        <f aca="false">IF(ISNUMBER(G52),IF(OR(ABS(G52)&gt;輸入與假設!$C$301,G22&gt;G32,G22&lt;G31),IF(ISNUMBER(G95),IF(ABS(G96)&gt;ABS(G95),"營收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5" t="str">
        <f aca="false">IF(ISNUMBER(H52),IF(OR(ABS(H52)&gt;輸入與假設!$C$301,H22&gt;H32,H22&lt;H31),IF(ISNUMBER(H95),IF(ABS(H96)&gt;ABS(H95),"營收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980</v>
      </c>
      <c r="C100" s="45" t="str">
        <f aca="false">IF(ISNUMBER(C52),IF(OR(ABS(C52)&gt;輸入與假設!$C$301,C22&gt;C32,C22&lt;C31),IF(ISNUMBER(C95),IF(ABS(C96)&gt;ABS(C95),"拆法","觀點"),"未歸類"),""),"")</f>
        <v>觀點</v>
      </c>
      <c r="D100" s="45" t="str">
        <f aca="false">IF(ISNUMBER(D52),IF(OR(ABS(D52)&gt;輸入與假設!$C$301,D22&gt;D32,D22&lt;D31),IF(ISNUMBER(D95),IF(ABS(D96)&gt;ABS(D95),"拆法","觀點"),"未歸類"),""),"")</f>
        <v/>
      </c>
      <c r="E100" s="45" t="str">
        <f aca="false">IF(ISNUMBER(E52),IF(OR(ABS(E52)&gt;輸入與假設!$C$301,E22&gt;E32,E22&lt;E31),IF(ISNUMBER(E95),IF(ABS(E96)&gt;ABS(E95),"拆法","觀點"),"未歸類"),""),"")</f>
        <v/>
      </c>
      <c r="F100" s="45" t="str">
        <f aca="false">IF(ISNUMBER(F52),IF(OR(ABS(F52)&gt;輸入與假設!$C$301,F22&gt;F32,F22&lt;F31),IF(ISNUMBER(F95),IF(ABS(F96)&gt;ABS(F95),"拆法","觀點"),"未歸類"),""),"")</f>
        <v/>
      </c>
      <c r="G100" s="45" t="str">
        <f aca="false">IF(ISNUMBER(G52),IF(OR(ABS(G52)&gt;輸入與假設!$C$301,G22&gt;G32,G22&lt;G31),IF(ISNUMBER(G95),IF(ABS(G96)&gt;ABS(G95),"拆法","觀點"),"未歸類"),""),"")</f>
        <v/>
      </c>
      <c r="H100" s="45" t="str">
        <f aca="false">IF(ISNUMBER(H52),IF(OR(ABS(H52)&gt;輸入與假設!$C$301,H22&gt;H32,H22&lt;H31),IF(ISNUMBER(H95),IF(ABS(H96)&gt;ABS(H95),"拆法","觀點"),"未歸類"),""),"")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981</v>
      </c>
      <c r="C101" s="45"/>
      <c r="D101" s="45"/>
      <c r="E101" s="45"/>
      <c r="F101" s="45"/>
      <c r="G101" s="45"/>
      <c r="H101" s="45"/>
    </row>
    <row r="102" customFormat="false" ht="15" hidden="true" customHeight="false" outlineLevel="1" collapsed="false">
      <c r="A102" s="3" t="s">
        <v>982</v>
      </c>
      <c r="C102" s="45"/>
      <c r="D102" s="45"/>
      <c r="E102" s="45"/>
      <c r="F102" s="45"/>
      <c r="G102" s="45"/>
      <c r="H102" s="45"/>
    </row>
    <row r="103" customFormat="false" ht="15" hidden="true" customHeight="false" outlineLevel="1" collapsed="false">
      <c r="A103" s="3" t="s">
        <v>983</v>
      </c>
      <c r="B103" s="12" t="s">
        <v>93</v>
      </c>
      <c r="C103" s="67" t="n">
        <f aca="false">IF(COUNT(C42,D42)=2,C42+D42,"不適用")</f>
        <v>4.944</v>
      </c>
      <c r="D103" s="67" t="n">
        <f aca="false">IF(COUNT(C42,D42)=2,C42+D42,"不適用")</f>
        <v>4.944</v>
      </c>
      <c r="E103" s="67" t="str">
        <f aca="false">IF(COUNT(E42,F42,G42,H42)=4,E42+F42+G42+H42,"不適用")</f>
        <v>不適用</v>
      </c>
      <c r="F103" s="67" t="str">
        <f aca="false">IF(COUNT(E42,F42,G42,H42)=4,E42+F42+G42+H42,"不適用")</f>
        <v>不適用</v>
      </c>
      <c r="G103" s="67" t="str">
        <f aca="false">IF(COUNT(E42,F42,G42,H42)=4,E42+F42+G42+H42,"不適用")</f>
        <v>不適用</v>
      </c>
      <c r="H103" s="67" t="str">
        <f aca="false">IF(COUNT(E42,F42,G42,H42)=4,E42+F42+G42+H42,"不適用")</f>
        <v>不適用</v>
      </c>
      <c r="J103" s="7" t="s">
        <v>968</v>
      </c>
    </row>
    <row r="104" customFormat="false" ht="15" hidden="true" customHeight="false" outlineLevel="1" collapsed="false">
      <c r="A104" s="3" t="s">
        <v>984</v>
      </c>
      <c r="B104" s="12" t="s">
        <v>93</v>
      </c>
      <c r="C104" s="67" t="n">
        <f aca="false">IF(AND(ISNUMBER(C103),C103&lt;&gt;0,ISNUMBER(C42),ISNUMBER(C28)),(損益!C19-C103)*(C42)/C103,"不適用")</f>
        <v>-0.0353269198252335</v>
      </c>
      <c r="D104" s="67" t="n">
        <f aca="false">IF(AND(ISNUMBER(D103),D103&lt;&gt;0,ISNUMBER(D42),ISNUMBER(D28)),(損益!C19-D103)*(D42)/D103,"不適用")</f>
        <v>-0.0499961342128488</v>
      </c>
      <c r="E104" s="67" t="str">
        <f aca="false">IF(AND(ISNUMBER(E103),E103&lt;&gt;0,ISNUMBER(E42),ISNUMBER(E28)),(損益!D19-E103)*(E42)/E103,"不適用")</f>
        <v>不適用</v>
      </c>
      <c r="F104" s="67" t="str">
        <f aca="false">IF(AND(ISNUMBER(F103),F103&lt;&gt;0,ISNUMBER(F42),ISNUMBER(F28)),(損益!D19-F103)*(F42)/F103,"不適用")</f>
        <v>不適用</v>
      </c>
      <c r="G104" s="67" t="str">
        <f aca="false">IF(AND(ISNUMBER(G103),G103&lt;&gt;0,ISNUMBER(G42),ISNUMBER(G28)),(損益!D19-G103)*(G42)/G103,"不適用")</f>
        <v>不適用</v>
      </c>
      <c r="H104" s="67" t="str">
        <f aca="false">IF(AND(ISNUMBER(H103),H103&lt;&gt;0,ISNUMBER(H42),ISNUMBER(H28)),(損益!D19-H103)*(H42)/H103,"不適用")</f>
        <v>不適用</v>
      </c>
      <c r="J104" s="12" t="s">
        <v>970</v>
      </c>
    </row>
    <row r="105" customFormat="false" ht="15" hidden="true" customHeight="false" outlineLevel="1" collapsed="false">
      <c r="A105" s="3" t="s">
        <v>985</v>
      </c>
      <c r="B105" s="12" t="s">
        <v>93</v>
      </c>
      <c r="C105" s="67" t="n">
        <f aca="false">IF(AND(ISNUMBER(C103),C103&lt;&gt;0,ISNUMBER(C42),ISNUMBER(C28)),(C28/損益!C19-(C42)/C103)*損益!C19,"不適用")</f>
        <v>0.0952629093090541</v>
      </c>
      <c r="D105" s="67" t="n">
        <f aca="false">IF(AND(ISNUMBER(D103),D103&lt;&gt;0,ISNUMBER(D42),ISNUMBER(D28)),(D28/損益!C19-(D42)/D103)*損益!C19,"不適用")</f>
        <v>-0.0952629093090525</v>
      </c>
      <c r="E105" s="67" t="str">
        <f aca="false">IF(AND(ISNUMBER(E103),E103&lt;&gt;0,ISNUMBER(E42),ISNUMBER(E28)),(E28/損益!D19-(E42)/E103)*損益!D19,"不適用")</f>
        <v>不適用</v>
      </c>
      <c r="F105" s="67" t="str">
        <f aca="false">IF(AND(ISNUMBER(F103),F103&lt;&gt;0,ISNUMBER(F42),ISNUMBER(F28)),(F28/損益!D19-(F42)/F103)*損益!D19,"不適用")</f>
        <v>不適用</v>
      </c>
      <c r="G105" s="67" t="str">
        <f aca="false">IF(AND(ISNUMBER(G103),G103&lt;&gt;0,ISNUMBER(G42),ISNUMBER(G28)),(G28/損益!D19-(G42)/G103)*損益!D19,"不適用")</f>
        <v>不適用</v>
      </c>
      <c r="H105" s="67" t="str">
        <f aca="false">IF(AND(ISNUMBER(H103),H103&lt;&gt;0,ISNUMBER(H42),ISNUMBER(H28)),(H28/損益!D19-(H42)/H103)*損益!D19,"不適用")</f>
        <v>不適用</v>
      </c>
      <c r="J105" s="12" t="s">
        <v>972</v>
      </c>
    </row>
    <row r="106" customFormat="false" ht="15" hidden="true" customHeight="false" outlineLevel="1" collapsed="false">
      <c r="A106" s="3" t="s">
        <v>986</v>
      </c>
      <c r="C106" s="45" t="str">
        <f aca="false">IF(ISNUMBER(C56),IF(IF(ISNUMBER(C61),ABS(C61)&gt;輸入與假設!$C$302,OR(AND(C42&lt;&gt;0,ABS(C56)&gt;輸入與假設!$C$301*ABS(C42)),AND(C42=0,C56&lt;&gt;0))),IF(ISNUMBER(C104),IF(ABS(C105)&gt;ABS(C104),"調整後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5" t="str">
        <f aca="false">IF(ISNUMBER(D56),IF(IF(ISNUMBER(D61),ABS(D61)&gt;輸入與假設!$C$302,OR(AND(D42&lt;&gt;0,ABS(D56)&gt;輸入與假設!$C$301*ABS(D42)),AND(D42=0,D56&lt;&gt;0))),IF(ISNUMBER(D104),IF(ABS(D105)&gt;ABS(D104),"調整後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−$0.15bn／−3.6pt：拆法（分配 −$0.095bn（Q4'26 占 2H26 56.6%，共識合計 58.6%）；水準 −$0.050bn）</v>
      </c>
      <c r="E106" s="45" t="str">
        <f aca="false">IF(ISNUMBER(E56),IF(IF(ISNUMBER(E61),ABS(E61)&gt;輸入與假設!$C$302,OR(AND(E42&lt;&gt;0,ABS(E56)&gt;輸入與假設!$C$301*ABS(E42)),AND(E42=0,E56&lt;&gt;0))),IF(ISNUMBER(E104),IF(ABS(E105)&gt;ABS(E104),"調整後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5" t="str">
        <f aca="false">IF(ISNUMBER(F56),IF(IF(ISNUMBER(F61),ABS(F61)&gt;輸入與假設!$C$302,OR(AND(F42&lt;&gt;0,ABS(F56)&gt;輸入與假設!$C$301*ABS(F42)),AND(F42=0,F56&lt;&gt;0))),IF(ISNUMBER(F104),IF(ABS(F105)&gt;ABS(F104),"調整後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5" t="str">
        <f aca="false">IF(ISNUMBER(G56),IF(IF(ISNUMBER(G61),ABS(G61)&gt;輸入與假設!$C$302,OR(AND(G42&lt;&gt;0,ABS(G56)&gt;輸入與假設!$C$301*ABS(G42)),AND(G42=0,G56&lt;&gt;0))),IF(ISNUMBER(G104),IF(ABS(G105)&gt;ABS(G104),"調整後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5" t="str">
        <f aca="false">IF(ISNUMBER(H56),IF(IF(ISNUMBER(H61),ABS(H61)&gt;輸入與假設!$C$302,OR(AND(H42&lt;&gt;0,ABS(H56)&gt;輸入與假設!$C$301*ABS(H42)),AND(H42=0,H56&lt;&gt;0))),IF(ISNUMBER(H104),IF(ABS(H105)&gt;ABS(H104),"調整後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987</v>
      </c>
      <c r="C107" s="45" t="str">
        <f aca="false">IF(ISNUMBER(C56),IF(IF(ISNUMBER(C61),ABS(C61)&gt;輸入與假設!$C$302,OR(AND(C42&lt;&gt;0,ABS(C56)&gt;輸入與假設!$C$301*ABS(C42)),AND(C42=0,C56&lt;&gt;0))),IF(ISNUMBER(C104),IF(ABS(C105)&gt;ABS(C104),"拆法","觀點"),"未歸類"),""),"")</f>
        <v/>
      </c>
      <c r="D107" s="45" t="str">
        <f aca="false">IF(ISNUMBER(D56),IF(IF(ISNUMBER(D61),ABS(D61)&gt;輸入與假設!$C$302,OR(AND(D42&lt;&gt;0,ABS(D56)&gt;輸入與假設!$C$301*ABS(D42)),AND(D42=0,D56&lt;&gt;0))),IF(ISNUMBER(D104),IF(ABS(D105)&gt;ABS(D104),"拆法","觀點"),"未歸類"),""),"")</f>
        <v>拆法</v>
      </c>
      <c r="E107" s="45" t="str">
        <f aca="false">IF(ISNUMBER(E56),IF(IF(ISNUMBER(E61),ABS(E61)&gt;輸入與假設!$C$302,OR(AND(E42&lt;&gt;0,ABS(E56)&gt;輸入與假設!$C$301*ABS(E42)),AND(E42=0,E56&lt;&gt;0))),IF(ISNUMBER(E104),IF(ABS(E105)&gt;ABS(E104),"拆法","觀點"),"未歸類"),""),"")</f>
        <v/>
      </c>
      <c r="F107" s="45" t="str">
        <f aca="false">IF(ISNUMBER(F56),IF(IF(ISNUMBER(F61),ABS(F61)&gt;輸入與假設!$C$302,OR(AND(F42&lt;&gt;0,ABS(F56)&gt;輸入與假設!$C$301*ABS(F42)),AND(F42=0,F56&lt;&gt;0))),IF(ISNUMBER(F104),IF(ABS(F105)&gt;ABS(F104),"拆法","觀點"),"未歸類"),""),"")</f>
        <v/>
      </c>
      <c r="G107" s="45" t="str">
        <f aca="false">IF(ISNUMBER(G56),IF(IF(ISNUMBER(G61),ABS(G61)&gt;輸入與假設!$C$302,OR(AND(G42&lt;&gt;0,ABS(G56)&gt;輸入與假設!$C$301*ABS(G42)),AND(G42=0,G56&lt;&gt;0))),IF(ISNUMBER(G104),IF(ABS(G105)&gt;ABS(G104),"拆法","觀點"),"未歸類"),""),"")</f>
        <v/>
      </c>
      <c r="H107" s="45" t="str">
        <f aca="false">IF(ISNUMBER(H56),IF(IF(ISNUMBER(H61),ABS(H61)&gt;輸入與假設!$C$302,OR(AND(H42&lt;&gt;0,ABS(H56)&gt;輸入與假設!$C$301*ABS(H42)),AND(H42=0,H56&lt;&gt;0))),IF(ISNUMBER(H104),IF(ABS(H105)&gt;ABS(H104),"拆法","觀點"),"未歸類"),""),"")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988</v>
      </c>
      <c r="C108" s="45"/>
      <c r="D108" s="45"/>
      <c r="E108" s="45"/>
      <c r="F108" s="45"/>
      <c r="G108" s="45"/>
      <c r="H108" s="45"/>
    </row>
    <row r="109" customFormat="false" ht="15" hidden="true" customHeight="false" outlineLevel="1" collapsed="false">
      <c r="A109" s="3" t="s">
        <v>989</v>
      </c>
      <c r="C109" s="45"/>
      <c r="D109" s="45"/>
      <c r="E109" s="45"/>
      <c r="F109" s="45"/>
      <c r="G109" s="45"/>
      <c r="H109" s="45"/>
    </row>
    <row r="110" customFormat="false" ht="15" hidden="true" customHeight="false" outlineLevel="1" collapsed="false">
      <c r="A110" s="3" t="s">
        <v>990</v>
      </c>
      <c r="C110" s="45"/>
      <c r="D110" s="45"/>
      <c r="E110" s="45"/>
      <c r="F110" s="45"/>
      <c r="G110" s="45"/>
      <c r="H110" s="45"/>
    </row>
    <row r="111" customFormat="false" ht="15" hidden="true" customHeight="false" outlineLevel="1" collapsed="false">
      <c r="A111" s="3" t="s">
        <v>991</v>
      </c>
      <c r="C111" s="45"/>
      <c r="D111" s="45"/>
      <c r="E111" s="45"/>
      <c r="F111" s="45"/>
      <c r="G111" s="45"/>
      <c r="H111" s="45"/>
    </row>
    <row r="112" customFormat="false" ht="15" hidden="true" customHeight="false" outlineLevel="1" collapsed="false">
      <c r="A112" s="3" t="s">
        <v>992</v>
      </c>
      <c r="C112" s="45"/>
      <c r="D112" s="45"/>
      <c r="E112" s="45"/>
      <c r="F112" s="45"/>
      <c r="G112" s="45"/>
      <c r="H112" s="45"/>
    </row>
    <row r="113" customFormat="false" ht="15" hidden="true" customHeight="false" outlineLevel="1" collapsed="false">
      <c r="A113" s="3" t="s">
        <v>993</v>
      </c>
      <c r="C113" s="45"/>
      <c r="D113" s="45"/>
      <c r="E113" s="45"/>
      <c r="F113" s="45"/>
      <c r="G113" s="45"/>
      <c r="H113" s="45"/>
    </row>
    <row r="114" customFormat="false" ht="15" hidden="true" customHeight="false" outlineLevel="1" collapsed="false">
      <c r="A114" s="3" t="s">
        <v>994</v>
      </c>
      <c r="C114" s="45" t="str">
        <f aca="false">IF(ISNUMBER(C72),IF(OR(IF(ISNUMBER(C77),ABS(C77)&gt;輸入與假設!$C$302,OR(AND(((C33+C34)/2)&lt;&gt;0,ABS(C72)&gt;輸入與假設!$C$301*ABS(((C33+C34)/2))),AND(((C33+C34)/2)=0,C72&lt;&gt;0))),C30&gt;C34,C30&lt;C33),"調整後營業利益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"&amp;IF((輸入與假設!$C$278-((C33+C34)/2))&lt;0,"−","")&amp;TEXT(ABS((輸入與假設!$C$278-((C33+C34)/2))),"#,##0.00")&amp;"（＝共識 EBITDA "&amp;IF((輸入與假設!$C$278)&lt;0,"−","")&amp;TEXT(ABS((輸入與假設!$C$278)),"#,##0.00")&amp;"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"&amp;IF((輸入與假設!$C$278-((C33+C34)/2)-C29)&lt;0,"−","+")&amp;TEXT(ABS((輸入與假設!$C$278-((C33+C34)/2)-C29)),"#,##0.00")&amp;" ＋ EBITDA "&amp;IF((C28-輸入與假設!$C$278)&lt;0,"−","+")&amp;TEXT(ABS((C28-輸入與假設!$C$278)),"#,##0.00")&amp;"；待辦 6 修正折舊"&amp;"）",""),"")</f>
        <v>調整後營業利益 vs 指引中點 −$0.30bn／−8.3pt：已知限制（對照指引隱含折舊 1.82（＝共識 EBITDA 2.05 − 指引中點 0.23，Derived），模型折舊 2.17；缺口 −0.30 ≈ 折舊 −0.36 ＋ EBITDA +0.06；待辦 6 修正折舊）</v>
      </c>
      <c r="D114" s="45" t="str">
        <f aca="false">IF(ISNUMBER(D72),IF(OR(IF(ISNUMBER(D77),ABS(D77)&gt;輸入與假設!$C$302,OR(AND(((D33+D34)/2)&lt;&gt;0,ABS(D72)&gt;輸入與假設!$C$301*ABS(((D33+D34)/2))),AND(((D33+D34)/2)=0,D72&lt;&gt;0))),D30&gt;D34,D30&lt;D33),"調整後營業利益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"&amp;IF((輸入與假設!$D$278)&lt;0,"−","")&amp;TEXT(ABS((輸入與假設!$D$278)),"#,##0.00")&amp;" − 指引中點 "&amp;"不適用"&amp;"，Derived），模型折舊 "&amp;IF((D29)&lt;0,"−","")&amp;TEXT(ABS((D29)),"#,##0.00")&amp;"；缺口 "&amp;"不適用"&amp;" ≈ 折舊 "&amp;"不適用"&amp;" ＋ EBITDA "&amp;IF((D28-輸入與假設!$D$278)&lt;0,"−","+")&amp;TEXT(ABS((D28-輸入與假設!$D$278)),"#,##0.00")&amp;"；待辦 6 修正折舊"&amp;"）",""),"")</f>
        <v/>
      </c>
      <c r="E114" s="45" t="str">
        <f aca="false">IF(ISNUMBER(E72),IF(OR(IF(ISNUMBER(E77),ABS(E77)&gt;輸入與假設!$C$302,OR(AND(((E33+E34)/2)&lt;&gt;0,ABS(E72)&gt;輸入與假設!$C$301*ABS(((E33+E34)/2))),AND(((E33+E34)/2)=0,E72&lt;&gt;0))),E30&gt;E34,E30&lt;E33),"調整後營業利益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5" t="str">
        <f aca="false">IF(ISNUMBER(F72),IF(OR(IF(ISNUMBER(F77),ABS(F77)&gt;輸入與假設!$C$302,OR(AND(((F33+F34)/2)&lt;&gt;0,ABS(F72)&gt;輸入與假設!$C$301*ABS(((F33+F34)/2))),AND(((F33+F34)/2)=0,F72&lt;&gt;0))),F30&gt;F34,F30&lt;F33),"調整後營業利益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5" t="str">
        <f aca="false">IF(ISNUMBER(G72),IF(OR(IF(ISNUMBER(G77),ABS(G77)&gt;輸入與假設!$C$302,OR(AND(((G33+G34)/2)&lt;&gt;0,ABS(G72)&gt;輸入與假設!$C$301*ABS(((G33+G34)/2))),AND(((G33+G34)/2)=0,G72&lt;&gt;0))),G30&gt;G34,G30&lt;G33),"調整後營業利益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5" t="str">
        <f aca="false">IF(ISNUMBER(H72),IF(OR(IF(ISNUMBER(H77),ABS(H77)&gt;輸入與假設!$C$302,OR(AND(((H33+H34)/2)&lt;&gt;0,ABS(H72)&gt;輸入與假設!$C$301*ABS(((H33+H34)/2))),AND(((H33+H34)/2)=0,H72&lt;&gt;0))),H30&gt;H34,H30&lt;H33),"調整後營業利益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995</v>
      </c>
      <c r="C115" s="45" t="str">
        <f aca="false">IF(ISNUMBER(C72),IF(OR(IF(ISNUMBER(C77),ABS(C77)&gt;輸入與假設!$C$302,OR(AND(((C33+C34)/2)&lt;&gt;0,ABS(C72)&gt;輸入與假設!$C$301*ABS(((C33+C34)/2))),AND(((C33+C34)/2)=0,C72&lt;&gt;0))),C30&gt;C34,C30&lt;C33),"已知限制",""),"")</f>
        <v>已知限制</v>
      </c>
      <c r="D115" s="45" t="str">
        <f aca="false">IF(ISNUMBER(D72),IF(OR(IF(ISNUMBER(D77),ABS(D77)&gt;輸入與假設!$C$302,OR(AND(((D33+D34)/2)&lt;&gt;0,ABS(D72)&gt;輸入與假設!$C$301*ABS(((D33+D34)/2))),AND(((D33+D34)/2)=0,D72&lt;&gt;0))),D30&gt;D34,D30&lt;D33),"已知限制",""),"")</f>
        <v/>
      </c>
      <c r="E115" s="45" t="str">
        <f aca="false">IF(ISNUMBER(E72),IF(OR(IF(ISNUMBER(E77),ABS(E77)&gt;輸入與假設!$C$302,OR(AND(((E33+E34)/2)&lt;&gt;0,ABS(E72)&gt;輸入與假設!$C$301*ABS(((E33+E34)/2))),AND(((E33+E34)/2)=0,E72&lt;&gt;0))),E30&gt;E34,E30&lt;E33),"已知限制",""),"")</f>
        <v/>
      </c>
      <c r="F115" s="45" t="str">
        <f aca="false">IF(ISNUMBER(F72),IF(OR(IF(ISNUMBER(F77),ABS(F77)&gt;輸入與假設!$C$302,OR(AND(((F33+F34)/2)&lt;&gt;0,ABS(F72)&gt;輸入與假設!$C$301*ABS(((F33+F34)/2))),AND(((F33+F34)/2)=0,F72&lt;&gt;0))),F30&gt;F34,F30&lt;F33),"已知限制",""),"")</f>
        <v/>
      </c>
      <c r="G115" s="45" t="str">
        <f aca="false">IF(ISNUMBER(G72),IF(OR(IF(ISNUMBER(G77),ABS(G77)&gt;輸入與假設!$C$302,OR(AND(((G33+G34)/2)&lt;&gt;0,ABS(G72)&gt;輸入與假設!$C$301*ABS(((G33+G34)/2))),AND(((G33+G34)/2)=0,G72&lt;&gt;0))),G30&gt;G34,G30&lt;G33),"已知限制",""),"")</f>
        <v/>
      </c>
      <c r="H115" s="45" t="str">
        <f aca="false">IF(ISNUMBER(H72),IF(OR(IF(ISNUMBER(H77),ABS(H77)&gt;輸入與假設!$C$302,OR(AND(((H33+H34)/2)&lt;&gt;0,ABS(H72)&gt;輸入與假設!$C$301*ABS(((H33+H34)/2))),AND(((H33+H34)/2)=0,H72&lt;&gt;0))),H30&gt;H34,H30&lt;H33),"已知限制",""),"")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996</v>
      </c>
      <c r="C116" s="45"/>
      <c r="D116" s="45"/>
      <c r="E116" s="45"/>
      <c r="F116" s="45"/>
      <c r="G116" s="45"/>
      <c r="H116" s="45"/>
    </row>
    <row r="117" customFormat="false" ht="15" hidden="true" customHeight="false" outlineLevel="1" collapsed="false">
      <c r="A117" s="3" t="s">
        <v>997</v>
      </c>
      <c r="C117" s="45"/>
      <c r="D117" s="45"/>
      <c r="E117" s="45"/>
      <c r="F117" s="45"/>
      <c r="G117" s="45"/>
      <c r="H117" s="45"/>
    </row>
    <row r="118" customFormat="false" ht="15" hidden="true" customHeight="false" outlineLevel="1" collapsed="false">
      <c r="A118" s="3" t="s">
        <v>998</v>
      </c>
      <c r="B118" s="12" t="s">
        <v>93</v>
      </c>
      <c r="C118" s="67" t="n">
        <f aca="false">(輸入與假設!$C$326+輸入與假設!$D$326)/2-輸入與假設!$E$326</f>
        <v>20.861</v>
      </c>
      <c r="D118" s="67" t="n">
        <f aca="false">(輸入與假設!$C$326+輸入與假設!$D$326)/2-輸入與假設!$E$326</f>
        <v>20.861</v>
      </c>
      <c r="E118" s="67" t="s">
        <v>866</v>
      </c>
      <c r="F118" s="67" t="s">
        <v>866</v>
      </c>
      <c r="G118" s="67" t="s">
        <v>866</v>
      </c>
      <c r="H118" s="67" t="s">
        <v>866</v>
      </c>
      <c r="J118" s="7" t="s">
        <v>974</v>
      </c>
    </row>
    <row r="119" customFormat="false" ht="15" hidden="true" customHeight="false" outlineLevel="1" collapsed="false">
      <c r="A119" s="3" t="s">
        <v>999</v>
      </c>
      <c r="B119" s="12" t="s">
        <v>93</v>
      </c>
      <c r="C119" s="67" t="n">
        <f aca="false">IF(AND(ISNUMBER(C118),C118&lt;&gt;0,ISNUMBER(((C36+C37)/2)),ISNUMBER(C40)),(輸入與假設!C$137-C118)*(((C36+C37)/2))/C118,"不適用")</f>
        <v>0.479895993121136</v>
      </c>
      <c r="D119" s="67" t="str">
        <f aca="false">IF(AND(ISNUMBER(D118),D118&lt;&gt;0,ISNUMBER(((D36+D37)/2)),ISNUMBER(D40)),(輸入與假設!C$137-D118)*(((D36+D37)/2))/D118,"不適用")</f>
        <v>不適用</v>
      </c>
      <c r="E119" s="67" t="str">
        <f aca="false">IF(AND(ISNUMBER(E118),E118&lt;&gt;0,ISNUMBER(((E36+E37)/2)),ISNUMBER(E40)),(輸入與假設!D$137-E118)*(((E36+E37)/2))/E118,"不適用")</f>
        <v>不適用</v>
      </c>
      <c r="F119" s="67" t="str">
        <f aca="false">IF(AND(ISNUMBER(F118),F118&lt;&gt;0,ISNUMBER(((F36+F37)/2)),ISNUMBER(F40)),(輸入與假設!D$137-F118)*(((F36+F37)/2))/F118,"不適用")</f>
        <v>不適用</v>
      </c>
      <c r="G119" s="67" t="str">
        <f aca="false">IF(AND(ISNUMBER(G118),G118&lt;&gt;0,ISNUMBER(((G36+G37)/2)),ISNUMBER(G40)),(輸入與假設!D$137-G118)*(((G36+G37)/2))/G118,"不適用")</f>
        <v>不適用</v>
      </c>
      <c r="H119" s="67" t="str">
        <f aca="false">IF(AND(ISNUMBER(H118),H118&lt;&gt;0,ISNUMBER(((H36+H37)/2)),ISNUMBER(H40)),(輸入與假設!D$137-H118)*(((H36+H37)/2))/H118,"不適用")</f>
        <v>不適用</v>
      </c>
      <c r="J119" s="12" t="s">
        <v>970</v>
      </c>
    </row>
    <row r="120" customFormat="false" ht="15" hidden="true" customHeight="false" outlineLevel="1" collapsed="false">
      <c r="A120" s="3" t="s">
        <v>1000</v>
      </c>
      <c r="B120" s="12" t="s">
        <v>93</v>
      </c>
      <c r="C120" s="67" t="n">
        <f aca="false">IF(AND(ISNUMBER(C118),C118&lt;&gt;0,ISNUMBER(((C36+C37)/2)),ISNUMBER(C40)),(C40/輸入與假設!C$137-(((C36+C37)/2))/C118)*輸入與假設!C$137,"不適用")</f>
        <v>-0.479895993121136</v>
      </c>
      <c r="D120" s="67" t="str">
        <f aca="false">IF(AND(ISNUMBER(D118),D118&lt;&gt;0,ISNUMBER(((D36+D37)/2)),ISNUMBER(D40)),(D40/輸入與假設!C$137-(((D36+D37)/2))/D118)*輸入與假設!C$137,"不適用")</f>
        <v>不適用</v>
      </c>
      <c r="E120" s="67" t="str">
        <f aca="false">IF(AND(ISNUMBER(E118),E118&lt;&gt;0,ISNUMBER(((E36+E37)/2)),ISNUMBER(E40)),(E40/輸入與假設!D$137-(((E36+E37)/2))/E118)*輸入與假設!D$137,"不適用")</f>
        <v>不適用</v>
      </c>
      <c r="F120" s="67" t="str">
        <f aca="false">IF(AND(ISNUMBER(F118),F118&lt;&gt;0,ISNUMBER(((F36+F37)/2)),ISNUMBER(F40)),(F40/輸入與假設!D$137-(((F36+F37)/2))/F118)*輸入與假設!D$137,"不適用")</f>
        <v>不適用</v>
      </c>
      <c r="G120" s="67" t="str">
        <f aca="false">IF(AND(ISNUMBER(G118),G118&lt;&gt;0,ISNUMBER(((G36+G37)/2)),ISNUMBER(G40)),(G40/輸入與假設!D$137-(((G36+G37)/2))/G118)*輸入與假設!D$137,"不適用")</f>
        <v>不適用</v>
      </c>
      <c r="H120" s="67" t="str">
        <f aca="false">IF(AND(ISNUMBER(H118),H118&lt;&gt;0,ISNUMBER(((H36+H37)/2)),ISNUMBER(H40)),(H40/輸入與假設!D$137-(((H36+H37)/2))/H118)*輸入與假設!D$137,"不適用")</f>
        <v>不適用</v>
      </c>
      <c r="J120" s="12" t="s">
        <v>972</v>
      </c>
    </row>
    <row r="121" customFormat="false" ht="15" hidden="true" customHeight="false" outlineLevel="1" collapsed="false">
      <c r="A121" s="3" t="s">
        <v>1001</v>
      </c>
      <c r="C121" s="45"/>
      <c r="D121" s="45"/>
      <c r="E121" s="45"/>
      <c r="F121" s="45"/>
      <c r="G121" s="45"/>
      <c r="H121" s="45"/>
    </row>
    <row r="122" customFormat="false" ht="15" hidden="true" customHeight="false" outlineLevel="1" collapsed="false">
      <c r="A122" s="3" t="s">
        <v>1002</v>
      </c>
      <c r="C122" s="45"/>
      <c r="D122" s="45"/>
      <c r="E122" s="45"/>
      <c r="F122" s="45"/>
      <c r="G122" s="45"/>
      <c r="H122" s="45"/>
    </row>
    <row r="123" customFormat="false" ht="15" hidden="true" customHeight="false" outlineLevel="1" collapsed="false">
      <c r="A123" s="3" t="s">
        <v>1003</v>
      </c>
      <c r="C123" s="45" t="str">
        <f aca="false">IF(ISNUMBER(C82),IF(OR(ABS(C82)&gt;輸入與假設!$C$301,C40&gt;C37,C40&lt;C36),IF(ISNUMBER(C119),IF(ABS(C120)&gt;ABS(C119),"CapEx（毛額）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"&amp;TEXT((C40/輸入與假設!C$137)*100,"#,##0.0")&amp;"%"&amp;"，指引隱含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"&amp;IF(輸入與假設!C$137&lt;0,"−","")&amp;"$"&amp;TEXT(ABS(輸入與假設!C$137),"#,##0.000")&amp;"bn"&amp;"，指引隱含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5" t="str">
        <f aca="false">IF(ISNUMBER(D82),IF(OR(ABS(D82)&gt;輸入與假設!$C$301,D40&gt;D37,D40&lt;D36),IF(ISNUMBER(D119),IF(ABS(D120)&gt;ABS(D119),"CapEx（毛額）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"&amp;TEXT((D40/輸入與假設!C$137)*100,"#,##0.0")&amp;"%"&amp;"，指引隱含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"&amp;IF(輸入與假設!C$137&lt;0,"−","")&amp;"$"&amp;TEXT(ABS(輸入與假設!C$137),"#,##0.000")&amp;"bn"&amp;"，指引隱含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5" t="str">
        <f aca="false">IF(ISNUMBER(E82),IF(OR(ABS(E82)&gt;輸入與假設!$C$301,E40&gt;E37,E40&lt;E36),IF(ISNUMBER(E119),IF(ABS(E120)&gt;ABS(E119),"CapEx（毛額）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"&amp;TEXT((E40/輸入與假設!D$137)*100,"#,##0.0")&amp;"%"&amp;"，指引隱含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"&amp;IF(輸入與假設!D$137&lt;0,"−","")&amp;"$"&amp;TEXT(ABS(輸入與假設!D$137),"#,##0.000")&amp;"bn"&amp;"，指引隱含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5" t="str">
        <f aca="false">IF(ISNUMBER(F82),IF(OR(ABS(F82)&gt;輸入與假設!$C$301,F40&gt;F37,F40&lt;F36),IF(ISNUMBER(F119),IF(ABS(F120)&gt;ABS(F119),"CapEx（毛額）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"&amp;TEXT((F40/輸入與假設!D$137)*100,"#,##0.0")&amp;"%"&amp;"，指引隱含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"&amp;IF(輸入與假設!D$137&lt;0,"−","")&amp;"$"&amp;TEXT(ABS(輸入與假設!D$137),"#,##0.000")&amp;"bn"&amp;"，指引隱含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5" t="str">
        <f aca="false">IF(ISNUMBER(G82),IF(OR(ABS(G82)&gt;輸入與假設!$C$301,G40&gt;G37,G40&lt;G36),IF(ISNUMBER(G119),IF(ABS(G120)&gt;ABS(G119),"CapEx（毛額）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"&amp;TEXT((G40/輸入與假設!D$137)*100,"#,##0.0")&amp;"%"&amp;"，指引隱含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"&amp;IF(輸入與假設!D$137&lt;0,"−","")&amp;"$"&amp;TEXT(ABS(輸入與假設!D$137),"#,##0.000")&amp;"bn"&amp;"，指引隱含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5" t="str">
        <f aca="false">IF(ISNUMBER(H82),IF(OR(ABS(H82)&gt;輸入與假設!$C$301,H40&gt;H37,H40&lt;H36),IF(ISNUMBER(H119),IF(ABS(H120)&gt;ABS(H119),"CapEx（毛額）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"&amp;TEXT((H40/輸入與假設!D$137)*100,"#,##0.0")&amp;"%"&amp;"，指引隱含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"&amp;IF(輸入與假設!D$137&lt;0,"−","")&amp;"$"&amp;TEXT(ABS(輸入與假設!D$137),"#,##0.000")&amp;"bn"&amp;"，指引隱含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1004</v>
      </c>
      <c r="C124" s="45" t="str">
        <f aca="false">IF(ISNUMBER(C82),IF(OR(ABS(C82)&gt;輸入與假設!$C$301,C40&gt;C37,C40&lt;C36),IF(ISNUMBER(C119),IF(ABS(C120)&gt;ABS(C119),"拆法","觀點"),"未歸類"),""),"")</f>
        <v/>
      </c>
      <c r="D124" s="45" t="str">
        <f aca="false">IF(ISNUMBER(D82),IF(OR(ABS(D82)&gt;輸入與假設!$C$301,D40&gt;D37,D40&lt;D36),IF(ISNUMBER(D119),IF(ABS(D120)&gt;ABS(D119),"拆法","觀點"),"未歸類"),""),"")</f>
        <v/>
      </c>
      <c r="E124" s="45" t="str">
        <f aca="false">IF(ISNUMBER(E82),IF(OR(ABS(E82)&gt;輸入與假設!$C$301,E40&gt;E37,E40&lt;E36),IF(ISNUMBER(E119),IF(ABS(E120)&gt;ABS(E119),"拆法","觀點"),"未歸類"),""),"")</f>
        <v/>
      </c>
      <c r="F124" s="45" t="str">
        <f aca="false">IF(ISNUMBER(F82),IF(OR(ABS(F82)&gt;輸入與假設!$C$301,F40&gt;F37,F40&lt;F36),IF(ISNUMBER(F119),IF(ABS(F120)&gt;ABS(F119),"拆法","觀點"),"未歸類"),""),"")</f>
        <v/>
      </c>
      <c r="G124" s="45" t="str">
        <f aca="false">IF(ISNUMBER(G82),IF(OR(ABS(G82)&gt;輸入與假設!$C$301,G40&gt;G37,G40&lt;G36),IF(ISNUMBER(G119),IF(ABS(G120)&gt;ABS(G119),"拆法","觀點"),"未歸類"),""),"")</f>
        <v/>
      </c>
      <c r="H124" s="45" t="str">
        <f aca="false">IF(ISNUMBER(H82),IF(OR(ABS(H82)&gt;輸入與假設!$C$301,H40&gt;H37,H40&lt;H36),IF(ISNUMBER(H119),IF(ABS(H120)&gt;ABS(H119),"拆法","觀點"),"未歸類"),""),"")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1005</v>
      </c>
      <c r="C125" s="45"/>
      <c r="D125" s="45"/>
      <c r="E125" s="45"/>
      <c r="F125" s="45"/>
      <c r="G125" s="45"/>
      <c r="H125" s="45"/>
    </row>
    <row r="126" customFormat="false" ht="15" hidden="true" customHeight="false" outlineLevel="1" collapsed="false">
      <c r="A126" s="3" t="s">
        <v>1006</v>
      </c>
      <c r="C126" s="45"/>
      <c r="D126" s="45"/>
      <c r="E126" s="45"/>
      <c r="F126" s="45"/>
      <c r="G126" s="45"/>
      <c r="H126" s="45"/>
    </row>
    <row r="127" customFormat="false" ht="15" hidden="true" customHeight="false" outlineLevel="1" collapsed="false">
      <c r="A127" s="3" t="s">
        <v>1007</v>
      </c>
      <c r="C127" s="45"/>
      <c r="D127" s="45"/>
      <c r="E127" s="45"/>
      <c r="F127" s="45"/>
      <c r="G127" s="45"/>
      <c r="H127" s="45"/>
    </row>
    <row r="128" customFormat="false" ht="15" hidden="true" customHeight="false" outlineLevel="1" collapsed="false">
      <c r="A128" s="3" t="s">
        <v>1008</v>
      </c>
      <c r="C128" s="45"/>
      <c r="D128" s="45"/>
      <c r="E128" s="45"/>
      <c r="F128" s="45"/>
      <c r="G128" s="45"/>
      <c r="H128" s="45"/>
    </row>
    <row r="129" customFormat="false" ht="15" hidden="true" customHeight="false" outlineLevel="1" collapsed="false">
      <c r="A129" s="3" t="s">
        <v>1009</v>
      </c>
      <c r="C129" s="45"/>
      <c r="D129" s="45"/>
      <c r="E129" s="45"/>
      <c r="F129" s="45"/>
      <c r="G129" s="45"/>
      <c r="H129" s="45"/>
    </row>
    <row r="130" customFormat="false" ht="15" hidden="true" customHeight="false" outlineLevel="1" collapsed="false">
      <c r="A130" s="3" t="s">
        <v>1010</v>
      </c>
      <c r="C130" s="45"/>
      <c r="D130" s="45"/>
      <c r="E130" s="45"/>
      <c r="F130" s="45"/>
      <c r="G130" s="45"/>
      <c r="H130" s="45"/>
    </row>
    <row r="131" customFormat="false" ht="15" hidden="true" customHeight="false" outlineLevel="1" collapsed="false">
      <c r="A131" s="3" t="s">
        <v>1011</v>
      </c>
      <c r="C131" s="45"/>
      <c r="D131" s="45"/>
      <c r="E131" s="45"/>
      <c r="F131" s="45"/>
      <c r="G131" s="45"/>
      <c r="H131" s="45"/>
    </row>
    <row r="132" customFormat="false" ht="15" hidden="true" customHeight="false" outlineLevel="1" collapsed="false">
      <c r="A132" s="3" t="s">
        <v>1012</v>
      </c>
      <c r="C132" s="45"/>
      <c r="D132" s="45"/>
      <c r="E132" s="45"/>
      <c r="F132" s="45"/>
      <c r="G132" s="45"/>
      <c r="H132" s="45"/>
    </row>
    <row r="133" customFormat="false" ht="15" hidden="true" customHeight="false" outlineLevel="1" collapsed="false">
      <c r="A133" s="3" t="s">
        <v>1013</v>
      </c>
      <c r="C133" s="45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指引中點 +3.9%：觀點（水準 +$0.115bn（2H26 模型 $8.413bn，指引隱含 $8.147bn）；分配 +$0.023bn）；調整後營業利益 vs 指引中點 −$0.30bn／−8.3pt：已知限制（對照指引隱含折舊 1.82（＝共識 EBITDA 2.05 − 指引中點 0.23，Derived），模型折舊 2.17；缺口 −0.30 ≈ 折舊 −0.36 ＋ EBITDA +0.06；待辦 6 修正折舊）</v>
      </c>
      <c r="D133" s="45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調整後 EBITDA vs 共識 −$0.15bn／−3.6pt：拆法（分配 −$0.095bn（Q4'26 占 2H26 56.6%，共識合計 58.6%）；水準 −$0.050bn）</v>
      </c>
      <c r="E133" s="45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5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5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5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1014</v>
      </c>
      <c r="C134" s="45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5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/>
      </c>
      <c r="E134" s="45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5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5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5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1015</v>
      </c>
      <c r="C135" s="45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5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〔拆法〕</v>
      </c>
      <c r="E135" s="45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5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5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5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1016</v>
      </c>
      <c r="C136" s="45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5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5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5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5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5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1017</v>
      </c>
      <c r="C137" s="45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5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5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5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5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5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1018</v>
      </c>
      <c r="C138" s="45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5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5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5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5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5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1019</v>
      </c>
      <c r="C139" s="45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$3.66bn｜共識 $3.54bn（+3.4%）｜指引 $3.45–3.60bn（中點 +3.9%，高於上緣）〔觀點〕</v>
      </c>
      <c r="D139" s="45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$4.75bn｜共識 $4.71bn（+0.9%）</v>
      </c>
      <c r="E139" s="45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$5.25bn</v>
      </c>
      <c r="F139" s="45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$6.11bn</v>
      </c>
      <c r="G139" s="45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$6.96bn</v>
      </c>
      <c r="H139" s="45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$7.81bn</v>
      </c>
    </row>
    <row r="140" customFormat="false" ht="15" hidden="true" customHeight="false" outlineLevel="1" collapsed="false">
      <c r="A140" s="3" t="s">
        <v>1020</v>
      </c>
      <c r="C140" s="45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$2.11bn｜共識 $2.05bn（+$0.06bn／−0.3pt）</v>
      </c>
      <c r="D140" s="45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$2.75bn｜共識 $2.90bn（−$0.15bn／−3.6pt）〔拆法〕</v>
      </c>
      <c r="E140" s="45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$3.06bn</v>
      </c>
      <c r="F140" s="45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$3.59bn</v>
      </c>
      <c r="G140" s="45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$4.11bn</v>
      </c>
      <c r="H140" s="45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$4.65bn</v>
      </c>
    </row>
    <row r="141" customFormat="false" ht="15" hidden="true" customHeight="false" outlineLevel="1" collapsed="false">
      <c r="A141" s="3" t="s">
        <v>1021</v>
      </c>
      <c r="C141" s="45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57.5%｜共識 57.8%（−0.3pt）</v>
      </c>
      <c r="D141" s="45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57.9%｜共識 61.6%（−3.6pt）</v>
      </c>
      <c r="E141" s="45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58.3%</v>
      </c>
      <c r="F141" s="45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58.7%</v>
      </c>
      <c r="G141" s="45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59.1%</v>
      </c>
      <c r="H141" s="45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59.5%</v>
      </c>
    </row>
    <row r="142" customFormat="false" ht="15" hidden="true" customHeight="false" outlineLevel="1" collapsed="false">
      <c r="A142" s="3" t="s">
        <v>1022</v>
      </c>
      <c r="C142" s="45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−$0.07bn｜指引 $0.20–0.26bn（中點 −$0.30bn／−8.3pt，低於下緣）〔已知限制〕</v>
      </c>
      <c r="D142" s="45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$0.13bn｜指引（文字）調整後營業利益率 low teens</v>
      </c>
      <c r="E142" s="45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−$0.01bn</v>
      </c>
      <c r="F142" s="45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$0.08bn</v>
      </c>
      <c r="G142" s="45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$0.16bn</v>
      </c>
      <c r="H142" s="45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$0.26bn</v>
      </c>
    </row>
    <row r="143" customFormat="false" ht="15" hidden="true" customHeight="false" outlineLevel="1" collapsed="false">
      <c r="A143" s="3" t="s">
        <v>1023</v>
      </c>
      <c r="C143" s="45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5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$9.16bn</v>
      </c>
      <c r="E143" s="45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$10.57bn</v>
      </c>
      <c r="F143" s="45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$10.57bn</v>
      </c>
      <c r="G143" s="45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$10.57bn</v>
      </c>
      <c r="H143" s="45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$10.57bn</v>
      </c>
    </row>
    <row r="144" customFormat="false" ht="15" hidden="true" customHeight="false" outlineLevel="1" collapsed="false">
      <c r="A144" s="3" t="s">
        <v>1024</v>
      </c>
      <c r="C144" s="45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5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5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5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5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5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1025</v>
      </c>
    </row>
    <row r="147" customFormat="false" ht="15" hidden="true" customHeight="false" outlineLevel="1" collapsed="false">
      <c r="A147" s="3" t="s">
        <v>1026</v>
      </c>
      <c r="C147" s="70" t="n">
        <f aca="false">C22+D22-損益!C8</f>
        <v>0</v>
      </c>
      <c r="D147" s="70" t="n">
        <f aca="false">E22+F22+G22+H22-損益!D8</f>
        <v>0</v>
      </c>
    </row>
    <row r="148" customFormat="false" ht="15" hidden="true" customHeight="false" outlineLevel="1" collapsed="false">
      <c r="A148" s="3" t="s">
        <v>1027</v>
      </c>
      <c r="C148" s="70" t="n">
        <f aca="false">C28+D28-損益!C19</f>
        <v>0</v>
      </c>
      <c r="D148" s="70" t="n">
        <f aca="false">E28+F28+G28+H28-損益!D19</f>
        <v>0</v>
      </c>
    </row>
    <row r="149" customFormat="false" ht="15" hidden="true" customHeight="false" outlineLevel="1" collapsed="false">
      <c r="A149" s="3" t="s">
        <v>1028</v>
      </c>
      <c r="C149" s="70" t="n">
        <f aca="false">C30+D30-損益!C10</f>
        <v>1.77635683940025E-015</v>
      </c>
      <c r="D149" s="70" t="n">
        <f aca="false">E30+F30+G30+H30-損益!D10</f>
        <v>0</v>
      </c>
    </row>
    <row r="150" customFormat="false" ht="15" hidden="true" customHeight="false" outlineLevel="1" collapsed="false">
      <c r="A150" s="3" t="s">
        <v>1029</v>
      </c>
      <c r="C150" s="70" t="n">
        <f aca="false">C40+D40-輸入與假設!C$137</f>
        <v>0</v>
      </c>
      <c r="D150" s="70" t="n">
        <f aca="false">E40+F40+G40+H40-輸入與假設!D$137</f>
        <v>0</v>
      </c>
    </row>
    <row r="151" customFormat="false" ht="15" hidden="true" customHeight="false" outlineLevel="1" collapsed="false">
      <c r="A151" s="3" t="s">
        <v>1030</v>
      </c>
      <c r="C151" s="70" t="n">
        <f aca="false">C29+D29-輸入與假設!C$138</f>
        <v>0</v>
      </c>
      <c r="D151" s="70" t="n">
        <f aca="false">E29+F29+G29+H29-輸入與假設!D$138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1031</v>
      </c>
    </row>
    <row r="2" customFormat="false" ht="15" hidden="false" customHeight="false" outlineLevel="0" collapsed="false">
      <c r="A2" s="7" t="s">
        <v>1032</v>
      </c>
    </row>
    <row r="3" customFormat="false" ht="15" hidden="false" customHeight="false" outlineLevel="0" collapsed="false">
      <c r="A3" s="12" t="s">
        <v>1033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173</v>
      </c>
      <c r="G5" s="27" t="s">
        <v>174</v>
      </c>
      <c r="I5" s="15" t="s">
        <v>726</v>
      </c>
    </row>
    <row r="6" customFormat="false" ht="15" hidden="false" customHeight="false" outlineLevel="0" collapsed="false">
      <c r="A6" s="3" t="s">
        <v>503</v>
      </c>
      <c r="B6" s="7"/>
      <c r="C6" s="67" t="str">
        <f aca="false">"2026-07-01~12-31"</f>
        <v>2026-07-01~12-31</v>
      </c>
      <c r="D6" s="67" t="str">
        <f aca="false">"2027 全年"</f>
        <v>2027 全年</v>
      </c>
      <c r="E6" s="67" t="str">
        <f aca="false">"2028 全年"</f>
        <v>2028 全年</v>
      </c>
      <c r="F6" s="67" t="str">
        <f aca="false">"2029 全年"</f>
        <v>2029 全年</v>
      </c>
      <c r="G6" s="67" t="str">
        <f aca="false">"2030 全年"</f>
        <v>2030 全年</v>
      </c>
      <c r="I6" s="12" t="s">
        <v>1034</v>
      </c>
    </row>
    <row r="7" customFormat="false" ht="15" hidden="false" customHeight="false" outlineLevel="0" collapsed="false">
      <c r="A7" s="3" t="s">
        <v>207</v>
      </c>
      <c r="B7" s="7"/>
      <c r="C7" s="42" t="n">
        <f aca="false">輸入與假設!C$24</f>
        <v>0.5</v>
      </c>
      <c r="D7" s="42" t="n">
        <f aca="false">輸入與假設!D$24</f>
        <v>1</v>
      </c>
      <c r="E7" s="42" t="n">
        <f aca="false">輸入與假設!E$24</f>
        <v>1</v>
      </c>
      <c r="F7" s="42" t="n">
        <f aca="false">輸入與假設!F$24</f>
        <v>1</v>
      </c>
      <c r="G7" s="42" t="n">
        <f aca="false">輸入與假設!G$24</f>
        <v>1</v>
      </c>
      <c r="I7" s="7" t="s">
        <v>1035</v>
      </c>
    </row>
    <row r="8" customFormat="false" ht="15" hidden="false" customHeight="false" outlineLevel="0" collapsed="false">
      <c r="A8" s="51" t="s">
        <v>1036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1037</v>
      </c>
      <c r="B9" s="12" t="s">
        <v>177</v>
      </c>
      <c r="C9" s="69" t="n">
        <f aca="false">MAX(0,輸入與假設!C$26)</f>
        <v>1850</v>
      </c>
      <c r="D9" s="69" t="n">
        <f aca="false">MAX(輸入與假設!D$26,C9)</f>
        <v>3100</v>
      </c>
      <c r="E9" s="69" t="n">
        <f aca="false">MAX(輸入與假設!E$26,D9)</f>
        <v>4000</v>
      </c>
      <c r="F9" s="69" t="n">
        <f aca="false">MAX(輸入與假設!F$26,E9)</f>
        <v>4800</v>
      </c>
      <c r="G9" s="69" t="n">
        <f aca="false">MAX(輸入與假設!G$26,F9)</f>
        <v>5600</v>
      </c>
      <c r="I9" s="7" t="s">
        <v>1038</v>
      </c>
    </row>
    <row r="10" customFormat="false" ht="15" hidden="false" customHeight="false" outlineLevel="1" collapsed="false">
      <c r="A10" s="4" t="s">
        <v>1039</v>
      </c>
      <c r="B10" s="12" t="s">
        <v>177</v>
      </c>
      <c r="C10" s="69" t="n">
        <f aca="false">MIN(MAX(0,輸入與假設!C$27),C9)</f>
        <v>1700</v>
      </c>
      <c r="D10" s="69" t="n">
        <f aca="false">MIN(MAX(0,輸入與假設!D$27),D9)</f>
        <v>2900</v>
      </c>
      <c r="E10" s="69" t="n">
        <f aca="false">MIN(MAX(0,輸入與假設!E$27),E9)</f>
        <v>3739</v>
      </c>
      <c r="F10" s="69" t="n">
        <f aca="false">MIN(MAX(0,輸入與假設!F$27),F9)</f>
        <v>4495</v>
      </c>
      <c r="G10" s="69" t="n">
        <f aca="false">MIN(MAX(0,輸入與假設!G$27),G9)</f>
        <v>5250</v>
      </c>
      <c r="I10" s="7" t="s">
        <v>1040</v>
      </c>
    </row>
    <row r="11" customFormat="false" ht="15" hidden="false" customHeight="false" outlineLevel="1" collapsed="false">
      <c r="A11" s="3" t="s">
        <v>1041</v>
      </c>
      <c r="B11" s="12" t="s">
        <v>177</v>
      </c>
      <c r="C11" s="69" t="n">
        <f aca="false">輸入與假設!$C$20</f>
        <v>1350</v>
      </c>
      <c r="D11" s="69" t="n">
        <f aca="false">C10</f>
        <v>1700</v>
      </c>
      <c r="E11" s="69" t="n">
        <f aca="false">D10</f>
        <v>2900</v>
      </c>
      <c r="F11" s="69" t="n">
        <f aca="false">E10</f>
        <v>3739</v>
      </c>
      <c r="G11" s="69" t="n">
        <f aca="false">F10</f>
        <v>4495</v>
      </c>
      <c r="I11" s="7" t="s">
        <v>1042</v>
      </c>
    </row>
    <row r="12" customFormat="false" ht="15" hidden="false" customHeight="false" outlineLevel="1" collapsed="false">
      <c r="A12" s="3" t="s">
        <v>1043</v>
      </c>
      <c r="B12" s="12" t="s">
        <v>177</v>
      </c>
      <c r="C12" s="69" t="n">
        <f aca="false">IF(輸入與假設!$C$21=1,(C11+C10)/2,C10)</f>
        <v>1525</v>
      </c>
      <c r="D12" s="69" t="n">
        <f aca="false">IF(輸入與假設!$C$21=1,(D11+D10)/2,D10)</f>
        <v>2300</v>
      </c>
      <c r="E12" s="69" t="n">
        <f aca="false">IF(輸入與假設!$C$21=1,(E11+E10)/2,E10)</f>
        <v>3319.5</v>
      </c>
      <c r="F12" s="69" t="n">
        <f aca="false">IF(輸入與假設!$C$21=1,(F11+F10)/2,F10)</f>
        <v>4117</v>
      </c>
      <c r="G12" s="69" t="n">
        <f aca="false">IF(輸入與假設!$C$21=1,(G11+G10)/2,G10)</f>
        <v>4872.5</v>
      </c>
      <c r="I12" s="7" t="s">
        <v>1044</v>
      </c>
    </row>
    <row r="13" customFormat="false" ht="15" hidden="false" customHeight="false" outlineLevel="1" collapsed="false">
      <c r="A13" s="3" t="s">
        <v>215</v>
      </c>
      <c r="B13" s="12" t="s">
        <v>77</v>
      </c>
      <c r="C13" s="52" t="n">
        <f aca="false">輸入與假設!C$28</f>
        <v>0.95</v>
      </c>
      <c r="D13" s="52" t="n">
        <f aca="false">輸入與假設!D$28</f>
        <v>0.95</v>
      </c>
      <c r="E13" s="52" t="n">
        <f aca="false">輸入與假設!E$28</f>
        <v>0.94</v>
      </c>
      <c r="F13" s="52" t="n">
        <f aca="false">輸入與假設!F$28</f>
        <v>0.93</v>
      </c>
      <c r="G13" s="52" t="n">
        <f aca="false">輸入與假設!G$28</f>
        <v>0.92</v>
      </c>
    </row>
    <row r="14" customFormat="false" ht="15" hidden="false" customHeight="false" outlineLevel="1" collapsed="false">
      <c r="A14" s="3" t="s">
        <v>217</v>
      </c>
      <c r="B14" s="12" t="s">
        <v>218</v>
      </c>
      <c r="C14" s="71" t="n">
        <f aca="false">輸入與假設!C$29</f>
        <v>0.0112</v>
      </c>
      <c r="D14" s="71" t="n">
        <f aca="false">輸入與假設!D$29</f>
        <v>0.0115</v>
      </c>
      <c r="E14" s="71" t="n">
        <f aca="false">輸入與假設!E$29</f>
        <v>0.0115</v>
      </c>
      <c r="F14" s="71" t="n">
        <f aca="false">輸入與假設!F$29</f>
        <v>0.011</v>
      </c>
      <c r="G14" s="71" t="n">
        <f aca="false">輸入與假設!G$29</f>
        <v>0.0105</v>
      </c>
    </row>
    <row r="15" customFormat="false" ht="15" hidden="false" customHeight="false" outlineLevel="1" collapsed="false">
      <c r="A15" s="3" t="s">
        <v>1045</v>
      </c>
      <c r="B15" s="12" t="s">
        <v>93</v>
      </c>
      <c r="C15" s="39" t="n">
        <f aca="false">C12*輸入與假設!C$29*輸入與假設!$C$22*輸入與假設!C$28*C7</f>
        <v>8.113</v>
      </c>
      <c r="D15" s="39" t="n">
        <f aca="false">D12*輸入與假設!D$29*輸入與假設!$C$22*輸入與假設!D$28*D7</f>
        <v>25.1275</v>
      </c>
      <c r="E15" s="39" t="n">
        <f aca="false">E12*輸入與假設!E$29*輸入與假設!$C$22*輸入與假設!E$28*E7</f>
        <v>35.883795</v>
      </c>
      <c r="F15" s="39" t="n">
        <f aca="false">F12*輸入與假設!F$29*輸入與假設!$C$22*輸入與假設!F$28*F7</f>
        <v>42.11691</v>
      </c>
      <c r="G15" s="39" t="n">
        <f aca="false">G12*輸入與假設!G$29*輸入與假設!$C$22*輸入與假設!G$28*G7</f>
        <v>47.06835</v>
      </c>
      <c r="I15" s="7" t="s">
        <v>1046</v>
      </c>
    </row>
    <row r="16" customFormat="false" ht="15" hidden="false" customHeight="false" outlineLevel="0" collapsed="false">
      <c r="A16" s="51" t="s">
        <v>1047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1048</v>
      </c>
      <c r="B17" s="12" t="s">
        <v>93</v>
      </c>
      <c r="C17" s="67" t="n">
        <f aca="false">(輸入與假設!$C$15+輸入與假設!$C$16)*(輸入與假設!C$25/輸入與假設!$C$18)*輸入與假設!$C$17</f>
        <v>13.19175</v>
      </c>
      <c r="D17" s="67" t="n">
        <f aca="false">(輸入與假設!$C$15+輸入與假設!$C$16)*(輸入與假設!D$25/輸入與假設!$C$18)*輸入與假設!$C$17</f>
        <v>26.3835</v>
      </c>
      <c r="E17" s="67" t="n">
        <f aca="false">(輸入與假設!$C$15+輸入與假設!$C$16)*(輸入與假設!E$25/輸入與假設!$C$18)*輸入與假設!$C$17</f>
        <v>25.74</v>
      </c>
      <c r="F17" s="67" t="n">
        <f aca="false">(輸入與假設!$C$15+輸入與假設!$C$16)*(輸入與假設!F$25/輸入與假設!$C$18)*輸入與假設!$C$17</f>
        <v>25.0965</v>
      </c>
      <c r="G17" s="67" t="n">
        <f aca="false">(輸入與假設!$C$15+輸入與假設!$C$16)*(輸入與假設!G$25/輸入與假設!$C$18)*輸入與假設!$C$17</f>
        <v>17.69625</v>
      </c>
      <c r="I17" s="7" t="s">
        <v>1049</v>
      </c>
    </row>
    <row r="18" customFormat="false" ht="15" hidden="false" customHeight="false" outlineLevel="0" collapsed="false">
      <c r="A18" s="51" t="s">
        <v>1050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1051</v>
      </c>
      <c r="B19" s="12" t="s">
        <v>93</v>
      </c>
      <c r="C19" s="39" t="n">
        <f aca="false">MAX(0,C17-C15)</f>
        <v>5.07875</v>
      </c>
      <c r="D19" s="39" t="n">
        <f aca="false">MAX(0,D17-D15)</f>
        <v>1.256</v>
      </c>
      <c r="E19" s="39" t="n">
        <f aca="false">MAX(0,E17-E15)</f>
        <v>0</v>
      </c>
      <c r="F19" s="39" t="n">
        <f aca="false">MAX(0,F17-F15)</f>
        <v>0</v>
      </c>
      <c r="G19" s="39" t="n">
        <f aca="false">MAX(0,G17-G15)</f>
        <v>0</v>
      </c>
      <c r="I19" s="7" t="s">
        <v>1052</v>
      </c>
    </row>
    <row r="20" customFormat="false" ht="15" hidden="false" customHeight="false" outlineLevel="1" collapsed="false">
      <c r="A20" s="3" t="s">
        <v>1053</v>
      </c>
      <c r="B20" s="12" t="s">
        <v>93</v>
      </c>
      <c r="C20" s="67" t="n">
        <f aca="false">C17-C19</f>
        <v>8.113</v>
      </c>
      <c r="D20" s="67" t="n">
        <f aca="false">D17-D19</f>
        <v>25.1275</v>
      </c>
      <c r="E20" s="67" t="n">
        <f aca="false">E17-E19</f>
        <v>25.74</v>
      </c>
      <c r="F20" s="67" t="n">
        <f aca="false">F17-F19</f>
        <v>25.0965</v>
      </c>
      <c r="G20" s="67" t="n">
        <f aca="false">G17-G19</f>
        <v>17.69625</v>
      </c>
      <c r="I20" s="7" t="s">
        <v>1054</v>
      </c>
    </row>
    <row r="21" customFormat="false" ht="15" hidden="false" customHeight="false" outlineLevel="1" collapsed="false">
      <c r="A21" s="3" t="s">
        <v>1055</v>
      </c>
      <c r="B21" s="12" t="s">
        <v>93</v>
      </c>
      <c r="C21" s="67" t="n">
        <f aca="false">MAX(0,C15-C17)</f>
        <v>0</v>
      </c>
      <c r="D21" s="67" t="n">
        <f aca="false">MAX(0,D15-D17)</f>
        <v>0</v>
      </c>
      <c r="E21" s="67" t="n">
        <f aca="false">MAX(0,E15-E17)</f>
        <v>10.143795</v>
      </c>
      <c r="F21" s="67" t="n">
        <f aca="false">MAX(0,F15-F17)</f>
        <v>17.02041</v>
      </c>
      <c r="G21" s="67" t="n">
        <f aca="false">MAX(0,G15-G17)</f>
        <v>29.3721</v>
      </c>
      <c r="I21" s="7" t="s">
        <v>1056</v>
      </c>
    </row>
    <row r="22" customFormat="false" ht="15" hidden="false" customHeight="false" outlineLevel="1" collapsed="false">
      <c r="A22" s="3" t="s">
        <v>220</v>
      </c>
      <c r="B22" s="12" t="s">
        <v>77</v>
      </c>
      <c r="C22" s="52" t="n">
        <f aca="false">輸入與假設!C$30</f>
        <v>1</v>
      </c>
      <c r="D22" s="52" t="n">
        <f aca="false">輸入與假設!D$30</f>
        <v>1</v>
      </c>
      <c r="E22" s="52" t="n">
        <f aca="false">輸入與假設!E$30</f>
        <v>0.9</v>
      </c>
      <c r="F22" s="52" t="n">
        <f aca="false">輸入與假設!F$30</f>
        <v>0.85</v>
      </c>
      <c r="G22" s="52" t="n">
        <f aca="false">輸入與假設!G$30</f>
        <v>0.8</v>
      </c>
    </row>
    <row r="23" customFormat="false" ht="15" hidden="false" customHeight="false" outlineLevel="1" collapsed="false">
      <c r="A23" s="3" t="s">
        <v>1057</v>
      </c>
      <c r="B23" s="12" t="s">
        <v>93</v>
      </c>
      <c r="C23" s="67" t="n">
        <f aca="false">C21*輸入與假設!C$30</f>
        <v>0</v>
      </c>
      <c r="D23" s="67" t="n">
        <f aca="false">D21*輸入與假設!D$30</f>
        <v>0</v>
      </c>
      <c r="E23" s="67" t="n">
        <f aca="false">E21*輸入與假設!E$30</f>
        <v>9.1294155</v>
      </c>
      <c r="F23" s="67" t="n">
        <f aca="false">F21*輸入與假設!F$30</f>
        <v>14.4673485</v>
      </c>
      <c r="G23" s="67" t="n">
        <f aca="false">G21*輸入與假設!G$30</f>
        <v>23.49768</v>
      </c>
      <c r="I23" s="7" t="s">
        <v>1058</v>
      </c>
    </row>
    <row r="24" customFormat="false" ht="15" hidden="false" customHeight="false" outlineLevel="1" collapsed="false">
      <c r="A24" s="3" t="s">
        <v>1059</v>
      </c>
      <c r="B24" s="12" t="s">
        <v>93</v>
      </c>
      <c r="C24" s="67" t="n">
        <f aca="false">MAX(0,C15-C20-C23)</f>
        <v>0</v>
      </c>
      <c r="D24" s="67" t="n">
        <f aca="false">MAX(0,D15-D20-D23)</f>
        <v>0</v>
      </c>
      <c r="E24" s="67" t="n">
        <f aca="false">MAX(0,E15-E20-E23)</f>
        <v>1.0143795</v>
      </c>
      <c r="F24" s="67" t="n">
        <f aca="false">MAX(0,F15-F20-F23)</f>
        <v>2.5530615</v>
      </c>
      <c r="G24" s="67" t="n">
        <f aca="false">MAX(0,G15-G20-G23)</f>
        <v>5.87442</v>
      </c>
      <c r="I24" s="7" t="s">
        <v>1060</v>
      </c>
    </row>
    <row r="25" customFormat="false" ht="15" hidden="false" customHeight="false" outlineLevel="1" collapsed="false">
      <c r="A25" s="3" t="s">
        <v>1061</v>
      </c>
      <c r="B25" s="12" t="s">
        <v>93</v>
      </c>
      <c r="C25" s="39" t="n">
        <f aca="false">C20+C23</f>
        <v>8.113</v>
      </c>
      <c r="D25" s="39" t="n">
        <f aca="false">D20+D23</f>
        <v>25.1275</v>
      </c>
      <c r="E25" s="39" t="n">
        <f aca="false">E20+E23</f>
        <v>34.8694155</v>
      </c>
      <c r="F25" s="39" t="n">
        <f aca="false">F20+F23</f>
        <v>39.5638485</v>
      </c>
      <c r="G25" s="39" t="n">
        <f aca="false">G20+G23</f>
        <v>41.19393</v>
      </c>
      <c r="I25" s="7" t="s">
        <v>1062</v>
      </c>
    </row>
    <row r="26" customFormat="false" ht="15" hidden="false" customHeight="false" outlineLevel="1" collapsed="false">
      <c r="A26" s="4" t="s">
        <v>1063</v>
      </c>
      <c r="B26" s="12" t="s">
        <v>93</v>
      </c>
      <c r="C26" s="42" t="n">
        <f aca="false">輸入與假設!$C$223</f>
        <v>4.653</v>
      </c>
      <c r="D26" s="42" t="n">
        <f aca="false">0</f>
        <v>0</v>
      </c>
      <c r="E26" s="42" t="n">
        <f aca="false">0</f>
        <v>0</v>
      </c>
      <c r="F26" s="42" t="n">
        <f aca="false">0</f>
        <v>0</v>
      </c>
      <c r="G26" s="42" t="n">
        <f aca="false">0</f>
        <v>0</v>
      </c>
      <c r="I26" s="12" t="s">
        <v>1064</v>
      </c>
    </row>
    <row r="27" customFormat="false" ht="15" hidden="false" customHeight="false" outlineLevel="1" collapsed="false">
      <c r="A27" s="4" t="s">
        <v>1065</v>
      </c>
      <c r="B27" s="12" t="s">
        <v>93</v>
      </c>
      <c r="C27" s="72" t="n">
        <f aca="false">C26+C25+輸入與假設!C$33</f>
        <v>13.066</v>
      </c>
      <c r="D27" s="39" t="n">
        <f aca="false">D26+D25+輸入與假設!D$33</f>
        <v>26.1275</v>
      </c>
      <c r="E27" s="39" t="n">
        <f aca="false">E26+E25+輸入與假設!E$33</f>
        <v>36.6694155</v>
      </c>
      <c r="F27" s="39" t="n">
        <f aca="false">F26+F25+輸入與假設!F$33</f>
        <v>42.3638485</v>
      </c>
      <c r="G27" s="39" t="n">
        <f aca="false">G26+G25+輸入與假設!G$33</f>
        <v>44.99393</v>
      </c>
      <c r="I27" s="12" t="s">
        <v>1066</v>
      </c>
    </row>
    <row r="28" customFormat="false" ht="15" hidden="false" customHeight="false" outlineLevel="0" collapsed="false">
      <c r="A28" s="51" t="s">
        <v>1067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222</v>
      </c>
      <c r="B29" s="12" t="s">
        <v>77</v>
      </c>
      <c r="C29" s="52" t="n">
        <f aca="false">輸入與假設!C$31</f>
        <v>0.005</v>
      </c>
      <c r="D29" s="52" t="n">
        <f aca="false">輸入與假設!D$31</f>
        <v>0.01</v>
      </c>
      <c r="E29" s="52" t="n">
        <f aca="false">輸入與假設!E$31</f>
        <v>0.015</v>
      </c>
      <c r="F29" s="52" t="n">
        <f aca="false">輸入與假設!F$31</f>
        <v>0.02</v>
      </c>
      <c r="G29" s="52" t="n">
        <f aca="false">輸入與假設!G$31</f>
        <v>0.025</v>
      </c>
    </row>
    <row r="30" customFormat="false" ht="15" hidden="false" customHeight="false" outlineLevel="1" collapsed="false">
      <c r="A30" s="3" t="s">
        <v>224</v>
      </c>
      <c r="B30" s="12" t="s">
        <v>77</v>
      </c>
      <c r="C30" s="52" t="n">
        <f aca="false">輸入與假設!C$32</f>
        <v>0.5</v>
      </c>
      <c r="D30" s="52" t="n">
        <f aca="false">輸入與假設!D$32</f>
        <v>0.5</v>
      </c>
      <c r="E30" s="52" t="n">
        <f aca="false">輸入與假設!E$32</f>
        <v>0.5</v>
      </c>
      <c r="F30" s="52" t="n">
        <f aca="false">輸入與假設!F$32</f>
        <v>0.5</v>
      </c>
      <c r="G30" s="52" t="n">
        <f aca="false">輸入與假設!G$32</f>
        <v>0.5</v>
      </c>
    </row>
    <row r="31" customFormat="false" ht="15" hidden="false" customHeight="false" outlineLevel="1" collapsed="false">
      <c r="A31" s="3" t="s">
        <v>1068</v>
      </c>
      <c r="B31" s="12" t="s">
        <v>93</v>
      </c>
      <c r="C31" s="67" t="n">
        <f aca="false">C20*輸入與假設!C$31*(1-輸入與假設!C$32)</f>
        <v>0.0202825</v>
      </c>
      <c r="D31" s="67" t="n">
        <f aca="false">D20*輸入與假設!D$31*(1-輸入與假設!D$32)</f>
        <v>0.1256375</v>
      </c>
      <c r="E31" s="67" t="n">
        <f aca="false">E20*輸入與假設!E$31*(1-輸入與假設!E$32)</f>
        <v>0.19305</v>
      </c>
      <c r="F31" s="67" t="n">
        <f aca="false">F20*輸入與假設!F$31*(1-輸入與假設!F$32)</f>
        <v>0.250965</v>
      </c>
      <c r="G31" s="67" t="n">
        <f aca="false">G20*輸入與假設!G$31*(1-輸入與假設!G$32)</f>
        <v>0.221203125</v>
      </c>
      <c r="I31" s="7" t="s">
        <v>1069</v>
      </c>
    </row>
    <row r="32" customFormat="false" ht="15" hidden="false" customHeight="false" outlineLevel="1" collapsed="false">
      <c r="A32" s="3" t="s">
        <v>1070</v>
      </c>
      <c r="B32" s="12" t="s">
        <v>93</v>
      </c>
      <c r="C32" s="67" t="n">
        <f aca="false">C20-C31</f>
        <v>8.0927175</v>
      </c>
      <c r="D32" s="67" t="n">
        <f aca="false">D20-D31</f>
        <v>25.0018625</v>
      </c>
      <c r="E32" s="67" t="n">
        <f aca="false">E20-E31</f>
        <v>25.54695</v>
      </c>
      <c r="F32" s="67" t="n">
        <f aca="false">F20-F31</f>
        <v>24.845535</v>
      </c>
      <c r="G32" s="67" t="n">
        <f aca="false">G20-G31</f>
        <v>17.475046875</v>
      </c>
    </row>
    <row r="33" customFormat="false" ht="15" hidden="false" customHeight="false" outlineLevel="1" collapsed="false">
      <c r="A33" s="4" t="s">
        <v>1071</v>
      </c>
      <c r="B33" s="12" t="s">
        <v>77</v>
      </c>
      <c r="C33" s="52" t="n">
        <f aca="false">輸入與假設!C$87</f>
        <v>0.577520140967778</v>
      </c>
      <c r="D33" s="52" t="n">
        <f aca="false">輸入與假設!D$87</f>
        <v>0.589996743729603</v>
      </c>
      <c r="E33" s="52" t="n">
        <f aca="false">輸入與假設!E$87</f>
        <v>0.602794266823612</v>
      </c>
      <c r="F33" s="52" t="n">
        <f aca="false">輸入與假設!F$87</f>
        <v>0.592555894798447</v>
      </c>
      <c r="G33" s="52" t="n">
        <f aca="false">輸入與假設!G$87</f>
        <v>0.569106583132596</v>
      </c>
      <c r="I33" s="7" t="s">
        <v>1072</v>
      </c>
    </row>
    <row r="34" customFormat="false" ht="15" hidden="false" customHeight="false" outlineLevel="1" collapsed="false">
      <c r="A34" s="3" t="s">
        <v>1073</v>
      </c>
      <c r="B34" s="12" t="s">
        <v>93</v>
      </c>
      <c r="C34" s="67" t="n">
        <f aca="false">C25+輸入與假設!C$33</f>
        <v>8.413</v>
      </c>
      <c r="D34" s="67" t="n">
        <f aca="false">D25+輸入與假設!D$33</f>
        <v>26.1275</v>
      </c>
      <c r="E34" s="67" t="n">
        <f aca="false">E25+輸入與假設!E$33</f>
        <v>36.6694155</v>
      </c>
      <c r="F34" s="67" t="n">
        <f aca="false">F25+輸入與假設!F$33</f>
        <v>42.3638485</v>
      </c>
      <c r="G34" s="67" t="n">
        <f aca="false">G25+輸入與假設!G$33</f>
        <v>44.99393</v>
      </c>
    </row>
    <row r="35" customFormat="false" ht="15" hidden="false" customHeight="false" outlineLevel="1" collapsed="false">
      <c r="A35" s="4" t="s">
        <v>1074</v>
      </c>
      <c r="B35" s="12" t="s">
        <v>77</v>
      </c>
      <c r="C35" s="73" t="n">
        <f aca="false">輸入與假設!C$87+各期收支!C12/MAX(0.01,C34)</f>
        <v>0.736797449894439</v>
      </c>
      <c r="D35" s="73" t="n">
        <f aca="false">輸入與假設!D$87+各期收支!D12/MAX(0.01,D34)</f>
        <v>0.740757436486277</v>
      </c>
      <c r="E35" s="73" t="n">
        <f aca="false">輸入與假設!E$87+各期收支!E12/MAX(0.01,E34)</f>
        <v>0.731657919932827</v>
      </c>
      <c r="F35" s="73" t="n">
        <f aca="false">輸入與假設!F$87+各期收支!F12/MAX(0.01,F34)</f>
        <v>0.713484473796647</v>
      </c>
      <c r="G35" s="73" t="n">
        <f aca="false">輸入與假設!G$87+各期收支!G12/MAX(0.01,G34)</f>
        <v>0.684467443176128</v>
      </c>
      <c r="I35" s="7" t="s">
        <v>1075</v>
      </c>
    </row>
    <row r="36" customFormat="false" ht="15" hidden="false" customHeight="false" outlineLevel="1" collapsed="false">
      <c r="A36" s="4" t="s">
        <v>1076</v>
      </c>
      <c r="B36" s="12" t="s">
        <v>93</v>
      </c>
      <c r="C36" s="39" t="n">
        <f aca="false">C32*C35</f>
        <v>5.9626936167161</v>
      </c>
      <c r="D36" s="39" t="n">
        <f aca="false">D32*D35</f>
        <v>18.5203155728824</v>
      </c>
      <c r="E36" s="39" t="n">
        <f aca="false">E32*E35</f>
        <v>18.6916282976279</v>
      </c>
      <c r="F36" s="39" t="n">
        <f aca="false">F32*F35</f>
        <v>17.7269034656712</v>
      </c>
      <c r="G36" s="39" t="n">
        <f aca="false">G32*G35</f>
        <v>11.9611006539142</v>
      </c>
      <c r="I36" s="12" t="s">
        <v>1077</v>
      </c>
    </row>
    <row r="37" customFormat="false" ht="15" hidden="false" customHeight="false" outlineLevel="1" collapsed="false">
      <c r="A37" s="3" t="s">
        <v>1078</v>
      </c>
      <c r="B37" s="12" t="s">
        <v>93</v>
      </c>
      <c r="C37" s="67" t="n">
        <f aca="false">C23*(1-輸入與假設!C$31*(1-輸入與假設!C$32))*C35</f>
        <v>0</v>
      </c>
      <c r="D37" s="67" t="n">
        <f aca="false">D23*(1-輸入與假設!D$31*(1-輸入與假設!D$32))*D35</f>
        <v>0</v>
      </c>
      <c r="E37" s="67" t="n">
        <f aca="false">E23*(1-輸入與假設!E$31*(1-輸入與假設!E$32))*E35</f>
        <v>6.62951208627052</v>
      </c>
      <c r="F37" s="67" t="n">
        <f aca="false">F23*(1-輸入與假設!F$31*(1-輸入與假設!F$32))*F35</f>
        <v>10.2190062464377</v>
      </c>
      <c r="G37" s="67" t="n">
        <f aca="false">G23*(1-輸入與假設!G$31*(1-輸入與假設!G$32))*G35</f>
        <v>15.8823544882937</v>
      </c>
      <c r="I37" s="7" t="s">
        <v>1079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1080</v>
      </c>
    </row>
    <row r="40" customFormat="false" ht="15" hidden="false" customHeight="false" outlineLevel="1" collapsed="false">
      <c r="A40" s="7" t="s">
        <v>1081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1082</v>
      </c>
    </row>
    <row r="2" customFormat="false" ht="15" hidden="false" customHeight="false" outlineLevel="0" collapsed="false">
      <c r="A2" s="12" t="s">
        <v>1083</v>
      </c>
    </row>
    <row r="4" customFormat="false" ht="17.15" hidden="false" customHeight="false" outlineLevel="0" collapsed="false">
      <c r="A4" s="15" t="s">
        <v>1084</v>
      </c>
      <c r="B4" s="15" t="s">
        <v>1085</v>
      </c>
      <c r="C4" s="15" t="s">
        <v>1086</v>
      </c>
      <c r="D4" s="15" t="s">
        <v>1087</v>
      </c>
      <c r="E4" s="15" t="s">
        <v>1088</v>
      </c>
      <c r="F4" s="15" t="s">
        <v>1089</v>
      </c>
      <c r="G4" s="15" t="s">
        <v>1090</v>
      </c>
      <c r="H4" s="15" t="s">
        <v>1091</v>
      </c>
      <c r="I4" s="15" t="s">
        <v>1092</v>
      </c>
      <c r="J4" s="16" t="s">
        <v>1093</v>
      </c>
      <c r="K4" s="15" t="s">
        <v>589</v>
      </c>
    </row>
    <row r="5" customFormat="false" ht="15" hidden="false" customHeight="false" outlineLevel="0" collapsed="false">
      <c r="A5" s="4" t="s">
        <v>1094</v>
      </c>
      <c r="B5" s="12" t="s">
        <v>1095</v>
      </c>
      <c r="C5" s="22" t="n">
        <v>526</v>
      </c>
      <c r="D5" s="22" t="n">
        <v>133</v>
      </c>
      <c r="E5" s="37" t="n">
        <v>15</v>
      </c>
      <c r="F5" s="22" t="n">
        <v>15</v>
      </c>
      <c r="G5" s="59" t="n">
        <f aca="false">E5/F5</f>
        <v>1</v>
      </c>
      <c r="H5" s="59" t="n">
        <f aca="false">G5/C5*1000</f>
        <v>1.90114068441065</v>
      </c>
      <c r="I5" s="12" t="s">
        <v>1096</v>
      </c>
      <c r="J5" s="7" t="s">
        <v>1097</v>
      </c>
      <c r="K5" s="12" t="s">
        <v>1098</v>
      </c>
    </row>
    <row r="6" customFormat="false" ht="15" hidden="false" customHeight="false" outlineLevel="0" collapsed="false">
      <c r="A6" s="4" t="s">
        <v>1099</v>
      </c>
      <c r="B6" s="12" t="s">
        <v>1100</v>
      </c>
      <c r="C6" s="22" t="n">
        <v>400</v>
      </c>
      <c r="D6" s="22" t="n">
        <v>250</v>
      </c>
      <c r="E6" s="37" t="n">
        <v>11</v>
      </c>
      <c r="F6" s="22" t="n">
        <v>15</v>
      </c>
      <c r="G6" s="59" t="n">
        <f aca="false">E6/F6</f>
        <v>0.733333333333333</v>
      </c>
      <c r="H6" s="59" t="n">
        <f aca="false">G6/C6*1000</f>
        <v>1.83333333333333</v>
      </c>
      <c r="I6" s="12" t="s">
        <v>1101</v>
      </c>
      <c r="J6" s="7" t="s">
        <v>1102</v>
      </c>
      <c r="K6" s="12" t="s">
        <v>1103</v>
      </c>
    </row>
    <row r="7" customFormat="false" ht="15" hidden="false" customHeight="false" outlineLevel="0" collapsed="false">
      <c r="A7" s="4" t="s">
        <v>1104</v>
      </c>
      <c r="B7" s="12" t="s">
        <v>1105</v>
      </c>
      <c r="C7" s="22" t="n">
        <v>590</v>
      </c>
      <c r="D7" s="22" t="n">
        <v>250</v>
      </c>
      <c r="E7" s="37" t="n">
        <v>10.2</v>
      </c>
      <c r="F7" s="22" t="n">
        <v>12</v>
      </c>
      <c r="G7" s="59" t="n">
        <f aca="false">E7/F7</f>
        <v>0.85</v>
      </c>
      <c r="H7" s="59" t="n">
        <f aca="false">G7/C7*1000</f>
        <v>1.4406779661017</v>
      </c>
      <c r="I7" s="12" t="s">
        <v>1106</v>
      </c>
      <c r="J7" s="7" t="s">
        <v>1107</v>
      </c>
      <c r="K7" s="12" t="s">
        <v>1108</v>
      </c>
    </row>
    <row r="8" customFormat="false" ht="15" hidden="false" customHeight="false" outlineLevel="0" collapsed="false">
      <c r="A8" s="4" t="s">
        <v>1109</v>
      </c>
      <c r="B8" s="12" t="s">
        <v>1110</v>
      </c>
      <c r="C8" s="74" t="s">
        <v>1111</v>
      </c>
      <c r="D8" s="22" t="n">
        <v>0</v>
      </c>
      <c r="E8" s="74" t="s">
        <v>1111</v>
      </c>
      <c r="F8" s="22" t="n">
        <v>15</v>
      </c>
      <c r="I8" s="7" t="s">
        <v>1112</v>
      </c>
      <c r="J8" s="12" t="s">
        <v>1113</v>
      </c>
      <c r="K8" s="12" t="s">
        <v>1114</v>
      </c>
    </row>
    <row r="9" customFormat="false" ht="15" hidden="false" customHeight="false" outlineLevel="0" collapsed="false">
      <c r="A9" s="2" t="s">
        <v>1115</v>
      </c>
      <c r="C9" s="75" t="n">
        <f aca="false">SUM(C5:C8)</f>
        <v>1516</v>
      </c>
      <c r="D9" s="75" t="n">
        <f aca="false">SUM(D5:D8)</f>
        <v>633</v>
      </c>
      <c r="E9" s="58" t="n">
        <f aca="false">SUM(E5:E8)</f>
        <v>36.2</v>
      </c>
      <c r="G9" s="58" t="n">
        <f aca="false">SUM(G5:G8)</f>
        <v>2.58333333333333</v>
      </c>
      <c r="H9" s="76" t="n">
        <f aca="false">G9/C9*1000</f>
        <v>1.70404573438874</v>
      </c>
      <c r="K9" s="7" t="s">
        <v>1116</v>
      </c>
    </row>
    <row r="11" customFormat="false" ht="15" hidden="false" customHeight="false" outlineLevel="0" collapsed="false">
      <c r="A11" s="51" t="s">
        <v>1117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1118</v>
      </c>
      <c r="E12" s="24" t="n">
        <v>29.37</v>
      </c>
      <c r="K12" s="7" t="s">
        <v>1119</v>
      </c>
    </row>
    <row r="13" customFormat="false" ht="15" hidden="false" customHeight="false" outlineLevel="1" collapsed="false">
      <c r="A13" s="4" t="s">
        <v>1120</v>
      </c>
      <c r="E13" s="24" t="n">
        <v>35.5</v>
      </c>
      <c r="K13" s="12" t="s">
        <v>1121</v>
      </c>
    </row>
    <row r="14" customFormat="false" ht="15" hidden="false" customHeight="false" outlineLevel="1" collapsed="false">
      <c r="A14" s="4" t="s">
        <v>1122</v>
      </c>
      <c r="E14" s="24" t="n">
        <v>14.7</v>
      </c>
      <c r="K14" s="7" t="s">
        <v>1123</v>
      </c>
    </row>
    <row r="15" customFormat="false" ht="15" hidden="false" customHeight="false" outlineLevel="1" collapsed="false">
      <c r="A15" s="5" t="s">
        <v>1124</v>
      </c>
      <c r="E15" s="58" t="n">
        <f aca="false">SUM(E12:E14)</f>
        <v>79.57</v>
      </c>
      <c r="K15" s="7" t="s">
        <v>1125</v>
      </c>
    </row>
    <row r="16" customFormat="false" ht="15" hidden="false" customHeight="false" outlineLevel="1" collapsed="false">
      <c r="A16" s="3" t="s">
        <v>1126</v>
      </c>
      <c r="E16" s="57" t="n">
        <f aca="false">-E9</f>
        <v>-36.2</v>
      </c>
    </row>
    <row r="17" customFormat="false" ht="15" hidden="false" customHeight="false" outlineLevel="1" collapsed="false">
      <c r="A17" s="2" t="s">
        <v>1127</v>
      </c>
      <c r="E17" s="58" t="n">
        <f aca="false">E15+E16</f>
        <v>43.37</v>
      </c>
      <c r="K17" s="12" t="s">
        <v>1128</v>
      </c>
    </row>
    <row r="18" customFormat="false" ht="15" hidden="false" customHeight="false" outlineLevel="1" collapsed="false">
      <c r="A18" s="3" t="s">
        <v>1129</v>
      </c>
      <c r="E18" s="28" t="n">
        <f aca="false">E17/E15</f>
        <v>0.545054668845042</v>
      </c>
    </row>
    <row r="20" customFormat="false" ht="15" hidden="false" customHeight="false" outlineLevel="0" collapsed="false">
      <c r="A20" s="51" t="s">
        <v>1130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173</v>
      </c>
      <c r="G21" s="16" t="s">
        <v>174</v>
      </c>
    </row>
    <row r="22" customFormat="false" ht="15" hidden="false" customHeight="false" outlineLevel="1" collapsed="false">
      <c r="A22" s="3" t="s">
        <v>1131</v>
      </c>
      <c r="B22" s="12" t="s">
        <v>93</v>
      </c>
      <c r="C22" s="67" t="n">
        <f aca="false">各期收支!C12</f>
        <v>1.34</v>
      </c>
      <c r="D22" s="67" t="n">
        <f aca="false">各期收支!D12</f>
        <v>3.939</v>
      </c>
      <c r="E22" s="67" t="n">
        <f aca="false">各期收支!E12</f>
        <v>4.72535483870968</v>
      </c>
      <c r="F22" s="67" t="n">
        <f aca="false">各期收支!F12</f>
        <v>5.123</v>
      </c>
      <c r="G22" s="67" t="n">
        <f aca="false">各期收支!G12</f>
        <v>5.19053846153846</v>
      </c>
    </row>
    <row r="23" customFormat="false" ht="15" hidden="false" customHeight="false" outlineLevel="1" collapsed="false">
      <c r="A23" s="3" t="s">
        <v>1132</v>
      </c>
      <c r="B23" s="12" t="s">
        <v>177</v>
      </c>
      <c r="C23" s="69" t="n">
        <f aca="false">(輸入與假設!C$129+輸入與假設!C$26)/2</f>
        <v>1350</v>
      </c>
      <c r="D23" s="69" t="n">
        <f aca="false">(輸入與假設!D$129+輸入與假設!D$26)/2</f>
        <v>2475</v>
      </c>
      <c r="E23" s="69" t="n">
        <f aca="false">(輸入與假設!E$129+輸入與假設!E$26)/2</f>
        <v>3550</v>
      </c>
      <c r="F23" s="69" t="n">
        <f aca="false">(輸入與假設!F$129+輸入與假設!F$26)/2</f>
        <v>4400</v>
      </c>
      <c r="G23" s="69" t="n">
        <f aca="false">(輸入與假設!G$129+輸入與假設!G$26)/2</f>
        <v>5200</v>
      </c>
    </row>
    <row r="24" customFormat="false" ht="15" hidden="false" customHeight="false" outlineLevel="1" collapsed="false">
      <c r="A24" s="3" t="s">
        <v>207</v>
      </c>
      <c r="B24" s="7" t="s">
        <v>360</v>
      </c>
      <c r="C24" s="67" t="n">
        <f aca="false">輸入與假設!C$24</f>
        <v>0.5</v>
      </c>
      <c r="D24" s="67" t="n">
        <f aca="false">輸入與假設!D$24</f>
        <v>1</v>
      </c>
      <c r="E24" s="67" t="n">
        <f aca="false">輸入與假設!E$24</f>
        <v>1</v>
      </c>
      <c r="F24" s="67" t="n">
        <f aca="false">輸入與假設!F$24</f>
        <v>1</v>
      </c>
      <c r="G24" s="67" t="n">
        <f aca="false">輸入與假設!G$24</f>
        <v>1</v>
      </c>
    </row>
    <row r="25" customFormat="false" ht="15" hidden="false" customHeight="false" outlineLevel="1" collapsed="false">
      <c r="A25" s="2" t="s">
        <v>1133</v>
      </c>
      <c r="B25" s="12" t="s">
        <v>327</v>
      </c>
      <c r="C25" s="39" t="n">
        <f aca="false">C22/C24/C23*1000</f>
        <v>1.98518518518519</v>
      </c>
      <c r="D25" s="39" t="n">
        <f aca="false">D22/D24/D23*1000</f>
        <v>1.59151515151515</v>
      </c>
      <c r="E25" s="39" t="n">
        <f aca="false">E22/E24/E23*1000</f>
        <v>1.33108587005906</v>
      </c>
      <c r="F25" s="39" t="n">
        <f aca="false">F22/F24/F23*1000</f>
        <v>1.16431818181818</v>
      </c>
      <c r="G25" s="39" t="n">
        <f aca="false">G22/G24/G23*1000</f>
        <v>0.998180473372781</v>
      </c>
      <c r="K25" s="12" t="s">
        <v>1134</v>
      </c>
    </row>
    <row r="26" customFormat="false" ht="15" hidden="false" customHeight="false" outlineLevel="1" collapsed="false">
      <c r="A26" s="3" t="s">
        <v>1135</v>
      </c>
      <c r="C26" s="23" t="n">
        <v>0.85</v>
      </c>
      <c r="K26" s="7" t="s">
        <v>1136</v>
      </c>
    </row>
    <row r="27" customFormat="false" ht="15" hidden="false" customHeight="false" outlineLevel="1" collapsed="false">
      <c r="A27" s="3" t="s">
        <v>1137</v>
      </c>
      <c r="B27" s="12" t="s">
        <v>93</v>
      </c>
      <c r="C27" s="67" t="n">
        <f aca="false">C23*運營_站點!$H$9/1000*$C$26*C24</f>
        <v>0.977696240105541</v>
      </c>
      <c r="D27" s="67" t="n">
        <f aca="false">D23*運營_站點!$H$9/1000*$C$26*D24</f>
        <v>3.58488621372032</v>
      </c>
      <c r="E27" s="67" t="n">
        <f aca="false">E23*運營_站點!$H$9/1000*$C$26*E24</f>
        <v>5.14195800351803</v>
      </c>
      <c r="F27" s="67" t="n">
        <f aca="false">F23*運營_站點!$H$9/1000*$C$26*F24</f>
        <v>6.3731310466139</v>
      </c>
      <c r="G27" s="67" t="n">
        <f aca="false">G23*運營_站點!$H$9/1000*$C$26*G24</f>
        <v>7.53188214599824</v>
      </c>
      <c r="K27" s="7" t="s">
        <v>1138</v>
      </c>
    </row>
    <row r="28" customFormat="false" ht="15" hidden="false" customHeight="false" outlineLevel="1" collapsed="false">
      <c r="A28" s="2" t="s">
        <v>1139</v>
      </c>
      <c r="B28" s="12" t="s">
        <v>93</v>
      </c>
      <c r="C28" s="39" t="n">
        <f aca="false">C27-C22</f>
        <v>-0.362303759894459</v>
      </c>
      <c r="D28" s="39" t="n">
        <f aca="false">D27-D22</f>
        <v>-0.354113786279684</v>
      </c>
      <c r="E28" s="39" t="n">
        <f aca="false">E27-E22</f>
        <v>0.416603164808353</v>
      </c>
      <c r="F28" s="39" t="n">
        <f aca="false">F27-F22</f>
        <v>1.2501310466139</v>
      </c>
      <c r="G28" s="39" t="n">
        <f aca="false">G27-G22</f>
        <v>2.34134368445978</v>
      </c>
      <c r="K28" s="7" t="s">
        <v>1140</v>
      </c>
    </row>
    <row r="29" customFormat="false" ht="15" hidden="false" customHeight="false" outlineLevel="1" collapsed="false">
      <c r="A29" s="2" t="s">
        <v>1141</v>
      </c>
      <c r="C29" s="76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1142</v>
      </c>
    </row>
    <row r="2" customFormat="false" ht="15" hidden="false" customHeight="false" outlineLevel="0" collapsed="false">
      <c r="A2" s="7" t="s">
        <v>1143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173</v>
      </c>
      <c r="G4" s="27" t="s">
        <v>174</v>
      </c>
      <c r="I4" s="15" t="s">
        <v>726</v>
      </c>
    </row>
    <row r="5" customFormat="false" ht="15" hidden="false" customHeight="false" outlineLevel="0" collapsed="false">
      <c r="A5" s="51" t="s">
        <v>1144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1145</v>
      </c>
      <c r="B6" s="12" t="s">
        <v>177</v>
      </c>
      <c r="C6" s="69" t="n">
        <f aca="false">IF(輸入與假設!$C$37=2,C50/SUMPRODUCT(C51:C55,輸入與假設!$E$65:$E$69),C50)</f>
        <v>1675</v>
      </c>
      <c r="D6" s="69" t="n">
        <f aca="false">IF(輸入與假設!$C$37=2,D50/SUMPRODUCT(D51:D55,輸入與假設!$E$65:$E$69),D50)</f>
        <v>2475</v>
      </c>
      <c r="E6" s="69" t="n">
        <f aca="false">IF(輸入與假設!$C$37=2,E50/SUMPRODUCT(E51:E55,輸入與假設!$E$65:$E$69),E50)</f>
        <v>3550</v>
      </c>
      <c r="F6" s="69" t="n">
        <f aca="false">IF(輸入與假設!$C$37=2,F50/SUMPRODUCT(F51:F55,輸入與假設!$E$65:$E$69),F50)</f>
        <v>4400</v>
      </c>
      <c r="G6" s="69" t="n">
        <f aca="false">IF(輸入與假設!$C$37=2,G50/SUMPRODUCT(G51:G55,輸入與假設!$E$65:$E$69),G50)</f>
        <v>5200</v>
      </c>
      <c r="I6" s="7" t="s">
        <v>1146</v>
      </c>
    </row>
    <row r="7" customFormat="false" ht="15" hidden="false" customHeight="false" outlineLevel="1" collapsed="false">
      <c r="A7" s="3" t="s">
        <v>1147</v>
      </c>
      <c r="B7" s="12" t="s">
        <v>177</v>
      </c>
      <c r="C7" s="69" t="n">
        <f aca="false">IF(輸入與假設!$C$37=2,C50/SUMPRODUCT(C51:C55,輸入與假設!$E$65:$E$69),C50)*SUMPRODUCT(C51:C55,輸入與假設!$E$65:$E$69)</f>
        <v>2010</v>
      </c>
      <c r="D7" s="69" t="n">
        <f aca="false">IF(輸入與假設!$C$37=2,D50/SUMPRODUCT(D51:D55,輸入與假設!$E$65:$E$69),D50)*SUMPRODUCT(D51:D55,輸入與假設!$E$65:$E$69)</f>
        <v>2970</v>
      </c>
      <c r="E7" s="69" t="n">
        <f aca="false">IF(輸入與假設!$C$37=2,E50/SUMPRODUCT(E51:E55,輸入與假設!$E$65:$E$69),E50)*SUMPRODUCT(E51:E55,輸入與假設!$E$65:$E$69)</f>
        <v>4260</v>
      </c>
      <c r="F7" s="69" t="n">
        <f aca="false">IF(輸入與假設!$C$37=2,F50/SUMPRODUCT(F51:F55,輸入與假設!$E$65:$E$69),F50)*SUMPRODUCT(F51:F55,輸入與假設!$E$65:$E$69)</f>
        <v>5280</v>
      </c>
      <c r="G7" s="69" t="n">
        <f aca="false">IF(輸入與假設!$C$37=2,G50/SUMPRODUCT(G51:G55,輸入與假設!$E$65:$E$69),G50)*SUMPRODUCT(G51:G55,輸入與假設!$E$65:$E$69)</f>
        <v>6240</v>
      </c>
      <c r="I7" s="12" t="s">
        <v>1148</v>
      </c>
    </row>
    <row r="8" customFormat="false" ht="15" hidden="false" customHeight="false" outlineLevel="1" collapsed="false">
      <c r="A8" s="2" t="s">
        <v>1149</v>
      </c>
      <c r="B8" s="12" t="s">
        <v>327</v>
      </c>
      <c r="C8" s="67" t="n">
        <f aca="false">運營_產能與收入!C34/MAX(0.000000001,C50)/輸入與假設!C$24*1000</f>
        <v>10.0453731343284</v>
      </c>
      <c r="D8" s="67" t="n">
        <f aca="false">運營_產能與收入!D34/MAX(0.000000001,D50)/輸入與假設!D$24*1000</f>
        <v>10.5565656565657</v>
      </c>
      <c r="E8" s="67" t="n">
        <f aca="false">運營_產能與收入!E34/MAX(0.000000001,E50)/輸入與假設!E$24*1000</f>
        <v>10.3294128169014</v>
      </c>
      <c r="F8" s="67" t="n">
        <f aca="false">運營_產能與收入!F34/MAX(0.000000001,F50)/輸入與假設!F$24*1000</f>
        <v>9.62814738636364</v>
      </c>
      <c r="G8" s="67" t="n">
        <f aca="false">運營_產能與收入!G34/MAX(0.000000001,G50)/輸入與假設!G$24*1000</f>
        <v>8.65267884615385</v>
      </c>
      <c r="I8" s="7" t="s">
        <v>1150</v>
      </c>
    </row>
    <row r="9" customFormat="false" ht="15" hidden="false" customHeight="false" outlineLevel="1" collapsed="false">
      <c r="A9" s="3" t="s">
        <v>1151</v>
      </c>
      <c r="B9" s="12" t="s">
        <v>327</v>
      </c>
      <c r="C9" s="67" t="n">
        <f aca="false">運營_產能與收入!C25/MAX(0.000000001,C50)/輸入與假設!C$24*1000</f>
        <v>9.68716417910448</v>
      </c>
      <c r="D9" s="67" t="n">
        <f aca="false">運營_產能與收入!D25/MAX(0.000000001,D50)/輸入與假設!D$24*1000</f>
        <v>10.1525252525253</v>
      </c>
      <c r="E9" s="67" t="n">
        <f aca="false">運營_產能與收入!E25/MAX(0.000000001,E50)/輸入與假設!E$24*1000</f>
        <v>9.82237056338028</v>
      </c>
      <c r="F9" s="67" t="n">
        <f aca="false">運營_產能與收入!F25/MAX(0.000000001,F50)/輸入與假設!F$24*1000</f>
        <v>8.99178375</v>
      </c>
      <c r="G9" s="67" t="n">
        <f aca="false">運營_產能與收入!G25/MAX(0.000000001,G50)/輸入與假設!G$24*1000</f>
        <v>7.92190961538462</v>
      </c>
    </row>
    <row r="10" customFormat="false" ht="15" hidden="false" customHeight="false" outlineLevel="1" collapsed="false">
      <c r="A10" s="3" t="s">
        <v>289</v>
      </c>
      <c r="B10" s="12" t="s">
        <v>327</v>
      </c>
      <c r="C10" s="67" t="n">
        <f aca="false">C61/MAX(0.000000001,C50)/輸入與假設!C$24*1000</f>
        <v>0.672768</v>
      </c>
      <c r="D10" s="67" t="n">
        <f aca="false">D61/MAX(0.000000001,D50)/輸入與假設!D$24*1000</f>
        <v>0.672768</v>
      </c>
      <c r="E10" s="67" t="n">
        <f aca="false">E61/MAX(0.000000001,E50)/輸入與假設!E$24*1000</f>
        <v>0.672768</v>
      </c>
      <c r="F10" s="67" t="n">
        <f aca="false">F61/MAX(0.000000001,F50)/輸入與假設!F$24*1000</f>
        <v>0.672768</v>
      </c>
      <c r="G10" s="67" t="n">
        <f aca="false">G61/MAX(0.000000001,G50)/輸入與假設!G$24*1000</f>
        <v>0.672768</v>
      </c>
      <c r="I10" s="7" t="s">
        <v>1152</v>
      </c>
    </row>
    <row r="11" customFormat="false" ht="15" hidden="false" customHeight="false" outlineLevel="1" collapsed="false">
      <c r="A11" s="4" t="s">
        <v>1153</v>
      </c>
      <c r="B11" s="12" t="s">
        <v>327</v>
      </c>
      <c r="C11" s="67" t="n">
        <f aca="false">C62/MAX(0.000000001,C50)/輸入與假設!C$24*1000</f>
        <v>0.936206901352657</v>
      </c>
      <c r="D11" s="67" t="n">
        <f aca="false">D62/MAX(0.000000001,D50)/輸入與假設!D$24*1000</f>
        <v>0.991538286572</v>
      </c>
      <c r="E11" s="67" t="n">
        <f aca="false">E62/MAX(0.000000001,E50)/輸入與假設!E$24*1000</f>
        <v>1.03236525669456</v>
      </c>
      <c r="F11" s="67" t="n">
        <f aca="false">F62/MAX(0.000000001,F50)/輸入與假設!F$24*1000</f>
        <v>1.05419610096948</v>
      </c>
      <c r="G11" s="67" t="n">
        <f aca="false">G62/MAX(0.000000001,G50)/輸入與假設!G$24*1000</f>
        <v>1.07595123797417</v>
      </c>
    </row>
    <row r="12" customFormat="false" ht="15" hidden="false" customHeight="false" outlineLevel="1" collapsed="false">
      <c r="A12" s="3" t="s">
        <v>1154</v>
      </c>
      <c r="B12" s="12" t="s">
        <v>327</v>
      </c>
      <c r="C12" s="67" t="n">
        <f aca="false">C63/MAX(0.000000001,C50)/輸入與假設!C$24*1000</f>
        <v>0.325</v>
      </c>
      <c r="D12" s="67" t="n">
        <f aca="false">D63/MAX(0.000000001,D50)/輸入與假設!D$24*1000</f>
        <v>0.325</v>
      </c>
      <c r="E12" s="67" t="n">
        <f aca="false">E63/MAX(0.000000001,E50)/輸入與假設!E$24*1000</f>
        <v>0.325</v>
      </c>
      <c r="F12" s="67" t="n">
        <f aca="false">F63/MAX(0.000000001,F50)/輸入與假設!F$24*1000</f>
        <v>0.325</v>
      </c>
      <c r="G12" s="67" t="n">
        <f aca="false">G63/MAX(0.000000001,G50)/輸入與假設!G$24*1000</f>
        <v>0.325</v>
      </c>
    </row>
    <row r="13" customFormat="false" ht="15" hidden="false" customHeight="false" outlineLevel="1" collapsed="false">
      <c r="A13" s="3" t="s">
        <v>1155</v>
      </c>
      <c r="B13" s="12" t="s">
        <v>327</v>
      </c>
      <c r="C13" s="67" t="n">
        <f aca="false">C64/MAX(0.000000001,C50)/輸入與假設!C$24*1000</f>
        <v>0.156034483558776</v>
      </c>
      <c r="D13" s="67" t="n">
        <f aca="false">D64/MAX(0.000000001,D50)/輸入與假設!D$24*1000</f>
        <v>0.165256381095333</v>
      </c>
      <c r="E13" s="67" t="n">
        <f aca="false">E64/MAX(0.000000001,E50)/輸入與假設!E$24*1000</f>
        <v>0.172060876115761</v>
      </c>
      <c r="F13" s="67" t="n">
        <f aca="false">F64/MAX(0.000000001,F50)/輸入與假設!F$24*1000</f>
        <v>0.17569935016158</v>
      </c>
      <c r="G13" s="67" t="n">
        <f aca="false">G64/MAX(0.000000001,G50)/輸入與假設!G$24*1000</f>
        <v>0.179325206329029</v>
      </c>
    </row>
    <row r="14" customFormat="false" ht="15" hidden="false" customHeight="false" outlineLevel="1" collapsed="false">
      <c r="A14" s="3" t="s">
        <v>1156</v>
      </c>
      <c r="B14" s="12" t="s">
        <v>327</v>
      </c>
      <c r="C14" s="67" t="n">
        <f aca="false">C67/MAX(0.000000001,C50)/輸入與假設!C$24*1000</f>
        <v>0.55395844080568</v>
      </c>
      <c r="D14" s="67" t="n">
        <f aca="false">D67/MAX(0.000000001,D50)/輸入與假設!D$24*1000</f>
        <v>0.582148475041679</v>
      </c>
      <c r="E14" s="67" t="n">
        <f aca="false">E67/MAX(0.000000001,E50)/輸入與假設!E$24*1000</f>
        <v>0.569621988349514</v>
      </c>
      <c r="F14" s="67" t="n">
        <f aca="false">F67/MAX(0.000000001,F50)/輸入與假設!F$24*1000</f>
        <v>0.530950263636363</v>
      </c>
      <c r="G14" s="67" t="n">
        <f aca="false">G67/MAX(0.000000001,G50)/輸入與假設!G$24*1000</f>
        <v>0.477157435399552</v>
      </c>
    </row>
    <row r="15" customFormat="false" ht="15" hidden="false" customHeight="false" outlineLevel="1" collapsed="false">
      <c r="A15" s="3" t="s">
        <v>1157</v>
      </c>
      <c r="B15" s="12" t="s">
        <v>327</v>
      </c>
      <c r="C15" s="67" t="n">
        <f aca="false">C70/MAX(0.000000001,C50)/輸入與假設!C$24*1000</f>
        <v>1.6</v>
      </c>
      <c r="D15" s="67" t="n">
        <f aca="false">D70/MAX(0.000000001,D50)/輸入與假設!D$24*1000</f>
        <v>1.59151515151515</v>
      </c>
      <c r="E15" s="67" t="n">
        <f aca="false">E70/MAX(0.000000001,E50)/輸入與假設!E$24*1000</f>
        <v>1.33108587005906</v>
      </c>
      <c r="F15" s="67" t="n">
        <f aca="false">F70/MAX(0.000000001,F50)/輸入與假設!F$24*1000</f>
        <v>1.16431818181818</v>
      </c>
      <c r="G15" s="67" t="n">
        <f aca="false">G70/MAX(0.000000001,G50)/輸入與假設!G$24*1000</f>
        <v>0.998180473372781</v>
      </c>
    </row>
    <row r="16" customFormat="false" ht="15" hidden="false" customHeight="false" outlineLevel="1" collapsed="false">
      <c r="A16" s="2" t="s">
        <v>1158</v>
      </c>
      <c r="B16" s="12" t="s">
        <v>327</v>
      </c>
      <c r="C16" s="67" t="n">
        <f aca="false">(運營_產能與收入!C34-運營_產能與收入!C34*輸入與假設!C$87)/MAX(0.000000001,C50)/輸入與假設!C$24*1000</f>
        <v>4.24396782571711</v>
      </c>
      <c r="D16" s="67" t="n">
        <f aca="false">(運營_產能與收入!D34-運營_產能與收入!D34*輸入與假設!D$87)/MAX(0.000000001,D50)/輸入與假設!D$24*1000</f>
        <v>4.32822629422416</v>
      </c>
      <c r="E16" s="67" t="n">
        <f aca="false">(運營_產能與收入!E34-運營_產能與收入!E34*輸入與假設!E$87)/MAX(0.000000001,E50)/輸入與假設!E$24*1000</f>
        <v>4.1029019912189</v>
      </c>
      <c r="F16" s="67" t="n">
        <f aca="false">(運營_產能與收入!F34-運營_產能與收入!F34*輸入與假設!F$87)/MAX(0.000000001,F50)/輸入與假設!F$24*1000</f>
        <v>3.9229318965856</v>
      </c>
      <c r="G16" s="67" t="n">
        <f aca="false">(運營_產能與收入!G34-運營_產能與收入!G34*輸入與假設!G$87)/MAX(0.000000001,G50)/輸入與假設!G$24*1000</f>
        <v>3.72838235307554</v>
      </c>
      <c r="I16" s="7" t="s">
        <v>1159</v>
      </c>
    </row>
    <row r="17" customFormat="false" ht="15" hidden="false" customHeight="false" outlineLevel="1" collapsed="false">
      <c r="A17" s="5" t="s">
        <v>1160</v>
      </c>
      <c r="B17" s="12" t="s">
        <v>327</v>
      </c>
      <c r="C17" s="67" t="n">
        <f aca="false">運營_產能與收入!C34*輸入與假設!C$87/MAX(0.000000001,C50)/輸入與假設!C$24*1000</f>
        <v>5.80140530861125</v>
      </c>
      <c r="D17" s="67" t="n">
        <f aca="false">運營_產能與收入!D34*輸入與假設!D$87/MAX(0.000000001,D50)/輸入與假設!D$24*1000</f>
        <v>6.22833936234149</v>
      </c>
      <c r="E17" s="67" t="n">
        <f aca="false">運營_產能與收入!E34*輸入與假設!E$87/MAX(0.000000001,E50)/輸入與假設!E$24*1000</f>
        <v>6.22651082568251</v>
      </c>
      <c r="F17" s="67" t="n">
        <f aca="false">運營_產能與收入!F34*輸入與假設!F$87/MAX(0.000000001,F50)/輸入與假設!F$24*1000</f>
        <v>5.70521548977804</v>
      </c>
      <c r="G17" s="67" t="n">
        <f aca="false">運營_產能與收入!G34*輸入與假設!G$87/MAX(0.000000001,G50)/輸入與假設!G$24*1000</f>
        <v>4.92429649307831</v>
      </c>
      <c r="I17" s="7" t="s">
        <v>1161</v>
      </c>
    </row>
    <row r="18" customFormat="false" ht="15" hidden="false" customHeight="false" outlineLevel="1" collapsed="false">
      <c r="A18" s="4" t="s">
        <v>1162</v>
      </c>
      <c r="B18" s="12" t="s">
        <v>327</v>
      </c>
      <c r="C18" s="67" t="n">
        <f aca="false">輸入與假設!C$138/MAX(0.000000001,C50)/輸入與假設!C$24*1000</f>
        <v>5.72805417039801</v>
      </c>
      <c r="D18" s="67" t="n">
        <f aca="false">輸入與假設!D$138/MAX(0.000000001,D50)/輸入與假設!D$24*1000</f>
        <v>6.03013422457912</v>
      </c>
      <c r="E18" s="67" t="n">
        <f aca="false">輸入與假設!E$138/MAX(0.000000001,E50)/輸入與假設!E$24*1000</f>
        <v>5.96024389131455</v>
      </c>
      <c r="F18" s="67" t="n">
        <f aca="false">輸入與假設!F$138/MAX(0.000000001,F50)/輸入與假設!F$24*1000</f>
        <v>5.99408458049242</v>
      </c>
      <c r="G18" s="67" t="n">
        <f aca="false">輸入與假設!G$138/MAX(0.000000001,G50)/輸入與假設!G$24*1000</f>
        <v>5.97242407195513</v>
      </c>
      <c r="I18" s="7" t="s">
        <v>1163</v>
      </c>
    </row>
    <row r="19" customFormat="false" ht="15" hidden="false" customHeight="false" outlineLevel="1" collapsed="false">
      <c r="A19" s="3" t="s">
        <v>1164</v>
      </c>
      <c r="B19" s="12" t="s">
        <v>327</v>
      </c>
      <c r="C19" s="67" t="n">
        <f aca="false">各期收支!C17/MAX(0.000000001,C50)/輸入與假設!C$24*1000</f>
        <v>2.87950676687743</v>
      </c>
      <c r="D19" s="67" t="n">
        <f aca="false">各期收支!D17/MAX(0.000000001,D50)/輸入與假設!D$24*1000</f>
        <v>2.83864399678503</v>
      </c>
      <c r="E19" s="67" t="n">
        <f aca="false">各期收支!E17/MAX(0.000000001,E50)/輸入與假設!E$24*1000</f>
        <v>2.39097114971802</v>
      </c>
      <c r="F19" s="67" t="n">
        <f aca="false">各期收支!F17/MAX(0.000000001,F50)/輸入與假設!F$24*1000</f>
        <v>2.06670569181728</v>
      </c>
      <c r="G19" s="67" t="n">
        <f aca="false">各期收支!G17/MAX(0.000000001,G50)/輸入與假設!G$24*1000</f>
        <v>1.94812096971592</v>
      </c>
      <c r="I19" s="7" t="s">
        <v>1165</v>
      </c>
    </row>
    <row r="20" customFormat="false" ht="15" hidden="false" customHeight="false" outlineLevel="1" collapsed="false">
      <c r="A20" s="2" t="s">
        <v>1166</v>
      </c>
      <c r="B20" s="12" t="s">
        <v>327</v>
      </c>
      <c r="C20" s="67" t="n">
        <f aca="false">C17-C18-C19</f>
        <v>-2.80615562866419</v>
      </c>
      <c r="D20" s="67" t="n">
        <f aca="false">D17-D18-D19</f>
        <v>-2.64043885902266</v>
      </c>
      <c r="E20" s="67" t="n">
        <f aca="false">E17-E18-E19</f>
        <v>-2.12470421535007</v>
      </c>
      <c r="F20" s="67" t="n">
        <f aca="false">F17-F18-F19</f>
        <v>-2.35557478253166</v>
      </c>
      <c r="G20" s="67" t="n">
        <f aca="false">G17-G18-G19</f>
        <v>-2.99624854859274</v>
      </c>
      <c r="I20" s="7" t="s">
        <v>1167</v>
      </c>
    </row>
    <row r="21" customFormat="false" ht="15" hidden="false" customHeight="false" outlineLevel="1" collapsed="false">
      <c r="A21" s="3" t="s">
        <v>1168</v>
      </c>
      <c r="B21" s="12" t="s">
        <v>327</v>
      </c>
      <c r="C21" s="36" t="n">
        <f aca="false">輸入與假設!C$120*輸入與假設!$C$118</f>
        <v>34.759438</v>
      </c>
      <c r="D21" s="36" t="n">
        <f aca="false">輸入與假設!D$120*輸入與假設!$C$118</f>
        <v>37.515928</v>
      </c>
      <c r="E21" s="36" t="n">
        <f aca="false">輸入與假設!E$120*輸入與假設!$C$118</f>
        <v>37.586352</v>
      </c>
      <c r="F21" s="36" t="n">
        <f aca="false">輸入與假設!F$120*輸入與假設!$C$118</f>
        <v>37.586352</v>
      </c>
      <c r="G21" s="36" t="n">
        <f aca="false">輸入與假設!G$120*輸入與假設!$C$118</f>
        <v>37.586352</v>
      </c>
      <c r="I21" s="7" t="s">
        <v>1169</v>
      </c>
    </row>
    <row r="22" customFormat="false" ht="15" hidden="false" customHeight="false" outlineLevel="1" collapsed="false">
      <c r="A22" s="3" t="s">
        <v>1170</v>
      </c>
      <c r="B22" s="12" t="s">
        <v>327</v>
      </c>
      <c r="C22" s="67" t="n">
        <f aca="false">C8*C6/C7</f>
        <v>8.37114427860697</v>
      </c>
      <c r="D22" s="67" t="n">
        <f aca="false">D8*D6/D7</f>
        <v>8.79713804713805</v>
      </c>
      <c r="E22" s="67" t="n">
        <f aca="false">E8*E6/E7</f>
        <v>8.60784401408451</v>
      </c>
      <c r="F22" s="67" t="n">
        <f aca="false">F8*F6/F7</f>
        <v>8.02345615530303</v>
      </c>
      <c r="G22" s="67" t="n">
        <f aca="false">G8*G6/G7</f>
        <v>7.21056570512821</v>
      </c>
    </row>
    <row r="23" customFormat="false" ht="15" hidden="false" customHeight="false" outlineLevel="1" collapsed="false">
      <c r="A23" s="3" t="s">
        <v>1171</v>
      </c>
      <c r="B23" s="12" t="s">
        <v>327</v>
      </c>
      <c r="C23" s="67" t="n">
        <f aca="false">C17*C6/C7</f>
        <v>4.8345044238427</v>
      </c>
      <c r="D23" s="67" t="n">
        <f aca="false">D17*D6/D7</f>
        <v>5.19028280195124</v>
      </c>
      <c r="E23" s="67" t="n">
        <f aca="false">E17*E6/E7</f>
        <v>5.18875902140209</v>
      </c>
      <c r="F23" s="67" t="n">
        <f aca="false">F17*F6/F7</f>
        <v>4.7543462414817</v>
      </c>
      <c r="G23" s="67" t="n">
        <f aca="false">G17*G6/G7</f>
        <v>4.10358041089859</v>
      </c>
    </row>
    <row r="24" customFormat="false" ht="15" hidden="false" customHeight="false" outlineLevel="1" collapsed="false">
      <c r="A24" s="7" t="s">
        <v>1172</v>
      </c>
    </row>
    <row r="25" customFormat="false" ht="15" hidden="false" customHeight="false" outlineLevel="1" collapsed="true">
      <c r="A25" s="20" t="s">
        <v>1173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1174</v>
      </c>
      <c r="B26" s="12" t="s">
        <v>177</v>
      </c>
      <c r="C26" s="69" t="n">
        <f aca="false">輸入與假設!$C$41</f>
        <v>1500</v>
      </c>
      <c r="D26" s="69" t="n">
        <f aca="false">C44</f>
        <v>1850</v>
      </c>
      <c r="E26" s="69" t="n">
        <f aca="false">D44</f>
        <v>3100</v>
      </c>
      <c r="F26" s="69" t="n">
        <f aca="false">E44</f>
        <v>4000</v>
      </c>
      <c r="G26" s="69" t="n">
        <f aca="false">F44</f>
        <v>4800</v>
      </c>
      <c r="I26" s="12" t="s">
        <v>1175</v>
      </c>
    </row>
    <row r="27" customFormat="false" ht="15" hidden="true" customHeight="false" outlineLevel="2" collapsed="false">
      <c r="A27" s="3" t="s">
        <v>1176</v>
      </c>
      <c r="B27" s="12" t="s">
        <v>177</v>
      </c>
      <c r="C27" s="69" t="n">
        <f aca="false">輸入與假設!$C$41*輸入與假設!$C$42</f>
        <v>409.0005</v>
      </c>
      <c r="D27" s="69" t="n">
        <f aca="false">C39</f>
        <v>409.0005</v>
      </c>
      <c r="E27" s="69" t="n">
        <f aca="false">D39</f>
        <v>409.0005</v>
      </c>
      <c r="F27" s="69" t="n">
        <f aca="false">E39</f>
        <v>409.0005</v>
      </c>
      <c r="G27" s="69" t="n">
        <f aca="false">F39</f>
        <v>309.0005</v>
      </c>
    </row>
    <row r="28" customFormat="false" ht="15" hidden="true" customHeight="false" outlineLevel="2" collapsed="false">
      <c r="A28" s="3" t="s">
        <v>1177</v>
      </c>
      <c r="B28" s="12" t="s">
        <v>177</v>
      </c>
      <c r="C28" s="69" t="n">
        <f aca="false">輸入與假設!$C$41*輸入與假設!$C$43</f>
        <v>440.5005</v>
      </c>
      <c r="D28" s="69" t="n">
        <f aca="false">C40</f>
        <v>510.5005</v>
      </c>
      <c r="E28" s="69" t="n">
        <f aca="false">D40</f>
        <v>510.5005</v>
      </c>
      <c r="F28" s="69" t="n">
        <f aca="false">E40</f>
        <v>510.5005</v>
      </c>
      <c r="G28" s="69" t="n">
        <f aca="false">F40</f>
        <v>510.5005</v>
      </c>
    </row>
    <row r="29" customFormat="false" ht="15" hidden="true" customHeight="false" outlineLevel="2" collapsed="false">
      <c r="A29" s="3" t="s">
        <v>1178</v>
      </c>
      <c r="B29" s="12" t="s">
        <v>177</v>
      </c>
      <c r="C29" s="69" t="n">
        <f aca="false">輸入與假設!$C$41*輸入與假設!$C$44</f>
        <v>650.499</v>
      </c>
      <c r="D29" s="69" t="n">
        <f aca="false">C41</f>
        <v>930.499</v>
      </c>
      <c r="E29" s="69" t="n">
        <f aca="false">D41</f>
        <v>1555.499</v>
      </c>
      <c r="F29" s="69" t="n">
        <f aca="false">E41</f>
        <v>1555.499</v>
      </c>
      <c r="G29" s="69" t="n">
        <f aca="false">F41</f>
        <v>1555.499</v>
      </c>
    </row>
    <row r="30" customFormat="false" ht="15" hidden="true" customHeight="false" outlineLevel="2" collapsed="false">
      <c r="A30" s="3" t="s">
        <v>1179</v>
      </c>
      <c r="B30" s="12" t="s">
        <v>177</v>
      </c>
      <c r="C30" s="69" t="n">
        <f aca="false">輸入與假設!$C$41*輸入與假設!$C$45</f>
        <v>0</v>
      </c>
      <c r="D30" s="69" t="n">
        <f aca="false">C42</f>
        <v>0</v>
      </c>
      <c r="E30" s="69" t="n">
        <f aca="false">D42</f>
        <v>625</v>
      </c>
      <c r="F30" s="69" t="n">
        <f aca="false">E42</f>
        <v>1525</v>
      </c>
      <c r="G30" s="69" t="n">
        <f aca="false">F42</f>
        <v>2425</v>
      </c>
    </row>
    <row r="31" customFormat="false" ht="15" hidden="true" customHeight="false" outlineLevel="2" collapsed="false">
      <c r="A31" s="3" t="s">
        <v>1180</v>
      </c>
      <c r="B31" s="12" t="s">
        <v>177</v>
      </c>
      <c r="C31" s="69" t="n">
        <f aca="false">輸入與假設!$C$41*輸入與假設!$C$46</f>
        <v>0</v>
      </c>
      <c r="D31" s="69" t="n">
        <f aca="false">C43</f>
        <v>0</v>
      </c>
      <c r="E31" s="69" t="n">
        <f aca="false">D43</f>
        <v>0</v>
      </c>
      <c r="F31" s="69" t="n">
        <f aca="false">E43</f>
        <v>0</v>
      </c>
      <c r="G31" s="69" t="n">
        <f aca="false">F43</f>
        <v>0</v>
      </c>
    </row>
    <row r="32" customFormat="false" ht="15" hidden="true" customHeight="false" outlineLevel="2" collapsed="false">
      <c r="A32" s="3" t="s">
        <v>1181</v>
      </c>
      <c r="B32" s="12" t="s">
        <v>177</v>
      </c>
      <c r="C32" s="69" t="n">
        <f aca="false">MIN(IF(2026-輸入與假設!$C$114=2023,輸入與假設!$C$115,IF(2026-輸入與假設!$C$114=2024,輸入與假設!$C$116-輸入與假設!$C$115,IF(2026-輸入與假設!$C$114=2025,輸入與假設!$C$19-輸入與假設!$C$116,0))),C26)</f>
        <v>0</v>
      </c>
      <c r="D32" s="69" t="n">
        <f aca="false">MIN(IF(2027-輸入與假設!$C$114=2023,輸入與假設!$C$115,IF(2027-輸入與假設!$C$114=2024,輸入與假設!$C$116-輸入與假設!$C$115,IF(2027-輸入與假設!$C$114=2025,輸入與假設!$C$19-輸入與假設!$C$116,0))),D26)</f>
        <v>0</v>
      </c>
      <c r="E32" s="69" t="n">
        <f aca="false">MIN(IF(2028-輸入與假設!$C$114=2023,輸入與假設!$C$115,IF(2028-輸入與假設!$C$114=2024,輸入與假設!$C$116-輸入與假設!$C$115,IF(2028-輸入與假設!$C$114=2025,輸入與假設!$C$19-輸入與假設!$C$116,0))),E26)</f>
        <v>0</v>
      </c>
      <c r="F32" s="69" t="n">
        <f aca="false">MIN(IF(2029-輸入與假設!$C$114=2023,輸入與假設!$C$115,IF(2029-輸入與假設!$C$114=2024,輸入與假設!$C$116-輸入與假設!$C$115,IF(2029-輸入與假設!$C$114=2025,輸入與假設!$C$19-輸入與假設!$C$116,0))),F26)</f>
        <v>100</v>
      </c>
      <c r="G32" s="69" t="n">
        <f aca="false">MIN(IF(2030-輸入與假設!$C$114=2023,輸入與假設!$C$115,IF(2030-輸入與假設!$C$114=2024,輸入與假設!$C$116-輸入與假設!$C$115,IF(2030-輸入與假設!$C$114=2025,輸入與假設!$C$19-輸入與假設!$C$116,0))),G26)</f>
        <v>260</v>
      </c>
      <c r="I32" s="7" t="s">
        <v>1182</v>
      </c>
    </row>
    <row r="33" customFormat="false" ht="15" hidden="true" customHeight="false" outlineLevel="2" collapsed="false">
      <c r="A33" s="3" t="s">
        <v>1183</v>
      </c>
      <c r="B33" s="12" t="s">
        <v>177</v>
      </c>
      <c r="C33" s="69" t="n">
        <f aca="false">MIN(C27,C32)</f>
        <v>0</v>
      </c>
      <c r="D33" s="69" t="n">
        <f aca="false">MIN(D27,D32)</f>
        <v>0</v>
      </c>
      <c r="E33" s="69" t="n">
        <f aca="false">MIN(E27,E32)</f>
        <v>0</v>
      </c>
      <c r="F33" s="69" t="n">
        <f aca="false">MIN(F27,F32)</f>
        <v>100</v>
      </c>
      <c r="G33" s="69" t="n">
        <f aca="false">MIN(G27,G32)</f>
        <v>260</v>
      </c>
    </row>
    <row r="34" customFormat="false" ht="15" hidden="true" customHeight="false" outlineLevel="2" collapsed="false">
      <c r="A34" s="3" t="s">
        <v>1184</v>
      </c>
      <c r="B34" s="12" t="s">
        <v>177</v>
      </c>
      <c r="C34" s="69" t="n">
        <f aca="false">MIN(C28,MAX(0,C32-SUM(C27:C27)))</f>
        <v>0</v>
      </c>
      <c r="D34" s="69" t="n">
        <f aca="false">MIN(D28,MAX(0,D32-SUM(D27:D27)))</f>
        <v>0</v>
      </c>
      <c r="E34" s="69" t="n">
        <f aca="false">MIN(E28,MAX(0,E32-SUM(E27:E27)))</f>
        <v>0</v>
      </c>
      <c r="F34" s="69" t="n">
        <f aca="false">MIN(F28,MAX(0,F32-SUM(F27:F27)))</f>
        <v>0</v>
      </c>
      <c r="G34" s="69" t="n">
        <f aca="false">MIN(G28,MAX(0,G32-SUM(G27:G27)))</f>
        <v>0</v>
      </c>
    </row>
    <row r="35" customFormat="false" ht="15" hidden="true" customHeight="false" outlineLevel="2" collapsed="false">
      <c r="A35" s="3" t="s">
        <v>1185</v>
      </c>
      <c r="B35" s="12" t="s">
        <v>177</v>
      </c>
      <c r="C35" s="69" t="n">
        <f aca="false">MIN(C29,MAX(0,C32-SUM(C27:C28)))</f>
        <v>0</v>
      </c>
      <c r="D35" s="69" t="n">
        <f aca="false">MIN(D29,MAX(0,D32-SUM(D27:D28)))</f>
        <v>0</v>
      </c>
      <c r="E35" s="69" t="n">
        <f aca="false">MIN(E29,MAX(0,E32-SUM(E27:E28)))</f>
        <v>0</v>
      </c>
      <c r="F35" s="69" t="n">
        <f aca="false">MIN(F29,MAX(0,F32-SUM(F27:F28)))</f>
        <v>0</v>
      </c>
      <c r="G35" s="69" t="n">
        <f aca="false">MIN(G29,MAX(0,G32-SUM(G27:G28)))</f>
        <v>0</v>
      </c>
    </row>
    <row r="36" customFormat="false" ht="15" hidden="true" customHeight="false" outlineLevel="2" collapsed="false">
      <c r="A36" s="3" t="s">
        <v>1186</v>
      </c>
      <c r="B36" s="12" t="s">
        <v>177</v>
      </c>
      <c r="C36" s="69" t="n">
        <f aca="false">MIN(C30,MAX(0,C32-SUM(C27:C29)))</f>
        <v>0</v>
      </c>
      <c r="D36" s="69" t="n">
        <f aca="false">MIN(D30,MAX(0,D32-SUM(D27:D29)))</f>
        <v>0</v>
      </c>
      <c r="E36" s="69" t="n">
        <f aca="false">MIN(E30,MAX(0,E32-SUM(E27:E29)))</f>
        <v>0</v>
      </c>
      <c r="F36" s="69" t="n">
        <f aca="false">MIN(F30,MAX(0,F32-SUM(F27:F29)))</f>
        <v>0</v>
      </c>
      <c r="G36" s="69" t="n">
        <f aca="false">MIN(G30,MAX(0,G32-SUM(G27:G29)))</f>
        <v>0</v>
      </c>
    </row>
    <row r="37" customFormat="false" ht="15" hidden="true" customHeight="false" outlineLevel="2" collapsed="false">
      <c r="A37" s="3" t="s">
        <v>1187</v>
      </c>
      <c r="B37" s="12" t="s">
        <v>177</v>
      </c>
      <c r="C37" s="69" t="n">
        <f aca="false">MIN(C31,MAX(0,C32-SUM(C27:C30)))</f>
        <v>0</v>
      </c>
      <c r="D37" s="69" t="n">
        <f aca="false">MIN(D31,MAX(0,D32-SUM(D27:D30)))</f>
        <v>0</v>
      </c>
      <c r="E37" s="69" t="n">
        <f aca="false">MIN(E31,MAX(0,E32-SUM(E27:E30)))</f>
        <v>0</v>
      </c>
      <c r="F37" s="69" t="n">
        <f aca="false">MIN(F31,MAX(0,F32-SUM(F27:F30)))</f>
        <v>0</v>
      </c>
      <c r="G37" s="69" t="n">
        <f aca="false">MIN(G31,MAX(0,G32-SUM(G27:G30)))</f>
        <v>0</v>
      </c>
    </row>
    <row r="38" customFormat="false" ht="15" hidden="true" customHeight="false" outlineLevel="2" collapsed="false">
      <c r="A38" s="3" t="s">
        <v>1188</v>
      </c>
      <c r="B38" s="12" t="s">
        <v>177</v>
      </c>
      <c r="C38" s="69" t="n">
        <f aca="false">MAX(0,運營_產能與收入!C9-C26)</f>
        <v>350</v>
      </c>
      <c r="D38" s="69" t="n">
        <f aca="false">MAX(0,運營_產能與收入!D9-D26)</f>
        <v>1250</v>
      </c>
      <c r="E38" s="69" t="n">
        <f aca="false">MAX(0,運營_產能與收入!E9-E26)</f>
        <v>900</v>
      </c>
      <c r="F38" s="69" t="n">
        <f aca="false">MAX(0,運營_產能與收入!F9-F26)</f>
        <v>800</v>
      </c>
      <c r="G38" s="69" t="n">
        <f aca="false">MAX(0,運營_產能與收入!G9-G26)</f>
        <v>800</v>
      </c>
    </row>
    <row r="39" customFormat="false" ht="15" hidden="true" customHeight="false" outlineLevel="2" collapsed="false">
      <c r="A39" s="3" t="s">
        <v>1189</v>
      </c>
      <c r="B39" s="12" t="s">
        <v>177</v>
      </c>
      <c r="C39" s="69" t="n">
        <f aca="false">C27-C33+輸入與假設!C58*(C38+C32)</f>
        <v>409.0005</v>
      </c>
      <c r="D39" s="69" t="n">
        <f aca="false">D27-D33+輸入與假設!D58*(D38+D32)</f>
        <v>409.0005</v>
      </c>
      <c r="E39" s="69" t="n">
        <f aca="false">E27-E33+輸入與假設!E58*(E38+E32)</f>
        <v>409.0005</v>
      </c>
      <c r="F39" s="69" t="n">
        <f aca="false">F27-F33+輸入與假設!F58*(F38+F32)</f>
        <v>309.0005</v>
      </c>
      <c r="G39" s="69" t="n">
        <f aca="false">G27-G33+輸入與假設!G58*(G38+G32)</f>
        <v>49.0005</v>
      </c>
    </row>
    <row r="40" customFormat="false" ht="15" hidden="true" customHeight="false" outlineLevel="2" collapsed="false">
      <c r="A40" s="3" t="s">
        <v>1190</v>
      </c>
      <c r="B40" s="12" t="s">
        <v>177</v>
      </c>
      <c r="C40" s="69" t="n">
        <f aca="false">C28-C34+輸入與假設!C59*(C38+C32)</f>
        <v>510.5005</v>
      </c>
      <c r="D40" s="69" t="n">
        <f aca="false">D28-D34+輸入與假設!D59*(D38+D32)</f>
        <v>510.5005</v>
      </c>
      <c r="E40" s="69" t="n">
        <f aca="false">E28-E34+輸入與假設!E59*(E38+E32)</f>
        <v>510.5005</v>
      </c>
      <c r="F40" s="69" t="n">
        <f aca="false">F28-F34+輸入與假設!F59*(F38+F32)</f>
        <v>510.5005</v>
      </c>
      <c r="G40" s="69" t="n">
        <f aca="false">G28-G34+輸入與假設!G59*(G38+G32)</f>
        <v>510.5005</v>
      </c>
    </row>
    <row r="41" customFormat="false" ht="15" hidden="true" customHeight="false" outlineLevel="2" collapsed="false">
      <c r="A41" s="3" t="s">
        <v>1191</v>
      </c>
      <c r="B41" s="12" t="s">
        <v>177</v>
      </c>
      <c r="C41" s="69" t="n">
        <f aca="false">C29-C35+輸入與假設!C60*(C38+C32)</f>
        <v>930.499</v>
      </c>
      <c r="D41" s="69" t="n">
        <f aca="false">D29-D35+輸入與假設!D60*(D38+D32)</f>
        <v>1555.499</v>
      </c>
      <c r="E41" s="69" t="n">
        <f aca="false">E29-E35+輸入與假設!E60*(E38+E32)</f>
        <v>1555.499</v>
      </c>
      <c r="F41" s="69" t="n">
        <f aca="false">F29-F35+輸入與假設!F60*(F38+F32)</f>
        <v>1555.499</v>
      </c>
      <c r="G41" s="69" t="n">
        <f aca="false">G29-G35+輸入與假設!G60*(G38+G32)</f>
        <v>1555.499</v>
      </c>
    </row>
    <row r="42" customFormat="false" ht="15" hidden="true" customHeight="false" outlineLevel="2" collapsed="false">
      <c r="A42" s="3" t="s">
        <v>1192</v>
      </c>
      <c r="B42" s="12" t="s">
        <v>177</v>
      </c>
      <c r="C42" s="69" t="n">
        <f aca="false">C30-C36+輸入與假設!C61*(C38+C32)</f>
        <v>0</v>
      </c>
      <c r="D42" s="69" t="n">
        <f aca="false">D30-D36+輸入與假設!D61*(D38+D32)</f>
        <v>625</v>
      </c>
      <c r="E42" s="69" t="n">
        <f aca="false">E30-E36+輸入與假設!E61*(E38+E32)</f>
        <v>1525</v>
      </c>
      <c r="F42" s="69" t="n">
        <f aca="false">F30-F36+輸入與假設!F61*(F38+F32)</f>
        <v>2425</v>
      </c>
      <c r="G42" s="69" t="n">
        <f aca="false">G30-G36+輸入與假設!G61*(G38+G32)</f>
        <v>3485</v>
      </c>
    </row>
    <row r="43" customFormat="false" ht="15" hidden="true" customHeight="false" outlineLevel="2" collapsed="false">
      <c r="A43" s="3" t="s">
        <v>1193</v>
      </c>
      <c r="B43" s="12" t="s">
        <v>177</v>
      </c>
      <c r="C43" s="69" t="n">
        <f aca="false">C31-C37+輸入與假設!C62*(C38+C32)</f>
        <v>0</v>
      </c>
      <c r="D43" s="69" t="n">
        <f aca="false">D31-D37+輸入與假設!D62*(D38+D32)</f>
        <v>0</v>
      </c>
      <c r="E43" s="69" t="n">
        <f aca="false">E31-E37+輸入與假設!E62*(E38+E32)</f>
        <v>0</v>
      </c>
      <c r="F43" s="69" t="n">
        <f aca="false">F31-F37+輸入與假設!F62*(F38+F32)</f>
        <v>0</v>
      </c>
      <c r="G43" s="69" t="n">
        <f aca="false">G31-G37+輸入與假設!G62*(G38+G32)</f>
        <v>0</v>
      </c>
    </row>
    <row r="44" customFormat="false" ht="15" hidden="true" customHeight="false" outlineLevel="2" collapsed="false">
      <c r="A44" s="3" t="s">
        <v>1194</v>
      </c>
      <c r="B44" s="12" t="s">
        <v>177</v>
      </c>
      <c r="C44" s="69" t="n">
        <f aca="false">SUM(C39:C43)</f>
        <v>1850</v>
      </c>
      <c r="D44" s="69" t="n">
        <f aca="false">SUM(D39:D43)</f>
        <v>3100</v>
      </c>
      <c r="E44" s="69" t="n">
        <f aca="false">SUM(E39:E43)</f>
        <v>4000</v>
      </c>
      <c r="F44" s="69" t="n">
        <f aca="false">SUM(F39:F43)</f>
        <v>4800</v>
      </c>
      <c r="G44" s="69" t="n">
        <f aca="false">SUM(G39:G43)</f>
        <v>5600</v>
      </c>
    </row>
    <row r="45" customFormat="false" ht="15" hidden="true" customHeight="false" outlineLevel="2" collapsed="false">
      <c r="A45" s="3" t="s">
        <v>1195</v>
      </c>
      <c r="B45" s="12" t="s">
        <v>177</v>
      </c>
      <c r="C45" s="69" t="n">
        <f aca="false">(C27+C39)/2</f>
        <v>409.0005</v>
      </c>
      <c r="D45" s="69" t="n">
        <f aca="false">(D27+D39)/2</f>
        <v>409.0005</v>
      </c>
      <c r="E45" s="69" t="n">
        <f aca="false">(E27+E39)/2</f>
        <v>409.0005</v>
      </c>
      <c r="F45" s="69" t="n">
        <f aca="false">(F27+F39)/2</f>
        <v>359.0005</v>
      </c>
      <c r="G45" s="69" t="n">
        <f aca="false">(G27+G39)/2</f>
        <v>179.0005</v>
      </c>
    </row>
    <row r="46" customFormat="false" ht="15" hidden="true" customHeight="false" outlineLevel="2" collapsed="false">
      <c r="A46" s="3" t="s">
        <v>1196</v>
      </c>
      <c r="B46" s="12" t="s">
        <v>177</v>
      </c>
      <c r="C46" s="69" t="n">
        <f aca="false">(C28+C40)/2</f>
        <v>475.5005</v>
      </c>
      <c r="D46" s="69" t="n">
        <f aca="false">(D28+D40)/2</f>
        <v>510.5005</v>
      </c>
      <c r="E46" s="69" t="n">
        <f aca="false">(E28+E40)/2</f>
        <v>510.5005</v>
      </c>
      <c r="F46" s="69" t="n">
        <f aca="false">(F28+F40)/2</f>
        <v>510.5005</v>
      </c>
      <c r="G46" s="69" t="n">
        <f aca="false">(G28+G40)/2</f>
        <v>510.5005</v>
      </c>
    </row>
    <row r="47" customFormat="false" ht="15" hidden="true" customHeight="false" outlineLevel="2" collapsed="false">
      <c r="A47" s="3" t="s">
        <v>1197</v>
      </c>
      <c r="B47" s="12" t="s">
        <v>177</v>
      </c>
      <c r="C47" s="69" t="n">
        <f aca="false">(C29+C41)/2</f>
        <v>790.499</v>
      </c>
      <c r="D47" s="69" t="n">
        <f aca="false">(D29+D41)/2</f>
        <v>1242.999</v>
      </c>
      <c r="E47" s="69" t="n">
        <f aca="false">(E29+E41)/2</f>
        <v>1555.499</v>
      </c>
      <c r="F47" s="69" t="n">
        <f aca="false">(F29+F41)/2</f>
        <v>1555.499</v>
      </c>
      <c r="G47" s="69" t="n">
        <f aca="false">(G29+G41)/2</f>
        <v>1555.499</v>
      </c>
    </row>
    <row r="48" customFormat="false" ht="15" hidden="true" customHeight="false" outlineLevel="2" collapsed="false">
      <c r="A48" s="3" t="s">
        <v>1198</v>
      </c>
      <c r="B48" s="12" t="s">
        <v>177</v>
      </c>
      <c r="C48" s="69" t="n">
        <f aca="false">(C30+C42)/2</f>
        <v>0</v>
      </c>
      <c r="D48" s="69" t="n">
        <f aca="false">(D30+D42)/2</f>
        <v>312.5</v>
      </c>
      <c r="E48" s="69" t="n">
        <f aca="false">(E30+E42)/2</f>
        <v>1075</v>
      </c>
      <c r="F48" s="69" t="n">
        <f aca="false">(F30+F42)/2</f>
        <v>1975</v>
      </c>
      <c r="G48" s="69" t="n">
        <f aca="false">(G30+G42)/2</f>
        <v>2955</v>
      </c>
    </row>
    <row r="49" customFormat="false" ht="15" hidden="true" customHeight="false" outlineLevel="2" collapsed="false">
      <c r="A49" s="3" t="s">
        <v>1199</v>
      </c>
      <c r="B49" s="12" t="s">
        <v>177</v>
      </c>
      <c r="C49" s="69" t="n">
        <f aca="false">(C31+C43)/2</f>
        <v>0</v>
      </c>
      <c r="D49" s="69" t="n">
        <f aca="false">(D31+D43)/2</f>
        <v>0</v>
      </c>
      <c r="E49" s="69" t="n">
        <f aca="false">(E31+E43)/2</f>
        <v>0</v>
      </c>
      <c r="F49" s="69" t="n">
        <f aca="false">(F31+F43)/2</f>
        <v>0</v>
      </c>
      <c r="G49" s="69" t="n">
        <f aca="false">(G31+G43)/2</f>
        <v>0</v>
      </c>
    </row>
    <row r="50" customFormat="false" ht="15" hidden="true" customHeight="false" outlineLevel="2" collapsed="false">
      <c r="A50" s="3" t="s">
        <v>1200</v>
      </c>
      <c r="B50" s="12" t="s">
        <v>177</v>
      </c>
      <c r="C50" s="77" t="n">
        <f aca="false">SUM(C45:C49)</f>
        <v>1675</v>
      </c>
      <c r="D50" s="77" t="n">
        <f aca="false">SUM(D45:D49)</f>
        <v>2475</v>
      </c>
      <c r="E50" s="77" t="n">
        <f aca="false">SUM(E45:E49)</f>
        <v>3550</v>
      </c>
      <c r="F50" s="77" t="n">
        <f aca="false">SUM(F45:F49)</f>
        <v>4400</v>
      </c>
      <c r="G50" s="77" t="n">
        <f aca="false">SUM(G45:G49)</f>
        <v>5200</v>
      </c>
      <c r="I50" s="7" t="s">
        <v>1201</v>
      </c>
    </row>
    <row r="51" customFormat="false" ht="15" hidden="true" customHeight="false" outlineLevel="2" collapsed="false">
      <c r="A51" s="3" t="s">
        <v>1202</v>
      </c>
      <c r="B51" s="12" t="s">
        <v>77</v>
      </c>
      <c r="C51" s="68" t="n">
        <f aca="false">C45/MAX(C50,0.000000001)</f>
        <v>0.244179402985075</v>
      </c>
      <c r="D51" s="68" t="n">
        <f aca="false">D45/MAX(D50,0.000000001)</f>
        <v>0.165252727272727</v>
      </c>
      <c r="E51" s="68" t="n">
        <f aca="false">E45/MAX(E50,0.000000001)</f>
        <v>0.115211408450704</v>
      </c>
      <c r="F51" s="68" t="n">
        <f aca="false">F45/MAX(F50,0.000000001)</f>
        <v>0.0815910227272727</v>
      </c>
      <c r="G51" s="68" t="n">
        <f aca="false">G45/MAX(G50,0.000000001)</f>
        <v>0.0344231730769231</v>
      </c>
    </row>
    <row r="52" customFormat="false" ht="15" hidden="true" customHeight="false" outlineLevel="2" collapsed="false">
      <c r="A52" s="3" t="s">
        <v>1203</v>
      </c>
      <c r="B52" s="12" t="s">
        <v>77</v>
      </c>
      <c r="C52" s="68" t="n">
        <f aca="false">C46/MAX(C50,0.000000001)</f>
        <v>0.283880895522388</v>
      </c>
      <c r="D52" s="68" t="n">
        <f aca="false">D46/MAX(D50,0.000000001)</f>
        <v>0.206262828282828</v>
      </c>
      <c r="E52" s="68" t="n">
        <f aca="false">E46/MAX(E50,0.000000001)</f>
        <v>0.143802957746479</v>
      </c>
      <c r="F52" s="68" t="n">
        <f aca="false">F46/MAX(F50,0.000000001)</f>
        <v>0.116022840909091</v>
      </c>
      <c r="G52" s="68" t="n">
        <f aca="false">G46/MAX(G50,0.000000001)</f>
        <v>0.0981731730769231</v>
      </c>
    </row>
    <row r="53" customFormat="false" ht="15" hidden="true" customHeight="false" outlineLevel="2" collapsed="false">
      <c r="A53" s="3" t="s">
        <v>1204</v>
      </c>
      <c r="B53" s="12" t="s">
        <v>77</v>
      </c>
      <c r="C53" s="68" t="n">
        <f aca="false">C47/MAX(C50,0.000000001)</f>
        <v>0.471939701492537</v>
      </c>
      <c r="D53" s="68" t="n">
        <f aca="false">D47/MAX(D50,0.000000001)</f>
        <v>0.502221818181818</v>
      </c>
      <c r="E53" s="68" t="n">
        <f aca="false">E47/MAX(E50,0.000000001)</f>
        <v>0.438168732394366</v>
      </c>
      <c r="F53" s="68" t="n">
        <f aca="false">F47/MAX(F50,0.000000001)</f>
        <v>0.3535225</v>
      </c>
      <c r="G53" s="68" t="n">
        <f aca="false">G47/MAX(G50,0.000000001)</f>
        <v>0.299134423076923</v>
      </c>
    </row>
    <row r="54" customFormat="false" ht="15" hidden="true" customHeight="false" outlineLevel="2" collapsed="false">
      <c r="A54" s="3" t="s">
        <v>1205</v>
      </c>
      <c r="B54" s="12" t="s">
        <v>77</v>
      </c>
      <c r="C54" s="68" t="n">
        <f aca="false">C48/MAX(C50,0.000000001)</f>
        <v>0</v>
      </c>
      <c r="D54" s="68" t="n">
        <f aca="false">D48/MAX(D50,0.000000001)</f>
        <v>0.126262626262626</v>
      </c>
      <c r="E54" s="68" t="n">
        <f aca="false">E48/MAX(E50,0.000000001)</f>
        <v>0.302816901408451</v>
      </c>
      <c r="F54" s="68" t="n">
        <f aca="false">F48/MAX(F50,0.000000001)</f>
        <v>0.448863636363636</v>
      </c>
      <c r="G54" s="68" t="n">
        <f aca="false">G48/MAX(G50,0.000000001)</f>
        <v>0.568269230769231</v>
      </c>
    </row>
    <row r="55" customFormat="false" ht="15" hidden="true" customHeight="false" outlineLevel="2" collapsed="false">
      <c r="A55" s="3" t="s">
        <v>1206</v>
      </c>
      <c r="B55" s="12" t="s">
        <v>77</v>
      </c>
      <c r="C55" s="68" t="n">
        <f aca="false">C49/MAX(C50,0.000000001)</f>
        <v>0</v>
      </c>
      <c r="D55" s="68" t="n">
        <f aca="false">D49/MAX(D50,0.000000001)</f>
        <v>0</v>
      </c>
      <c r="E55" s="68" t="n">
        <f aca="false">E49/MAX(E50,0.000000001)</f>
        <v>0</v>
      </c>
      <c r="F55" s="68" t="n">
        <f aca="false">F49/MAX(F50,0.000000001)</f>
        <v>0</v>
      </c>
      <c r="G55" s="68" t="n">
        <f aca="false">G49/MAX(G50,0.000000001)</f>
        <v>0</v>
      </c>
    </row>
    <row r="56" customFormat="false" ht="15" hidden="false" customHeight="false" outlineLevel="1" collapsed="true">
      <c r="A56" s="20" t="s">
        <v>1207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1208</v>
      </c>
      <c r="B57" s="12" t="s">
        <v>327</v>
      </c>
      <c r="C57" s="55" t="n">
        <f aca="false">SUMPRODUCT(C51:C55,輸入與假設!$C$71:$C$75)</f>
        <v>0.672768</v>
      </c>
      <c r="D57" s="55" t="n">
        <f aca="false">SUMPRODUCT(D51:D55,輸入與假設!$C$71:$C$75)</f>
        <v>0.672768</v>
      </c>
      <c r="E57" s="55" t="n">
        <f aca="false">SUMPRODUCT(E51:E55,輸入與假設!$C$71:$C$75)</f>
        <v>0.672768</v>
      </c>
      <c r="F57" s="55" t="n">
        <f aca="false">SUMPRODUCT(F51:F55,輸入與假設!$C$71:$C$75)</f>
        <v>0.672768</v>
      </c>
      <c r="G57" s="55" t="n">
        <f aca="false">SUMPRODUCT(G51:G55,輸入與假設!$C$71:$C$75)</f>
        <v>0.672768</v>
      </c>
      <c r="I57" s="12" t="s">
        <v>1209</v>
      </c>
    </row>
    <row r="58" customFormat="false" ht="15" hidden="true" customHeight="false" outlineLevel="2" collapsed="false">
      <c r="A58" s="3" t="s">
        <v>1210</v>
      </c>
      <c r="B58" s="12" t="s">
        <v>327</v>
      </c>
      <c r="C58" s="55" t="n">
        <f aca="false">SUMPRODUCT(C51:C55,輸入與假設!$D$71:$D$75)</f>
        <v>0.936206901352657</v>
      </c>
      <c r="D58" s="55" t="n">
        <f aca="false">SUMPRODUCT(D51:D55,輸入與假設!$D$71:$D$75)</f>
        <v>0.991538286572</v>
      </c>
      <c r="E58" s="55" t="n">
        <f aca="false">SUMPRODUCT(E51:E55,輸入與假設!$D$71:$D$75)</f>
        <v>1.03236525669456</v>
      </c>
      <c r="F58" s="55" t="n">
        <f aca="false">SUMPRODUCT(F51:F55,輸入與假設!$D$71:$D$75)</f>
        <v>1.05419610096948</v>
      </c>
      <c r="G58" s="55" t="n">
        <f aca="false">SUMPRODUCT(G51:G55,輸入與假設!$D$71:$D$75)</f>
        <v>1.07595123797417</v>
      </c>
      <c r="I58" s="12" t="s">
        <v>1211</v>
      </c>
    </row>
    <row r="59" customFormat="false" ht="15" hidden="true" customHeight="false" outlineLevel="2" collapsed="false">
      <c r="A59" s="3" t="s">
        <v>1212</v>
      </c>
      <c r="B59" s="12" t="s">
        <v>327</v>
      </c>
      <c r="C59" s="55" t="n">
        <f aca="false">SUMPRODUCT(C51:C55,輸入與假設!$E$71:$E$75)</f>
        <v>0.325</v>
      </c>
      <c r="D59" s="55" t="n">
        <f aca="false">SUMPRODUCT(D51:D55,輸入與假設!$E$71:$E$75)</f>
        <v>0.325</v>
      </c>
      <c r="E59" s="55" t="n">
        <f aca="false">SUMPRODUCT(E51:E55,輸入與假設!$E$71:$E$75)</f>
        <v>0.325</v>
      </c>
      <c r="F59" s="55" t="n">
        <f aca="false">SUMPRODUCT(F51:F55,輸入與假設!$E$71:$E$75)</f>
        <v>0.325</v>
      </c>
      <c r="G59" s="55" t="n">
        <f aca="false">SUMPRODUCT(G51:G55,輸入與假設!$E$71:$E$75)</f>
        <v>0.325</v>
      </c>
      <c r="I59" s="12" t="s">
        <v>1213</v>
      </c>
    </row>
    <row r="60" customFormat="false" ht="15" hidden="true" customHeight="false" outlineLevel="2" collapsed="false">
      <c r="A60" s="3" t="s">
        <v>1214</v>
      </c>
      <c r="B60" s="12" t="s">
        <v>327</v>
      </c>
      <c r="C60" s="55" t="n">
        <f aca="false">SUMPRODUCT(C51:C55,輸入與假設!$F$71:$F$75)</f>
        <v>0.156034483558776</v>
      </c>
      <c r="D60" s="55" t="n">
        <f aca="false">SUMPRODUCT(D51:D55,輸入與假設!$F$71:$F$75)</f>
        <v>0.165256381095333</v>
      </c>
      <c r="E60" s="55" t="n">
        <f aca="false">SUMPRODUCT(E51:E55,輸入與假設!$F$71:$F$75)</f>
        <v>0.172060876115761</v>
      </c>
      <c r="F60" s="55" t="n">
        <f aca="false">SUMPRODUCT(F51:F55,輸入與假設!$F$71:$F$75)</f>
        <v>0.17569935016158</v>
      </c>
      <c r="G60" s="55" t="n">
        <f aca="false">SUMPRODUCT(G51:G55,輸入與假設!$F$71:$F$75)</f>
        <v>0.179325206329029</v>
      </c>
      <c r="I60" s="12" t="s">
        <v>1215</v>
      </c>
    </row>
    <row r="61" customFormat="false" ht="15" hidden="true" customHeight="false" outlineLevel="2" collapsed="false">
      <c r="A61" s="3" t="s">
        <v>1216</v>
      </c>
      <c r="B61" s="12" t="s">
        <v>93</v>
      </c>
      <c r="C61" s="67" t="n">
        <f aca="false">C50*C57/1000*輸入與假設!C$24</f>
        <v>0.5634432</v>
      </c>
      <c r="D61" s="67" t="n">
        <f aca="false">D50*D57/1000*輸入與假設!D$24</f>
        <v>1.6651008</v>
      </c>
      <c r="E61" s="67" t="n">
        <f aca="false">E50*E57/1000*輸入與假設!E$24</f>
        <v>2.3883264</v>
      </c>
      <c r="F61" s="67" t="n">
        <f aca="false">F50*F57/1000*輸入與假設!F$24</f>
        <v>2.9601792</v>
      </c>
      <c r="G61" s="67" t="n">
        <f aca="false">G50*G57/1000*輸入與假設!G$24</f>
        <v>3.4983936</v>
      </c>
      <c r="I61" s="7" t="s">
        <v>1217</v>
      </c>
    </row>
    <row r="62" customFormat="false" ht="15" hidden="true" customHeight="false" outlineLevel="2" collapsed="false">
      <c r="A62" s="4" t="s">
        <v>1218</v>
      </c>
      <c r="B62" s="12" t="s">
        <v>93</v>
      </c>
      <c r="C62" s="67" t="n">
        <f aca="false">C50*C58/1000*輸入與假設!C$24</f>
        <v>0.78407327988285</v>
      </c>
      <c r="D62" s="67" t="n">
        <f aca="false">D50*D58/1000*輸入與假設!D$24</f>
        <v>2.4540572592657</v>
      </c>
      <c r="E62" s="67" t="n">
        <f aca="false">E50*E58/1000*輸入與假設!E$24</f>
        <v>3.6648966612657</v>
      </c>
      <c r="F62" s="67" t="n">
        <f aca="false">F50*F58/1000*輸入與假設!F$24</f>
        <v>4.6384628442657</v>
      </c>
      <c r="G62" s="67" t="n">
        <f aca="false">G50*G58/1000*輸入與假設!G$24</f>
        <v>5.5949464374657</v>
      </c>
    </row>
    <row r="63" customFormat="false" ht="15" hidden="true" customHeight="false" outlineLevel="2" collapsed="false">
      <c r="A63" s="3" t="s">
        <v>1219</v>
      </c>
      <c r="B63" s="12" t="s">
        <v>93</v>
      </c>
      <c r="C63" s="67" t="n">
        <f aca="false">C50*C59/1000*輸入與假設!C$24</f>
        <v>0.2721875</v>
      </c>
      <c r="D63" s="67" t="n">
        <f aca="false">D50*D59/1000*輸入與假設!D$24</f>
        <v>0.804375</v>
      </c>
      <c r="E63" s="67" t="n">
        <f aca="false">E50*E59/1000*輸入與假設!E$24</f>
        <v>1.15375</v>
      </c>
      <c r="F63" s="67" t="n">
        <f aca="false">F50*F59/1000*輸入與假設!F$24</f>
        <v>1.43</v>
      </c>
      <c r="G63" s="67" t="n">
        <f aca="false">G50*G59/1000*輸入與假設!G$24</f>
        <v>1.69</v>
      </c>
    </row>
    <row r="64" customFormat="false" ht="15" hidden="true" customHeight="false" outlineLevel="2" collapsed="false">
      <c r="A64" s="3" t="s">
        <v>1220</v>
      </c>
      <c r="B64" s="12" t="s">
        <v>93</v>
      </c>
      <c r="C64" s="67" t="n">
        <f aca="false">C50*C60/1000*輸入與假設!C$24</f>
        <v>0.130678879980475</v>
      </c>
      <c r="D64" s="67" t="n">
        <f aca="false">D50*D60/1000*輸入與假設!D$24</f>
        <v>0.40900954321095</v>
      </c>
      <c r="E64" s="67" t="n">
        <f aca="false">E50*E60/1000*輸入與假設!E$24</f>
        <v>0.61081611021095</v>
      </c>
      <c r="F64" s="67" t="n">
        <f aca="false">F50*F60/1000*輸入與假設!F$24</f>
        <v>0.77307714071095</v>
      </c>
      <c r="G64" s="67" t="n">
        <f aca="false">G50*G60/1000*輸入與假設!G$24</f>
        <v>0.93249107291095</v>
      </c>
    </row>
    <row r="65" customFormat="false" ht="15" hidden="true" customHeight="false" outlineLevel="2" collapsed="false">
      <c r="A65" s="3" t="s">
        <v>1073</v>
      </c>
      <c r="B65" s="12" t="s">
        <v>93</v>
      </c>
      <c r="C65" s="42" t="n">
        <f aca="false">運營_產能與收入!C34</f>
        <v>8.413</v>
      </c>
      <c r="D65" s="42" t="n">
        <f aca="false">運營_產能與收入!D34</f>
        <v>26.1275</v>
      </c>
      <c r="E65" s="42" t="n">
        <f aca="false">運營_產能與收入!E34</f>
        <v>36.6694155</v>
      </c>
      <c r="F65" s="42" t="n">
        <f aca="false">運營_產能與收入!F34</f>
        <v>42.3638485</v>
      </c>
      <c r="G65" s="42" t="n">
        <f aca="false">運營_產能與收入!G34</f>
        <v>44.99393</v>
      </c>
    </row>
    <row r="66" customFormat="false" ht="15" hidden="true" customHeight="false" outlineLevel="2" collapsed="false">
      <c r="A66" s="3" t="s">
        <v>1221</v>
      </c>
      <c r="B66" s="12" t="s">
        <v>77</v>
      </c>
      <c r="C66" s="52" t="n">
        <f aca="false">輸入與假設!$C$107</f>
        <v>0.0551456310679611</v>
      </c>
      <c r="D66" s="52" t="n">
        <f aca="false">輸入與假設!$C$107</f>
        <v>0.0551456310679611</v>
      </c>
      <c r="E66" s="52" t="n">
        <f aca="false">輸入與假設!$C$107</f>
        <v>0.0551456310679611</v>
      </c>
      <c r="F66" s="52" t="n">
        <f aca="false">輸入與假設!$C$107</f>
        <v>0.0551456310679611</v>
      </c>
      <c r="G66" s="52" t="n">
        <f aca="false">輸入與假設!$C$107</f>
        <v>0.0551456310679611</v>
      </c>
      <c r="I66" s="12" t="s">
        <v>1222</v>
      </c>
    </row>
    <row r="67" customFormat="false" ht="15" hidden="true" customHeight="false" outlineLevel="2" collapsed="false">
      <c r="A67" s="3" t="s">
        <v>1223</v>
      </c>
      <c r="B67" s="12" t="s">
        <v>93</v>
      </c>
      <c r="C67" s="67" t="n">
        <f aca="false">C65*C66</f>
        <v>0.463940194174757</v>
      </c>
      <c r="D67" s="67" t="n">
        <f aca="false">D65*D66</f>
        <v>1.44081747572815</v>
      </c>
      <c r="E67" s="67" t="n">
        <f aca="false">E65*E66</f>
        <v>2.02215805864078</v>
      </c>
      <c r="F67" s="67" t="n">
        <f aca="false">F65*F66</f>
        <v>2.33618116</v>
      </c>
      <c r="G67" s="67" t="n">
        <f aca="false">G65*G66</f>
        <v>2.48121866407767</v>
      </c>
    </row>
    <row r="68" customFormat="false" ht="15" hidden="true" customHeight="false" outlineLevel="2" collapsed="false">
      <c r="A68" s="3" t="s">
        <v>1224</v>
      </c>
      <c r="B68" s="12" t="s">
        <v>93</v>
      </c>
      <c r="C68" s="39" t="n">
        <f aca="false">C61+C62+C63+C64+C67</f>
        <v>2.21432305403808</v>
      </c>
      <c r="D68" s="39" t="n">
        <f aca="false">D61+D62+D63+D64+D67</f>
        <v>6.77336007820481</v>
      </c>
      <c r="E68" s="39" t="n">
        <f aca="false">E61+E62+E63+E64+E67</f>
        <v>9.83994723011742</v>
      </c>
      <c r="F68" s="39" t="n">
        <f aca="false">F61+F62+F63+F64+F67</f>
        <v>12.1379003449766</v>
      </c>
      <c r="G68" s="39" t="n">
        <f aca="false">G61+G62+G63+G64+G67</f>
        <v>14.1970497744543</v>
      </c>
      <c r="I68" s="7" t="s">
        <v>1225</v>
      </c>
    </row>
    <row r="69" customFormat="false" ht="15" hidden="true" customHeight="false" outlineLevel="2" collapsed="false">
      <c r="A69" s="3" t="s">
        <v>1226</v>
      </c>
      <c r="B69" s="12" t="s">
        <v>77</v>
      </c>
      <c r="C69" s="68" t="n">
        <f aca="false">1-C68/MAX(0.01,C65)</f>
        <v>0.736797449894439</v>
      </c>
      <c r="D69" s="68" t="n">
        <f aca="false">1-D68/MAX(0.01,D65)</f>
        <v>0.740757436486277</v>
      </c>
      <c r="E69" s="68" t="n">
        <f aca="false">1-E68/MAX(0.01,E65)</f>
        <v>0.731657919932827</v>
      </c>
      <c r="F69" s="68" t="n">
        <f aca="false">1-F68/MAX(0.01,F65)</f>
        <v>0.713484473796647</v>
      </c>
      <c r="G69" s="68" t="n">
        <f aca="false">1-G68/MAX(0.01,G65)</f>
        <v>0.684467443176128</v>
      </c>
      <c r="I69" s="7" t="s">
        <v>1227</v>
      </c>
    </row>
    <row r="70" customFormat="false" ht="15" hidden="true" customHeight="false" outlineLevel="2" collapsed="false">
      <c r="A70" s="3" t="s">
        <v>1228</v>
      </c>
      <c r="B70" s="12" t="s">
        <v>93</v>
      </c>
      <c r="C70" s="42" t="n">
        <f aca="false">各期收支!C12</f>
        <v>1.34</v>
      </c>
      <c r="D70" s="42" t="n">
        <f aca="false">各期收支!D12</f>
        <v>3.939</v>
      </c>
      <c r="E70" s="42" t="n">
        <f aca="false">各期收支!E12</f>
        <v>4.72535483870968</v>
      </c>
      <c r="F70" s="42" t="n">
        <f aca="false">各期收支!F12</f>
        <v>5.123</v>
      </c>
      <c r="G70" s="42" t="n">
        <f aca="false">各期收支!G12</f>
        <v>5.19053846153846</v>
      </c>
      <c r="I70" s="7" t="s">
        <v>1229</v>
      </c>
    </row>
    <row r="71" customFormat="false" ht="15" hidden="true" customHeight="false" outlineLevel="2" collapsed="false">
      <c r="A71" s="3" t="s">
        <v>1230</v>
      </c>
      <c r="B71" s="12" t="s">
        <v>77</v>
      </c>
      <c r="C71" s="73" t="n">
        <f aca="false">C69-C70/MAX(0.01,C65)</f>
        <v>0.577520140967778</v>
      </c>
      <c r="D71" s="73" t="n">
        <f aca="false">D69-D70/MAX(0.01,D65)</f>
        <v>0.589996743729603</v>
      </c>
      <c r="E71" s="73" t="n">
        <f aca="false">E69-E70/MAX(0.01,E65)</f>
        <v>0.602794266823612</v>
      </c>
      <c r="F71" s="73" t="n">
        <f aca="false">F69-F70/MAX(0.01,F65)</f>
        <v>0.592555894798447</v>
      </c>
      <c r="G71" s="73" t="n">
        <f aca="false">G69-G70/MAX(0.01,G65)</f>
        <v>0.569106583132596</v>
      </c>
    </row>
    <row r="72" customFormat="false" ht="15" hidden="true" customHeight="false" outlineLevel="2" collapsed="false">
      <c r="A72" s="4" t="s">
        <v>1231</v>
      </c>
      <c r="B72" s="12" t="s">
        <v>77</v>
      </c>
      <c r="C72" s="52" t="n">
        <f aca="false">輸入與假設!C$87</f>
        <v>0.577520140967778</v>
      </c>
      <c r="D72" s="52" t="n">
        <f aca="false">輸入與假設!D$87</f>
        <v>0.589996743729603</v>
      </c>
      <c r="E72" s="52" t="n">
        <f aca="false">輸入與假設!E$87</f>
        <v>0.602794266823612</v>
      </c>
      <c r="F72" s="52" t="n">
        <f aca="false">輸入與假設!F$87</f>
        <v>0.592555894798447</v>
      </c>
      <c r="G72" s="52" t="n">
        <f aca="false">輸入與假設!G$87</f>
        <v>0.569106583132596</v>
      </c>
      <c r="I72" s="7" t="s">
        <v>1232</v>
      </c>
    </row>
    <row r="73" customFormat="false" ht="15" hidden="false" customHeight="false" outlineLevel="1" collapsed="true">
      <c r="A73" s="20" t="s">
        <v>1233</v>
      </c>
      <c r="B73" s="21"/>
      <c r="C73" s="21"/>
      <c r="D73" s="21"/>
      <c r="E73" s="21"/>
      <c r="F73" s="21"/>
      <c r="G73" s="21"/>
      <c r="H73" s="21"/>
    </row>
    <row r="74" customFormat="false" ht="15" hidden="true" customHeight="false" outlineLevel="2" collapsed="false">
      <c r="A74" s="3" t="s">
        <v>1234</v>
      </c>
      <c r="B74" s="12" t="s">
        <v>327</v>
      </c>
      <c r="C74" s="42" t="n">
        <f aca="false">輸入與假設!C$29*輸入與假設!$C$22*1000</f>
        <v>11.2</v>
      </c>
      <c r="D74" s="42" t="n">
        <f aca="false">輸入與假設!D$29*輸入與假設!$C$22*1000</f>
        <v>11.5</v>
      </c>
      <c r="E74" s="42" t="n">
        <f aca="false">輸入與假設!E$29*輸入與假設!$C$22*1000</f>
        <v>11.5</v>
      </c>
      <c r="F74" s="42" t="n">
        <f aca="false">輸入與假設!F$29*輸入與假設!$C$22*1000</f>
        <v>11</v>
      </c>
      <c r="G74" s="42" t="n">
        <f aca="false">輸入與假設!G$29*輸入與假設!$C$22*1000</f>
        <v>10.5</v>
      </c>
      <c r="I74" s="7" t="s">
        <v>1235</v>
      </c>
    </row>
    <row r="75" customFormat="false" ht="15" hidden="true" customHeight="false" outlineLevel="2" collapsed="false">
      <c r="A75" s="3" t="s">
        <v>1236</v>
      </c>
      <c r="B75" s="12" t="s">
        <v>327</v>
      </c>
      <c r="C75" s="67" t="n">
        <f aca="false">C74*輸入與假設!C$28</f>
        <v>10.64</v>
      </c>
      <c r="D75" s="67" t="n">
        <f aca="false">D74*輸入與假設!D$28</f>
        <v>10.925</v>
      </c>
      <c r="E75" s="67" t="n">
        <f aca="false">E74*輸入與假設!E$28</f>
        <v>10.81</v>
      </c>
      <c r="F75" s="67" t="n">
        <f aca="false">F74*輸入與假設!F$28</f>
        <v>10.23</v>
      </c>
      <c r="G75" s="67" t="n">
        <f aca="false">G74*輸入與假設!G$28</f>
        <v>9.66</v>
      </c>
    </row>
    <row r="76" customFormat="false" ht="15" hidden="true" customHeight="false" outlineLevel="2" collapsed="false">
      <c r="A76" s="3" t="s">
        <v>1237</v>
      </c>
      <c r="B76" s="12" t="s">
        <v>327</v>
      </c>
      <c r="C76" s="24" t="n">
        <v>11.2</v>
      </c>
      <c r="D76" s="24" t="n">
        <v>11.5</v>
      </c>
      <c r="E76" s="24" t="n">
        <v>11.5</v>
      </c>
      <c r="F76" s="24" t="n">
        <v>11</v>
      </c>
      <c r="G76" s="24" t="n">
        <v>10.5</v>
      </c>
      <c r="I76" s="12" t="s">
        <v>1238</v>
      </c>
    </row>
    <row r="77" customFormat="false" ht="15" hidden="true" customHeight="false" outlineLevel="2" collapsed="false">
      <c r="A77" s="3" t="s">
        <v>1239</v>
      </c>
      <c r="B77" s="12" t="s">
        <v>327</v>
      </c>
      <c r="C77" s="67" t="n">
        <f aca="false">(18.5+19.5)/2/1.85</f>
        <v>10.2702702702703</v>
      </c>
      <c r="D77" s="67"/>
      <c r="E77" s="67"/>
      <c r="F77" s="67"/>
      <c r="G77" s="67"/>
      <c r="I77" s="7" t="s">
        <v>1240</v>
      </c>
    </row>
    <row r="78" customFormat="false" ht="15" hidden="true" customHeight="false" outlineLevel="2" collapsed="false">
      <c r="A78" s="3" t="s">
        <v>1241</v>
      </c>
      <c r="B78" s="7" t="s">
        <v>1242</v>
      </c>
      <c r="C78" s="36" t="n">
        <f aca="false">SUMPRODUCT(C51:C55,輸入與假設!$C$77:$C$81)</f>
        <v>547.613291283582</v>
      </c>
      <c r="D78" s="36" t="n">
        <f aca="false">SUMPRODUCT(D51:D55,輸入與假設!$C$77:$C$81)</f>
        <v>503.577884</v>
      </c>
      <c r="E78" s="36" t="n">
        <f aca="false">SUMPRODUCT(E51:E55,輸入與假設!$C$77:$C$81)</f>
        <v>456.619736028169</v>
      </c>
      <c r="F78" s="36" t="n">
        <f aca="false">SUMPRODUCT(F51:F55,輸入與假設!$C$77:$C$81)</f>
        <v>419.924377931818</v>
      </c>
      <c r="G78" s="36" t="n">
        <f aca="false">SUMPRODUCT(G51:G55,輸入與假設!$C$77:$C$81)</f>
        <v>385.447642865385</v>
      </c>
      <c r="I78" s="12" t="s">
        <v>1243</v>
      </c>
    </row>
    <row r="79" customFormat="false" ht="15" hidden="true" customHeight="false" outlineLevel="2" collapsed="false">
      <c r="A79" s="4" t="s">
        <v>1244</v>
      </c>
      <c r="B79" s="12" t="s">
        <v>327</v>
      </c>
      <c r="C79" s="67" t="s">
        <v>866</v>
      </c>
      <c r="D79" s="67" t="s">
        <v>866</v>
      </c>
      <c r="E79" s="67" t="s">
        <v>866</v>
      </c>
      <c r="F79" s="67" t="s">
        <v>866</v>
      </c>
      <c r="G79" s="67" t="s">
        <v>866</v>
      </c>
      <c r="I79" s="7" t="s">
        <v>1245</v>
      </c>
    </row>
    <row r="80" customFormat="false" ht="15" hidden="true" customHeight="false" outlineLevel="2" collapsed="false">
      <c r="A80" s="3" t="s">
        <v>1246</v>
      </c>
      <c r="B80" s="12" t="s">
        <v>1247</v>
      </c>
      <c r="C80" s="54" t="n">
        <f aca="false">C74*1000000/MAX(0.000000001,C78*8760)</f>
        <v>2.33474759129485</v>
      </c>
      <c r="D80" s="54" t="n">
        <f aca="false">D74*1000000/MAX(0.000000001,D78*8760)</f>
        <v>2.60691628810262</v>
      </c>
      <c r="E80" s="54" t="n">
        <f aca="false">E74*1000000/MAX(0.000000001,E78*8760)</f>
        <v>2.87500798705483</v>
      </c>
      <c r="F80" s="54" t="n">
        <f aca="false">F74*1000000/MAX(0.000000001,F78*8760)</f>
        <v>2.99031880154613</v>
      </c>
      <c r="G80" s="54" t="n">
        <f aca="false">G74*1000000/MAX(0.000000001,G78*8760)</f>
        <v>3.10970934489517</v>
      </c>
      <c r="I80" s="7" t="s">
        <v>1248</v>
      </c>
    </row>
    <row r="81" customFormat="false" ht="15" hidden="true" customHeight="false" outlineLevel="2" collapsed="false">
      <c r="A81" s="3" t="s">
        <v>1249</v>
      </c>
      <c r="B81" s="12" t="s">
        <v>1247</v>
      </c>
      <c r="C81" s="54" t="n">
        <f aca="false">SUMPRODUCT(C51:C55,輸入與假設!$C$77:$C$81,輸入與假設!$D$77:$D$81)/MAX(0.000000001,C78)</f>
        <v>2.30847434818164</v>
      </c>
      <c r="D81" s="54" t="n">
        <f aca="false">SUMPRODUCT(D51:D55,輸入與假設!$C$77:$C$81,輸入與假設!$D$77:$D$81)/MAX(0.000000001,D78)</f>
        <v>2.62097125151804</v>
      </c>
      <c r="E81" s="54" t="n">
        <f aca="false">SUMPRODUCT(E51:E55,輸入與假設!$C$77:$C$81,輸入與假設!$D$77:$D$81)/MAX(0.000000001,E78)</f>
        <v>2.98053457385315</v>
      </c>
      <c r="F81" s="54" t="n">
        <f aca="false">SUMPRODUCT(F51:F55,輸入與假設!$C$77:$C$81,輸入與假設!$D$77:$D$81)/MAX(0.000000001,F78)</f>
        <v>3.29333557827845</v>
      </c>
      <c r="G81" s="54" t="n">
        <f aca="false">SUMPRODUCT(G51:G55,輸入與假設!$C$77:$C$81,輸入與假設!$D$77:$D$81)/MAX(0.000000001,G78)</f>
        <v>3.64474053944154</v>
      </c>
      <c r="I81" s="12" t="s">
        <v>1250</v>
      </c>
    </row>
    <row r="82" customFormat="false" ht="15" hidden="true" customHeight="false" outlineLevel="2" collapsed="false">
      <c r="A82" s="3" t="s">
        <v>1251</v>
      </c>
      <c r="B82" s="7" t="s">
        <v>1252</v>
      </c>
      <c r="C82" s="78" t="n">
        <f aca="false">C80/MAX(0.000000001,C81)</f>
        <v>1.01138121510161</v>
      </c>
      <c r="D82" s="78" t="n">
        <f aca="false">D80/MAX(0.000000001,D81)</f>
        <v>0.994637498062113</v>
      </c>
      <c r="E82" s="78" t="n">
        <f aca="false">E80/MAX(0.000000001,E81)</f>
        <v>0.964594744941376</v>
      </c>
      <c r="F82" s="78" t="n">
        <f aca="false">F80/MAX(0.000000001,F81)</f>
        <v>0.907990919986746</v>
      </c>
      <c r="G82" s="78" t="n">
        <f aca="false">G80/MAX(0.000000001,G81)</f>
        <v>0.853204586511293</v>
      </c>
    </row>
    <row r="83" customFormat="false" ht="15" hidden="true" customHeight="false" outlineLevel="2" collapsed="false">
      <c r="A83" s="3" t="s">
        <v>1253</v>
      </c>
      <c r="B83" s="12" t="s">
        <v>327</v>
      </c>
      <c r="C83" s="67" t="n">
        <f aca="false">SUMPRODUCT(C51:C55,輸入與假設!$E$77:$E$81)</f>
        <v>11.0739648243069</v>
      </c>
      <c r="D83" s="67" t="n">
        <f aca="false">SUMPRODUCT(D51:D55,輸入與假設!$E$77:$E$81)</f>
        <v>11.5620012541312</v>
      </c>
      <c r="E83" s="67" t="n">
        <f aca="false">SUMPRODUCT(E51:E55,輸入與假設!$E$77:$E$81)</f>
        <v>11.9221051745404</v>
      </c>
      <c r="F83" s="67" t="n">
        <f aca="false">SUMPRODUCT(F51:F55,輸入與假設!$E$77:$E$81)</f>
        <v>12.1146585916967</v>
      </c>
      <c r="G83" s="67" t="n">
        <f aca="false">SUMPRODUCT(G51:G55,輸入與假設!$E$77:$E$81)</f>
        <v>12.3065442521048</v>
      </c>
      <c r="I83" s="12" t="s">
        <v>1254</v>
      </c>
    </row>
    <row r="84" customFormat="false" ht="15" hidden="true" customHeight="false" outlineLevel="2" collapsed="false">
      <c r="A84" s="3" t="s">
        <v>1255</v>
      </c>
      <c r="B84" s="7" t="s">
        <v>1252</v>
      </c>
      <c r="C84" s="78" t="n">
        <f aca="false">C74/MAX(0.000000001,C83)</f>
        <v>1.01138121510161</v>
      </c>
      <c r="D84" s="78" t="n">
        <f aca="false">D74/MAX(0.000000001,D83)</f>
        <v>0.99463749806211</v>
      </c>
      <c r="E84" s="78" t="n">
        <f aca="false">E74/MAX(0.000000001,E83)</f>
        <v>0.964594744941373</v>
      </c>
      <c r="F84" s="78" t="n">
        <f aca="false">F74/MAX(0.000000001,F83)</f>
        <v>0.907990919986743</v>
      </c>
      <c r="G84" s="78" t="n">
        <f aca="false">G74/MAX(0.000000001,G83)</f>
        <v>0.853204586511291</v>
      </c>
    </row>
    <row r="85" customFormat="false" ht="15" hidden="true" customHeight="false" outlineLevel="2" collapsed="false">
      <c r="A85" s="3" t="s">
        <v>1256</v>
      </c>
      <c r="B85" s="12" t="s">
        <v>327</v>
      </c>
      <c r="C85" s="24" t="n">
        <v>9.7</v>
      </c>
      <c r="D85" s="24" t="n">
        <v>9.7</v>
      </c>
      <c r="E85" s="24" t="n">
        <v>9.7</v>
      </c>
      <c r="F85" s="24" t="n">
        <v>9.7</v>
      </c>
      <c r="G85" s="24" t="n">
        <v>9.7</v>
      </c>
      <c r="I85" s="12" t="s">
        <v>1257</v>
      </c>
    </row>
    <row r="86" customFormat="false" ht="15" hidden="true" customHeight="false" outlineLevel="2" collapsed="false">
      <c r="A86" s="3" t="s">
        <v>1258</v>
      </c>
      <c r="B86" s="12" t="s">
        <v>1247</v>
      </c>
      <c r="C86" s="41" t="n">
        <v>2.82</v>
      </c>
      <c r="D86" s="41"/>
      <c r="E86" s="41"/>
      <c r="F86" s="41"/>
      <c r="G86" s="41"/>
      <c r="I86" s="12" t="s">
        <v>1259</v>
      </c>
    </row>
    <row r="87" customFormat="false" ht="15" hidden="true" customHeight="false" outlineLevel="2" collapsed="false">
      <c r="A87" s="3" t="s">
        <v>1260</v>
      </c>
      <c r="B87" s="12" t="s">
        <v>1247</v>
      </c>
      <c r="C87" s="41" t="n">
        <v>6.155</v>
      </c>
      <c r="D87" s="41"/>
      <c r="E87" s="41"/>
      <c r="F87" s="41"/>
      <c r="G87" s="41"/>
      <c r="I87" s="12" t="s">
        <v>1261</v>
      </c>
    </row>
    <row r="88" customFormat="false" ht="15" hidden="true" customHeight="false" outlineLevel="2" collapsed="false">
      <c r="A88" s="3" t="s">
        <v>1262</v>
      </c>
      <c r="B88" s="12" t="s">
        <v>1247</v>
      </c>
      <c r="C88" s="41" t="n">
        <v>10.5</v>
      </c>
      <c r="D88" s="41"/>
      <c r="E88" s="41"/>
      <c r="F88" s="41"/>
      <c r="G88" s="41"/>
      <c r="I88" s="12" t="s">
        <v>1263</v>
      </c>
    </row>
    <row r="89" customFormat="false" ht="15" hidden="true" customHeight="false" outlineLevel="2" collapsed="false">
      <c r="A89" s="3" t="s">
        <v>1264</v>
      </c>
      <c r="B89" s="12" t="s">
        <v>1247</v>
      </c>
      <c r="C89" s="41" t="n">
        <v>5.87</v>
      </c>
      <c r="D89" s="41"/>
      <c r="E89" s="41"/>
      <c r="F89" s="41"/>
      <c r="G89" s="41"/>
      <c r="I89" s="12" t="s">
        <v>1265</v>
      </c>
    </row>
    <row r="90" customFormat="false" ht="15" hidden="true" customHeight="false" outlineLevel="2" collapsed="false">
      <c r="A90" s="3" t="s">
        <v>1266</v>
      </c>
      <c r="B90" s="12" t="s">
        <v>1247</v>
      </c>
      <c r="C90" s="41" t="n">
        <v>6.82</v>
      </c>
      <c r="D90" s="41"/>
      <c r="E90" s="41"/>
      <c r="F90" s="41"/>
      <c r="G90" s="41"/>
      <c r="I90" s="12" t="s">
        <v>1267</v>
      </c>
    </row>
    <row r="91" customFormat="false" ht="15" hidden="true" customHeight="false" outlineLevel="2" collapsed="false">
      <c r="A91" s="3" t="s">
        <v>1268</v>
      </c>
      <c r="B91" s="12" t="s">
        <v>1247</v>
      </c>
      <c r="C91" s="41" t="n">
        <v>7.85</v>
      </c>
      <c r="D91" s="41"/>
      <c r="E91" s="41"/>
      <c r="F91" s="41"/>
      <c r="G91" s="41"/>
      <c r="I91" s="12" t="s">
        <v>1269</v>
      </c>
    </row>
    <row r="92" customFormat="false" ht="15" hidden="false" customHeight="false" outlineLevel="1" collapsed="true">
      <c r="A92" s="20" t="s">
        <v>1270</v>
      </c>
      <c r="B92" s="21"/>
      <c r="C92" s="21"/>
      <c r="D92" s="21"/>
      <c r="E92" s="21"/>
      <c r="F92" s="21"/>
      <c r="G92" s="21"/>
      <c r="H92" s="21"/>
    </row>
    <row r="93" customFormat="false" ht="15" hidden="true" customHeight="false" outlineLevel="2" collapsed="false">
      <c r="A93" s="3" t="s">
        <v>1271</v>
      </c>
      <c r="B93" s="12" t="s">
        <v>327</v>
      </c>
      <c r="C93" s="79" t="n">
        <f aca="false">輸入與假設!C$120</f>
        <v>34.759438</v>
      </c>
      <c r="D93" s="79" t="n">
        <f aca="false">輸入與假設!D$120</f>
        <v>37.515928</v>
      </c>
      <c r="E93" s="79" t="n">
        <f aca="false">輸入與假設!E$120</f>
        <v>37.586352</v>
      </c>
      <c r="F93" s="79" t="n">
        <f aca="false">輸入與假設!F$120</f>
        <v>37.586352</v>
      </c>
      <c r="G93" s="79" t="n">
        <f aca="false">輸入與假設!G$120</f>
        <v>37.586352</v>
      </c>
    </row>
    <row r="94" customFormat="false" ht="15" hidden="true" customHeight="false" outlineLevel="2" collapsed="false">
      <c r="A94" s="4" t="s">
        <v>1272</v>
      </c>
      <c r="B94" s="12" t="s">
        <v>327</v>
      </c>
      <c r="C94" s="36" t="n">
        <f aca="false">SUMPRODUCT(輸入與假設!C$58:C$62,輸入與假設!$C$65:$C$69)</f>
        <v>34.759438</v>
      </c>
      <c r="D94" s="36" t="n">
        <f aca="false">SUMPRODUCT(輸入與假設!D$58:D$62,輸入與假設!$C$65:$C$69)</f>
        <v>37.515928</v>
      </c>
      <c r="E94" s="36" t="n">
        <f aca="false">SUMPRODUCT(輸入與假設!E$58:E$62,輸入與假設!$C$65:$C$69)</f>
        <v>37.586352</v>
      </c>
      <c r="F94" s="36" t="n">
        <f aca="false">SUMPRODUCT(輸入與假設!F$58:F$62,輸入與假設!$C$65:$C$69)</f>
        <v>37.586352</v>
      </c>
      <c r="G94" s="36" t="n">
        <f aca="false">SUMPRODUCT(輸入與假設!G$58:G$62,輸入與假設!$C$65:$C$69)</f>
        <v>37.586352</v>
      </c>
    </row>
    <row r="95" customFormat="false" ht="15" hidden="true" customHeight="false" outlineLevel="2" collapsed="false">
      <c r="A95" s="4" t="s">
        <v>1273</v>
      </c>
      <c r="B95" s="12" t="s">
        <v>327</v>
      </c>
      <c r="C95" s="36" t="n">
        <f aca="false">SUMPRODUCT(輸入與假設!C$58:C$62,輸入與假設!$D$65:$D$69)</f>
        <v>47.429438</v>
      </c>
      <c r="D95" s="36" t="n">
        <f aca="false">SUMPRODUCT(輸入與假設!D$58:D$62,輸入與假設!$D$65:$D$69)</f>
        <v>50.185928</v>
      </c>
      <c r="E95" s="36" t="n">
        <f aca="false">SUMPRODUCT(輸入與假設!E$58:E$62,輸入與假設!$D$65:$D$69)</f>
        <v>50.256352</v>
      </c>
      <c r="F95" s="36" t="n">
        <f aca="false">SUMPRODUCT(輸入與假設!F$58:F$62,輸入與假設!$D$65:$D$69)</f>
        <v>50.256352</v>
      </c>
      <c r="G95" s="36" t="n">
        <f aca="false">SUMPRODUCT(輸入與假設!G$58:G$62,輸入與假設!$D$65:$D$69)</f>
        <v>50.256352</v>
      </c>
      <c r="I95" s="12" t="s">
        <v>1274</v>
      </c>
    </row>
    <row r="96" customFormat="false" ht="15" hidden="true" customHeight="false" outlineLevel="2" collapsed="false">
      <c r="A96" s="4" t="s">
        <v>1275</v>
      </c>
      <c r="B96" s="12" t="s">
        <v>327</v>
      </c>
      <c r="C96" s="37" t="n">
        <v>34</v>
      </c>
      <c r="D96" s="37" t="n">
        <v>34</v>
      </c>
      <c r="E96" s="37" t="n">
        <v>34</v>
      </c>
      <c r="F96" s="37" t="n">
        <v>34</v>
      </c>
      <c r="G96" s="37" t="n">
        <v>34</v>
      </c>
      <c r="I96" s="7" t="s">
        <v>1276</v>
      </c>
    </row>
    <row r="97" customFormat="false" ht="15" hidden="true" customHeight="false" outlineLevel="2" collapsed="false">
      <c r="A97" s="3" t="s">
        <v>1277</v>
      </c>
      <c r="B97" s="12" t="s">
        <v>327</v>
      </c>
      <c r="C97" s="67" t="n">
        <f aca="false">SUMPRODUCT(C51:C55,輸入與假設!$C$65:$C$69)/輸入與假設!$C$114</f>
        <v>5.2011494519592</v>
      </c>
      <c r="D97" s="67" t="n">
        <f aca="false">SUMPRODUCT(D51:D55,輸入與假設!$C$65:$C$69)/輸入與假設!$C$114</f>
        <v>5.50854603651111</v>
      </c>
      <c r="E97" s="67" t="n">
        <f aca="false">SUMPRODUCT(E51:E55,輸入與假設!$C$65:$C$69)/輸入與假設!$C$114</f>
        <v>5.73536253719202</v>
      </c>
      <c r="F97" s="67" t="n">
        <f aca="false">SUMPRODUCT(F51:F55,輸入與假設!$C$65:$C$69)/輸入與假設!$C$114</f>
        <v>5.85664500538598</v>
      </c>
      <c r="G97" s="67" t="n">
        <f aca="false">SUMPRODUCT(G51:G55,輸入與假設!$C$65:$C$69)/輸入與假設!$C$114</f>
        <v>5.97750687763429</v>
      </c>
    </row>
    <row r="98" customFormat="false" ht="15" hidden="false" customHeight="false" outlineLevel="1" collapsed="true">
      <c r="A98" s="20" t="s">
        <v>1278</v>
      </c>
      <c r="B98" s="21"/>
      <c r="C98" s="21"/>
      <c r="D98" s="21"/>
      <c r="E98" s="21"/>
      <c r="F98" s="21"/>
      <c r="G98" s="21"/>
      <c r="H98" s="21"/>
    </row>
    <row r="99" customFormat="false" ht="15" hidden="true" customHeight="false" outlineLevel="2" collapsed="false">
      <c r="A99" s="3" t="s">
        <v>1279</v>
      </c>
      <c r="B99" s="12" t="s">
        <v>177</v>
      </c>
      <c r="C99" s="69" t="n">
        <f aca="false">輸入與假設!$C$41-輸入與假設!$C$108/2</f>
        <v>1250</v>
      </c>
      <c r="D99" s="69"/>
      <c r="E99" s="69"/>
      <c r="F99" s="69"/>
      <c r="G99" s="69"/>
      <c r="I99" s="7" t="s">
        <v>1280</v>
      </c>
    </row>
    <row r="100" customFormat="false" ht="15" hidden="true" customHeight="false" outlineLevel="2" collapsed="false">
      <c r="A100" s="3" t="s">
        <v>1281</v>
      </c>
      <c r="B100" s="12" t="s">
        <v>93</v>
      </c>
      <c r="C100" s="67" t="n">
        <f aca="false">輸入與假設!$C$96+輸入與假設!$C$97-輸入與假設!$C$102-輸入與假設!$C$103-輸入與假設!$C$104-輸入與假設!$C$105</f>
        <v>0.274</v>
      </c>
      <c r="D100" s="67"/>
      <c r="E100" s="67"/>
      <c r="F100" s="67"/>
      <c r="G100" s="67"/>
      <c r="I100" s="7" t="s">
        <v>1282</v>
      </c>
    </row>
    <row r="101" customFormat="false" ht="15" hidden="true" customHeight="false" outlineLevel="2" collapsed="false">
      <c r="A101" s="3" t="s">
        <v>1283</v>
      </c>
      <c r="B101" s="12" t="s">
        <v>327</v>
      </c>
      <c r="C101" s="55" t="n">
        <f aca="false">C100*4/C99*1000</f>
        <v>0.8768</v>
      </c>
      <c r="D101" s="55"/>
      <c r="E101" s="55"/>
      <c r="F101" s="55"/>
      <c r="G101" s="55"/>
    </row>
    <row r="102" customFormat="false" ht="15" hidden="true" customHeight="false" outlineLevel="2" collapsed="false">
      <c r="A102" s="3" t="s">
        <v>1284</v>
      </c>
      <c r="B102" s="12" t="s">
        <v>327</v>
      </c>
      <c r="C102" s="55" t="n">
        <f aca="false">C57+C58+C59+C60</f>
        <v>2.09000938491143</v>
      </c>
      <c r="D102" s="55" t="n">
        <f aca="false">D57+D58+D59+D60</f>
        <v>2.15456266766733</v>
      </c>
      <c r="E102" s="55" t="n">
        <f aca="false">E57+E58+E59+E60</f>
        <v>2.20219413281032</v>
      </c>
      <c r="F102" s="55" t="n">
        <f aca="false">F57+F58+F59+F60</f>
        <v>2.22766345113106</v>
      </c>
      <c r="G102" s="55" t="n">
        <f aca="false">G57+G58+G59+G60</f>
        <v>2.2530444443032</v>
      </c>
    </row>
    <row r="103" customFormat="false" ht="15" hidden="true" customHeight="false" outlineLevel="2" collapsed="false">
      <c r="A103" s="3" t="s">
        <v>1285</v>
      </c>
      <c r="B103" s="12" t="s">
        <v>327</v>
      </c>
      <c r="C103" s="56" t="n">
        <f aca="false">C102-C101</f>
        <v>1.21320938491143</v>
      </c>
      <c r="D103" s="56"/>
      <c r="E103" s="56"/>
      <c r="F103" s="56"/>
      <c r="G103" s="56"/>
      <c r="I103" s="7" t="s">
        <v>1286</v>
      </c>
    </row>
    <row r="104" customFormat="false" ht="15" hidden="true" customHeight="false" outlineLevel="2" collapsed="false">
      <c r="A104" s="3" t="s">
        <v>1287</v>
      </c>
      <c r="B104" s="12" t="s">
        <v>327</v>
      </c>
      <c r="C104" s="55" t="n">
        <f aca="false">(輸入與假設!$C$104+輸入與假設!$C$105)*4/C99*1000</f>
        <v>2.08</v>
      </c>
      <c r="D104" s="55"/>
      <c r="E104" s="55"/>
      <c r="F104" s="55"/>
      <c r="G104" s="55"/>
    </row>
    <row r="105" customFormat="false" ht="15" hidden="true" customHeight="false" outlineLevel="2" collapsed="false">
      <c r="A105" s="3" t="s">
        <v>1288</v>
      </c>
      <c r="B105" s="12" t="s">
        <v>327</v>
      </c>
      <c r="C105" s="55" t="n">
        <f aca="false">C70/C50/輸入與假設!C$24*1000</f>
        <v>1.6</v>
      </c>
      <c r="D105" s="55" t="n">
        <f aca="false">D70/D50/輸入與假設!D$24*1000</f>
        <v>1.59151515151515</v>
      </c>
      <c r="E105" s="55" t="n">
        <f aca="false">E70/E50/輸入與假設!E$24*1000</f>
        <v>1.33108587005906</v>
      </c>
      <c r="F105" s="55" t="n">
        <f aca="false">F70/F50/輸入與假設!F$24*1000</f>
        <v>1.16431818181818</v>
      </c>
      <c r="G105" s="55" t="n">
        <f aca="false">G70/G50/輸入與假設!G$24*1000</f>
        <v>0.998180473372781</v>
      </c>
    </row>
    <row r="106" customFormat="false" ht="15" hidden="false" customHeight="false" outlineLevel="1" collapsed="true">
      <c r="A106" s="20" t="s">
        <v>1289</v>
      </c>
      <c r="B106" s="21"/>
      <c r="C106" s="21"/>
      <c r="D106" s="21"/>
      <c r="E106" s="21"/>
      <c r="F106" s="21"/>
      <c r="G106" s="21"/>
      <c r="H106" s="21"/>
    </row>
    <row r="107" customFormat="false" ht="17.15" hidden="true" customHeight="false" outlineLevel="2" collapsed="false">
      <c r="A107" s="15" t="s">
        <v>1290</v>
      </c>
      <c r="B107" s="15"/>
      <c r="C107" s="15" t="s">
        <v>1291</v>
      </c>
      <c r="D107" s="15" t="s">
        <v>1292</v>
      </c>
      <c r="E107" s="16" t="s">
        <v>1293</v>
      </c>
      <c r="F107" s="16" t="s">
        <v>1294</v>
      </c>
      <c r="I107" s="7" t="s">
        <v>1295</v>
      </c>
    </row>
    <row r="108" customFormat="false" ht="15" hidden="true" customHeight="false" outlineLevel="2" collapsed="false">
      <c r="A108" s="2" t="s">
        <v>1296</v>
      </c>
      <c r="B108" s="12" t="s">
        <v>1297</v>
      </c>
      <c r="C108" s="80" t="n">
        <v>43.9927732107067</v>
      </c>
      <c r="D108" s="67" t="n">
        <v>32.6541307880956</v>
      </c>
      <c r="E108" s="54" t="n">
        <v>0</v>
      </c>
      <c r="F108" s="67" t="n">
        <v>0</v>
      </c>
    </row>
    <row r="109" customFormat="false" ht="15" hidden="true" customHeight="false" outlineLevel="2" collapsed="false">
      <c r="A109" s="3" t="s">
        <v>1298</v>
      </c>
      <c r="B109" s="12" t="s">
        <v>1297</v>
      </c>
      <c r="C109" s="80" t="n">
        <v>109.993564381864</v>
      </c>
      <c r="D109" s="67" t="n">
        <v>5.32224121674194</v>
      </c>
      <c r="E109" s="54" t="n">
        <v>66.000791171157</v>
      </c>
      <c r="F109" s="67" t="n">
        <v>-27.3318895713536</v>
      </c>
    </row>
    <row r="110" customFormat="false" ht="15" hidden="true" customHeight="false" outlineLevel="2" collapsed="false">
      <c r="A110" s="3" t="s">
        <v>1299</v>
      </c>
      <c r="B110" s="12" t="s">
        <v>1297</v>
      </c>
      <c r="C110" s="80" t="n">
        <v>11.5132885515541</v>
      </c>
      <c r="D110" s="67" t="n">
        <v>78.0866517870061</v>
      </c>
      <c r="E110" s="54" t="n">
        <v>-32.4794846591526</v>
      </c>
      <c r="F110" s="67" t="n">
        <v>45.4325209989105</v>
      </c>
    </row>
    <row r="111" customFormat="false" ht="15" hidden="true" customHeight="false" outlineLevel="2" collapsed="false">
      <c r="A111" s="3" t="s">
        <v>1300</v>
      </c>
      <c r="B111" s="12" t="s">
        <v>1297</v>
      </c>
      <c r="C111" s="81" t="s">
        <v>866</v>
      </c>
      <c r="D111" s="67"/>
      <c r="E111" s="54"/>
      <c r="F111" s="67"/>
    </row>
    <row r="112" customFormat="false" ht="15" hidden="true" customHeight="false" outlineLevel="2" collapsed="false">
      <c r="A112" s="3" t="s">
        <v>1301</v>
      </c>
      <c r="B112" s="12" t="s">
        <v>1297</v>
      </c>
      <c r="C112" s="81" t="s">
        <v>866</v>
      </c>
      <c r="D112" s="67"/>
      <c r="E112" s="54"/>
      <c r="F112" s="67"/>
    </row>
    <row r="113" customFormat="false" ht="15" hidden="true" customHeight="false" outlineLevel="2" collapsed="false">
      <c r="A113" s="3" t="s">
        <v>1302</v>
      </c>
      <c r="B113" s="12" t="s">
        <v>1297</v>
      </c>
      <c r="C113" s="81" t="n">
        <v>40.1797758520662</v>
      </c>
      <c r="D113" s="67" t="n">
        <v>40.1646731247176</v>
      </c>
      <c r="E113" s="54" t="n">
        <v>-3.81299735864051</v>
      </c>
      <c r="F113" s="67" t="n">
        <v>7.51054233662201</v>
      </c>
    </row>
    <row r="114" customFormat="false" ht="15" hidden="true" customHeight="false" outlineLevel="2" collapsed="false">
      <c r="A114" s="3" t="s">
        <v>1303</v>
      </c>
      <c r="B114" s="12" t="s">
        <v>1297</v>
      </c>
      <c r="C114" s="81" t="n">
        <v>34.5431723144225</v>
      </c>
      <c r="D114" s="67" t="n">
        <v>38.0962059973849</v>
      </c>
      <c r="E114" s="54" t="n">
        <v>-9.44960089628419</v>
      </c>
      <c r="F114" s="67" t="n">
        <v>5.44207520928931</v>
      </c>
    </row>
    <row r="115" customFormat="false" ht="15" hidden="true" customHeight="false" outlineLevel="2" collapsed="false">
      <c r="A115" s="2" t="s">
        <v>1304</v>
      </c>
      <c r="B115" s="12" t="s">
        <v>1297</v>
      </c>
      <c r="C115" s="81" t="n">
        <v>29.6784724968844</v>
      </c>
      <c r="D115" s="67" t="n">
        <v>81.5717800280631</v>
      </c>
      <c r="E115" s="54" t="n">
        <v>0</v>
      </c>
      <c r="F115" s="67" t="n">
        <v>0</v>
      </c>
    </row>
    <row r="116" customFormat="false" ht="15" hidden="true" customHeight="false" outlineLevel="2" collapsed="false">
      <c r="A116" s="3" t="s">
        <v>1305</v>
      </c>
      <c r="B116" s="12" t="s">
        <v>1297</v>
      </c>
      <c r="C116" s="81" t="n">
        <v>72.4539302917237</v>
      </c>
      <c r="D116" s="67" t="n">
        <v>46.5034575766308</v>
      </c>
      <c r="E116" s="54" t="n">
        <v>42.7754577948393</v>
      </c>
      <c r="F116" s="67" t="n">
        <v>-35.0683224514323</v>
      </c>
    </row>
    <row r="117" customFormat="false" ht="15" hidden="true" customHeight="false" outlineLevel="2" collapsed="false">
      <c r="A117" s="3" t="s">
        <v>1306</v>
      </c>
      <c r="B117" s="12" t="s">
        <v>1297</v>
      </c>
      <c r="C117" s="81" t="n">
        <v>0</v>
      </c>
      <c r="D117" s="67" t="n">
        <v>136.328098722378</v>
      </c>
      <c r="E117" s="54" t="n">
        <v>-29.6784724968844</v>
      </c>
      <c r="F117" s="67" t="n">
        <v>54.756318694315</v>
      </c>
    </row>
    <row r="118" customFormat="false" ht="15" hidden="true" customHeight="false" outlineLevel="2" collapsed="false">
      <c r="A118" s="3" t="s">
        <v>1307</v>
      </c>
      <c r="B118" s="12" t="s">
        <v>1297</v>
      </c>
      <c r="C118" s="81" t="s">
        <v>866</v>
      </c>
      <c r="D118" s="67"/>
      <c r="E118" s="54"/>
      <c r="F118" s="67"/>
    </row>
    <row r="119" customFormat="false" ht="15" hidden="true" customHeight="false" outlineLevel="2" collapsed="false">
      <c r="A119" s="3" t="s">
        <v>1308</v>
      </c>
      <c r="B119" s="12" t="s">
        <v>1297</v>
      </c>
      <c r="C119" s="81" t="s">
        <v>866</v>
      </c>
      <c r="D119" s="67"/>
      <c r="E119" s="54"/>
      <c r="F119" s="67"/>
    </row>
    <row r="120" customFormat="false" ht="15" hidden="true" customHeight="false" outlineLevel="2" collapsed="false">
      <c r="A120" s="3" t="s">
        <v>1309</v>
      </c>
      <c r="B120" s="12" t="s">
        <v>1297</v>
      </c>
      <c r="C120" s="81" t="n">
        <v>22.0914197470439</v>
      </c>
      <c r="D120" s="67" t="n">
        <v>103.716768158307</v>
      </c>
      <c r="E120" s="54" t="n">
        <v>-7.5870527498405</v>
      </c>
      <c r="F120" s="67" t="n">
        <v>22.1449881302436</v>
      </c>
    </row>
    <row r="121" customFormat="false" ht="15" hidden="true" customHeight="false" outlineLevel="2" collapsed="false">
      <c r="A121" s="3" t="s">
        <v>1310</v>
      </c>
      <c r="B121" s="12" t="s">
        <v>1297</v>
      </c>
      <c r="C121" s="81" t="n">
        <v>21.2491866142681</v>
      </c>
      <c r="D121" s="67" t="n">
        <v>87.4342927714729</v>
      </c>
      <c r="E121" s="54" t="n">
        <v>-8.4292858826163</v>
      </c>
      <c r="F121" s="67" t="n">
        <v>5.86251274340972</v>
      </c>
    </row>
    <row r="122" customFormat="false" ht="15" hidden="true" customHeight="false" outlineLevel="2" collapsed="false">
      <c r="A122" s="2" t="s">
        <v>1311</v>
      </c>
      <c r="B122" s="12" t="s">
        <v>1297</v>
      </c>
      <c r="C122" s="81" t="n">
        <v>19.9489203041466</v>
      </c>
      <c r="D122" s="67" t="n">
        <v>157.94628018574</v>
      </c>
      <c r="E122" s="54" t="n">
        <v>0</v>
      </c>
      <c r="F122" s="67" t="n">
        <v>0</v>
      </c>
    </row>
    <row r="123" customFormat="false" ht="15" hidden="true" customHeight="false" outlineLevel="2" collapsed="false">
      <c r="A123" s="3" t="s">
        <v>1312</v>
      </c>
      <c r="B123" s="12" t="s">
        <v>1297</v>
      </c>
      <c r="C123" s="81" t="n">
        <v>48.4578671435397</v>
      </c>
      <c r="D123" s="67" t="n">
        <v>109.270754336961</v>
      </c>
      <c r="E123" s="54" t="n">
        <v>28.5089468393931</v>
      </c>
      <c r="F123" s="67" t="n">
        <v>-48.675525848779</v>
      </c>
    </row>
    <row r="124" customFormat="false" ht="15" hidden="true" customHeight="false" outlineLevel="2" collapsed="false">
      <c r="A124" s="3" t="s">
        <v>1313</v>
      </c>
      <c r="B124" s="12" t="s">
        <v>1297</v>
      </c>
      <c r="C124" s="81" t="n">
        <v>0</v>
      </c>
      <c r="D124" s="67" t="n">
        <v>229.297607401868</v>
      </c>
      <c r="E124" s="54" t="n">
        <v>-19.9489203041466</v>
      </c>
      <c r="F124" s="67" t="n">
        <v>71.3513272161279</v>
      </c>
    </row>
    <row r="125" customFormat="false" ht="15" hidden="true" customHeight="false" outlineLevel="2" collapsed="false">
      <c r="A125" s="3" t="s">
        <v>1314</v>
      </c>
      <c r="B125" s="12" t="s">
        <v>1297</v>
      </c>
      <c r="C125" s="81" t="s">
        <v>866</v>
      </c>
      <c r="D125" s="67"/>
      <c r="E125" s="54"/>
      <c r="F125" s="67"/>
    </row>
    <row r="126" customFormat="false" ht="15" hidden="true" customHeight="false" outlineLevel="2" collapsed="false">
      <c r="A126" s="3" t="s">
        <v>1315</v>
      </c>
      <c r="B126" s="12" t="s">
        <v>1297</v>
      </c>
      <c r="C126" s="81" t="s">
        <v>866</v>
      </c>
      <c r="D126" s="67"/>
      <c r="E126" s="54"/>
      <c r="F126" s="67"/>
    </row>
    <row r="127" customFormat="false" ht="15" hidden="true" customHeight="false" outlineLevel="2" collapsed="false">
      <c r="A127" s="3" t="s">
        <v>1316</v>
      </c>
      <c r="B127" s="12" t="s">
        <v>1297</v>
      </c>
      <c r="C127" s="81" t="n">
        <v>0</v>
      </c>
      <c r="D127" s="67" t="n">
        <v>199.958910775805</v>
      </c>
      <c r="E127" s="54" t="n">
        <v>-19.9489203041466</v>
      </c>
      <c r="F127" s="67" t="n">
        <v>42.0126305900651</v>
      </c>
    </row>
    <row r="128" customFormat="false" ht="15" hidden="true" customHeight="false" outlineLevel="2" collapsed="false">
      <c r="A128" s="3" t="s">
        <v>1317</v>
      </c>
      <c r="B128" s="12" t="s">
        <v>1297</v>
      </c>
      <c r="C128" s="81" t="n">
        <v>4.59562192060807</v>
      </c>
      <c r="D128" s="67" t="n">
        <v>164.7451974471</v>
      </c>
      <c r="E128" s="54" t="n">
        <v>-15.3532983835386</v>
      </c>
      <c r="F128" s="67" t="n">
        <v>6.79891726135924</v>
      </c>
    </row>
    <row r="129" customFormat="false" ht="15" hidden="true" customHeight="false" outlineLevel="2" collapsed="false">
      <c r="A129" s="2" t="s">
        <v>1318</v>
      </c>
      <c r="C129" s="46" t="n">
        <f aca="false">評價_DCF與目標價!C48</f>
        <v>29.6784724968844</v>
      </c>
      <c r="D129" s="46" t="n">
        <f aca="false">CHOOSE(輸入與假設!$C$5,C108,C115,C122)</f>
        <v>29.6784724968844</v>
      </c>
      <c r="E129" s="2" t="str">
        <f aca="false">IF(ABS(C129-D129)&lt;0.005,"與目前輸入一致","快照已過期")</f>
        <v>與目前輸入一致</v>
      </c>
      <c r="I129" s="7" t="s">
        <v>1319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1320</v>
      </c>
    </row>
    <row r="2" customFormat="false" ht="15" hidden="false" customHeight="false" outlineLevel="0" collapsed="false">
      <c r="A2" s="7" t="s">
        <v>1321</v>
      </c>
    </row>
    <row r="4" customFormat="false" ht="17.15" hidden="false" customHeight="false" outlineLevel="0" collapsed="false">
      <c r="A4" s="15" t="s">
        <v>1322</v>
      </c>
      <c r="B4" s="15" t="s">
        <v>1323</v>
      </c>
      <c r="C4" s="15" t="s">
        <v>1324</v>
      </c>
      <c r="D4" s="15" t="s">
        <v>1325</v>
      </c>
      <c r="E4" s="16" t="s">
        <v>1326</v>
      </c>
      <c r="F4" s="15" t="s">
        <v>1327</v>
      </c>
      <c r="I4" s="15" t="s">
        <v>590</v>
      </c>
    </row>
    <row r="5" customFormat="false" ht="15" hidden="false" customHeight="false" outlineLevel="0" collapsed="false">
      <c r="A5" s="4" t="s">
        <v>1328</v>
      </c>
      <c r="B5" s="7" t="s">
        <v>1329</v>
      </c>
      <c r="C5" s="12" t="s">
        <v>1330</v>
      </c>
      <c r="D5" s="23" t="n">
        <v>0.15</v>
      </c>
      <c r="E5" s="24" t="n">
        <v>1.3</v>
      </c>
      <c r="F5" s="67" t="n">
        <f aca="false">D5*E5</f>
        <v>0.195</v>
      </c>
      <c r="I5" s="7" t="s">
        <v>1331</v>
      </c>
    </row>
    <row r="6" customFormat="false" ht="15" hidden="false" customHeight="false" outlineLevel="0" collapsed="false">
      <c r="A6" s="4" t="s">
        <v>1332</v>
      </c>
      <c r="B6" s="7" t="s">
        <v>1329</v>
      </c>
      <c r="C6" s="12" t="s">
        <v>1333</v>
      </c>
      <c r="D6" s="23" t="n">
        <v>0.11</v>
      </c>
      <c r="E6" s="24" t="n">
        <v>3.19</v>
      </c>
      <c r="F6" s="67" t="n">
        <f aca="false">D6*E6</f>
        <v>0.3509</v>
      </c>
      <c r="I6" s="12" t="s">
        <v>565</v>
      </c>
    </row>
    <row r="7" customFormat="false" ht="15" hidden="false" customHeight="false" outlineLevel="0" collapsed="false">
      <c r="A7" s="4" t="s">
        <v>1334</v>
      </c>
      <c r="B7" s="7" t="s">
        <v>1329</v>
      </c>
      <c r="C7" s="12" t="s">
        <v>1335</v>
      </c>
      <c r="D7" s="23" t="n">
        <v>0.09</v>
      </c>
      <c r="E7" s="24" t="n">
        <v>3</v>
      </c>
      <c r="F7" s="67" t="n">
        <f aca="false">D7*E7</f>
        <v>0.27</v>
      </c>
      <c r="I7" s="12" t="s">
        <v>565</v>
      </c>
    </row>
    <row r="8" customFormat="false" ht="15" hidden="false" customHeight="false" outlineLevel="0" collapsed="false">
      <c r="A8" s="4" t="s">
        <v>1336</v>
      </c>
      <c r="B8" s="7" t="s">
        <v>1329</v>
      </c>
      <c r="C8" s="12" t="s">
        <v>1333</v>
      </c>
      <c r="D8" s="23" t="n">
        <v>0.09</v>
      </c>
      <c r="E8" s="24" t="n">
        <v>2.215</v>
      </c>
      <c r="F8" s="67" t="n">
        <f aca="false">D8*E8</f>
        <v>0.19935</v>
      </c>
      <c r="I8" s="12" t="s">
        <v>565</v>
      </c>
    </row>
    <row r="9" customFormat="false" ht="15" hidden="false" customHeight="false" outlineLevel="0" collapsed="false">
      <c r="A9" s="4" t="s">
        <v>1337</v>
      </c>
      <c r="B9" s="7" t="s">
        <v>1329</v>
      </c>
      <c r="C9" s="12" t="s">
        <v>1338</v>
      </c>
      <c r="D9" s="23" t="n">
        <v>0.09</v>
      </c>
      <c r="E9" s="24" t="n">
        <v>1.101</v>
      </c>
      <c r="F9" s="67" t="n">
        <f aca="false">D9*E9</f>
        <v>0.09909</v>
      </c>
      <c r="I9" s="12" t="s">
        <v>1339</v>
      </c>
    </row>
    <row r="10" customFormat="false" ht="15" hidden="false" customHeight="false" outlineLevel="0" collapsed="false">
      <c r="A10" s="4" t="s">
        <v>1340</v>
      </c>
      <c r="B10" s="7" t="s">
        <v>1329</v>
      </c>
      <c r="C10" s="12" t="s">
        <v>1341</v>
      </c>
      <c r="D10" s="23" t="n">
        <v>0.1</v>
      </c>
      <c r="E10" s="24" t="n">
        <v>2</v>
      </c>
      <c r="F10" s="67" t="n">
        <f aca="false">D10*E10</f>
        <v>0.2</v>
      </c>
      <c r="I10" s="7" t="s">
        <v>1342</v>
      </c>
    </row>
    <row r="11" customFormat="false" ht="15" hidden="false" customHeight="false" outlineLevel="0" collapsed="false">
      <c r="A11" s="4" t="s">
        <v>1343</v>
      </c>
      <c r="B11" s="7" t="s">
        <v>1329</v>
      </c>
      <c r="C11" s="12" t="s">
        <v>1344</v>
      </c>
      <c r="D11" s="23" t="n">
        <v>0.1</v>
      </c>
      <c r="E11" s="24" t="n">
        <v>1.75</v>
      </c>
      <c r="F11" s="67" t="n">
        <f aca="false">D11*E11</f>
        <v>0.175</v>
      </c>
      <c r="I11" s="12" t="s">
        <v>565</v>
      </c>
    </row>
    <row r="12" customFormat="false" ht="15" hidden="false" customHeight="false" outlineLevel="0" collapsed="false">
      <c r="A12" s="4" t="s">
        <v>1345</v>
      </c>
      <c r="B12" s="7" t="s">
        <v>1329</v>
      </c>
      <c r="C12" s="12" t="s">
        <v>1346</v>
      </c>
      <c r="D12" s="23" t="n">
        <v>0.1</v>
      </c>
      <c r="E12" s="24" t="n">
        <v>2.75</v>
      </c>
      <c r="F12" s="67" t="n">
        <f aca="false">D12*E12</f>
        <v>0.275</v>
      </c>
      <c r="I12" s="12" t="s">
        <v>1347</v>
      </c>
    </row>
    <row r="13" customFormat="false" ht="15" hidden="false" customHeight="false" outlineLevel="0" collapsed="false">
      <c r="A13" s="4" t="s">
        <v>1348</v>
      </c>
      <c r="B13" s="7" t="s">
        <v>1329</v>
      </c>
      <c r="C13" s="12" t="s">
        <v>1349</v>
      </c>
      <c r="D13" s="23" t="n">
        <v>0.1</v>
      </c>
      <c r="E13" s="24" t="n">
        <v>1.25</v>
      </c>
      <c r="F13" s="67" t="n">
        <f aca="false">D13*E13</f>
        <v>0.125</v>
      </c>
      <c r="I13" s="12" t="s">
        <v>1350</v>
      </c>
    </row>
    <row r="14" customFormat="false" ht="15" hidden="false" customHeight="false" outlineLevel="0" collapsed="false">
      <c r="A14" s="4" t="s">
        <v>1351</v>
      </c>
      <c r="B14" s="7" t="s">
        <v>1329</v>
      </c>
      <c r="C14" s="12" t="s">
        <v>1349</v>
      </c>
      <c r="D14" s="23" t="n">
        <v>0.09</v>
      </c>
      <c r="E14" s="24" t="n">
        <v>2.279</v>
      </c>
      <c r="F14" s="67" t="n">
        <f aca="false">D14*E14</f>
        <v>0.20511</v>
      </c>
      <c r="I14" s="7" t="s">
        <v>1352</v>
      </c>
    </row>
    <row r="15" customFormat="false" ht="15" hidden="false" customHeight="false" outlineLevel="0" collapsed="false">
      <c r="A15" s="4" t="s">
        <v>1353</v>
      </c>
      <c r="B15" s="7" t="s">
        <v>1329</v>
      </c>
      <c r="C15" s="12" t="s">
        <v>1354</v>
      </c>
      <c r="D15" s="23" t="n">
        <v>0.02</v>
      </c>
      <c r="E15" s="24" t="n">
        <v>2.588</v>
      </c>
      <c r="F15" s="67" t="n">
        <f aca="false">D15*E15</f>
        <v>0.05176</v>
      </c>
      <c r="I15" s="12" t="s">
        <v>565</v>
      </c>
    </row>
    <row r="16" customFormat="false" ht="15" hidden="false" customHeight="false" outlineLevel="0" collapsed="false">
      <c r="A16" s="4" t="s">
        <v>1355</v>
      </c>
      <c r="B16" s="7" t="s">
        <v>1329</v>
      </c>
      <c r="C16" s="12" t="s">
        <v>1356</v>
      </c>
      <c r="D16" s="23" t="n">
        <v>0.02</v>
      </c>
      <c r="E16" s="24" t="n">
        <v>4</v>
      </c>
      <c r="F16" s="67" t="n">
        <f aca="false">D16*E16</f>
        <v>0.08</v>
      </c>
      <c r="I16" s="7" t="s">
        <v>1357</v>
      </c>
    </row>
    <row r="17" customFormat="false" ht="15" hidden="false" customHeight="false" outlineLevel="0" collapsed="false">
      <c r="A17" s="4" t="s">
        <v>1358</v>
      </c>
      <c r="B17" s="7" t="s">
        <v>1329</v>
      </c>
      <c r="C17" s="12" t="s">
        <v>1359</v>
      </c>
      <c r="D17" s="23" t="n">
        <v>0.11</v>
      </c>
      <c r="E17" s="24" t="n">
        <v>4.22</v>
      </c>
      <c r="F17" s="67" t="n">
        <f aca="false">D17*E17</f>
        <v>0.4642</v>
      </c>
      <c r="I17" s="7" t="s">
        <v>1360</v>
      </c>
    </row>
    <row r="18" customFormat="false" ht="15" hidden="false" customHeight="false" outlineLevel="0" collapsed="false">
      <c r="A18" s="4" t="s">
        <v>1361</v>
      </c>
      <c r="B18" s="7" t="s">
        <v>1329</v>
      </c>
      <c r="C18" s="12" t="s">
        <v>1362</v>
      </c>
      <c r="D18" s="23" t="n">
        <v>0.12</v>
      </c>
      <c r="E18" s="24" t="n">
        <v>0.189</v>
      </c>
      <c r="F18" s="67" t="n">
        <f aca="false">D18*E18</f>
        <v>0.02268</v>
      </c>
      <c r="I18" s="12" t="s">
        <v>565</v>
      </c>
    </row>
    <row r="19" customFormat="false" ht="15" hidden="false" customHeight="false" outlineLevel="0" collapsed="false">
      <c r="A19" s="4" t="s">
        <v>1363</v>
      </c>
      <c r="B19" s="7" t="s">
        <v>1364</v>
      </c>
      <c r="C19" s="12" t="s">
        <v>1365</v>
      </c>
      <c r="D19" s="23" t="n">
        <v>0.07</v>
      </c>
      <c r="E19" s="24" t="n">
        <v>2.837</v>
      </c>
      <c r="F19" s="67" t="n">
        <f aca="false">D19*E19</f>
        <v>0.19859</v>
      </c>
      <c r="I19" s="12" t="s">
        <v>1366</v>
      </c>
    </row>
    <row r="20" customFormat="false" ht="15" hidden="false" customHeight="false" outlineLevel="0" collapsed="false">
      <c r="A20" s="4" t="s">
        <v>1367</v>
      </c>
      <c r="B20" s="7" t="s">
        <v>1364</v>
      </c>
      <c r="C20" s="12" t="s">
        <v>1368</v>
      </c>
      <c r="D20" s="23" t="n">
        <v>0.09</v>
      </c>
      <c r="E20" s="24" t="n">
        <v>0.882</v>
      </c>
      <c r="F20" s="67" t="n">
        <f aca="false">D20*E20</f>
        <v>0.07938</v>
      </c>
      <c r="I20" s="12" t="s">
        <v>565</v>
      </c>
    </row>
    <row r="21" customFormat="false" ht="15" hidden="false" customHeight="false" outlineLevel="0" collapsed="false">
      <c r="A21" s="2" t="s">
        <v>1369</v>
      </c>
      <c r="E21" s="58" t="n">
        <f aca="false">SUM(E5:E20)</f>
        <v>35.551</v>
      </c>
      <c r="F21" s="58" t="n">
        <f aca="false">SUM(F5:F20)</f>
        <v>2.99106</v>
      </c>
      <c r="I21" s="7" t="s">
        <v>1370</v>
      </c>
    </row>
    <row r="22" customFormat="false" ht="15" hidden="false" customHeight="false" outlineLevel="0" collapsed="false">
      <c r="A22" s="2" t="s">
        <v>1371</v>
      </c>
      <c r="D22" s="82" t="n">
        <f aca="false">F21/E21</f>
        <v>0.084134342212596</v>
      </c>
      <c r="I22" s="7" t="s">
        <v>1372</v>
      </c>
    </row>
    <row r="24" customFormat="false" ht="15" hidden="false" customHeight="false" outlineLevel="0" collapsed="false">
      <c r="A24" s="4" t="s">
        <v>1373</v>
      </c>
      <c r="D24" s="83" t="n">
        <v>0.02875</v>
      </c>
      <c r="E24" s="24" t="n">
        <v>3.7</v>
      </c>
      <c r="F24" s="11" t="n">
        <f aca="false">D24*E24</f>
        <v>0.106375</v>
      </c>
      <c r="I24" s="7" t="s">
        <v>1374</v>
      </c>
    </row>
    <row r="26" customFormat="false" ht="15" hidden="false" customHeight="false" outlineLevel="0" collapsed="false">
      <c r="A26" s="51" t="s">
        <v>1375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173</v>
      </c>
      <c r="G27" s="27" t="s">
        <v>174</v>
      </c>
      <c r="I27" s="15" t="s">
        <v>726</v>
      </c>
    </row>
    <row r="28" customFormat="false" ht="15" hidden="false" customHeight="false" outlineLevel="1" collapsed="false">
      <c r="A28" s="3" t="s">
        <v>1376</v>
      </c>
      <c r="B28" s="12" t="s">
        <v>93</v>
      </c>
      <c r="C28" s="67" t="n">
        <f aca="false">E21</f>
        <v>35.551</v>
      </c>
      <c r="D28" s="67" t="n">
        <f aca="false">C30</f>
        <v>31.138</v>
      </c>
      <c r="E28" s="67" t="n">
        <f aca="false">D30</f>
        <v>24.954</v>
      </c>
      <c r="F28" s="67" t="n">
        <f aca="false">E30</f>
        <v>20.538</v>
      </c>
      <c r="G28" s="67" t="n">
        <f aca="false">F30</f>
        <v>18.117</v>
      </c>
      <c r="I28" s="12" t="s">
        <v>1377</v>
      </c>
    </row>
    <row r="29" customFormat="false" ht="15" hidden="false" customHeight="false" outlineLevel="1" collapsed="false">
      <c r="A29" s="3" t="s">
        <v>1378</v>
      </c>
      <c r="B29" s="12" t="s">
        <v>93</v>
      </c>
      <c r="C29" s="42" t="n">
        <f aca="false">輸入與假設!C$160</f>
        <v>4.413</v>
      </c>
      <c r="D29" s="42" t="n">
        <f aca="false">輸入與假設!D$160</f>
        <v>6.184</v>
      </c>
      <c r="E29" s="42" t="n">
        <f aca="false">輸入與假設!E$160</f>
        <v>4.416</v>
      </c>
      <c r="F29" s="42" t="n">
        <f aca="false">輸入與假設!F$160</f>
        <v>2.421</v>
      </c>
      <c r="G29" s="42" t="n">
        <f aca="false">輸入與假設!G$160</f>
        <v>3.221</v>
      </c>
      <c r="I29" s="12" t="s">
        <v>1379</v>
      </c>
    </row>
    <row r="30" customFormat="false" ht="15" hidden="false" customHeight="false" outlineLevel="1" collapsed="false">
      <c r="A30" s="3" t="s">
        <v>1380</v>
      </c>
      <c r="B30" s="12" t="s">
        <v>93</v>
      </c>
      <c r="C30" s="67" t="n">
        <f aca="false">C28-C29</f>
        <v>31.138</v>
      </c>
      <c r="D30" s="67" t="n">
        <f aca="false">D28-D29</f>
        <v>24.954</v>
      </c>
      <c r="E30" s="67" t="n">
        <f aca="false">E28-E29</f>
        <v>20.538</v>
      </c>
      <c r="F30" s="67" t="n">
        <f aca="false">F28-F29</f>
        <v>18.117</v>
      </c>
      <c r="G30" s="67" t="n">
        <f aca="false">G28-G29</f>
        <v>14.896</v>
      </c>
    </row>
    <row r="31" customFormat="false" ht="15" hidden="false" customHeight="false" outlineLevel="1" collapsed="false">
      <c r="A31" s="3" t="s">
        <v>1381</v>
      </c>
      <c r="B31" s="12" t="s">
        <v>93</v>
      </c>
      <c r="C31" s="67" t="n">
        <f aca="false">(C28+C30)/2</f>
        <v>33.3445</v>
      </c>
      <c r="D31" s="67" t="n">
        <f aca="false">(D28+D30)/2</f>
        <v>28.046</v>
      </c>
      <c r="E31" s="67" t="n">
        <f aca="false">(E28+E30)/2</f>
        <v>22.746</v>
      </c>
      <c r="F31" s="67" t="n">
        <f aca="false">(F28+F30)/2</f>
        <v>19.3275</v>
      </c>
      <c r="G31" s="67" t="n">
        <f aca="false">(G28+G30)/2</f>
        <v>16.5065</v>
      </c>
    </row>
    <row r="32" customFormat="false" ht="15" hidden="false" customHeight="false" outlineLevel="1" collapsed="false">
      <c r="A32" s="3" t="s">
        <v>1382</v>
      </c>
      <c r="B32" s="12" t="s">
        <v>93</v>
      </c>
      <c r="C32" s="67" t="n">
        <f aca="false">C31*資產負債_既有債務!$D$22*輸入與假設!C$24</f>
        <v>1.40270878695395</v>
      </c>
      <c r="D32" s="67" t="n">
        <f aca="false">D31*資產負債_既有債務!$D$22*輸入與假設!D$24</f>
        <v>2.35963176169447</v>
      </c>
      <c r="E32" s="67" t="n">
        <f aca="false">E31*資產負債_既有債務!$D$22*輸入與假設!E$24</f>
        <v>1.91371974796771</v>
      </c>
      <c r="F32" s="67" t="n">
        <f aca="false">F31*資產負債_既有債務!$D$22*輸入與假設!F$24</f>
        <v>1.62610649911395</v>
      </c>
      <c r="G32" s="67" t="n">
        <f aca="false">G31*資產負債_既有債務!$D$22*輸入與假設!G$24</f>
        <v>1.38876351973222</v>
      </c>
      <c r="I32" s="7" t="s">
        <v>1383</v>
      </c>
    </row>
    <row r="33" customFormat="false" ht="15" hidden="false" customHeight="false" outlineLevel="1" collapsed="false">
      <c r="A33" s="4" t="s">
        <v>1384</v>
      </c>
      <c r="B33" s="12" t="s">
        <v>93</v>
      </c>
      <c r="C33" s="67" t="n">
        <f aca="false">資產負債_既有債務!$F$24*輸入與假設!C$24</f>
        <v>0.0531875</v>
      </c>
      <c r="D33" s="67" t="n">
        <f aca="false">資產負債_既有債務!$F$24*輸入與假設!D$24</f>
        <v>0.106375</v>
      </c>
      <c r="E33" s="67" t="n">
        <f aca="false">資產負債_既有債務!$F$24*輸入與假設!E$24</f>
        <v>0.106375</v>
      </c>
      <c r="F33" s="67" t="n">
        <f aca="false">資產負債_既有債務!$F$24*輸入與假設!F$24</f>
        <v>0.106375</v>
      </c>
      <c r="G33" s="67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1385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1386</v>
      </c>
    </row>
    <row r="35" customFormat="false" ht="15" hidden="false" customHeight="false" outlineLevel="1" collapsed="false">
      <c r="A35" s="2" t="s">
        <v>1387</v>
      </c>
      <c r="B35" s="12" t="s">
        <v>93</v>
      </c>
      <c r="C35" s="39" t="n">
        <f aca="false">C32+C33+C34</f>
        <v>1.80589628695395</v>
      </c>
      <c r="D35" s="39" t="n">
        <f aca="false">D32+D33+D34</f>
        <v>2.46600676169447</v>
      </c>
      <c r="E35" s="39" t="n">
        <f aca="false">E32+E33+E34</f>
        <v>2.02009474796771</v>
      </c>
      <c r="F35" s="39" t="n">
        <f aca="false">F32+F33+F34</f>
        <v>1.73248149911395</v>
      </c>
      <c r="G35" s="39" t="n">
        <f aca="false">G32+G33+G34</f>
        <v>1.49513851973222</v>
      </c>
      <c r="I35" s="12" t="s">
        <v>1388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1389</v>
      </c>
    </row>
    <row r="2" customFormat="false" ht="15" hidden="false" customHeight="false" outlineLevel="0" collapsed="false">
      <c r="A2" s="7" t="s">
        <v>1390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173</v>
      </c>
      <c r="G4" s="27" t="s">
        <v>174</v>
      </c>
      <c r="I4" s="15" t="s">
        <v>726</v>
      </c>
    </row>
    <row r="5" customFormat="false" ht="15" hidden="false" customHeight="false" outlineLevel="0" collapsed="false">
      <c r="A5" s="51" t="s">
        <v>1391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1392</v>
      </c>
      <c r="B6" s="12" t="s">
        <v>93</v>
      </c>
      <c r="C6" s="67" t="n">
        <f aca="false">輸入與假設!$C$141</f>
        <v>5.5</v>
      </c>
      <c r="D6" s="67" t="n">
        <f aca="false">各期收支!C41</f>
        <v>1.99999999999999</v>
      </c>
      <c r="E6" s="67" t="n">
        <f aca="false">各期收支!D41</f>
        <v>1.99999999999999</v>
      </c>
      <c r="F6" s="67" t="n">
        <f aca="false">各期收支!E41</f>
        <v>1.99999999999999</v>
      </c>
      <c r="G6" s="67" t="n">
        <f aca="false">各期收支!F41</f>
        <v>1.99999999999999</v>
      </c>
      <c r="I6" s="12" t="s">
        <v>1393</v>
      </c>
    </row>
    <row r="7" customFormat="false" ht="15" hidden="false" customHeight="false" outlineLevel="1" collapsed="false">
      <c r="A7" s="3" t="s">
        <v>1394</v>
      </c>
      <c r="B7" s="12" t="s">
        <v>93</v>
      </c>
      <c r="C7" s="67" t="n">
        <f aca="false">各期收支!C71-輸入與假設!$C$141</f>
        <v>-16.3541011542695</v>
      </c>
      <c r="D7" s="67" t="n">
        <f aca="false">各期收支!D71-各期收支!C71</f>
        <v>-32.6432058667258</v>
      </c>
      <c r="E7" s="67" t="n">
        <f aca="false">各期收支!E71-各期收支!D71</f>
        <v>-14.7345438684998</v>
      </c>
      <c r="F7" s="67" t="n">
        <f aca="false">各期收支!F71-各期收支!E71</f>
        <v>-10.6543147163745</v>
      </c>
      <c r="G7" s="67" t="n">
        <f aca="false">各期收支!G71-各期收支!F71</f>
        <v>-12.6856144221934</v>
      </c>
      <c r="I7" s="7" t="s">
        <v>1395</v>
      </c>
    </row>
    <row r="8" customFormat="false" ht="15" hidden="false" customHeight="false" outlineLevel="1" collapsed="false">
      <c r="A8" s="3" t="s">
        <v>1396</v>
      </c>
      <c r="B8" s="12" t="s">
        <v>93</v>
      </c>
      <c r="C8" s="67" t="n">
        <f aca="false">各期收支!C58</f>
        <v>13.4597917845754</v>
      </c>
      <c r="D8" s="67" t="n">
        <f aca="false">各期收支!D58</f>
        <v>37.2028429970743</v>
      </c>
      <c r="E8" s="67" t="n">
        <f aca="false">各期收支!E58</f>
        <v>21.2023967020311</v>
      </c>
      <c r="F8" s="67" t="n">
        <f aca="false">各期收支!F58</f>
        <v>0</v>
      </c>
      <c r="G8" s="67" t="n">
        <f aca="false">各期收支!G58</f>
        <v>0.524924516319189</v>
      </c>
    </row>
    <row r="9" customFormat="false" ht="15" hidden="false" customHeight="false" outlineLevel="1" collapsed="false">
      <c r="A9" s="3" t="s">
        <v>1397</v>
      </c>
      <c r="B9" s="12" t="s">
        <v>93</v>
      </c>
      <c r="C9" s="67" t="n">
        <f aca="false">各期收支!C62</f>
        <v>0</v>
      </c>
      <c r="D9" s="67" t="n">
        <f aca="false">各期收支!D62</f>
        <v>0</v>
      </c>
      <c r="E9" s="67" t="n">
        <f aca="false">各期收支!E62</f>
        <v>0</v>
      </c>
      <c r="F9" s="67" t="n">
        <f aca="false">各期收支!F62</f>
        <v>7.44308926125659</v>
      </c>
      <c r="G9" s="67" t="n">
        <f aca="false">各期收支!G62</f>
        <v>10.2235314286648</v>
      </c>
    </row>
    <row r="10" customFormat="false" ht="15" hidden="false" customHeight="false" outlineLevel="1" collapsed="false">
      <c r="A10" s="3" t="s">
        <v>1398</v>
      </c>
      <c r="B10" s="12" t="s">
        <v>93</v>
      </c>
      <c r="C10" s="67" t="n">
        <f aca="false">各期收支!C61</f>
        <v>0</v>
      </c>
      <c r="D10" s="67" t="n">
        <f aca="false">各期收支!D61</f>
        <v>0</v>
      </c>
      <c r="E10" s="67" t="n">
        <f aca="false">各期收支!E61</f>
        <v>0</v>
      </c>
      <c r="F10" s="67" t="n">
        <f aca="false">各期收支!F61</f>
        <v>10.572249</v>
      </c>
      <c r="G10" s="67" t="n">
        <f aca="false">各期收支!G61</f>
        <v>10.572249</v>
      </c>
    </row>
    <row r="11" customFormat="false" ht="15" hidden="false" customHeight="false" outlineLevel="1" collapsed="false">
      <c r="A11" s="3" t="s">
        <v>1399</v>
      </c>
      <c r="B11" s="12" t="s">
        <v>93</v>
      </c>
      <c r="C11" s="67" t="n">
        <f aca="false">-各期收支!C63</f>
        <v>-0.605690630305894</v>
      </c>
      <c r="D11" s="67" t="n">
        <f aca="false">-各期收支!D63</f>
        <v>-4.55963713034847</v>
      </c>
      <c r="E11" s="67" t="n">
        <f aca="false">-各期收支!E63</f>
        <v>-6.46785283353127</v>
      </c>
      <c r="F11" s="67" t="n">
        <f aca="false">-各期收支!F63</f>
        <v>-7.36102354488207</v>
      </c>
      <c r="G11" s="67" t="n">
        <f aca="false">-各期收支!G63</f>
        <v>-8.63509052279057</v>
      </c>
    </row>
    <row r="12" customFormat="false" ht="15" hidden="false" customHeight="false" outlineLevel="1" collapsed="false">
      <c r="A12" s="2" t="s">
        <v>1400</v>
      </c>
      <c r="B12" s="12" t="s">
        <v>93</v>
      </c>
      <c r="C12" s="39" t="n">
        <f aca="false">SUM(C6:C11)</f>
        <v>2</v>
      </c>
      <c r="D12" s="39" t="n">
        <f aca="false">SUM(D6:D11)</f>
        <v>2</v>
      </c>
      <c r="E12" s="39" t="n">
        <f aca="false">SUM(E6:E11)</f>
        <v>2</v>
      </c>
      <c r="F12" s="39" t="n">
        <f aca="false">SUM(F6:F11)</f>
        <v>2</v>
      </c>
      <c r="G12" s="39" t="n">
        <f aca="false">SUM(G6:G11)</f>
        <v>2.00000000000001</v>
      </c>
      <c r="I12" s="7" t="s">
        <v>1401</v>
      </c>
    </row>
    <row r="13" customFormat="false" ht="15" hidden="false" customHeight="false" outlineLevel="1" collapsed="false">
      <c r="A13" s="3" t="s">
        <v>1402</v>
      </c>
      <c r="B13" s="12" t="s">
        <v>93</v>
      </c>
      <c r="C13" s="67" t="n">
        <f aca="false">C12-各期收支!C41</f>
        <v>0</v>
      </c>
      <c r="D13" s="67" t="n">
        <f aca="false">D12-各期收支!D41</f>
        <v>0</v>
      </c>
      <c r="E13" s="67" t="n">
        <f aca="false">E12-各期收支!E41</f>
        <v>7.105427357601E-015</v>
      </c>
      <c r="F13" s="67" t="n">
        <f aca="false">F12-各期收支!F41</f>
        <v>7.105427357601E-015</v>
      </c>
      <c r="G13" s="67" t="n">
        <f aca="false">G12-各期收支!G41</f>
        <v>1.86517468137026E-014</v>
      </c>
      <c r="I13" s="7" t="s">
        <v>1403</v>
      </c>
    </row>
    <row r="14" customFormat="false" ht="15" hidden="false" customHeight="false" outlineLevel="0" collapsed="false">
      <c r="A14" s="51" t="s">
        <v>1404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1405</v>
      </c>
      <c r="B15" s="12" t="s">
        <v>93</v>
      </c>
      <c r="C15" s="67" t="n">
        <f aca="false">35.551</f>
        <v>35.551</v>
      </c>
      <c r="D15" s="67" t="n">
        <f aca="false">C17</f>
        <v>31.138</v>
      </c>
      <c r="E15" s="67" t="n">
        <f aca="false">D17</f>
        <v>24.954</v>
      </c>
      <c r="F15" s="67" t="n">
        <f aca="false">E17</f>
        <v>20.538</v>
      </c>
      <c r="G15" s="67" t="n">
        <f aca="false">F17</f>
        <v>18.117</v>
      </c>
    </row>
    <row r="16" customFormat="false" ht="15" hidden="false" customHeight="false" outlineLevel="1" collapsed="false">
      <c r="A16" s="3" t="s">
        <v>1406</v>
      </c>
      <c r="B16" s="12" t="s">
        <v>93</v>
      </c>
      <c r="C16" s="67" t="n">
        <f aca="false">-IF(輸入與假設!$C$146=1,輸入與假設!C$160,0)</f>
        <v>-4.413</v>
      </c>
      <c r="D16" s="67" t="n">
        <f aca="false">-IF(輸入與假設!$C$146=1,輸入與假設!D$160,0)</f>
        <v>-6.184</v>
      </c>
      <c r="E16" s="67" t="n">
        <f aca="false">-IF(輸入與假設!$C$146=1,輸入與假設!E$160,0)</f>
        <v>-4.416</v>
      </c>
      <c r="F16" s="67" t="n">
        <f aca="false">-IF(輸入與假設!$C$146=1,輸入與假設!F$160,0)</f>
        <v>-2.421</v>
      </c>
      <c r="G16" s="67" t="n">
        <f aca="false">-IF(輸入與假設!$C$146=1,輸入與假設!G$160,0)</f>
        <v>-3.221</v>
      </c>
    </row>
    <row r="17" customFormat="false" ht="15" hidden="false" customHeight="false" outlineLevel="1" collapsed="false">
      <c r="A17" s="3" t="s">
        <v>1407</v>
      </c>
      <c r="B17" s="12" t="s">
        <v>93</v>
      </c>
      <c r="C17" s="67" t="n">
        <f aca="false">各期收支!C54-3.7</f>
        <v>31.138</v>
      </c>
      <c r="D17" s="67" t="n">
        <f aca="false">各期收支!D54-3.7</f>
        <v>24.954</v>
      </c>
      <c r="E17" s="67" t="n">
        <f aca="false">各期收支!E54-3.7</f>
        <v>20.538</v>
      </c>
      <c r="F17" s="67" t="n">
        <f aca="false">各期收支!F54-3.7</f>
        <v>18.117</v>
      </c>
      <c r="G17" s="67" t="n">
        <f aca="false">各期收支!G54-3.7</f>
        <v>14.896</v>
      </c>
      <c r="I17" s="7" t="s">
        <v>1408</v>
      </c>
    </row>
    <row r="18" customFormat="false" ht="15" hidden="false" customHeight="false" outlineLevel="1" collapsed="false">
      <c r="A18" s="3" t="s">
        <v>1409</v>
      </c>
      <c r="B18" s="12" t="s">
        <v>93</v>
      </c>
      <c r="C18" s="67" t="n">
        <f aca="false">3.7</f>
        <v>3.7</v>
      </c>
      <c r="D18" s="67" t="n">
        <f aca="false">3.7</f>
        <v>3.7</v>
      </c>
      <c r="E18" s="67" t="n">
        <f aca="false">3.7</f>
        <v>3.7</v>
      </c>
      <c r="F18" s="67" t="n">
        <f aca="false">3.7</f>
        <v>3.7</v>
      </c>
      <c r="G18" s="67" t="n">
        <f aca="false">3.7</f>
        <v>3.7</v>
      </c>
    </row>
    <row r="19" customFormat="false" ht="15" hidden="false" customHeight="false" outlineLevel="1" collapsed="false">
      <c r="A19" s="3" t="s">
        <v>1410</v>
      </c>
      <c r="B19" s="12" t="s">
        <v>93</v>
      </c>
      <c r="C19" s="67" t="n">
        <f aca="false">各期收支!C67</f>
        <v>13.4597917845754</v>
      </c>
      <c r="D19" s="67" t="n">
        <f aca="false">各期收支!D67</f>
        <v>50.6626347816497</v>
      </c>
      <c r="E19" s="67" t="n">
        <f aca="false">各期收支!E67</f>
        <v>71.8650314836808</v>
      </c>
      <c r="F19" s="67" t="n">
        <f aca="false">各期收支!F67</f>
        <v>71.8650314836808</v>
      </c>
      <c r="G19" s="67" t="n">
        <f aca="false">各期收支!G67</f>
        <v>72.389956</v>
      </c>
    </row>
    <row r="20" customFormat="false" ht="15" hidden="false" customHeight="false" outlineLevel="1" collapsed="false">
      <c r="A20" s="3" t="s">
        <v>1411</v>
      </c>
      <c r="B20" s="12" t="s">
        <v>93</v>
      </c>
      <c r="C20" s="67" t="n">
        <f aca="false">各期收支!C69</f>
        <v>0</v>
      </c>
      <c r="D20" s="67" t="n">
        <f aca="false">各期收支!D69</f>
        <v>0</v>
      </c>
      <c r="E20" s="67" t="n">
        <f aca="false">各期收支!E69</f>
        <v>0</v>
      </c>
      <c r="F20" s="67" t="n">
        <f aca="false">各期收支!F69</f>
        <v>7.44308926125659</v>
      </c>
      <c r="G20" s="67" t="n">
        <f aca="false">各期收支!G69</f>
        <v>17.6666206899214</v>
      </c>
    </row>
    <row r="21" customFormat="false" ht="15" hidden="false" customHeight="false" outlineLevel="1" collapsed="false">
      <c r="A21" s="2" t="s">
        <v>1412</v>
      </c>
      <c r="B21" s="12" t="s">
        <v>93</v>
      </c>
      <c r="C21" s="39" t="n">
        <f aca="false">SUM(C17:C20)</f>
        <v>48.2977917845754</v>
      </c>
      <c r="D21" s="39" t="n">
        <f aca="false">SUM(D17:D20)</f>
        <v>79.3166347816497</v>
      </c>
      <c r="E21" s="39" t="n">
        <f aca="false">SUM(E17:E20)</f>
        <v>96.1030314836808</v>
      </c>
      <c r="F21" s="39" t="n">
        <f aca="false">SUM(F17:F20)</f>
        <v>101.125120744937</v>
      </c>
      <c r="G21" s="39" t="n">
        <f aca="false">SUM(G17:G20)</f>
        <v>108.652576689921</v>
      </c>
      <c r="I21" s="7" t="s">
        <v>1413</v>
      </c>
    </row>
    <row r="22" customFormat="false" ht="15" hidden="false" customHeight="false" outlineLevel="1" collapsed="false">
      <c r="A22" s="2" t="s">
        <v>1414</v>
      </c>
      <c r="B22" s="12" t="s">
        <v>93</v>
      </c>
      <c r="C22" s="39" t="n">
        <f aca="false">C21-C12</f>
        <v>46.2977917845754</v>
      </c>
      <c r="D22" s="39" t="n">
        <f aca="false">D21-D12</f>
        <v>77.3166347816497</v>
      </c>
      <c r="E22" s="39" t="n">
        <f aca="false">E21-E12</f>
        <v>94.1030314836808</v>
      </c>
      <c r="F22" s="39" t="n">
        <f aca="false">F21-F12</f>
        <v>99.1251207449374</v>
      </c>
      <c r="G22" s="39" t="n">
        <f aca="false">G21-G12</f>
        <v>106.652576689921</v>
      </c>
    </row>
    <row r="23" customFormat="false" ht="15" hidden="false" customHeight="false" outlineLevel="0" collapsed="false">
      <c r="A23" s="51" t="s">
        <v>1415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1416</v>
      </c>
      <c r="B24" s="12" t="s">
        <v>430</v>
      </c>
      <c r="C24" s="55" t="n">
        <f aca="false">損益!C20</f>
        <v>0.587</v>
      </c>
      <c r="D24" s="55" t="n">
        <f aca="false">損益!D20</f>
        <v>0.59287</v>
      </c>
      <c r="E24" s="55" t="n">
        <f aca="false">損益!E20</f>
        <v>0.5987987</v>
      </c>
      <c r="F24" s="55" t="n">
        <f aca="false">損益!F20</f>
        <v>0.604786687</v>
      </c>
      <c r="G24" s="55" t="n">
        <f aca="false">損益!G20</f>
        <v>0.61083455387</v>
      </c>
    </row>
    <row r="25" customFormat="false" ht="15" hidden="false" customHeight="false" outlineLevel="1" collapsed="false">
      <c r="A25" s="3" t="s">
        <v>1417</v>
      </c>
      <c r="B25" s="12" t="s">
        <v>430</v>
      </c>
      <c r="C25" s="55" t="n">
        <f aca="false">各期收支!C65</f>
        <v>0</v>
      </c>
      <c r="D25" s="55" t="n">
        <f aca="false">各期收支!D65</f>
        <v>0</v>
      </c>
      <c r="E25" s="55" t="n">
        <f aca="false">各期收支!E65</f>
        <v>0</v>
      </c>
      <c r="F25" s="55" t="n">
        <f aca="false">各期收支!F65</f>
        <v>0.130333333333333</v>
      </c>
      <c r="G25" s="55" t="n">
        <f aca="false">各期收支!G65</f>
        <v>0.130333333333333</v>
      </c>
    </row>
    <row r="26" customFormat="false" ht="15" hidden="false" customHeight="false" outlineLevel="1" collapsed="false">
      <c r="A26" s="2" t="s">
        <v>1418</v>
      </c>
      <c r="B26" s="12" t="s">
        <v>430</v>
      </c>
      <c r="C26" s="56" t="n">
        <f aca="false">損益!C21</f>
        <v>0.587</v>
      </c>
      <c r="D26" s="56" t="n">
        <f aca="false">損益!D21</f>
        <v>0.59287</v>
      </c>
      <c r="E26" s="56" t="n">
        <f aca="false">損益!E21</f>
        <v>0.5987987</v>
      </c>
      <c r="F26" s="56" t="n">
        <f aca="false">損益!F21</f>
        <v>0.735120020333333</v>
      </c>
      <c r="G26" s="56" t="n">
        <f aca="false">損益!G21</f>
        <v>0.871501220536667</v>
      </c>
      <c r="I26" s="7" t="s">
        <v>1419</v>
      </c>
    </row>
    <row r="27" customFormat="false" ht="15" hidden="false" customHeight="false" outlineLevel="0" collapsed="false">
      <c r="A27" s="51" t="s">
        <v>1420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798</v>
      </c>
      <c r="B28" s="12" t="s">
        <v>93</v>
      </c>
      <c r="C28" s="67" t="n">
        <f aca="false">各期收支!C53</f>
        <v>115.50825</v>
      </c>
      <c r="D28" s="67" t="n">
        <f aca="false">各期收支!D53</f>
        <v>89.12475</v>
      </c>
      <c r="E28" s="67" t="n">
        <f aca="false">各期收支!E53</f>
        <v>99.902412</v>
      </c>
      <c r="F28" s="67" t="n">
        <f aca="false">各期收支!F53</f>
        <v>87.0282285</v>
      </c>
      <c r="G28" s="67" t="n">
        <f aca="false">各期收支!G53</f>
        <v>90.985956</v>
      </c>
    </row>
    <row r="29" customFormat="false" ht="15" hidden="false" customHeight="false" outlineLevel="1" collapsed="false">
      <c r="A29" s="3" t="s">
        <v>802</v>
      </c>
      <c r="B29" s="12" t="s">
        <v>93</v>
      </c>
      <c r="C29" s="67" t="n">
        <f aca="false">各期收支!C55</f>
        <v>115.50825</v>
      </c>
      <c r="D29" s="67" t="n">
        <f aca="false">各期收支!D55</f>
        <v>89.12475</v>
      </c>
      <c r="E29" s="67" t="n">
        <f aca="false">各期收支!E55</f>
        <v>99.902412</v>
      </c>
      <c r="F29" s="67" t="n">
        <f aca="false">各期收支!F55</f>
        <v>87.0282285</v>
      </c>
      <c r="G29" s="67" t="n">
        <f aca="false">各期收支!G55</f>
        <v>90.985956</v>
      </c>
    </row>
    <row r="30" customFormat="false" ht="15" hidden="false" customHeight="false" outlineLevel="1" collapsed="false">
      <c r="A30" s="3" t="s">
        <v>1421</v>
      </c>
      <c r="B30" s="12" t="s">
        <v>137</v>
      </c>
      <c r="C30" s="84" t="n">
        <f aca="false">C21/MAX(0.01,C28)</f>
        <v>0.418132832802639</v>
      </c>
      <c r="D30" s="84" t="n">
        <f aca="false">D21/MAX(0.01,D28)</f>
        <v>0.889950712699331</v>
      </c>
      <c r="E30" s="84" t="n">
        <f aca="false">E21/MAX(0.01,E28)</f>
        <v>0.961969081223793</v>
      </c>
      <c r="F30" s="84" t="n">
        <f aca="false">F21/MAX(0.01,F28)</f>
        <v>1.16198068704728</v>
      </c>
      <c r="G30" s="84" t="n">
        <f aca="false">G21/MAX(0.01,G28)</f>
        <v>1.19416865488473</v>
      </c>
      <c r="I30" s="7" t="s">
        <v>1422</v>
      </c>
    </row>
    <row r="31" customFormat="false" ht="15" hidden="false" customHeight="false" outlineLevel="1" collapsed="false">
      <c r="A31" s="3" t="s">
        <v>1423</v>
      </c>
      <c r="B31" s="12" t="s">
        <v>137</v>
      </c>
      <c r="C31" s="78" t="n">
        <f aca="false">C21/MAX(0.01,損益!C19/輸入與假設!C$24)</f>
        <v>4.97026169075885</v>
      </c>
      <c r="D31" s="78" t="n">
        <f aca="false">D21/MAX(0.01,損益!D19/輸入與假設!D$24)</f>
        <v>5.14537235367584</v>
      </c>
      <c r="E31" s="78" t="n">
        <f aca="false">E21/MAX(0.01,損益!E19/輸入與假設!E$24)</f>
        <v>4.3477442233964</v>
      </c>
      <c r="F31" s="78" t="n">
        <f aca="false">F21/MAX(0.01,損益!F19/輸入與假設!F$24)</f>
        <v>4.02841610955171</v>
      </c>
      <c r="G31" s="78" t="n">
        <f aca="false">G21/MAX(0.01,損益!G19/輸入與假設!G$24)</f>
        <v>4.24319013201041</v>
      </c>
      <c r="I31" s="12" t="s">
        <v>1424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1425</v>
      </c>
    </row>
    <row r="2" customFormat="false" ht="15" hidden="false" customHeight="false" outlineLevel="0" collapsed="false">
      <c r="A2" s="7" t="s">
        <v>1426</v>
      </c>
    </row>
    <row r="4" customFormat="false" ht="15" hidden="false" customHeight="false" outlineLevel="0" collapsed="false">
      <c r="A4" s="2" t="s">
        <v>1427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1428</v>
      </c>
      <c r="D5" s="16" t="s">
        <v>1429</v>
      </c>
      <c r="E5" s="16" t="s">
        <v>1430</v>
      </c>
      <c r="F5" s="16" t="s">
        <v>1431</v>
      </c>
      <c r="G5" s="16" t="s">
        <v>1432</v>
      </c>
      <c r="H5" s="15" t="s">
        <v>1433</v>
      </c>
    </row>
    <row r="6" customFormat="false" ht="15" hidden="false" customHeight="false" outlineLevel="0" collapsed="false">
      <c r="A6" s="3" t="s">
        <v>1434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1435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1436</v>
      </c>
      <c r="C8" s="58" t="n">
        <f aca="false">SUM(C6:C7)</f>
        <v>1.04</v>
      </c>
      <c r="D8" s="58" t="n">
        <f aca="false">SUM(D6:D7)</f>
        <v>2.339</v>
      </c>
      <c r="E8" s="58" t="n">
        <f aca="false">SUM(E6:E7)</f>
        <v>2.306</v>
      </c>
      <c r="F8" s="58" t="n">
        <f aca="false">SUM(F6:F7)</f>
        <v>2.373</v>
      </c>
      <c r="G8" s="58" t="n">
        <f aca="false">SUM(G6:G7)</f>
        <v>2.289</v>
      </c>
      <c r="H8" s="58" t="n">
        <f aca="false">SUM(H6:H7)</f>
        <v>19.023</v>
      </c>
      <c r="I8" s="7" t="s">
        <v>1437</v>
      </c>
    </row>
    <row r="10" customFormat="false" ht="15" hidden="false" customHeight="false" outlineLevel="0" collapsed="false">
      <c r="A10" s="2" t="s">
        <v>1438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1428</v>
      </c>
      <c r="D11" s="16" t="s">
        <v>1429</v>
      </c>
      <c r="E11" s="16" t="s">
        <v>1430</v>
      </c>
      <c r="F11" s="16" t="s">
        <v>1431</v>
      </c>
      <c r="G11" s="16" t="s">
        <v>1432</v>
      </c>
      <c r="H11" s="15" t="s">
        <v>1433</v>
      </c>
    </row>
    <row r="12" customFormat="false" ht="15" hidden="false" customHeight="false" outlineLevel="0" collapsed="false">
      <c r="A12" s="3" t="s">
        <v>1439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1440</v>
      </c>
    </row>
    <row r="13" customFormat="false" ht="15" hidden="false" customHeight="false" outlineLevel="0" collapsed="false">
      <c r="A13" s="2" t="s">
        <v>273</v>
      </c>
      <c r="C13" s="58" t="n">
        <f aca="false">SUM(C12:H12)</f>
        <v>35.551</v>
      </c>
    </row>
    <row r="15" customFormat="false" ht="15" hidden="false" customHeight="false" outlineLevel="0" collapsed="false">
      <c r="A15" s="2" t="s">
        <v>1441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1442</v>
      </c>
      <c r="D16" s="15" t="s">
        <v>1443</v>
      </c>
      <c r="E16" s="15" t="s">
        <v>1444</v>
      </c>
      <c r="F16" s="15" t="s">
        <v>1445</v>
      </c>
    </row>
    <row r="17" customFormat="false" ht="15" hidden="false" customHeight="false" outlineLevel="0" collapsed="false">
      <c r="A17" s="3" t="s">
        <v>1446</v>
      </c>
      <c r="B17" s="12" t="s">
        <v>93</v>
      </c>
      <c r="C17" s="85" t="n">
        <v>35.5</v>
      </c>
      <c r="D17" s="12" t="s">
        <v>1447</v>
      </c>
      <c r="E17" s="7" t="s">
        <v>1448</v>
      </c>
      <c r="F17" s="7" t="s">
        <v>1449</v>
      </c>
    </row>
    <row r="18" customFormat="false" ht="15" hidden="false" customHeight="false" outlineLevel="0" collapsed="false">
      <c r="A18" s="3" t="s">
        <v>1450</v>
      </c>
      <c r="B18" s="12" t="s">
        <v>93</v>
      </c>
      <c r="C18" s="85" t="n">
        <v>14.7</v>
      </c>
      <c r="D18" s="12" t="s">
        <v>1451</v>
      </c>
      <c r="E18" s="7" t="s">
        <v>1448</v>
      </c>
      <c r="F18" s="7" t="s">
        <v>1449</v>
      </c>
    </row>
    <row r="19" customFormat="false" ht="15" hidden="false" customHeight="false" outlineLevel="0" collapsed="false">
      <c r="A19" s="3" t="s">
        <v>1452</v>
      </c>
      <c r="B19" s="12" t="s">
        <v>93</v>
      </c>
      <c r="C19" s="86" t="s">
        <v>1453</v>
      </c>
      <c r="D19" s="12" t="s">
        <v>1454</v>
      </c>
      <c r="E19" s="7" t="s">
        <v>1448</v>
      </c>
      <c r="F19" s="7" t="s">
        <v>1449</v>
      </c>
    </row>
    <row r="20" customFormat="false" ht="15" hidden="false" customHeight="false" outlineLevel="0" collapsed="false">
      <c r="A20" s="3" t="s">
        <v>1455</v>
      </c>
      <c r="B20" s="12" t="s">
        <v>93</v>
      </c>
      <c r="C20" s="85" t="n">
        <v>1.2</v>
      </c>
      <c r="D20" s="12" t="s">
        <v>1456</v>
      </c>
      <c r="E20" s="7" t="s">
        <v>1448</v>
      </c>
      <c r="F20" s="7" t="s">
        <v>1457</v>
      </c>
    </row>
    <row r="21" customFormat="false" ht="15" hidden="false" customHeight="false" outlineLevel="0" collapsed="false">
      <c r="A21" s="4" t="s">
        <v>1458</v>
      </c>
      <c r="B21" s="12" t="s">
        <v>93</v>
      </c>
      <c r="C21" s="85" t="n">
        <v>1.7</v>
      </c>
      <c r="D21" s="7" t="s">
        <v>1459</v>
      </c>
      <c r="E21" s="7" t="s">
        <v>1448</v>
      </c>
      <c r="F21" s="12" t="s">
        <v>1460</v>
      </c>
    </row>
    <row r="22" customFormat="false" ht="15" hidden="false" customHeight="false" outlineLevel="0" collapsed="false">
      <c r="A22" s="4" t="s">
        <v>1461</v>
      </c>
      <c r="B22" s="12" t="s">
        <v>93</v>
      </c>
      <c r="C22" s="85" t="n">
        <v>0.108</v>
      </c>
      <c r="D22" s="12" t="s">
        <v>1462</v>
      </c>
      <c r="E22" s="7" t="s">
        <v>1448</v>
      </c>
      <c r="F22" s="7" t="s">
        <v>1463</v>
      </c>
    </row>
    <row r="23" customFormat="false" ht="15" hidden="false" customHeight="false" outlineLevel="0" collapsed="false">
      <c r="A23" s="3" t="s">
        <v>1464</v>
      </c>
      <c r="B23" s="12" t="s">
        <v>93</v>
      </c>
      <c r="C23" s="85" t="n">
        <v>10.014</v>
      </c>
      <c r="D23" s="12" t="s">
        <v>1465</v>
      </c>
      <c r="E23" s="7" t="s">
        <v>1466</v>
      </c>
      <c r="F23" s="7" t="s">
        <v>1467</v>
      </c>
    </row>
    <row r="24" customFormat="false" ht="15" hidden="false" customHeight="false" outlineLevel="0" collapsed="false">
      <c r="A24" s="2" t="s">
        <v>1468</v>
      </c>
      <c r="C24" s="58" t="n">
        <f aca="false">C17+C18</f>
        <v>50.2</v>
      </c>
    </row>
    <row r="25" customFormat="false" ht="15" hidden="false" customHeight="false" outlineLevel="0" collapsed="false">
      <c r="A25" s="3" t="s">
        <v>1469</v>
      </c>
      <c r="C25" s="87" t="n">
        <f aca="false">SUM(各期收支!C11:G11)</f>
        <v>9.97089330024814</v>
      </c>
    </row>
    <row r="26" customFormat="false" ht="15" hidden="false" customHeight="false" outlineLevel="0" collapsed="false">
      <c r="A26" s="3" t="s">
        <v>1470</v>
      </c>
      <c r="C26" s="57" t="n">
        <f aca="false">各期收支!G11*12</f>
        <v>34.8184615384615</v>
      </c>
    </row>
    <row r="27" customFormat="false" ht="15" hidden="false" customHeight="false" outlineLevel="0" collapsed="false">
      <c r="A27" s="2" t="s">
        <v>1471</v>
      </c>
      <c r="C27" s="88" t="n">
        <f aca="false">(C25+C26)/C24</f>
        <v>0.892218223878679</v>
      </c>
      <c r="I27" s="12" t="s">
        <v>1472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1473</v>
      </c>
    </row>
    <row r="2" customFormat="false" ht="15" hidden="false" customHeight="false" outlineLevel="0" collapsed="false">
      <c r="A2" s="7" t="s">
        <v>1474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173</v>
      </c>
      <c r="G4" s="27" t="s">
        <v>174</v>
      </c>
      <c r="I4" s="15" t="s">
        <v>726</v>
      </c>
    </row>
    <row r="5" customFormat="false" ht="15" hidden="false" customHeight="false" outlineLevel="0" collapsed="false">
      <c r="A5" s="51" t="s">
        <v>1475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1476</v>
      </c>
      <c r="B6" s="12" t="s">
        <v>93</v>
      </c>
      <c r="C6" s="42" t="n">
        <f aca="false">運營_產能與收入!C25</f>
        <v>8.113</v>
      </c>
      <c r="D6" s="42" t="n">
        <f aca="false">運營_產能與收入!D25</f>
        <v>25.1275</v>
      </c>
      <c r="E6" s="42" t="n">
        <f aca="false">運營_產能與收入!E25</f>
        <v>34.8694155</v>
      </c>
      <c r="F6" s="42" t="n">
        <f aca="false">運營_產能與收入!F25</f>
        <v>39.5638485</v>
      </c>
      <c r="G6" s="42" t="n">
        <f aca="false">運營_產能與收入!G25</f>
        <v>41.19393</v>
      </c>
      <c r="I6" s="7" t="s">
        <v>1477</v>
      </c>
    </row>
    <row r="7" customFormat="false" ht="15" hidden="false" customHeight="false" outlineLevel="1" collapsed="false">
      <c r="A7" s="3" t="s">
        <v>1478</v>
      </c>
      <c r="B7" s="12" t="s">
        <v>93</v>
      </c>
      <c r="C7" s="42" t="n">
        <f aca="false">輸入與假設!C$33</f>
        <v>0.3</v>
      </c>
      <c r="D7" s="42" t="n">
        <f aca="false">輸入與假設!D$33</f>
        <v>1</v>
      </c>
      <c r="E7" s="42" t="n">
        <f aca="false">輸入與假設!E$33</f>
        <v>1.8</v>
      </c>
      <c r="F7" s="42" t="n">
        <f aca="false">輸入與假設!F$33</f>
        <v>2.8</v>
      </c>
      <c r="G7" s="42" t="n">
        <f aca="false">輸入與假設!G$33</f>
        <v>3.8</v>
      </c>
    </row>
    <row r="8" customFormat="false" ht="15" hidden="false" customHeight="false" outlineLevel="1" collapsed="false">
      <c r="A8" s="2" t="s">
        <v>1479</v>
      </c>
      <c r="B8" s="12" t="s">
        <v>93</v>
      </c>
      <c r="C8" s="39" t="n">
        <f aca="false">C6+C7</f>
        <v>8.413</v>
      </c>
      <c r="D8" s="39" t="n">
        <f aca="false">D6+D7</f>
        <v>26.1275</v>
      </c>
      <c r="E8" s="39" t="n">
        <f aca="false">E6+E7</f>
        <v>36.6694155</v>
      </c>
      <c r="F8" s="39" t="n">
        <f aca="false">F6+F7</f>
        <v>42.3638485</v>
      </c>
      <c r="G8" s="39" t="n">
        <f aca="false">G6+G7</f>
        <v>44.99393</v>
      </c>
    </row>
    <row r="9" customFormat="false" ht="15" hidden="false" customHeight="false" outlineLevel="1" collapsed="false">
      <c r="A9" s="4" t="s">
        <v>315</v>
      </c>
      <c r="B9" s="12" t="s">
        <v>77</v>
      </c>
      <c r="C9" s="52" t="n">
        <f aca="false">輸入與假設!C$87</f>
        <v>0.577520140967778</v>
      </c>
      <c r="D9" s="52" t="n">
        <f aca="false">輸入與假設!D$87</f>
        <v>0.589996743729603</v>
      </c>
      <c r="E9" s="52" t="n">
        <f aca="false">輸入與假設!E$87</f>
        <v>0.602794266823612</v>
      </c>
      <c r="F9" s="52" t="n">
        <f aca="false">輸入與假設!F$87</f>
        <v>0.592555894798447</v>
      </c>
      <c r="G9" s="52" t="n">
        <f aca="false">輸入與假設!G$87</f>
        <v>0.569106583132596</v>
      </c>
    </row>
    <row r="10" customFormat="false" ht="15" hidden="false" customHeight="false" outlineLevel="1" collapsed="false">
      <c r="A10" s="3" t="s">
        <v>1480</v>
      </c>
      <c r="B10" s="12" t="s">
        <v>93</v>
      </c>
      <c r="C10" s="67" t="n">
        <f aca="false">C8*輸入與假設!C$87-輸入與假設!C$138</f>
        <v>0.0614315782535844</v>
      </c>
      <c r="D10" s="67" t="n">
        <f aca="false">D8*輸入與假設!D$87-輸入與假設!D$138</f>
        <v>0.49055771596186</v>
      </c>
      <c r="E10" s="67" t="n">
        <f aca="false">E8*輸入與假設!E$87-輸入與假設!E$138</f>
        <v>0.945247617006235</v>
      </c>
      <c r="F10" s="67" t="n">
        <f aca="false">F8*輸入與假設!F$87-輸入與假設!F$138</f>
        <v>-1.27102399914331</v>
      </c>
      <c r="G10" s="67" t="n">
        <f aca="false">G8*輸入與假設!G$87-輸入與假設!G$138</f>
        <v>-5.45026341015944</v>
      </c>
      <c r="I10" s="7" t="s">
        <v>1481</v>
      </c>
    </row>
    <row r="11" customFormat="false" ht="15" hidden="false" customHeight="false" outlineLevel="1" collapsed="false">
      <c r="A11" s="3" t="s">
        <v>1482</v>
      </c>
      <c r="B11" s="12" t="s">
        <v>93</v>
      </c>
      <c r="C11" s="42" t="n">
        <f aca="false">各期收支!C17</f>
        <v>2.41158691725985</v>
      </c>
      <c r="D11" s="42" t="n">
        <f aca="false">各期收支!D17</f>
        <v>7.02564389204294</v>
      </c>
      <c r="E11" s="42" t="n">
        <f aca="false">各期收支!E17</f>
        <v>8.48794758149898</v>
      </c>
      <c r="F11" s="42" t="n">
        <f aca="false">各期收支!F17</f>
        <v>9.09350504399601</v>
      </c>
      <c r="G11" s="42" t="n">
        <f aca="false">各期收支!G17</f>
        <v>10.1302290425228</v>
      </c>
    </row>
    <row r="12" customFormat="false" ht="15" hidden="false" customHeight="false" outlineLevel="1" collapsed="false">
      <c r="A12" s="3" t="s">
        <v>1483</v>
      </c>
      <c r="B12" s="12" t="s">
        <v>93</v>
      </c>
      <c r="C12" s="67" t="n">
        <f aca="false">C10-C11</f>
        <v>-2.35015533900626</v>
      </c>
      <c r="D12" s="67" t="n">
        <f aca="false">D10-D11</f>
        <v>-6.53508617608108</v>
      </c>
      <c r="E12" s="67" t="n">
        <f aca="false">E10-E11</f>
        <v>-7.54269996449275</v>
      </c>
      <c r="F12" s="67" t="n">
        <f aca="false">F10-F11</f>
        <v>-10.3645290431393</v>
      </c>
      <c r="G12" s="67" t="n">
        <f aca="false">G10-G11</f>
        <v>-15.5804924526822</v>
      </c>
    </row>
    <row r="13" customFormat="false" ht="15" hidden="false" customHeight="false" outlineLevel="1" collapsed="false">
      <c r="A13" s="4" t="s">
        <v>1484</v>
      </c>
      <c r="B13" s="12" t="s">
        <v>93</v>
      </c>
      <c r="C13" s="67" t="n">
        <f aca="false">輸入與假設!$C$172</f>
        <v>4</v>
      </c>
      <c r="D13" s="67" t="n">
        <f aca="false">C15</f>
        <v>6.35015533900626</v>
      </c>
      <c r="E13" s="67" t="n">
        <f aca="false">D15</f>
        <v>12.8852415150873</v>
      </c>
      <c r="F13" s="67" t="n">
        <f aca="false">E15</f>
        <v>20.4279414795801</v>
      </c>
      <c r="G13" s="67" t="n">
        <f aca="false">F15</f>
        <v>30.7924705227194</v>
      </c>
      <c r="I13" s="12" t="s">
        <v>1485</v>
      </c>
    </row>
    <row r="14" customFormat="false" ht="15" hidden="false" customHeight="false" outlineLevel="1" collapsed="false">
      <c r="A14" s="3" t="s">
        <v>1486</v>
      </c>
      <c r="B14" s="12" t="s">
        <v>93</v>
      </c>
      <c r="C14" s="67" t="n">
        <f aca="false">MIN(C13,MAX(0,C12)*輸入與假設!$C$173)</f>
        <v>0</v>
      </c>
      <c r="D14" s="67" t="n">
        <f aca="false">MIN(D13,MAX(0,D12)*輸入與假設!$C$173)</f>
        <v>0</v>
      </c>
      <c r="E14" s="67" t="n">
        <f aca="false">MIN(E13,MAX(0,E12)*輸入與假設!$C$173)</f>
        <v>0</v>
      </c>
      <c r="F14" s="67" t="n">
        <f aca="false">MIN(F13,MAX(0,F12)*輸入與假設!$C$173)</f>
        <v>0</v>
      </c>
      <c r="G14" s="67" t="n">
        <f aca="false">MIN(G13,MAX(0,G12)*輸入與假設!$C$173)</f>
        <v>0</v>
      </c>
      <c r="I14" s="7" t="s">
        <v>1487</v>
      </c>
    </row>
    <row r="15" customFormat="false" ht="15" hidden="false" customHeight="false" outlineLevel="1" collapsed="false">
      <c r="A15" s="4" t="s">
        <v>1488</v>
      </c>
      <c r="B15" s="12" t="s">
        <v>93</v>
      </c>
      <c r="C15" s="67" t="n">
        <f aca="false">C13-C14+MAX(0,-C12)</f>
        <v>6.35015533900626</v>
      </c>
      <c r="D15" s="67" t="n">
        <f aca="false">D13-D14+MAX(0,-D12)</f>
        <v>12.8852415150873</v>
      </c>
      <c r="E15" s="67" t="n">
        <f aca="false">E13-E14+MAX(0,-E12)</f>
        <v>20.4279414795801</v>
      </c>
      <c r="F15" s="67" t="n">
        <f aca="false">F13-F14+MAX(0,-F12)</f>
        <v>30.7924705227194</v>
      </c>
      <c r="G15" s="67" t="n">
        <f aca="false">G13-G14+MAX(0,-G12)</f>
        <v>46.3729629754016</v>
      </c>
    </row>
    <row r="16" customFormat="false" ht="15" hidden="false" customHeight="false" outlineLevel="1" collapsed="false">
      <c r="A16" s="3" t="s">
        <v>1489</v>
      </c>
      <c r="B16" s="12" t="s">
        <v>93</v>
      </c>
      <c r="C16" s="67" t="n">
        <f aca="false">MAX(0,C12-C14)*輸入與假設!$C$171</f>
        <v>0</v>
      </c>
      <c r="D16" s="67" t="n">
        <f aca="false">MAX(0,D12-D14)*輸入與假設!$C$171</f>
        <v>0</v>
      </c>
      <c r="E16" s="67" t="n">
        <f aca="false">MAX(0,E12-E14)*輸入與假設!$C$171</f>
        <v>0</v>
      </c>
      <c r="F16" s="67" t="n">
        <f aca="false">MAX(0,F12-F14)*輸入與假設!$C$171</f>
        <v>0</v>
      </c>
      <c r="G16" s="67" t="n">
        <f aca="false">MAX(0,G12-G14)*輸入與假設!$C$171</f>
        <v>0</v>
      </c>
      <c r="I16" s="7" t="s">
        <v>1490</v>
      </c>
    </row>
    <row r="17" customFormat="false" ht="15" hidden="false" customHeight="false" outlineLevel="1" collapsed="false">
      <c r="A17" s="2" t="s">
        <v>1491</v>
      </c>
      <c r="B17" s="12" t="s">
        <v>93</v>
      </c>
      <c r="C17" s="39" t="n">
        <f aca="false">C12-C16</f>
        <v>-2.35015533900626</v>
      </c>
      <c r="D17" s="39" t="n">
        <f aca="false">D12-D16</f>
        <v>-6.53508617608108</v>
      </c>
      <c r="E17" s="39" t="n">
        <f aca="false">E12-E16</f>
        <v>-7.54269996449275</v>
      </c>
      <c r="F17" s="39" t="n">
        <f aca="false">F12-F16</f>
        <v>-10.3645290431393</v>
      </c>
      <c r="G17" s="39" t="n">
        <f aca="false">G12-G16</f>
        <v>-15.5804924526822</v>
      </c>
    </row>
    <row r="18" customFormat="false" ht="15" hidden="false" customHeight="false" outlineLevel="1" collapsed="false">
      <c r="A18" s="4" t="s">
        <v>568</v>
      </c>
      <c r="B18" s="12" t="s">
        <v>93</v>
      </c>
      <c r="C18" s="42" t="n">
        <f aca="false">輸入與假設!C$138</f>
        <v>4.79724536770833</v>
      </c>
      <c r="D18" s="42" t="n">
        <f aca="false">輸入與假設!D$138</f>
        <v>14.9245822058333</v>
      </c>
      <c r="E18" s="42" t="n">
        <f aca="false">輸入與假設!E$138</f>
        <v>21.1588658141667</v>
      </c>
      <c r="F18" s="42" t="n">
        <f aca="false">輸入與假設!F$138</f>
        <v>26.3739721541667</v>
      </c>
      <c r="G18" s="42" t="n">
        <f aca="false">輸入與假設!G$138</f>
        <v>31.0566051741667</v>
      </c>
      <c r="I18" s="7" t="s">
        <v>1492</v>
      </c>
    </row>
    <row r="19" customFormat="false" ht="15" hidden="false" customHeight="false" outlineLevel="1" collapsed="false">
      <c r="A19" s="5" t="s">
        <v>1160</v>
      </c>
      <c r="B19" s="12" t="s">
        <v>93</v>
      </c>
      <c r="C19" s="39" t="n">
        <f aca="false">C10+C18</f>
        <v>4.85867694596192</v>
      </c>
      <c r="D19" s="39" t="n">
        <f aca="false">D10+D18</f>
        <v>15.4151399217952</v>
      </c>
      <c r="E19" s="39" t="n">
        <f aca="false">E10+E18</f>
        <v>22.1041134311729</v>
      </c>
      <c r="F19" s="39" t="n">
        <f aca="false">F10+F18</f>
        <v>25.1029481550234</v>
      </c>
      <c r="G19" s="39" t="n">
        <f aca="false">G10+G18</f>
        <v>25.6063417640072</v>
      </c>
    </row>
    <row r="20" customFormat="false" ht="15" hidden="false" customHeight="false" outlineLevel="1" collapsed="false">
      <c r="A20" s="3" t="s">
        <v>1493</v>
      </c>
      <c r="B20" s="12" t="s">
        <v>430</v>
      </c>
      <c r="C20" s="89" t="n">
        <f aca="false">輸入與假設!$C$166</f>
        <v>0.587</v>
      </c>
      <c r="D20" s="89" t="n">
        <f aca="false">C20*(1+輸入與假設!$C$181)</f>
        <v>0.59287</v>
      </c>
      <c r="E20" s="89" t="n">
        <f aca="false">D20*(1+輸入與假設!$C$181)</f>
        <v>0.5987987</v>
      </c>
      <c r="F20" s="89" t="n">
        <f aca="false">E20*(1+輸入與假設!$C$181)</f>
        <v>0.604786687</v>
      </c>
      <c r="G20" s="89" t="n">
        <f aca="false">F20*(1+輸入與假設!$C$181)</f>
        <v>0.61083455387</v>
      </c>
      <c r="I20" s="12" t="s">
        <v>1494</v>
      </c>
    </row>
    <row r="21" customFormat="false" ht="15" hidden="false" customHeight="false" outlineLevel="1" collapsed="false">
      <c r="A21" s="3" t="s">
        <v>1495</v>
      </c>
      <c r="B21" s="12" t="s">
        <v>430</v>
      </c>
      <c r="C21" s="89" t="n">
        <f aca="false">C20+各期收支!C66</f>
        <v>0.587</v>
      </c>
      <c r="D21" s="89" t="n">
        <f aca="false">D20+各期收支!D66</f>
        <v>0.59287</v>
      </c>
      <c r="E21" s="89" t="n">
        <f aca="false">E20+各期收支!E66</f>
        <v>0.5987987</v>
      </c>
      <c r="F21" s="89" t="n">
        <f aca="false">F20+各期收支!F66</f>
        <v>0.735120020333333</v>
      </c>
      <c r="G21" s="89" t="n">
        <f aca="false">G20+各期收支!G66</f>
        <v>0.871501220536667</v>
      </c>
      <c r="I21" s="7" t="s">
        <v>1496</v>
      </c>
    </row>
    <row r="22" customFormat="false" ht="15" hidden="false" customHeight="false" outlineLevel="1" collapsed="false">
      <c r="A22" s="3" t="s">
        <v>1497</v>
      </c>
      <c r="B22" s="12" t="s">
        <v>74</v>
      </c>
      <c r="C22" s="54" t="n">
        <f aca="false">C17/C21</f>
        <v>-4.00367178706348</v>
      </c>
      <c r="D22" s="54" t="n">
        <f aca="false">D17/D21</f>
        <v>-11.0227978748816</v>
      </c>
      <c r="E22" s="54" t="n">
        <f aca="false">E17/E21</f>
        <v>-12.596386673005</v>
      </c>
      <c r="F22" s="54" t="n">
        <f aca="false">F17/F21</f>
        <v>-14.0990977751356</v>
      </c>
      <c r="G22" s="54" t="n">
        <f aca="false">G17/G21</f>
        <v>-17.8777632039205</v>
      </c>
      <c r="I22" s="12" t="s">
        <v>1498</v>
      </c>
    </row>
    <row r="24" customFormat="false" ht="15" hidden="false" customHeight="false" outlineLevel="0" collapsed="false">
      <c r="A24" s="51" t="s">
        <v>1499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1500</v>
      </c>
      <c r="B25" s="12" t="s">
        <v>93</v>
      </c>
      <c r="C25" s="42" t="n">
        <f aca="false">輸入與假設!$C$223</f>
        <v>4.653</v>
      </c>
      <c r="D25" s="42" t="n">
        <f aca="false">0</f>
        <v>0</v>
      </c>
      <c r="E25" s="42" t="n">
        <f aca="false">0</f>
        <v>0</v>
      </c>
      <c r="F25" s="42" t="n">
        <f aca="false">0</f>
        <v>0</v>
      </c>
      <c r="G25" s="42" t="n">
        <f aca="false">0</f>
        <v>0</v>
      </c>
    </row>
    <row r="26" customFormat="false" ht="15" hidden="false" customHeight="false" outlineLevel="1" collapsed="false">
      <c r="A26" s="2" t="s">
        <v>1501</v>
      </c>
      <c r="B26" s="12" t="s">
        <v>93</v>
      </c>
      <c r="C26" s="39" t="n">
        <f aca="false">C25+C8</f>
        <v>13.066</v>
      </c>
      <c r="D26" s="39" t="n">
        <f aca="false">D25+D8</f>
        <v>26.1275</v>
      </c>
      <c r="E26" s="39" t="n">
        <f aca="false">E25+E8</f>
        <v>36.6694155</v>
      </c>
      <c r="F26" s="39" t="n">
        <f aca="false">F25+F8</f>
        <v>42.3638485</v>
      </c>
      <c r="G26" s="39" t="n">
        <f aca="false">G25+G8</f>
        <v>44.99393</v>
      </c>
      <c r="I26" s="12" t="s">
        <v>1502</v>
      </c>
    </row>
    <row r="27" customFormat="false" ht="15" hidden="false" customHeight="false" outlineLevel="1" collapsed="false">
      <c r="A27" s="3" t="s">
        <v>1503</v>
      </c>
      <c r="B27" s="12" t="s">
        <v>77</v>
      </c>
      <c r="C27" s="68" t="n">
        <f aca="false">C26/5.131-1</f>
        <v>1.54648216721887</v>
      </c>
      <c r="D27" s="68" t="n">
        <f aca="false">D26/C26-1</f>
        <v>0.999655594673198</v>
      </c>
      <c r="E27" s="68" t="n">
        <f aca="false">E26/D26-1</f>
        <v>0.403479686154435</v>
      </c>
      <c r="F27" s="68" t="n">
        <f aca="false">F26/E26-1</f>
        <v>0.155291076292176</v>
      </c>
      <c r="G27" s="68" t="n">
        <f aca="false">G26/F26-1</f>
        <v>0.0620831580020405</v>
      </c>
      <c r="I27" s="12" t="s">
        <v>1504</v>
      </c>
    </row>
    <row r="28" customFormat="false" ht="15" hidden="false" customHeight="false" outlineLevel="1" collapsed="false">
      <c r="A28" s="3" t="s">
        <v>1505</v>
      </c>
      <c r="B28" s="12" t="s">
        <v>93</v>
      </c>
      <c r="C28" s="67" t="n">
        <f aca="false">輸入與假設!$C$224+C10</f>
        <v>-0.131568421746416</v>
      </c>
      <c r="D28" s="67" t="n">
        <f aca="false">D10</f>
        <v>0.49055771596186</v>
      </c>
      <c r="E28" s="67" t="n">
        <f aca="false">E10</f>
        <v>0.945247617006235</v>
      </c>
      <c r="F28" s="67" t="n">
        <f aca="false">F10</f>
        <v>-1.27102399914331</v>
      </c>
      <c r="G28" s="67" t="n">
        <f aca="false">G10</f>
        <v>-5.45026341015944</v>
      </c>
    </row>
    <row r="29" customFormat="false" ht="15" hidden="false" customHeight="false" outlineLevel="1" collapsed="false">
      <c r="A29" s="3" t="s">
        <v>1506</v>
      </c>
      <c r="B29" s="12" t="s">
        <v>77</v>
      </c>
      <c r="C29" s="68" t="n">
        <f aca="false">C28/C26</f>
        <v>-0.0100695256196553</v>
      </c>
      <c r="D29" s="68" t="n">
        <f aca="false">D28/D26</f>
        <v>0.0187755321390052</v>
      </c>
      <c r="E29" s="68" t="n">
        <f aca="false">E28/E26</f>
        <v>0.0257775479679035</v>
      </c>
      <c r="F29" s="68" t="n">
        <f aca="false">F28/F26</f>
        <v>-0.0300025621879775</v>
      </c>
      <c r="G29" s="68" t="n">
        <f aca="false">G28/G26</f>
        <v>-0.121133304207022</v>
      </c>
    </row>
    <row r="30" customFormat="false" ht="15" hidden="false" customHeight="false" outlineLevel="1" collapsed="false">
      <c r="A30" s="3" t="s">
        <v>1507</v>
      </c>
      <c r="B30" s="12" t="s">
        <v>93</v>
      </c>
      <c r="C30" s="67" t="n">
        <f aca="false">輸入與假設!$C$227+C18</f>
        <v>7.33724536770833</v>
      </c>
      <c r="D30" s="67" t="n">
        <f aca="false">D18</f>
        <v>14.9245822058333</v>
      </c>
      <c r="E30" s="67" t="n">
        <f aca="false">E18</f>
        <v>21.1588658141667</v>
      </c>
      <c r="F30" s="67" t="n">
        <f aca="false">F18</f>
        <v>26.3739721541667</v>
      </c>
      <c r="G30" s="67" t="n">
        <f aca="false">G18</f>
        <v>31.0566051741667</v>
      </c>
      <c r="I30" s="12" t="s">
        <v>1508</v>
      </c>
    </row>
    <row r="31" customFormat="false" ht="15" hidden="false" customHeight="false" outlineLevel="1" collapsed="false">
      <c r="A31" s="2" t="s">
        <v>1509</v>
      </c>
      <c r="B31" s="12" t="s">
        <v>93</v>
      </c>
      <c r="C31" s="39" t="n">
        <f aca="false">C28+C30</f>
        <v>7.20567694596192</v>
      </c>
      <c r="D31" s="39" t="n">
        <f aca="false">D28+D30</f>
        <v>15.4151399217952</v>
      </c>
      <c r="E31" s="39" t="n">
        <f aca="false">E28+E30</f>
        <v>22.1041134311729</v>
      </c>
      <c r="F31" s="39" t="n">
        <f aca="false">F28+F30</f>
        <v>25.1029481550234</v>
      </c>
      <c r="G31" s="39" t="n">
        <f aca="false">G28+G30</f>
        <v>25.6063417640072</v>
      </c>
    </row>
    <row r="32" customFormat="false" ht="15" hidden="false" customHeight="false" outlineLevel="1" collapsed="false">
      <c r="A32" s="3" t="s">
        <v>1510</v>
      </c>
      <c r="B32" s="12" t="s">
        <v>93</v>
      </c>
      <c r="C32" s="67" t="n">
        <f aca="false">輸入與假設!$C$221+C11</f>
        <v>3.58758691725985</v>
      </c>
      <c r="D32" s="67" t="n">
        <f aca="false">D11</f>
        <v>7.02564389204294</v>
      </c>
      <c r="E32" s="67" t="n">
        <f aca="false">E11</f>
        <v>8.48794758149898</v>
      </c>
      <c r="F32" s="67" t="n">
        <f aca="false">F11</f>
        <v>9.09350504399601</v>
      </c>
      <c r="G32" s="67" t="n">
        <f aca="false">G11</f>
        <v>10.1302290425228</v>
      </c>
      <c r="I32" s="12" t="s">
        <v>1511</v>
      </c>
    </row>
    <row r="33" customFormat="false" ht="15" hidden="false" customHeight="false" outlineLevel="1" collapsed="false">
      <c r="A33" s="2" t="s">
        <v>1512</v>
      </c>
      <c r="B33" s="12" t="s">
        <v>93</v>
      </c>
      <c r="C33" s="39" t="n">
        <f aca="false">輸入與假設!$C$225+C17</f>
        <v>-3.71615533900626</v>
      </c>
      <c r="D33" s="39" t="n">
        <f aca="false">D17</f>
        <v>-6.53508617608108</v>
      </c>
      <c r="E33" s="39" t="n">
        <f aca="false">E17</f>
        <v>-7.54269996449275</v>
      </c>
      <c r="F33" s="39" t="n">
        <f aca="false">F17</f>
        <v>-10.3645290431393</v>
      </c>
      <c r="G33" s="39" t="n">
        <f aca="false">G17</f>
        <v>-15.5804924526822</v>
      </c>
    </row>
    <row r="34" customFormat="false" ht="15" hidden="false" customHeight="false" outlineLevel="1" collapsed="false">
      <c r="A34" s="3" t="s">
        <v>1513</v>
      </c>
      <c r="B34" s="12" t="s">
        <v>77</v>
      </c>
      <c r="C34" s="68" t="n">
        <f aca="false">C33/C26</f>
        <v>-0.284414154217531</v>
      </c>
      <c r="D34" s="68" t="n">
        <f aca="false">D33/D26</f>
        <v>-0.2501229040697</v>
      </c>
      <c r="E34" s="68" t="n">
        <f aca="false">E33/E26</f>
        <v>-0.205694578483062</v>
      </c>
      <c r="F34" s="68" t="n">
        <f aca="false">F33/F26</f>
        <v>-0.244655039854071</v>
      </c>
      <c r="G34" s="68" t="n">
        <f aca="false">G33/G26</f>
        <v>-0.346279874922734</v>
      </c>
    </row>
    <row r="35" customFormat="false" ht="15" hidden="false" customHeight="false" outlineLevel="1" collapsed="false">
      <c r="A35" s="2" t="s">
        <v>1514</v>
      </c>
      <c r="B35" s="12" t="s">
        <v>74</v>
      </c>
      <c r="C35" s="81" t="n">
        <f aca="false">輸入與假設!$C$229+C17/C21</f>
        <v>-6.53367178706348</v>
      </c>
      <c r="D35" s="81" t="n">
        <f aca="false">D17/D21</f>
        <v>-11.0227978748816</v>
      </c>
      <c r="E35" s="81" t="n">
        <f aca="false">E17/E21</f>
        <v>-12.596386673005</v>
      </c>
      <c r="F35" s="81" t="n">
        <f aca="false">F17/F21</f>
        <v>-14.0990977751356</v>
      </c>
      <c r="G35" s="81" t="n">
        <f aca="false">G17/G21</f>
        <v>-17.8777632039205</v>
      </c>
      <c r="I35" s="12" t="s">
        <v>1515</v>
      </c>
    </row>
    <row r="36" customFormat="false" ht="15" hidden="false" customHeight="false" outlineLevel="1" collapsed="false">
      <c r="A36" s="3" t="s">
        <v>1516</v>
      </c>
      <c r="B36" s="12" t="s">
        <v>74</v>
      </c>
      <c r="C36" s="54" t="n">
        <f aca="false">輸入與假設!$C$230+(C17+輸入與假設!$C$182*輸入與假設!C$24)/C21</f>
        <v>-5.34741965759159</v>
      </c>
      <c r="D36" s="54" t="n">
        <f aca="false">(D17+輸入與假設!$C$182*輸入與假設!D$24)/D21</f>
        <v>-9.84210058879869</v>
      </c>
      <c r="E36" s="54" t="n">
        <f aca="false">(E17+輸入與假設!$C$182*輸入與假設!E$24)/E21</f>
        <v>-11.4273794590615</v>
      </c>
      <c r="F36" s="54" t="n">
        <f aca="false">(F17+輸入與假設!$C$182*輸入與假設!F$24)/F21</f>
        <v>-13.1468723144787</v>
      </c>
      <c r="G36" s="54" t="n">
        <f aca="false">(G17+輸入與假設!$C$182*輸入與假設!G$24)/G21</f>
        <v>-17.0745514774138</v>
      </c>
      <c r="I36" s="7" t="s">
        <v>1517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1518</v>
      </c>
    </row>
    <row r="2" customFormat="false" ht="15" hidden="false" customHeight="false" outlineLevel="0" collapsed="false">
      <c r="A2" s="7" t="s">
        <v>1519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173</v>
      </c>
      <c r="G4" s="27" t="s">
        <v>174</v>
      </c>
      <c r="I4" s="15" t="s">
        <v>726</v>
      </c>
    </row>
    <row r="5" customFormat="false" ht="15" hidden="false" customHeight="false" outlineLevel="0" collapsed="false">
      <c r="A5" s="8" t="s">
        <v>1520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1521</v>
      </c>
      <c r="B6" s="12" t="s">
        <v>93</v>
      </c>
      <c r="C6" s="67" t="n">
        <f aca="false">輸入與假設!C$137-各期收支!C8</f>
        <v>19.928937719</v>
      </c>
      <c r="D6" s="67" t="n">
        <f aca="false">輸入與假設!D$137-各期收支!D8</f>
        <v>38.9152721144</v>
      </c>
      <c r="E6" s="67" t="n">
        <f aca="false">輸入與假設!E$137-各期收支!E8</f>
        <v>29.9112189216</v>
      </c>
      <c r="F6" s="67" t="n">
        <f aca="false">輸入與假設!F$137-各期收支!F8</f>
        <v>31.121499456</v>
      </c>
      <c r="G6" s="67" t="n">
        <f aca="false">輸入與假設!G$137-各期收支!G8</f>
        <v>33.0233688672</v>
      </c>
      <c r="I6" s="12" t="s">
        <v>1522</v>
      </c>
    </row>
    <row r="7" customFormat="false" ht="15" hidden="false" customHeight="false" outlineLevel="1" collapsed="false">
      <c r="A7" s="3" t="s">
        <v>1523</v>
      </c>
      <c r="B7" s="12" t="s">
        <v>93</v>
      </c>
      <c r="C7" s="67" t="n">
        <f aca="false">5.131</f>
        <v>5.131</v>
      </c>
      <c r="D7" s="67" t="n">
        <f aca="false">4.653+損益!C8</f>
        <v>13.066</v>
      </c>
      <c r="E7" s="67" t="n">
        <f aca="false">損益!D8</f>
        <v>26.1275</v>
      </c>
      <c r="F7" s="67" t="n">
        <f aca="false">損益!E8</f>
        <v>36.6694155</v>
      </c>
      <c r="G7" s="67" t="n">
        <f aca="false">損益!F8</f>
        <v>42.3638485</v>
      </c>
      <c r="I7" s="12" t="s">
        <v>1524</v>
      </c>
    </row>
    <row r="8" customFormat="false" ht="15" hidden="false" customHeight="false" outlineLevel="1" collapsed="false">
      <c r="A8" s="3" t="s">
        <v>1525</v>
      </c>
      <c r="B8" s="12" t="s">
        <v>93</v>
      </c>
      <c r="C8" s="67" t="n">
        <f aca="false">輸入與假設!$C$174*MAX(0,損益!C8-C7)</f>
        <v>0.06564</v>
      </c>
      <c r="D8" s="67" t="n">
        <f aca="false">輸入與假設!$C$174*MAX(0,損益!D8-D7)</f>
        <v>0.26123</v>
      </c>
      <c r="E8" s="67" t="n">
        <f aca="false">輸入與假設!$C$174*MAX(0,損益!E8-E7)</f>
        <v>0.21083831</v>
      </c>
      <c r="F8" s="67" t="n">
        <f aca="false">輸入與假設!$C$174*MAX(0,損益!F8-F7)</f>
        <v>0.11388866</v>
      </c>
      <c r="G8" s="67" t="n">
        <f aca="false">輸入與假設!$C$174*MAX(0,損益!G8-G7)</f>
        <v>0.0526016300000001</v>
      </c>
      <c r="I8" s="7" t="s">
        <v>1526</v>
      </c>
    </row>
    <row r="9" customFormat="false" ht="15" hidden="false" customHeight="false" outlineLevel="1" collapsed="false">
      <c r="A9" s="3" t="s">
        <v>1527</v>
      </c>
      <c r="B9" s="12" t="s">
        <v>93</v>
      </c>
      <c r="C9" s="67" t="n">
        <f aca="false">輸入與假設!$C$172</f>
        <v>4</v>
      </c>
      <c r="D9" s="67" t="n">
        <f aca="false">C11</f>
        <v>3.95085473739713</v>
      </c>
      <c r="E9" s="67" t="n">
        <f aca="false">D11</f>
        <v>3.55840856462764</v>
      </c>
      <c r="F9" s="67" t="n">
        <f aca="false">E11</f>
        <v>2.80221047102266</v>
      </c>
      <c r="G9" s="67" t="n">
        <f aca="false">F11</f>
        <v>4.07323447016596</v>
      </c>
      <c r="I9" s="12" t="s">
        <v>1528</v>
      </c>
    </row>
    <row r="10" customFormat="false" ht="15" hidden="false" customHeight="false" outlineLevel="1" collapsed="false">
      <c r="A10" s="3" t="s">
        <v>1529</v>
      </c>
      <c r="B10" s="12" t="s">
        <v>93</v>
      </c>
      <c r="C10" s="67" t="n">
        <f aca="false">MIN(C9,MAX(0,損益!C10)*輸入與假設!$C$173)</f>
        <v>0.0491452626028675</v>
      </c>
      <c r="D10" s="67" t="n">
        <f aca="false">MIN(D9,MAX(0,損益!D10)*輸入與假設!$C$173)</f>
        <v>0.392446172769488</v>
      </c>
      <c r="E10" s="67" t="n">
        <f aca="false">MIN(E9,MAX(0,損益!E10)*輸入與假設!$C$173)</f>
        <v>0.756198093604988</v>
      </c>
      <c r="F10" s="67" t="n">
        <f aca="false">MIN(F9,MAX(0,損益!F10)*輸入與假設!$C$173)</f>
        <v>0</v>
      </c>
      <c r="G10" s="67" t="n">
        <f aca="false">MIN(G9,MAX(0,損益!G10)*輸入與假設!$C$173)</f>
        <v>0</v>
      </c>
    </row>
    <row r="11" customFormat="false" ht="15" hidden="false" customHeight="false" outlineLevel="1" collapsed="false">
      <c r="A11" s="3" t="s">
        <v>1530</v>
      </c>
      <c r="B11" s="12" t="s">
        <v>93</v>
      </c>
      <c r="C11" s="67" t="n">
        <f aca="false">C9-C10+MAX(0,-損益!C10)</f>
        <v>3.95085473739713</v>
      </c>
      <c r="D11" s="67" t="n">
        <f aca="false">D9-D10+MAX(0,-損益!D10)</f>
        <v>3.55840856462764</v>
      </c>
      <c r="E11" s="67" t="n">
        <f aca="false">E9-E10+MAX(0,-損益!E10)</f>
        <v>2.80221047102266</v>
      </c>
      <c r="F11" s="67" t="n">
        <f aca="false">F9-F10+MAX(0,-損益!F10)</f>
        <v>4.07323447016596</v>
      </c>
      <c r="G11" s="67" t="n">
        <f aca="false">G9-G10+MAX(0,-損益!G10)</f>
        <v>9.52349788032541</v>
      </c>
    </row>
    <row r="12" customFormat="false" ht="15" hidden="false" customHeight="false" outlineLevel="1" collapsed="false">
      <c r="A12" s="3" t="s">
        <v>1531</v>
      </c>
      <c r="B12" s="12" t="s">
        <v>93</v>
      </c>
      <c r="C12" s="67" t="n">
        <f aca="false">MAX(0,損益!C10-C10)*輸入與假設!$C$171</f>
        <v>0.00258012628665054</v>
      </c>
      <c r="D12" s="67" t="n">
        <f aca="false">MAX(0,損益!D10-D10)*輸入與假設!$C$171</f>
        <v>0.0206034240703981</v>
      </c>
      <c r="E12" s="67" t="n">
        <f aca="false">MAX(0,損益!E10-E10)*輸入與假設!$C$171</f>
        <v>0.0397003999142619</v>
      </c>
      <c r="F12" s="67" t="n">
        <f aca="false">MAX(0,損益!F10-F10)*輸入與假設!$C$171</f>
        <v>0</v>
      </c>
      <c r="G12" s="67" t="n">
        <f aca="false">MAX(0,損益!G10-G10)*輸入與假設!$C$171</f>
        <v>0</v>
      </c>
      <c r="I12" s="7" t="s">
        <v>1532</v>
      </c>
    </row>
    <row r="13" customFormat="false" ht="15" hidden="false" customHeight="false" outlineLevel="1" collapsed="false">
      <c r="A13" s="5" t="s">
        <v>1533</v>
      </c>
      <c r="B13" s="12" t="s">
        <v>93</v>
      </c>
      <c r="C13" s="39" t="n">
        <f aca="false">損益!C10-C12+損益!C18-C6-C8</f>
        <v>-15.1384808993247</v>
      </c>
      <c r="D13" s="39" t="n">
        <f aca="false">損益!D10-D12+損益!D18-D6-D8</f>
        <v>-23.7819656166752</v>
      </c>
      <c r="E13" s="39" t="n">
        <f aca="false">損益!E10-E12+損益!E18-E6-E8</f>
        <v>-8.05764420034136</v>
      </c>
      <c r="F13" s="39" t="n">
        <f aca="false">損益!F10-F12+損益!F18-F6-F8</f>
        <v>-6.13243996097664</v>
      </c>
      <c r="G13" s="39" t="n">
        <f aca="false">損益!G10-G12+損益!G18-G6-G8</f>
        <v>-7.46962873319278</v>
      </c>
      <c r="I13" s="7" t="s">
        <v>1534</v>
      </c>
    </row>
    <row r="14" customFormat="false" ht="15" hidden="false" customHeight="false" outlineLevel="1" collapsed="false">
      <c r="A14" s="3" t="s">
        <v>1535</v>
      </c>
      <c r="B14" s="7" t="s">
        <v>360</v>
      </c>
      <c r="C14" s="90" t="n">
        <f aca="false">輸入與假設!$C$200</f>
        <v>0.5</v>
      </c>
      <c r="D14" s="90" t="n">
        <f aca="false">輸入與假設!$D$200</f>
        <v>1.5</v>
      </c>
      <c r="E14" s="90" t="n">
        <f aca="false">輸入與假設!$E$200</f>
        <v>2.5</v>
      </c>
      <c r="F14" s="90" t="n">
        <f aca="false">輸入與假設!$F$200</f>
        <v>3.5</v>
      </c>
      <c r="G14" s="90" t="n">
        <f aca="false">輸入與假設!$G$200</f>
        <v>4.5</v>
      </c>
      <c r="I14" s="7" t="s">
        <v>1536</v>
      </c>
    </row>
    <row r="15" customFormat="false" ht="15" hidden="false" customHeight="false" outlineLevel="1" collapsed="false">
      <c r="A15" s="3" t="s">
        <v>1537</v>
      </c>
      <c r="B15" s="7"/>
      <c r="C15" s="55" t="n">
        <f aca="false">1/(1+輸入與假設!$C$168)^C14</f>
        <v>0.949157995752499</v>
      </c>
      <c r="D15" s="55" t="n">
        <f aca="false">1/(1+輸入與假設!$C$168)^D14</f>
        <v>0.85509729347072</v>
      </c>
      <c r="E15" s="55" t="n">
        <f aca="false">1/(1+輸入與假設!$C$168)^E14</f>
        <v>0.770357922045693</v>
      </c>
      <c r="F15" s="55" t="n">
        <f aca="false">1/(1+輸入與假設!$C$168)^F14</f>
        <v>0.694016145987111</v>
      </c>
      <c r="G15" s="55" t="n">
        <f aca="false">1/(1+輸入與假設!$C$168)^G14</f>
        <v>0.62523977115956</v>
      </c>
    </row>
    <row r="16" customFormat="false" ht="15" hidden="false" customHeight="false" outlineLevel="1" collapsed="false">
      <c r="A16" s="4" t="s">
        <v>1538</v>
      </c>
      <c r="B16" s="12" t="s">
        <v>93</v>
      </c>
      <c r="C16" s="67" t="n">
        <f aca="false">C13*C15</f>
        <v>-14.3688101891406</v>
      </c>
      <c r="D16" s="67" t="n">
        <f aca="false">D13*D15</f>
        <v>-20.3358944322327</v>
      </c>
      <c r="E16" s="67" t="n">
        <f aca="false">E13*E15</f>
        <v>-6.2072700427585</v>
      </c>
      <c r="F16" s="67" t="n">
        <f aca="false">F13*F15</f>
        <v>-4.25601234721436</v>
      </c>
      <c r="G16" s="67" t="n">
        <f aca="false">G13*G15</f>
        <v>-4.67030895978832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1539</v>
      </c>
      <c r="C18" s="11" t="n">
        <f aca="false">SUM(C16:G16)</f>
        <v>-49.8382959711344</v>
      </c>
      <c r="I18" s="7" t="s">
        <v>1540</v>
      </c>
    </row>
    <row r="19" customFormat="false" ht="15" hidden="false" customHeight="false" outlineLevel="1" collapsed="false">
      <c r="A19" s="3" t="s">
        <v>1541</v>
      </c>
      <c r="C19" s="11" t="n">
        <f aca="false">損益!G10*(1-輸入與假設!$C$171)+損益!G18-損益!G18*輸入與假設!$C$170</f>
        <v>1.90561294080737</v>
      </c>
      <c r="I19" s="7" t="s">
        <v>1542</v>
      </c>
    </row>
    <row r="20" customFormat="false" ht="15" hidden="false" customHeight="false" outlineLevel="1" collapsed="false">
      <c r="A20" s="3" t="s">
        <v>1543</v>
      </c>
      <c r="C20" s="57" t="n">
        <f aca="false">IF(C29=1,0,C19*(1+輸入與假設!$C$169)/(輸入與假設!$C$168-輸入與假設!$C$169))</f>
        <v>24.5347666128949</v>
      </c>
      <c r="I20" s="7" t="s">
        <v>1544</v>
      </c>
    </row>
    <row r="21" customFormat="false" ht="15" hidden="false" customHeight="false" outlineLevel="1" collapsed="false">
      <c r="A21" s="3" t="s">
        <v>1545</v>
      </c>
      <c r="C21" s="57" t="n">
        <f aca="false">C20*G15</f>
        <v>15.3401118624996</v>
      </c>
    </row>
    <row r="22" customFormat="false" ht="15" hidden="false" customHeight="false" outlineLevel="1" collapsed="false">
      <c r="A22" s="3" t="s">
        <v>1546</v>
      </c>
      <c r="C22" s="57" t="n">
        <f aca="false">C18+C21</f>
        <v>-34.4981841086348</v>
      </c>
    </row>
    <row r="23" customFormat="false" ht="15" hidden="false" customHeight="false" outlineLevel="1" collapsed="false">
      <c r="A23" s="3" t="s">
        <v>1547</v>
      </c>
      <c r="C23" s="11" t="n">
        <f aca="false">-輸入與假設!$C$167</f>
        <v>-30</v>
      </c>
      <c r="I23" s="12" t="s">
        <v>1548</v>
      </c>
    </row>
    <row r="24" customFormat="false" ht="15" hidden="false" customHeight="false" outlineLevel="1" collapsed="false">
      <c r="A24" s="3" t="s">
        <v>1549</v>
      </c>
      <c r="C24" s="57" t="n">
        <f aca="false">C22+C23</f>
        <v>-64.4981841086348</v>
      </c>
    </row>
    <row r="25" customFormat="false" ht="15" hidden="false" customHeight="false" outlineLevel="1" collapsed="false">
      <c r="A25" s="5" t="s">
        <v>1550</v>
      </c>
      <c r="C25" s="91" t="n">
        <f aca="false">IF(C29=1,0,IF(輸入與假設!$C$184=2,C31,C30))</f>
        <v>0</v>
      </c>
      <c r="I25" s="7" t="s">
        <v>1551</v>
      </c>
    </row>
    <row r="26" customFormat="false" ht="15" hidden="false" customHeight="false" outlineLevel="1" collapsed="false">
      <c r="A26" s="3" t="s">
        <v>1552</v>
      </c>
      <c r="C26" s="28" t="n">
        <f aca="false">C21/C22</f>
        <v>-0.444664328249673</v>
      </c>
      <c r="I26" s="7" t="str">
        <f aca="false">"超過 "&amp;IF(ROUND(ABS(輸入與假設!$C$209)*100,4)=INT(ROUND(ABS(輸入與假設!$C$209)*100,4)),TEXT(ROUND(ABS(輸入與假設!$C$209)*100,4),"0"),TEXT(ROUND(ABS(輸入與假設!$C$209)*100,4),"0.0"))&amp;"%"&amp;"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1553</v>
      </c>
      <c r="C27" s="57" t="n">
        <f aca="false">各期收支!C61/(1+輸入與假設!$C$168)^輸入與假設!$C$201+各期收支!D61/(1+輸入與假設!$C$168)^輸入與假設!$D$201+各期收支!E61/(1+輸入與假設!$C$168)^輸入與假設!$E$201+各期收支!F61/(1+輸入與假設!$C$168)^輸入與假設!$F$201+各期收支!G61/(1+輸入與假設!$C$168)^輸入與假設!$G$201</f>
        <v>15.4817272763858</v>
      </c>
      <c r="I27" s="7" t="s">
        <v>1554</v>
      </c>
    </row>
    <row r="28" customFormat="false" ht="15" hidden="false" customHeight="false" outlineLevel="1" collapsed="false">
      <c r="A28" s="3" t="s">
        <v>1555</v>
      </c>
      <c r="C28" s="92" t="n">
        <f aca="false">輸入與假設!$C$166+各期收支!G66</f>
        <v>0.847666666666667</v>
      </c>
    </row>
    <row r="29" customFormat="false" ht="15" hidden="false" customHeight="false" outlineLevel="1" collapsed="false">
      <c r="A29" s="4" t="s">
        <v>1556</v>
      </c>
      <c r="C29" s="47" t="n">
        <f aca="false">IF(OR(輸入與假設!$C$168&lt;=輸入與假設!$C$169,C19&lt;=0),1,0)</f>
        <v>0</v>
      </c>
      <c r="I29" s="12" t="s">
        <v>1557</v>
      </c>
    </row>
    <row r="30" customFormat="false" ht="15" hidden="false" customHeight="false" outlineLevel="1" collapsed="false">
      <c r="A30" s="5" t="s">
        <v>1558</v>
      </c>
      <c r="C30" s="46" t="n">
        <f aca="false">MAX(0,(C24+C27)/C28)</f>
        <v>0</v>
      </c>
    </row>
    <row r="31" customFormat="false" ht="15" hidden="false" customHeight="false" outlineLevel="1" collapsed="false">
      <c r="A31" s="5" t="s">
        <v>1559</v>
      </c>
      <c r="C31" s="46" t="n">
        <f aca="false">IF((C22+C27)&lt;=0,0,((C22+C27)*NORMSDIST(C32)-輸入與假設!$C$167*EXP(-輸入與假設!$C$186*輸入與假設!$C$187)*NORMSDIST(C33))/C28)</f>
        <v>0</v>
      </c>
      <c r="I31" s="12" t="s">
        <v>1560</v>
      </c>
    </row>
    <row r="32" customFormat="false" ht="15" hidden="false" customHeight="false" outlineLevel="1" collapsed="false">
      <c r="A32" s="3" t="s">
        <v>1561</v>
      </c>
      <c r="C32" s="92" t="n">
        <f aca="false">IF((C22+C27)&lt;=0,0,(LN((C22+C27)/輸入與假設!$C$167)+(輸入與假設!$C$186+輸入與假設!$C$185^2/2)*輸入與假設!$C$187)/(輸入與假設!$C$185*SQRT(輸入與假設!$C$187)))</f>
        <v>0</v>
      </c>
    </row>
    <row r="33" customFormat="false" ht="15" hidden="false" customHeight="false" outlineLevel="1" collapsed="false">
      <c r="A33" s="3" t="s">
        <v>1562</v>
      </c>
      <c r="C33" s="92" t="n">
        <f aca="false">C32-輸入與假設!$C$185*SQRT(輸入與假設!$C$187)</f>
        <v>-1.06066017177982</v>
      </c>
    </row>
    <row r="35" customFormat="false" ht="15" hidden="false" customHeight="false" outlineLevel="0" collapsed="false">
      <c r="A35" s="51" t="s">
        <v>1563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1564</v>
      </c>
      <c r="C36" s="93" t="str">
        <f aca="false">CHOOSE(輸入與假設!$C$176,"FY27","FY28","FY29","FY30")</f>
        <v>FY29</v>
      </c>
      <c r="I36" s="7" t="s">
        <v>1565</v>
      </c>
    </row>
    <row r="37" customFormat="false" ht="15" hidden="false" customHeight="false" outlineLevel="1" collapsed="false">
      <c r="A37" s="3" t="s">
        <v>1566</v>
      </c>
      <c r="C37" s="11" t="n">
        <f aca="false">INDEX(損益!$D$19:$G$19,1,輸入與假設!$C$176)</f>
        <v>25.1029481550234</v>
      </c>
    </row>
    <row r="38" customFormat="false" ht="15" hidden="false" customHeight="false" outlineLevel="1" collapsed="false">
      <c r="A38" s="3" t="s">
        <v>1567</v>
      </c>
      <c r="C38" s="57" t="n">
        <f aca="false">C37*輸入與假設!$C$175</f>
        <v>150.61768893014</v>
      </c>
    </row>
    <row r="39" customFormat="false" ht="15" hidden="false" customHeight="false" outlineLevel="1" collapsed="false">
      <c r="A39" s="3" t="s">
        <v>1568</v>
      </c>
      <c r="C39" s="11" t="n">
        <f aca="false">INDEX(各期收支!$D$70:$G$70,1,輸入與假設!$C$176)-INDEX(各期收支!$D$41:$G$41,1,輸入與假設!$C$176)</f>
        <v>99.1251207449374</v>
      </c>
      <c r="I39" s="7" t="s">
        <v>1569</v>
      </c>
    </row>
    <row r="40" customFormat="false" ht="15" hidden="false" customHeight="false" outlineLevel="1" collapsed="false">
      <c r="A40" s="3" t="s">
        <v>1570</v>
      </c>
      <c r="C40" s="94" t="n">
        <f aca="false">INDEX(損益!$D$21:$G$21,1,輸入與假設!$C$176)</f>
        <v>0.735120020333333</v>
      </c>
      <c r="I40" s="7" t="s">
        <v>1571</v>
      </c>
    </row>
    <row r="41" customFormat="false" ht="15" hidden="false" customHeight="false" outlineLevel="1" collapsed="false">
      <c r="A41" s="3" t="s">
        <v>1572</v>
      </c>
      <c r="C41" s="94" t="n">
        <f aca="false">1/(1+輸入與假設!$C$168)^(輸入與假設!$C$176-輸入與假設!$C$197)</f>
        <v>0.770357922045693</v>
      </c>
      <c r="I41" s="7" t="s">
        <v>1573</v>
      </c>
    </row>
    <row r="42" customFormat="false" ht="15" hidden="false" customHeight="false" outlineLevel="1" collapsed="false">
      <c r="A42" s="4" t="s">
        <v>1574</v>
      </c>
      <c r="C42" s="46" t="n">
        <f aca="false">MAX(0,(C38-C39)/C40)*C41</f>
        <v>53.9608590852444</v>
      </c>
      <c r="I42" s="7" t="s">
        <v>1575</v>
      </c>
    </row>
    <row r="44" customFormat="false" ht="15" hidden="false" customHeight="false" outlineLevel="0" collapsed="false">
      <c r="A44" s="51" t="s">
        <v>1291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1576</v>
      </c>
      <c r="C45" s="13" t="n">
        <f aca="false">C25*(1+輸入與假設!$C$168)^輸入與假設!$C$193</f>
        <v>0</v>
      </c>
      <c r="I45" s="7" t="s">
        <v>1577</v>
      </c>
    </row>
    <row r="46" customFormat="false" ht="15" hidden="false" customHeight="false" outlineLevel="1" collapsed="false">
      <c r="A46" s="4" t="s">
        <v>1578</v>
      </c>
      <c r="C46" s="13" t="n">
        <f aca="false">C45*IF(C29=1,0,輸入與假設!$C$177)</f>
        <v>0</v>
      </c>
    </row>
    <row r="47" customFormat="false" ht="15" hidden="false" customHeight="false" outlineLevel="1" collapsed="false">
      <c r="A47" s="4" t="s">
        <v>1579</v>
      </c>
      <c r="C47" s="13" t="n">
        <f aca="false">C42*IF(C29=1,1,1-輸入與假設!$C$177)</f>
        <v>29.6784724968844</v>
      </c>
    </row>
    <row r="48" customFormat="false" ht="15" hidden="false" customHeight="false" outlineLevel="1" collapsed="false">
      <c r="A48" s="2" t="s">
        <v>1291</v>
      </c>
      <c r="C48" s="95" t="n">
        <f aca="false">SUM(C46:C47)</f>
        <v>29.6784724968844</v>
      </c>
      <c r="I48" s="7" t="s">
        <v>1580</v>
      </c>
    </row>
    <row r="49" customFormat="false" ht="15" hidden="false" customHeight="false" outlineLevel="1" collapsed="false">
      <c r="A49" s="3" t="s">
        <v>1581</v>
      </c>
      <c r="C49" s="13" t="n">
        <f aca="false">輸入與假設!$C$165</f>
        <v>90.13</v>
      </c>
    </row>
    <row r="50" customFormat="false" ht="15" hidden="false" customHeight="false" outlineLevel="1" collapsed="false">
      <c r="A50" s="3" t="s">
        <v>1582</v>
      </c>
      <c r="C50" s="28" t="n">
        <f aca="false">C48/C49-1</f>
        <v>-0.670714828615507</v>
      </c>
    </row>
    <row r="51" customFormat="false" ht="15" hidden="false" customHeight="false" outlineLevel="1" collapsed="false">
      <c r="A51" s="4" t="s">
        <v>1583</v>
      </c>
      <c r="C51" s="3" t="str">
        <f aca="false">IF(C29=1,"DCF 失效，已以 EV/EBITDA 100% 計。",IF(AND(輸入與假設!$C$184&lt;&gt;2,C66&lt;0),"DCF 為 $0 仍計 "&amp;TEXT(輸入與假設!$C$177,"0%")&amp;"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$"&amp;TEXT(C42,"0.0")&amp;"（"&amp;CHOOSE(D65+2,"賣出","中立","買進")&amp;"）；"&amp;TEXT(輸入與假設!$C$177,"0%")&amp;"／"&amp;TEXT(1-輸入與假設!$C$177,"0%")&amp;" 為判斷值。",""))</f>
        <v>DCF 為 $0 仍計 45% 權重的原因：DCF 沒有失效，而是算出的股權價值為負（每股約 −$57.8），代表自由現金流折現後的企業價值不足以償還淨負債。EV/EBITDA 沒有扣除 GPU 汰換與擴張支出，保留 DCF 權重，是為了讓目標價反映「EBITDA 付不起資本成本」。若不計 DCF，目標價為 $54.0（賣出）；45%／55% 為判斷值。</v>
      </c>
      <c r="I51" s="7" t="s">
        <v>1584</v>
      </c>
    </row>
    <row r="53" customFormat="false" ht="15" hidden="false" customHeight="false" outlineLevel="0" collapsed="false">
      <c r="A53" s="51" t="s">
        <v>1585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1586</v>
      </c>
      <c r="C54" s="13" t="n">
        <f aca="false">C48</f>
        <v>29.6784724968844</v>
      </c>
      <c r="I54" s="7" t="str">
        <f aca="false">"評等規則不變：空間 ≥"&amp;IF(ROUND(ABS(輸入與假設!$C$203)*100,4)=INT(ROUND(ABS(輸入與假設!$C$203)*100,4)),TEXT(ROUND(ABS(輸入與假設!$C$203)*100,4),"0"),TEXT(ROUND(ABS(輸入與假設!$C$203)*100,4),"0.0"))&amp;"%"&amp;" 且終值占比 &lt;"&amp;IF(ROUND(ABS(輸入與假設!$C$204)*100,4)=INT(ROUND(ABS(輸入與假設!$C$204)*100,4)),TEXT(ROUND(ABS(輸入與假設!$C$204)*100,4),"0"),TEXT(ROUND(ABS(輸入與假設!$C$204)*100,4),"0.0"))&amp;"%"&amp;"、股權募資 ≤"&amp;IF(輸入與假設!$C$206=INT(輸入與假設!$C$206),TEXT(輸入與假設!$C$206,"0"),TEXT(輸入與假設!$C$206,"0.0"))&amp;" 倍現市值 → 買進；空間 ≤−"&amp;IF(ROUND(ABS(輸入與假設!$C$205)*100,4)=INT(ROUND(ABS(輸入與假設!$C$205)*100,4)),TEXT(ROUND(ABS(輸入與假設!$C$205)*100,4),"0"),TEXT(ROUND(ABS(輸入與假設!$C$205)*100,4),"0.0"))&amp;"%"&amp;"，或股權募資 &gt;"&amp;IF(輸入與假設!$C$206=INT(輸入與假設!$C$206),TEXT(輸入與假設!$C$206,"0"),TEXT(輸入與假設!$C$206,"0.0"))&amp;" 倍且空間 ≤−"&amp;IF(ROUND(ABS(輸入與假設!$C$207)*100,4)=INT(ROUND(ABS(輸入與假設!$C$207)*100,4)),TEXT(ROUND(ABS(輸入與假設!$C$207)*100,4),"0"),TEXT(ROUND(ABS(輸入與假設!$C$207)*100,4),"0.0"))&amp;"%"&amp;"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1587</v>
      </c>
      <c r="C55" s="14" t="n">
        <f aca="false">C21/MAX(ABS(C22),1)*IF(C22=0,1,SIGN(C22))</f>
        <v>-0.444664328249673</v>
      </c>
    </row>
    <row r="56" customFormat="false" ht="15" hidden="false" customHeight="false" outlineLevel="1" collapsed="false">
      <c r="A56" s="3" t="s">
        <v>1588</v>
      </c>
      <c r="C56" s="17" t="n">
        <f aca="false">SUM(各期收支!C61:G61)/(輸入與假設!$C$165*輸入與假設!$C$166)</f>
        <v>0.399659284497445</v>
      </c>
    </row>
    <row r="57" customFormat="false" ht="15" hidden="false" customHeight="false" outlineLevel="1" collapsed="false">
      <c r="A57" s="3" t="s">
        <v>1589</v>
      </c>
      <c r="C57" s="10" t="n">
        <f aca="false">IF(AND((C48/MAX(輸入與假設!$C$165,0.01)-1)&gt;=輸入與假設!$C$203,$C$55&lt;輸入與假設!$C$204,$C$56&lt;=輸入與假設!$C$206),1,IF(OR((C48/MAX(輸入與假設!$C$165,0.01)-1)&lt;=輸入與假設!$C$205,AND($C$56&gt;輸入與假設!$C$206,(C48/MAX(輸入與假設!$C$165,0.01)-1)&lt;=輸入與假設!$C$207)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1590</v>
      </c>
      <c r="C58" s="13" t="n">
        <f aca="false">輸入與假設!$C$165*(1+輸入與假設!$C$205)</f>
        <v>76.6105</v>
      </c>
    </row>
    <row r="59" customFormat="false" ht="15" hidden="false" customHeight="false" outlineLevel="1" collapsed="false">
      <c r="A59" s="3" t="s">
        <v>1591</v>
      </c>
      <c r="C59" s="13" t="n">
        <f aca="false">輸入與假設!D235</f>
        <v>43.9927732107067</v>
      </c>
      <c r="D59" s="10" t="n">
        <f aca="false">輸入與假設!E235</f>
        <v>-1</v>
      </c>
      <c r="E59" s="13" t="n">
        <f aca="false">C59-$C$58</f>
        <v>-32.6177267892933</v>
      </c>
      <c r="I59" s="7" t="s">
        <v>1592</v>
      </c>
    </row>
    <row r="60" customFormat="false" ht="15" hidden="false" customHeight="false" outlineLevel="1" collapsed="false">
      <c r="A60" s="3" t="s">
        <v>1593</v>
      </c>
      <c r="C60" s="13" t="n">
        <f aca="false">輸入與假設!D236</f>
        <v>29.6784724968844</v>
      </c>
      <c r="D60" s="10" t="n">
        <f aca="false">輸入與假設!E236</f>
        <v>-1</v>
      </c>
      <c r="E60" s="13" t="n">
        <f aca="false">C60-$C$58</f>
        <v>-46.9320275031156</v>
      </c>
    </row>
    <row r="61" customFormat="false" ht="15" hidden="false" customHeight="false" outlineLevel="1" collapsed="false">
      <c r="A61" s="3" t="s">
        <v>1594</v>
      </c>
      <c r="C61" s="13" t="n">
        <f aca="false">輸入與假設!D237</f>
        <v>19.9489203041466</v>
      </c>
      <c r="D61" s="10" t="n">
        <f aca="false">輸入與假設!E237</f>
        <v>-1</v>
      </c>
      <c r="E61" s="13" t="n">
        <f aca="false">C61-$C$58</f>
        <v>-56.6615796958534</v>
      </c>
    </row>
    <row r="62" customFormat="false" ht="15" hidden="false" customHeight="false" outlineLevel="1" collapsed="false">
      <c r="A62" s="3" t="s">
        <v>1595</v>
      </c>
      <c r="C62" s="13" t="n">
        <f aca="false">MIN(C59,C61)</f>
        <v>19.9489203041466</v>
      </c>
      <c r="D62" s="13" t="n">
        <f aca="false">MAX(C59,C61)</f>
        <v>43.9927732107067</v>
      </c>
    </row>
    <row r="63" customFormat="false" ht="15" hidden="false" customHeight="false" outlineLevel="1" collapsed="false">
      <c r="A63" s="3" t="s">
        <v>1596</v>
      </c>
      <c r="C63" s="17" t="n">
        <f aca="false">MIN(輸入與假設!$C$179,輸入與假設!$C$180)</f>
        <v>5</v>
      </c>
      <c r="D63" s="17" t="n">
        <f aca="false">MAX(輸入與假設!$C$179,輸入與假設!$C$180)</f>
        <v>6</v>
      </c>
    </row>
    <row r="64" customFormat="false" ht="15" hidden="false" customHeight="false" outlineLevel="1" collapsed="false">
      <c r="A64" s="3" t="s">
        <v>1597</v>
      </c>
      <c r="C64" s="13" t="n">
        <f aca="false">MIN(C45*IF(C29=1,0,輸入與假設!$C$177)+MAX(0,(C37*C63-C39)/C40)*C41*IF(C29=1,1,1-輸入與假設!$C$177),C45*IF(C29=1,0,輸入與假設!$C$177)+MAX(0,(C37*D63-C39)/C40)*C41*IF(C29=1,1,1-輸入與假設!$C$177))</f>
        <v>15.2100320467989</v>
      </c>
      <c r="D64" s="13" t="n">
        <f aca="false">MAX(C45*IF(C29=1,0,輸入與假設!$C$177)+MAX(0,(C37*C63-C39)/C40)*C41*IF(C29=1,1,1-輸入與假設!$C$177),C45*IF(C29=1,0,輸入與假設!$C$177)+MAX(0,(C37*D63-C39)/C40)*C41*IF(C29=1,1,1-輸入與假設!$C$177))</f>
        <v>29.6784724968844</v>
      </c>
      <c r="I64" s="7" t="s">
        <v>1598</v>
      </c>
    </row>
    <row r="65" customFormat="false" ht="15" hidden="false" customHeight="false" outlineLevel="1" collapsed="false">
      <c r="A65" s="3" t="s">
        <v>1599</v>
      </c>
      <c r="C65" s="13" t="n">
        <f aca="false">C42</f>
        <v>53.9608590852444</v>
      </c>
      <c r="D65" s="10" t="n">
        <f aca="false">IF(AND((C42/MAX(輸入與假設!$C$165,0.01)-1)&gt;=輸入與假設!$C$203,$C$55&lt;輸入與假設!$C$204,$C$56&lt;=輸入與假設!$C$206),1,IF(OR((C42/MAX(輸入與假設!$C$165,0.01)-1)&lt;=輸入與假設!$C$205,AND($C$56&gt;輸入與假設!$C$206,(C42/MAX(輸入與假設!$C$165,0.01)-1)&lt;=輸入與假設!$C$207)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1600</v>
      </c>
      <c r="C66" s="13" t="n">
        <f aca="false">(C24+C27)/C28</f>
        <v>-57.8251555236914</v>
      </c>
    </row>
    <row r="67" customFormat="false" ht="15" hidden="false" customHeight="false" outlineLevel="1" collapsed="false">
      <c r="A67" s="3" t="s">
        <v>1601</v>
      </c>
      <c r="C67" s="3" t="str">
        <f aca="false">"目標價 $"&amp;TEXT(C48,"0.0")&amp;"（情境區間 $"&amp;TEXT(C62,"0.0")&amp;"–$"&amp;TEXT(D62,"0.0")&amp;"）"</f>
        <v>目標價 $29.7（情境區間 $19.9–$44.0）</v>
      </c>
    </row>
    <row r="68" customFormat="false" ht="15" hidden="false" customHeight="false" outlineLevel="1" collapsed="false">
      <c r="A68" s="3" t="s">
        <v>1602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1603</v>
      </c>
      <c r="C69" s="3" t="str">
        <f aca="false">IF(ABS(輸入與假設!$C$175-D63)&lt;0.000000001,"目前點位位於方法區間上緣（"&amp;IF(D63=INT(D63),TEXT(D63,"0"),TEXT(D63,"0.0"))&amp;"x 為穩態倍數上緣）",IF(ABS(輸入與假設!$C$175-C63)&lt;0.000000001,"目前點位位於方法區間下緣（"&amp;IF(C63=INT(C63),TEXT(C63,"0"),TEXT(C63,"0.0"))&amp;"x）","目前點位"&amp;IF(AND(輸入與假設!$C$175&gt;C63,輸入與假設!$C$175&lt;D63),"位於方法區間內",IF(輸入與假設!$C$175&gt;D63,"高於方法區間上緣","低於方法區間下緣"))&amp;"（目前倍數 "&amp;IF(輸入與假設!$C$175=INT(輸入與假設!$C$175),TEXT(輸入與假設!$C$175,"0"),TEXT(輸入與假設!$C$175,"0.0"))&amp;"x）"))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1604</v>
      </c>
      <c r="C70" s="3" t="str">
        <f aca="false">IF(D62&lt;輸入與假設!$C$165,"情境區間上緣 $"&amp;TEXT(D62,"0.0")&amp;" 低於現價 $"&amp;TEXT(輸入與假設!$C$165,"0.00")&amp;IF((D59&lt;&gt;-1)+(D60&lt;&gt;-1)+(D61&lt;&gt;-1)&gt;0,"，但"&amp;SUBSTITUTE(TRIM(IF(D59&lt;&gt;-1,"保守","")&amp;"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$"&amp;TEXT(輸入與假設!$C$165,"0.00")&amp;"：賣出並非在三個擴張情境下都成立")&amp;"。"&amp;IF(ABS(E59)&lt;輸入與假設!$C$208*輸入與假設!$C$165,"保守情境 $"&amp;TEXT(C59,"0.0")&amp;"，"&amp;IF(E59&lt;0,"距賣出門檻","高於賣出門檻")&amp;" $"&amp;TEXT($C$58,"0.0")&amp;" 僅 $"&amp;TEXT(ABS(E59),"0.0")&amp;"。","")&amp;IF(ABS(E60)&lt;輸入與假設!$C$208*輸入與假設!$C$165,"基準情境 $"&amp;TEXT(C60,"0.0")&amp;"，"&amp;IF(E60&lt;0,"距賣出門檻","高於賣出門檻")&amp;" $"&amp;TEXT($C$58,"0.0")&amp;" 僅 $"&amp;TEXT(ABS(E60),"0.0")&amp;"。","")&amp;IF(ABS(E61)&lt;輸入與假設!$C$208*輸入與假設!$C$165,"積極情境 $"&amp;TEXT(C61,"0.0")&amp;"，"&amp;IF(E61&lt;0,"距賣出門檻","高於賣出門檻")&amp;" $"&amp;TEXT($C$58,"0.0")&amp;" 僅 $"&amp;TEXT(ABS(E61),"0.0")&amp;"。","")</f>
        <v>情境區間上緣 $44.0 低於現價 $90.13：賣出在三個擴張情境下都成立。</v>
      </c>
    </row>
    <row r="72" customFormat="false" ht="15" hidden="false" customHeight="false" outlineLevel="0" collapsed="false">
      <c r="A72" s="51" t="s">
        <v>1605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1606</v>
      </c>
      <c r="B73" s="15" t="s">
        <v>1607</v>
      </c>
      <c r="C73" s="16" t="s">
        <v>90</v>
      </c>
      <c r="D73" s="16" t="s">
        <v>91</v>
      </c>
      <c r="E73" s="16" t="s">
        <v>173</v>
      </c>
      <c r="F73" s="16" t="s">
        <v>174</v>
      </c>
      <c r="I73" s="12" t="s">
        <v>1608</v>
      </c>
    </row>
    <row r="74" customFormat="false" ht="15" hidden="false" customHeight="false" outlineLevel="1" collapsed="false">
      <c r="A74" s="3" t="s">
        <v>1609</v>
      </c>
      <c r="B74" s="96" t="n">
        <v>3.4</v>
      </c>
      <c r="C74" s="13" t="n">
        <f aca="false">MAX(0,(INDEX(損益!$D$19:$G$19,1,1)*$B74-(INDEX(各期收支!$D$70:$G$70,1,1)-INDEX(各期收支!$D$41:$G$41,1,1)))/INDEX(損益!$D$21:$G$21,1,1))/(1+輸入與假設!$C$168)^(1-輸入與假設!$C$197)</f>
        <v>0</v>
      </c>
      <c r="D74" s="13" t="n">
        <f aca="false">MAX(0,(INDEX(損益!$D$19:$G$19,1,2)*$B74-(INDEX(各期收支!$D$70:$G$70,1,2)-INDEX(各期收支!$D$41:$G$41,1,2)))/INDEX(損益!$D$21:$G$21,1,2))/(1+輸入與假設!$C$168)^(2-輸入與假設!$C$197)</f>
        <v>0</v>
      </c>
      <c r="E74" s="13" t="n">
        <f aca="false">MAX(0,(INDEX(損益!$D$19:$G$19,1,3)*$B74-(INDEX(各期收支!$D$70:$G$70,1,3)-INDEX(各期收支!$D$41:$G$41,1,3)))/INDEX(損益!$D$21:$G$21,1,3))/(1+輸入與假設!$C$168)^(3-輸入與假設!$C$197)</f>
        <v>0</v>
      </c>
      <c r="F74" s="13" t="n">
        <f aca="false">MAX(0,(INDEX(損益!$D$19:$G$19,1,4)*$B74-(INDEX(各期收支!$D$70:$G$70,1,4)-INDEX(各期收支!$D$41:$G$41,1,4)))/INDEX(損益!$D$21:$G$21,1,4))/(1+輸入與假設!$C$168)^(4-輸入與假設!$C$197)</f>
        <v>0</v>
      </c>
    </row>
    <row r="75" customFormat="false" ht="15" hidden="false" customHeight="false" outlineLevel="1" collapsed="false">
      <c r="A75" s="3" t="s">
        <v>1610</v>
      </c>
      <c r="B75" s="96" t="n">
        <v>4.5</v>
      </c>
      <c r="C75" s="13" t="n">
        <f aca="false">MAX(0,(INDEX(損益!$D$19:$G$19,1,1)*$B75-(INDEX(各期收支!$D$70:$G$70,1,1)-INDEX(各期收支!$D$41:$G$41,1,1)))/INDEX(損益!$D$21:$G$21,1,1))/(1+輸入與假設!$C$168)^(1-輸入與假設!$C$197)</f>
        <v>0</v>
      </c>
      <c r="D75" s="13" t="n">
        <f aca="false">MAX(0,(INDEX(損益!$D$19:$G$19,1,2)*$B75-(INDEX(各期收支!$D$70:$G$70,1,2)-INDEX(各期收支!$D$41:$G$41,1,2)))/INDEX(損益!$D$21:$G$21,1,2))/(1+輸入與假設!$C$168)^(2-輸入與假設!$C$197)</f>
        <v>7.66201819402811</v>
      </c>
      <c r="E75" s="13" t="n">
        <f aca="false">MAX(0,(INDEX(損益!$D$19:$G$19,1,3)*$B75-(INDEX(各期收支!$D$70:$G$70,1,3)-INDEX(各期收支!$D$41:$G$41,1,3)))/INDEX(損益!$D$21:$G$21,1,3))/(1+輸入與假設!$C$168)^(3-輸入與假設!$C$197)</f>
        <v>14.5014760395565</v>
      </c>
      <c r="F75" s="13" t="n">
        <f aca="false">MAX(0,(INDEX(損益!$D$19:$G$19,1,4)*$B75-(INDEX(各期收支!$D$70:$G$70,1,4)-INDEX(各期收支!$D$41:$G$41,1,4)))/INDEX(損益!$D$21:$G$21,1,4))/(1+輸入與假設!$C$168)^(4-輸入與假設!$C$197)</f>
        <v>6.8294288444986</v>
      </c>
    </row>
    <row r="76" customFormat="false" ht="15" hidden="false" customHeight="false" outlineLevel="1" collapsed="false">
      <c r="A76" s="3" t="s">
        <v>1611</v>
      </c>
      <c r="B76" s="96" t="n">
        <v>5</v>
      </c>
      <c r="C76" s="13" t="n">
        <f aca="false">MAX(0,(INDEX(損益!$D$19:$G$19,1,1)*$B76-(INDEX(各期收支!$D$70:$G$70,1,1)-INDEX(各期收支!$D$41:$G$41,1,1)))/INDEX(損益!$D$21:$G$21,1,1))/(1+輸入與假設!$C$168)^(1-輸入與假設!$C$197)</f>
        <v>0</v>
      </c>
      <c r="D76" s="13" t="n">
        <f aca="false">MAX(0,(INDEX(損益!$D$19:$G$19,1,2)*$B76-(INDEX(各期收支!$D$70:$G$70,1,2)-INDEX(各期收支!$D$41:$G$41,1,2)))/INDEX(損益!$D$21:$G$21,1,2))/(1+輸入與假設!$C$168)^(2-輸入與假設!$C$197)</f>
        <v>23.4445905088692</v>
      </c>
      <c r="E76" s="13" t="n">
        <f aca="false">MAX(0,(INDEX(損益!$D$19:$G$19,1,3)*$B76-(INDEX(各期收支!$D$70:$G$70,1,3)-INDEX(各期收支!$D$41:$G$41,1,3)))/INDEX(損益!$D$21:$G$21,1,3))/(1+輸入與假設!$C$168)^(3-輸入與假設!$C$197)</f>
        <v>27.6546037214525</v>
      </c>
      <c r="F76" s="13" t="n">
        <f aca="false">MAX(0,(INDEX(損益!$D$19:$G$19,1,4)*$B76-(INDEX(各期收支!$D$70:$G$70,1,4)-INDEX(各期收支!$D$41:$G$41,1,4)))/INDEX(損益!$D$21:$G$21,1,4))/(1+輸入與假設!$C$168)^(4-輸入與假設!$C$197)</f>
        <v>17.0251774017649</v>
      </c>
    </row>
    <row r="77" customFormat="false" ht="15" hidden="false" customHeight="false" outlineLevel="1" collapsed="false">
      <c r="A77" s="3" t="s">
        <v>1612</v>
      </c>
      <c r="B77" s="96" t="n">
        <v>6</v>
      </c>
      <c r="C77" s="13" t="n">
        <f aca="false">MAX(0,(INDEX(損益!$D$19:$G$19,1,1)*$B77-(INDEX(各期收支!$D$70:$G$70,1,1)-INDEX(各期收支!$D$41:$G$41,1,1)))/INDEX(損益!$D$21:$G$21,1,1))/(1+輸入與假設!$C$168)^(1-輸入與假設!$C$197)</f>
        <v>24.2932139707089</v>
      </c>
      <c r="D77" s="13" t="n">
        <f aca="false">MAX(0,(INDEX(損益!$D$19:$G$19,1,2)*$B77-(INDEX(各期收支!$D$70:$G$70,1,2)-INDEX(各期收支!$D$41:$G$41,1,2)))/INDEX(損益!$D$21:$G$21,1,2))/(1+輸入與假設!$C$168)^(2-輸入與假設!$C$197)</f>
        <v>55.0097351385516</v>
      </c>
      <c r="E77" s="13" t="n">
        <f aca="false">MAX(0,(INDEX(損益!$D$19:$G$19,1,3)*$B77-(INDEX(各期收支!$D$70:$G$70,1,3)-INDEX(各期收支!$D$41:$G$41,1,3)))/INDEX(損益!$D$21:$G$21,1,3))/(1+輸入與假設!$C$168)^(3-輸入與假設!$C$197)</f>
        <v>53.9608590852444</v>
      </c>
      <c r="F77" s="13" t="n">
        <f aca="false">MAX(0,(INDEX(損益!$D$19:$G$19,1,4)*$B77-(INDEX(各期收支!$D$70:$G$70,1,4)-INDEX(各期收支!$D$41:$G$41,1,4)))/INDEX(損益!$D$21:$G$21,1,4))/(1+輸入與假設!$C$168)^(4-輸入與假設!$C$197)</f>
        <v>37.4166745162975</v>
      </c>
    </row>
    <row r="78" customFormat="false" ht="15" hidden="false" customHeight="false" outlineLevel="1" collapsed="false">
      <c r="A78" s="3" t="s">
        <v>1613</v>
      </c>
      <c r="B78" s="96" t="n">
        <v>7</v>
      </c>
      <c r="C78" s="13" t="n">
        <f aca="false">MAX(0,(INDEX(損益!$D$19:$G$19,1,1)*$B78-(INDEX(各期收支!$D$70:$G$70,1,1)-INDEX(各期收支!$D$41:$G$41,1,1)))/INDEX(損益!$D$21:$G$21,1,1))/(1+輸入與假設!$C$168)^(1-輸入與假設!$C$197)</f>
        <v>48.9721542315004</v>
      </c>
      <c r="D78" s="13" t="n">
        <f aca="false">MAX(0,(INDEX(損益!$D$19:$G$19,1,2)*$B78-(INDEX(各期收支!$D$70:$G$70,1,2)-INDEX(各期收支!$D$41:$G$41,1,2)))/INDEX(損益!$D$21:$G$21,1,2))/(1+輸入與假設!$C$168)^(2-輸入與假設!$C$197)</f>
        <v>86.5748797682338</v>
      </c>
      <c r="E78" s="13" t="n">
        <f aca="false">MAX(0,(INDEX(損益!$D$19:$G$19,1,3)*$B78-(INDEX(各期收支!$D$70:$G$70,1,3)-INDEX(各期收支!$D$41:$G$41,1,3)))/INDEX(損益!$D$21:$G$21,1,3))/(1+輸入與假設!$C$168)^(3-輸入與假設!$C$197)</f>
        <v>80.2671144490363</v>
      </c>
      <c r="F78" s="13" t="n">
        <f aca="false">MAX(0,(INDEX(損益!$D$19:$G$19,1,4)*$B78-(INDEX(各期收支!$D$70:$G$70,1,4)-INDEX(各期收支!$D$41:$G$41,1,4)))/INDEX(損益!$D$21:$G$21,1,4))/(1+輸入與假設!$C$168)^(4-輸入與假設!$C$197)</f>
        <v>57.8081716308301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1614</v>
      </c>
      <c r="B80" s="15" t="s">
        <v>1607</v>
      </c>
      <c r="C80" s="16" t="s">
        <v>90</v>
      </c>
      <c r="D80" s="16" t="s">
        <v>91</v>
      </c>
      <c r="E80" s="16" t="s">
        <v>173</v>
      </c>
      <c r="F80" s="16" t="s">
        <v>174</v>
      </c>
    </row>
    <row r="81" customFormat="false" ht="15" hidden="false" customHeight="false" outlineLevel="1" collapsed="false">
      <c r="A81" s="3" t="s">
        <v>1615</v>
      </c>
      <c r="B81" s="96" t="n">
        <v>3.4</v>
      </c>
      <c r="C81" s="13" t="n">
        <f aca="false">C45*IF(C29=1,0,輸入與假設!$C$177)+C74*IF(C29=1,1,1-輸入與假設!$C$177)</f>
        <v>0</v>
      </c>
      <c r="D81" s="13" t="n">
        <f aca="false">C45*IF(C29=1,0,輸入與假設!$C$177)+D74*IF(C29=1,1,1-輸入與假設!$C$177)</f>
        <v>0</v>
      </c>
      <c r="E81" s="13" t="n">
        <f aca="false">C45*IF(C29=1,0,輸入與假設!$C$177)+E74*IF(C29=1,1,1-輸入與假設!$C$177)</f>
        <v>0</v>
      </c>
      <c r="F81" s="13" t="n">
        <f aca="false">C45*IF(C29=1,0,輸入與假設!$C$177)+F74*IF(C29=1,1,1-輸入與假設!$C$177)</f>
        <v>0</v>
      </c>
    </row>
    <row r="82" customFormat="false" ht="15" hidden="false" customHeight="false" outlineLevel="1" collapsed="false">
      <c r="A82" s="3" t="s">
        <v>1616</v>
      </c>
      <c r="B82" s="96" t="n">
        <v>4.5</v>
      </c>
      <c r="C82" s="13" t="n">
        <f aca="false">C45*IF(C29=1,0,輸入與假設!$C$177)+C75*IF(C29=1,1,1-輸入與假設!$C$177)</f>
        <v>0</v>
      </c>
      <c r="D82" s="13" t="n">
        <f aca="false">C45*IF(C29=1,0,輸入與假設!$C$177)+D75*IF(C29=1,1,1-輸入與假設!$C$177)</f>
        <v>4.21411000671546</v>
      </c>
      <c r="E82" s="13" t="n">
        <f aca="false">C45*IF(C29=1,0,輸入與假設!$C$177)+E75*IF(C29=1,1,1-輸入與假設!$C$177)</f>
        <v>7.97581182175608</v>
      </c>
      <c r="F82" s="13" t="n">
        <f aca="false">C45*IF(C29=1,0,輸入與假設!$C$177)+F75*IF(C29=1,1,1-輸入與假設!$C$177)</f>
        <v>3.75618586447423</v>
      </c>
    </row>
    <row r="83" customFormat="false" ht="15" hidden="false" customHeight="false" outlineLevel="1" collapsed="false">
      <c r="A83" s="3" t="s">
        <v>1617</v>
      </c>
      <c r="B83" s="96" t="n">
        <v>5</v>
      </c>
      <c r="C83" s="13" t="n">
        <f aca="false">C45*IF(C29=1,0,輸入與假設!$C$177)+C76*IF(C29=1,1,1-輸入與假設!$C$177)</f>
        <v>0</v>
      </c>
      <c r="D83" s="13" t="n">
        <f aca="false">C45*IF(C29=1,0,輸入與假設!$C$177)+D76*IF(C29=1,1,1-輸入與假設!$C$177)</f>
        <v>12.8945247798781</v>
      </c>
      <c r="E83" s="13" t="n">
        <f aca="false">C45*IF(C29=1,0,輸入與假設!$C$177)+E76*IF(C29=1,1,1-輸入與假設!$C$177)</f>
        <v>15.2100320467989</v>
      </c>
      <c r="F83" s="13" t="n">
        <f aca="false">C45*IF(C29=1,0,輸入與假設!$C$177)+F76*IF(C29=1,1,1-輸入與假設!$C$177)</f>
        <v>9.3638475709707</v>
      </c>
    </row>
    <row r="84" customFormat="false" ht="15" hidden="false" customHeight="false" outlineLevel="1" collapsed="false">
      <c r="A84" s="3" t="s">
        <v>1618</v>
      </c>
      <c r="B84" s="96" t="n">
        <v>6</v>
      </c>
      <c r="C84" s="13" t="n">
        <f aca="false">C45*IF(C29=1,0,輸入與假設!$C$177)+C77*IF(C29=1,1,1-輸入與假設!$C$177)</f>
        <v>13.3612676838899</v>
      </c>
      <c r="D84" s="13" t="n">
        <f aca="false">C45*IF(C29=1,0,輸入與假設!$C$177)+D77*IF(C29=1,1,1-輸入與假設!$C$177)</f>
        <v>30.2553543262034</v>
      </c>
      <c r="E84" s="13" t="n">
        <f aca="false">C45*IF(C29=1,0,輸入與假設!$C$177)+E77*IF(C29=1,1,1-輸入與假設!$C$177)</f>
        <v>29.6784724968844</v>
      </c>
      <c r="F84" s="13" t="n">
        <f aca="false">C45*IF(C29=1,0,輸入與假設!$C$177)+F77*IF(C29=1,1,1-輸入與假設!$C$177)</f>
        <v>20.5791709839636</v>
      </c>
    </row>
    <row r="85" customFormat="false" ht="15" hidden="false" customHeight="false" outlineLevel="1" collapsed="false">
      <c r="A85" s="3" t="s">
        <v>1619</v>
      </c>
      <c r="B85" s="96" t="n">
        <v>7</v>
      </c>
      <c r="C85" s="13" t="n">
        <f aca="false">C45*IF(C29=1,0,輸入與假設!$C$177)+C78*IF(C29=1,1,1-輸入與假設!$C$177)</f>
        <v>26.9346848273252</v>
      </c>
      <c r="D85" s="13" t="n">
        <f aca="false">C45*IF(C29=1,0,輸入與假設!$C$177)+D78*IF(C29=1,1,1-輸入與假設!$C$177)</f>
        <v>47.6161838725286</v>
      </c>
      <c r="E85" s="13" t="n">
        <f aca="false">C45*IF(C29=1,0,輸入與假設!$C$177)+E78*IF(C29=1,1,1-輸入與假設!$C$177)</f>
        <v>44.14691294697</v>
      </c>
      <c r="F85" s="13" t="n">
        <f aca="false">C45*IF(C29=1,0,輸入與假設!$C$177)+F78*IF(C29=1,1,1-輸入與假設!$C$177)</f>
        <v>31.7944943969566</v>
      </c>
    </row>
  </sheetData>
  <conditionalFormatting sqref="C74:F78">
    <cfRule type="cellIs" priority="2" operator="greaterThanOrEqual" aboveAverage="0" equalAverage="0" bottom="0" percent="0" rank="0" text="" dxfId="0">
      <formula>輸入與假設!$C$165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輸入與假設!$C$165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1620</v>
      </c>
    </row>
    <row r="2" customFormat="false" ht="15" hidden="false" customHeight="false" outlineLevel="0" collapsed="false">
      <c r="A2" s="7" t="s">
        <v>1621</v>
      </c>
    </row>
    <row r="4" customFormat="false" ht="15" hidden="false" customHeight="false" outlineLevel="0" collapsed="false">
      <c r="A4" s="51" t="s">
        <v>1622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1581</v>
      </c>
      <c r="B5" s="97" t="n">
        <f aca="false">輸入與假設!$C$165</f>
        <v>90.13</v>
      </c>
    </row>
    <row r="6" customFormat="false" ht="15" hidden="false" customHeight="false" outlineLevel="1" collapsed="false">
      <c r="A6" s="3" t="s">
        <v>1623</v>
      </c>
      <c r="B6" s="97" t="n">
        <f aca="false">評價_DCF與目標價!C25</f>
        <v>0</v>
      </c>
    </row>
    <row r="7" customFormat="false" ht="15" hidden="false" customHeight="false" outlineLevel="1" collapsed="false">
      <c r="A7" s="2" t="s">
        <v>1624</v>
      </c>
      <c r="B7" s="95" t="n">
        <f aca="false">B6-B5</f>
        <v>-90.13</v>
      </c>
    </row>
    <row r="8" customFormat="false" ht="15" hidden="false" customHeight="false" outlineLevel="1" collapsed="false">
      <c r="A8" s="3" t="s">
        <v>1625</v>
      </c>
      <c r="B8" s="98" t="n">
        <f aca="false">輸入與假設!$C$22</f>
        <v>1</v>
      </c>
      <c r="C8" s="98" t="n">
        <f aca="false">輸入與假設!$C$118</f>
        <v>1</v>
      </c>
    </row>
    <row r="10" customFormat="false" ht="15" hidden="false" customHeight="false" outlineLevel="0" collapsed="false">
      <c r="A10" s="51" t="s">
        <v>1626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1627</v>
      </c>
    </row>
    <row r="12" customFormat="false" ht="15" hidden="false" customHeight="false" outlineLevel="1" collapsed="false">
      <c r="A12" s="7" t="s">
        <v>1628</v>
      </c>
    </row>
    <row r="13" customFormat="false" ht="15" hidden="false" customHeight="false" outlineLevel="1" collapsed="false">
      <c r="A13" s="7" t="s">
        <v>1629</v>
      </c>
    </row>
    <row r="14" customFormat="false" ht="15" hidden="false" customHeight="false" outlineLevel="1" collapsed="false">
      <c r="A14" s="7" t="s">
        <v>1630</v>
      </c>
    </row>
    <row r="16" customFormat="false" ht="15" hidden="false" customHeight="false" outlineLevel="0" collapsed="false">
      <c r="A16" s="51" t="s">
        <v>1631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1632</v>
      </c>
      <c r="B17" s="15" t="s">
        <v>1633</v>
      </c>
      <c r="C17" s="15" t="s">
        <v>1634</v>
      </c>
      <c r="D17" s="15" t="s">
        <v>1635</v>
      </c>
      <c r="G17" s="15" t="s">
        <v>1636</v>
      </c>
    </row>
    <row r="18" customFormat="false" ht="15" hidden="false" customHeight="false" outlineLevel="1" collapsed="false">
      <c r="A18" s="4" t="s">
        <v>1637</v>
      </c>
      <c r="B18" s="99" t="n">
        <v>10.5</v>
      </c>
      <c r="C18" s="99" t="n">
        <v>16.7538</v>
      </c>
      <c r="D18" s="60" t="n">
        <v>0.5956</v>
      </c>
      <c r="G18" s="7" t="s">
        <v>1638</v>
      </c>
    </row>
    <row r="19" customFormat="false" ht="15" hidden="false" customHeight="false" outlineLevel="1" collapsed="false">
      <c r="A19" s="3" t="s">
        <v>1639</v>
      </c>
      <c r="B19" s="99" t="n">
        <v>37.5864</v>
      </c>
      <c r="C19" s="99" t="n">
        <v>14.8946</v>
      </c>
      <c r="D19" s="60" t="n">
        <v>-0.6037</v>
      </c>
      <c r="G19" s="12" t="s">
        <v>1640</v>
      </c>
    </row>
    <row r="20" customFormat="false" ht="15" hidden="false" customHeight="false" outlineLevel="1" collapsed="false">
      <c r="A20" s="3" t="s">
        <v>313</v>
      </c>
      <c r="B20" s="60" t="n">
        <v>0.5691</v>
      </c>
      <c r="C20" s="60" t="n">
        <v>0.9118</v>
      </c>
      <c r="D20" s="60" t="n">
        <v>0.3427</v>
      </c>
      <c r="G20" s="12" t="s">
        <v>1641</v>
      </c>
    </row>
    <row r="21" customFormat="false" ht="15" hidden="false" customHeight="false" outlineLevel="1" collapsed="false">
      <c r="A21" s="3" t="s">
        <v>1642</v>
      </c>
      <c r="B21" s="99" t="n">
        <v>10.5</v>
      </c>
      <c r="C21" s="99" t="n">
        <v>14.1575</v>
      </c>
      <c r="D21" s="60" t="n">
        <v>0.3483</v>
      </c>
      <c r="G21" s="7" t="s">
        <v>1643</v>
      </c>
    </row>
    <row r="23" customFormat="false" ht="15" hidden="false" customHeight="false" outlineLevel="0" collapsed="false">
      <c r="A23" s="51" t="s">
        <v>1644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1645</v>
      </c>
      <c r="B24" s="100" t="n">
        <v>0.59</v>
      </c>
      <c r="C24" s="100" t="n">
        <v>0.65</v>
      </c>
      <c r="D24" s="100" t="n">
        <v>0.7</v>
      </c>
      <c r="E24" s="100" t="n">
        <v>0.75</v>
      </c>
    </row>
    <row r="25" customFormat="false" ht="15" hidden="false" customHeight="false" outlineLevel="1" collapsed="false">
      <c r="A25" s="4" t="s">
        <v>1646</v>
      </c>
      <c r="B25" s="99" t="n">
        <v>13.06</v>
      </c>
      <c r="C25" s="99" t="n">
        <v>11.87</v>
      </c>
      <c r="D25" s="99" t="n">
        <v>11.02</v>
      </c>
      <c r="E25" s="99" t="n">
        <v>10.26</v>
      </c>
    </row>
    <row r="26" customFormat="false" ht="15" hidden="false" customHeight="false" outlineLevel="1" collapsed="false">
      <c r="A26" s="4" t="s">
        <v>1647</v>
      </c>
      <c r="B26" s="99" t="n">
        <v>14.03</v>
      </c>
      <c r="C26" s="99" t="n">
        <v>12.77</v>
      </c>
      <c r="D26" s="99" t="n">
        <v>11.85</v>
      </c>
      <c r="E26" s="99" t="n">
        <v>11.05</v>
      </c>
    </row>
    <row r="27" customFormat="false" ht="15" hidden="false" customHeight="false" outlineLevel="1" collapsed="false">
      <c r="A27" s="4" t="s">
        <v>1648</v>
      </c>
      <c r="B27" s="99" t="n">
        <v>15</v>
      </c>
      <c r="C27" s="99" t="n">
        <v>13.66</v>
      </c>
      <c r="D27" s="99" t="n">
        <v>12.69</v>
      </c>
      <c r="E27" s="99" t="n">
        <v>11.84</v>
      </c>
    </row>
    <row r="28" customFormat="false" ht="15" hidden="false" customHeight="false" outlineLevel="1" collapsed="false">
      <c r="A28" s="4" t="s">
        <v>1649</v>
      </c>
      <c r="B28" s="99" t="n">
        <v>16.19</v>
      </c>
      <c r="C28" s="99" t="n">
        <v>14.76</v>
      </c>
      <c r="D28" s="99" t="n">
        <v>13.72</v>
      </c>
      <c r="E28" s="99" t="n">
        <v>12.81</v>
      </c>
    </row>
    <row r="29" customFormat="false" ht="15" hidden="false" customHeight="false" outlineLevel="1" collapsed="false">
      <c r="A29" s="4" t="s">
        <v>1650</v>
      </c>
      <c r="B29" s="99" t="n">
        <v>17.47</v>
      </c>
      <c r="C29" s="99" t="n">
        <v>15.93</v>
      </c>
      <c r="D29" s="99" t="n">
        <v>14.82</v>
      </c>
      <c r="E29" s="99" t="n">
        <v>13.85</v>
      </c>
    </row>
    <row r="30" customFormat="false" ht="15" hidden="false" customHeight="false" outlineLevel="1" collapsed="false">
      <c r="A30" s="7" t="s">
        <v>1651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1652</v>
      </c>
    </row>
    <row r="2" customFormat="false" ht="15" hidden="false" customHeight="false" outlineLevel="0" collapsed="false">
      <c r="A2" s="12" t="s">
        <v>1653</v>
      </c>
    </row>
    <row r="4" customFormat="false" ht="17.15" hidden="false" customHeight="false" outlineLevel="0" collapsed="false">
      <c r="A4" s="15" t="s">
        <v>1654</v>
      </c>
      <c r="B4" s="15" t="s">
        <v>1655</v>
      </c>
      <c r="C4" s="15" t="s">
        <v>1656</v>
      </c>
      <c r="D4" s="16" t="s">
        <v>1657</v>
      </c>
      <c r="E4" s="16" t="s">
        <v>1658</v>
      </c>
      <c r="F4" s="101" t="s">
        <v>1659</v>
      </c>
      <c r="G4" s="15" t="s">
        <v>1660</v>
      </c>
      <c r="H4" s="16" t="s">
        <v>1661</v>
      </c>
      <c r="I4" s="16" t="s">
        <v>1662</v>
      </c>
      <c r="J4" s="15" t="s">
        <v>1663</v>
      </c>
      <c r="K4" s="15" t="s">
        <v>590</v>
      </c>
    </row>
    <row r="5" customFormat="false" ht="15" hidden="false" customHeight="false" outlineLevel="0" collapsed="false">
      <c r="A5" s="4" t="s">
        <v>1664</v>
      </c>
      <c r="B5" s="24" t="n">
        <v>63.81</v>
      </c>
      <c r="C5" s="24" t="n">
        <v>2.16</v>
      </c>
      <c r="D5" s="59" t="n">
        <f aca="false">B5+C5</f>
        <v>65.97</v>
      </c>
      <c r="E5" s="24" t="n">
        <v>1.36</v>
      </c>
      <c r="F5" s="102" t="n">
        <f aca="false">D5/E5</f>
        <v>48.5073529411765</v>
      </c>
      <c r="G5" s="103" t="n">
        <f aca="false">(D5+0)/E5</f>
        <v>48.5073529411765</v>
      </c>
      <c r="H5" s="24" t="n">
        <f aca="false">-0.612+0.418</f>
        <v>-0.194</v>
      </c>
      <c r="I5" s="103" t="str">
        <f aca="false">IF(H5&gt;0,D5/H5,"n/m")</f>
        <v>n/m</v>
      </c>
      <c r="J5" s="12" t="s">
        <v>1665</v>
      </c>
      <c r="K5" s="7" t="s">
        <v>1666</v>
      </c>
    </row>
    <row r="6" customFormat="false" ht="15" hidden="false" customHeight="false" outlineLevel="0" collapsed="false">
      <c r="A6" s="4" t="s">
        <v>1667</v>
      </c>
      <c r="B6" s="24" t="n">
        <v>18.61</v>
      </c>
      <c r="C6" s="24" t="n">
        <v>1.7</v>
      </c>
      <c r="D6" s="59" t="n">
        <f aca="false">B6+C6</f>
        <v>20.31</v>
      </c>
      <c r="E6" s="24" t="n">
        <v>0.707</v>
      </c>
      <c r="F6" s="102" t="n">
        <f aca="false">D6/E6</f>
        <v>28.7270155586987</v>
      </c>
      <c r="G6" s="103" t="n">
        <f aca="false">(D6+0.003)/E6</f>
        <v>28.7312588401697</v>
      </c>
      <c r="H6" s="24" t="n">
        <f aca="false">-1.047+0.418</f>
        <v>-0.629</v>
      </c>
      <c r="I6" s="103" t="str">
        <f aca="false">IF(H6&gt;0,D6/H6,"n/m")</f>
        <v>n/m</v>
      </c>
      <c r="J6" s="12" t="s">
        <v>1668</v>
      </c>
      <c r="K6" s="7" t="s">
        <v>1669</v>
      </c>
    </row>
    <row r="7" customFormat="false" ht="15" hidden="false" customHeight="false" outlineLevel="0" collapsed="false">
      <c r="A7" s="4" t="s">
        <v>1670</v>
      </c>
      <c r="B7" s="24" t="n">
        <v>8.22</v>
      </c>
      <c r="C7" s="24" t="n">
        <v>3.37</v>
      </c>
      <c r="D7" s="59" t="n">
        <f aca="false">B7+C7</f>
        <v>11.59</v>
      </c>
      <c r="E7" s="24" t="n">
        <v>0.6113</v>
      </c>
      <c r="F7" s="102" t="n">
        <f aca="false">D7/E7</f>
        <v>18.9595943072141</v>
      </c>
      <c r="G7" s="103" t="n">
        <f aca="false">(D7+0.066)/E7</f>
        <v>19.0675609357108</v>
      </c>
      <c r="H7" s="24" t="n">
        <f aca="false">-0.236+0.067</f>
        <v>-0.169</v>
      </c>
      <c r="I7" s="103" t="str">
        <f aca="false">IF(H7&gt;0,D7/H7,"n/m")</f>
        <v>n/m</v>
      </c>
      <c r="J7" s="12" t="s">
        <v>1671</v>
      </c>
      <c r="K7" s="7" t="s">
        <v>1672</v>
      </c>
    </row>
    <row r="8" customFormat="false" ht="15" hidden="false" customHeight="false" outlineLevel="0" collapsed="false">
      <c r="A8" s="4" t="s">
        <v>1673</v>
      </c>
      <c r="B8" s="24" t="n">
        <v>5.9</v>
      </c>
      <c r="C8" s="24" t="n">
        <v>2.53</v>
      </c>
      <c r="D8" s="59" t="n">
        <f aca="false">B8+C8</f>
        <v>8.43</v>
      </c>
      <c r="E8" s="24" t="n">
        <v>0.4403</v>
      </c>
      <c r="F8" s="102" t="n">
        <f aca="false">D8/E8</f>
        <v>19.1460367930956</v>
      </c>
      <c r="G8" s="103" t="n">
        <f aca="false">(D8+0.109)/E8</f>
        <v>19.3935952759482</v>
      </c>
      <c r="H8" s="24" t="n">
        <f aca="false">-0.561+0.063</f>
        <v>-0.498</v>
      </c>
      <c r="I8" s="103" t="str">
        <f aca="false">IF(H8&gt;0,D8/H8,"n/m")</f>
        <v>n/m</v>
      </c>
      <c r="J8" s="12" t="s">
        <v>1674</v>
      </c>
      <c r="K8" s="7" t="s">
        <v>1675</v>
      </c>
    </row>
    <row r="9" customFormat="false" ht="15" hidden="false" customHeight="false" outlineLevel="0" collapsed="false">
      <c r="A9" s="2" t="s">
        <v>1676</v>
      </c>
      <c r="F9" s="88" t="n">
        <f aca="false">MEDIAN(F5:F8)</f>
        <v>23.9365261758972</v>
      </c>
      <c r="G9" s="104" t="n">
        <f aca="false">MEDIAN(G5:G8)</f>
        <v>24.062427058059</v>
      </c>
    </row>
    <row r="10" customFormat="false" ht="15" hidden="false" customHeight="false" outlineLevel="0" collapsed="false">
      <c r="A10" s="5" t="s">
        <v>1677</v>
      </c>
      <c r="B10" s="85" t="n">
        <v>47.12</v>
      </c>
      <c r="C10" s="87" t="n">
        <f aca="false">輸入與假設!$C$167</f>
        <v>30</v>
      </c>
      <c r="D10" s="57" t="n">
        <f aca="false">B10+C10</f>
        <v>77.12</v>
      </c>
      <c r="E10" s="85" t="n">
        <v>7.59</v>
      </c>
      <c r="F10" s="88" t="n">
        <f aca="false">D10/E10</f>
        <v>10.1607378129117</v>
      </c>
      <c r="G10" s="104" t="n">
        <f aca="false">(D10+16.319)/E10</f>
        <v>12.3108036890646</v>
      </c>
      <c r="H10" s="85" t="n">
        <f aca="false">-0.231+3.991</f>
        <v>3.76</v>
      </c>
      <c r="I10" s="104" t="n">
        <f aca="false">IF(H10&gt;0,D10/H10,"n/m")</f>
        <v>20.5106382978723</v>
      </c>
      <c r="J10" s="12" t="s">
        <v>1678</v>
      </c>
      <c r="K10" s="12" t="s">
        <v>1679</v>
      </c>
    </row>
    <row r="11" customFormat="false" ht="15" hidden="false" customHeight="false" outlineLevel="0" collapsed="false">
      <c r="A11" s="4" t="s">
        <v>1680</v>
      </c>
      <c r="B11" s="57" t="n">
        <f aca="false">輸入與假設!$C$165*輸入與假設!$C$166</f>
        <v>52.90631</v>
      </c>
      <c r="C11" s="57" t="n">
        <f aca="false">輸入與假設!$C$167</f>
        <v>30</v>
      </c>
      <c r="D11" s="57" t="n">
        <f aca="false">B11+C11</f>
        <v>82.90631</v>
      </c>
      <c r="E11" s="87" t="n">
        <f aca="false">損益!D8</f>
        <v>26.1275</v>
      </c>
      <c r="F11" s="104" t="n">
        <f aca="false">D11/E11</f>
        <v>3.17314362261985</v>
      </c>
      <c r="G11" s="104" t="n">
        <f aca="false">(D11+16.319)/E11</f>
        <v>3.79773457085446</v>
      </c>
      <c r="H11" s="87" t="n">
        <f aca="false">損益!D19</f>
        <v>15.4151399217952</v>
      </c>
      <c r="I11" s="104" t="n">
        <f aca="false">D11/H11</f>
        <v>5.37823921291692</v>
      </c>
      <c r="K11" s="7" t="s">
        <v>1681</v>
      </c>
    </row>
    <row r="13" customFormat="false" ht="15" hidden="false" customHeight="false" outlineLevel="0" collapsed="false">
      <c r="A13" s="7" t="s">
        <v>1682</v>
      </c>
    </row>
    <row r="14" customFormat="false" ht="15" hidden="false" customHeight="false" outlineLevel="0" collapsed="false">
      <c r="A14" s="12" t="s">
        <v>1683</v>
      </c>
    </row>
    <row r="15" customFormat="false" ht="15" hidden="false" customHeight="false" outlineLevel="0" collapsed="false">
      <c r="A15" s="7" t="s">
        <v>1684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1685</v>
      </c>
    </row>
    <row r="3" customFormat="false" ht="15" hidden="false" customHeight="false" outlineLevel="0" collapsed="false">
      <c r="A3" s="15" t="s">
        <v>1686</v>
      </c>
      <c r="B3" s="15" t="s">
        <v>1687</v>
      </c>
      <c r="C3" s="15" t="s">
        <v>1688</v>
      </c>
      <c r="D3" s="15" t="s">
        <v>1689</v>
      </c>
      <c r="E3" s="15" t="s">
        <v>693</v>
      </c>
    </row>
    <row r="4" customFormat="false" ht="15" hidden="false" customHeight="false" outlineLevel="0" collapsed="false">
      <c r="A4" s="4" t="s">
        <v>196</v>
      </c>
      <c r="B4" s="14" t="n">
        <f aca="false">SUM(輸入與假設!C25:G25)</f>
        <v>0.84</v>
      </c>
      <c r="C4" s="105" t="n">
        <f aca="false">輸入與假設!$C$18</f>
        <v>0.84</v>
      </c>
      <c r="D4" s="2" t="str">
        <f aca="false">IF(ABS(B4-C4)&lt;0.0001,"通過","不一致")</f>
        <v>通過</v>
      </c>
      <c r="E4" s="12" t="s">
        <v>1690</v>
      </c>
    </row>
    <row r="5" customFormat="false" ht="15" hidden="false" customHeight="false" outlineLevel="0" collapsed="false">
      <c r="A5" s="3" t="s">
        <v>1691</v>
      </c>
      <c r="B5" s="11" t="n">
        <f aca="false">各期收支!C84</f>
        <v>3.81916720471054E-014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1692</v>
      </c>
    </row>
    <row r="6" customFormat="false" ht="15" hidden="false" customHeight="false" outlineLevel="0" collapsed="false">
      <c r="A6" s="4" t="s">
        <v>1693</v>
      </c>
      <c r="B6" s="10" t="n">
        <f aca="false">運營_產能與收入!G9-運營_產能與收入!G10</f>
        <v>350</v>
      </c>
      <c r="C6" s="12" t="s">
        <v>1694</v>
      </c>
      <c r="D6" s="2" t="str">
        <f aca="false">IF(B6&gt;=0,"通過","不一致")</f>
        <v>通過</v>
      </c>
      <c r="E6" s="7" t="s">
        <v>1695</v>
      </c>
    </row>
    <row r="7" customFormat="false" ht="15" hidden="false" customHeight="false" outlineLevel="0" collapsed="false">
      <c r="A7" s="4" t="s">
        <v>1696</v>
      </c>
      <c r="B7" s="11" t="n">
        <f aca="false">各期收支!C88</f>
        <v>37.800888825</v>
      </c>
      <c r="C7" s="12" t="s">
        <v>1697</v>
      </c>
      <c r="D7" s="2" t="str">
        <f aca="false">IF(AND(B7&gt;=35,B7&lt;=39),"通過","觀察")</f>
        <v>通過</v>
      </c>
      <c r="E7" s="12" t="s">
        <v>1698</v>
      </c>
    </row>
    <row r="8" customFormat="false" ht="15" hidden="false" customHeight="false" outlineLevel="0" collapsed="false">
      <c r="A8" s="4" t="s">
        <v>1699</v>
      </c>
      <c r="B8" s="11" t="n">
        <f aca="false">各期收支!C87</f>
        <v>13.066</v>
      </c>
      <c r="C8" s="12" t="s">
        <v>1700</v>
      </c>
      <c r="D8" s="2" t="str">
        <f aca="false">IF(AND(B8&gt;=12.4,B8&lt;=13.2),"通過","觀察")</f>
        <v>通過</v>
      </c>
      <c r="E8" s="12" t="s">
        <v>1701</v>
      </c>
    </row>
    <row r="9" customFormat="false" ht="15" hidden="false" customHeight="false" outlineLevel="0" collapsed="false">
      <c r="A9" s="4" t="s">
        <v>1702</v>
      </c>
      <c r="B9" s="47" t="n">
        <f aca="false">SUM(各期收支!C6:G6)/((運營_產能與收入!G9-輸入與假設!$C$20)/1000)/1000*1000</f>
        <v>42.9023470788235</v>
      </c>
      <c r="C9" s="12" t="s">
        <v>1703</v>
      </c>
      <c r="D9" s="2" t="str">
        <f aca="false">IF(AND(B9&gt;=20,B9&lt;=45),"通過","觀察")</f>
        <v>通過</v>
      </c>
      <c r="E9" s="7" t="s">
        <v>1704</v>
      </c>
    </row>
    <row r="10" customFormat="false" ht="15" hidden="false" customHeight="false" outlineLevel="0" collapsed="false">
      <c r="A10" s="3" t="s">
        <v>1705</v>
      </c>
      <c r="B10" s="17" t="n">
        <f aca="false">資產負債_租賃承諾!C27</f>
        <v>0.892218223878679</v>
      </c>
      <c r="C10" s="12" t="s">
        <v>1706</v>
      </c>
      <c r="D10" s="2" t="str">
        <f aca="false">IF(B10&gt;=0.8,"通過","不一致")</f>
        <v>通過</v>
      </c>
      <c r="E10" s="12" t="s">
        <v>1707</v>
      </c>
    </row>
    <row r="11" customFormat="false" ht="15" hidden="false" customHeight="false" outlineLevel="0" collapsed="false">
      <c r="A11" s="4" t="s">
        <v>1708</v>
      </c>
      <c r="B11" s="11" t="n">
        <f aca="false">各期收支!C89</f>
        <v>3.58758691725985</v>
      </c>
      <c r="C11" s="12" t="s">
        <v>1709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1710</v>
      </c>
      <c r="B12" s="28" t="n">
        <f aca="false">SUM(運營_產能與收入!E23:G23)/SUM(運營_產能與收入!E25:G25)</f>
        <v>0.40729557097096</v>
      </c>
      <c r="C12" s="12" t="s">
        <v>1711</v>
      </c>
      <c r="D12" s="2" t="str">
        <f aca="false">IF(B12&lt;0.5,"通過","觀察")</f>
        <v>通過</v>
      </c>
      <c r="E12" s="12" t="s">
        <v>1712</v>
      </c>
    </row>
    <row r="13" customFormat="false" ht="15" hidden="false" customHeight="false" outlineLevel="0" collapsed="false">
      <c r="A13" s="3" t="s">
        <v>1713</v>
      </c>
      <c r="B13" s="57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1714</v>
      </c>
    </row>
    <row r="14" customFormat="false" ht="15" hidden="false" customHeight="false" outlineLevel="0" collapsed="false">
      <c r="A14" s="3" t="s">
        <v>1552</v>
      </c>
      <c r="B14" s="14" t="n">
        <f aca="false">評價_DCF與目標價!C26</f>
        <v>-0.444664328249673</v>
      </c>
      <c r="C14" s="7" t="str">
        <f aca="false">"&lt;"&amp;IF(ROUND(ABS(輸入與假設!$C$209)*100,4)=INT(ROUND(ABS(輸入與假設!$C$209)*100,4)),TEXT(ROUND(ABS(輸入與假設!$C$209)*100,4),"0"),TEXT(ROUND(ABS(輸入與假設!$C$209)*100,4),"0.0"))&amp;"%"</f>
        <v>&lt;85%</v>
      </c>
      <c r="D14" s="2" t="str">
        <f aca="false">IF(B14&lt;輸入與假設!$C$209,"通過","觀察")</f>
        <v>通過</v>
      </c>
      <c r="E14" s="7" t="s">
        <v>1715</v>
      </c>
    </row>
    <row r="15" customFormat="false" ht="15" hidden="false" customHeight="false" outlineLevel="0" collapsed="false">
      <c r="A15" s="4" t="s">
        <v>1716</v>
      </c>
      <c r="B15" s="106" t="n">
        <f aca="false">損益!D19/損益!D8-輸入與假設!D87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1717</v>
      </c>
    </row>
    <row r="16" customFormat="false" ht="15" hidden="false" customHeight="false" outlineLevel="0" collapsed="false">
      <c r="A16" s="3" t="s">
        <v>1718</v>
      </c>
      <c r="B16" s="57" t="n">
        <f aca="false">(運營_產能與收入!D36+運營_產能與收入!D37+輸入與假設!D88-各期收支!D12)+(運營_產能與收入!D31+運營_產能與收入!D23*輸入與假設!D31*(1-輸入與假設!D32))*運營_產能與收入!D35-損益!D19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1719</v>
      </c>
    </row>
    <row r="17" customFormat="false" ht="15" hidden="false" customHeight="false" outlineLevel="0" collapsed="false">
      <c r="A17" s="4" t="s">
        <v>1720</v>
      </c>
      <c r="B17" s="47" t="n">
        <f aca="false">評價_DCF與目標價!C29</f>
        <v>0</v>
      </c>
      <c r="C17" s="12" t="s">
        <v>1721</v>
      </c>
      <c r="D17" s="2" t="str">
        <f aca="false">IF(B17=0,"通過","觀察")</f>
        <v>通過</v>
      </c>
      <c r="E17" s="7" t="s">
        <v>1722</v>
      </c>
    </row>
    <row r="18" customFormat="false" ht="15" hidden="false" customHeight="false" outlineLevel="0" collapsed="false">
      <c r="A18" s="3" t="s">
        <v>1723</v>
      </c>
      <c r="B18" s="57" t="n">
        <f aca="false">MIN(各期收支!C41:G41)</f>
        <v>1.99999999999999</v>
      </c>
      <c r="C18" s="12" t="s">
        <v>1724</v>
      </c>
      <c r="D18" s="2" t="str">
        <f aca="false">IF(B18&gt;=1.999,"通過","不一致")</f>
        <v>通過</v>
      </c>
      <c r="E18" s="7" t="s">
        <v>1725</v>
      </c>
    </row>
    <row r="19" customFormat="false" ht="15" hidden="false" customHeight="false" outlineLevel="0" collapsed="false">
      <c r="A19" s="3" t="s">
        <v>1726</v>
      </c>
      <c r="B19" s="104" t="n">
        <f aca="false">SUM(各期收支!C61:G61)/(輸入與假設!$C$165*輸入與假設!$C$166)</f>
        <v>0.399659284497445</v>
      </c>
      <c r="C19" s="7" t="str">
        <f aca="false">"≤"&amp;IF(輸入與假設!$C$206=INT(輸入與假設!$C$206),TEXT(輸入與假設!$C$206,"0"),TEXT(輸入與假設!$C$206,"0.0"))&amp;"x"</f>
        <v>≤1.5x</v>
      </c>
      <c r="D19" s="2" t="str">
        <f aca="false">IF(B19&lt;=輸入與假設!$C$206,"通過","觀察")</f>
        <v>通過</v>
      </c>
      <c r="E19" s="7" t="str">
        <f aca="false">"超過 "&amp;IF(輸入與假設!$C$206=INT(輸入與假設!$C$206),TEXT(輸入與假設!$C$206,"0"),TEXT(輸入與假設!$C$206,"0.0"))&amp;"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1727</v>
      </c>
      <c r="B20" s="57" t="n">
        <f aca="false">資產負債_既有債務!E21</f>
        <v>35.551</v>
      </c>
      <c r="C20" s="12" t="s">
        <v>1728</v>
      </c>
      <c r="D20" s="2" t="str">
        <f aca="false">IF(ABS(B20-35.551)&lt;0.01,"通過","不一致")</f>
        <v>通過</v>
      </c>
      <c r="E20" s="12" t="s">
        <v>1729</v>
      </c>
    </row>
    <row r="21" customFormat="false" ht="15" hidden="false" customHeight="false" outlineLevel="0" collapsed="false">
      <c r="A21" s="4" t="s">
        <v>1730</v>
      </c>
      <c r="B21" s="57" t="n">
        <f aca="false">輸入與假設!C132</f>
        <v>37.800888825</v>
      </c>
      <c r="C21" s="12" t="s">
        <v>1697</v>
      </c>
      <c r="D21" s="2" t="str">
        <f aca="false">IF(AND(B21&gt;=35,B21&lt;=39),"通過","觀察")</f>
        <v>通過</v>
      </c>
      <c r="E21" s="7" t="s">
        <v>1731</v>
      </c>
    </row>
    <row r="22" customFormat="false" ht="15" hidden="false" customHeight="false" outlineLevel="0" collapsed="false">
      <c r="A22" s="4" t="s">
        <v>1732</v>
      </c>
      <c r="B22" s="57" t="n">
        <f aca="false">SUM(輸入與假設!C125:G125)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1733</v>
      </c>
    </row>
    <row r="23" customFormat="false" ht="15" hidden="false" customHeight="false" outlineLevel="0" collapsed="false">
      <c r="A23" s="3" t="s">
        <v>1734</v>
      </c>
      <c r="B23" s="57" t="n">
        <f aca="false">運營_站點!G25</f>
        <v>0.998180473372781</v>
      </c>
      <c r="C23" s="7" t="s">
        <v>1735</v>
      </c>
      <c r="D23" s="2" t="str">
        <f aca="false">IF(B23&gt;=運營_站點!$H$9*運營_站點!$C$26*0.8,"通過","觀察")</f>
        <v>觀察</v>
      </c>
      <c r="E23" s="7" t="s">
        <v>1736</v>
      </c>
    </row>
    <row r="24" customFormat="false" ht="15" hidden="false" customHeight="false" outlineLevel="0" collapsed="false">
      <c r="A24" s="3" t="s">
        <v>1737</v>
      </c>
      <c r="B24" s="57" t="n">
        <f aca="false">運營_站點!$C$29</f>
        <v>3.29166034970789</v>
      </c>
      <c r="C24" s="12" t="s">
        <v>1738</v>
      </c>
      <c r="D24" s="2" t="str">
        <f aca="false">IF(B24&lt;10,"通過","觀察")</f>
        <v>通過</v>
      </c>
      <c r="E24" s="7" t="s">
        <v>1739</v>
      </c>
    </row>
    <row r="26" customFormat="false" ht="15" hidden="false" customHeight="false" outlineLevel="0" collapsed="false">
      <c r="A26" s="2" t="s">
        <v>1740</v>
      </c>
    </row>
    <row r="27" customFormat="false" ht="15" hidden="false" customHeight="false" outlineLevel="0" collapsed="false">
      <c r="A27" s="3" t="s">
        <v>1741</v>
      </c>
      <c r="B27" s="11" t="n">
        <f aca="false">SUM(運營_產能與收入!C17:G17)</f>
        <v>108.108</v>
      </c>
    </row>
    <row r="28" customFormat="false" ht="15" hidden="false" customHeight="false" outlineLevel="0" collapsed="false">
      <c r="A28" s="3" t="s">
        <v>1742</v>
      </c>
      <c r="B28" s="11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1743</v>
      </c>
      <c r="B29" s="11" t="n">
        <f aca="false">SUM(運營_產能與收入!C23:G23)</f>
        <v>47.094444</v>
      </c>
    </row>
    <row r="30" customFormat="false" ht="15" hidden="false" customHeight="false" outlineLevel="0" collapsed="false">
      <c r="A30" s="3" t="s">
        <v>1744</v>
      </c>
      <c r="B30" s="11" t="n">
        <f aca="false">SUM(輸入與假設!C137:G137)</f>
        <v>166.195975085</v>
      </c>
    </row>
    <row r="31" customFormat="false" ht="15" hidden="false" customHeight="false" outlineLevel="0" collapsed="false">
      <c r="A31" s="3" t="s">
        <v>1745</v>
      </c>
      <c r="B31" s="11" t="n">
        <f aca="false">SUM(各期收支!C12:G12)</f>
        <v>20.3178933002481</v>
      </c>
    </row>
    <row r="32" customFormat="false" ht="15" hidden="false" customHeight="false" outlineLevel="0" collapsed="false">
      <c r="A32" s="3" t="s">
        <v>1746</v>
      </c>
      <c r="B32" s="11" t="n">
        <f aca="false">SUM(各期收支!C17:G17)</f>
        <v>37.1489124773206</v>
      </c>
    </row>
    <row r="33" customFormat="false" ht="15" hidden="false" customHeight="false" outlineLevel="0" collapsed="false">
      <c r="A33" s="3" t="s">
        <v>1747</v>
      </c>
      <c r="B33" s="11" t="n">
        <f aca="false">SUM(輸入與假設!C160:G160)*輸入與假設!$C$146</f>
        <v>20.655</v>
      </c>
    </row>
    <row r="34" customFormat="false" ht="15" hidden="false" customHeight="false" outlineLevel="0" collapsed="false">
      <c r="A34" s="3" t="s">
        <v>1748</v>
      </c>
      <c r="B34" s="11" t="n">
        <f aca="false">SUM(各期收支!C39:G39)-(輸入與假設!$C$213-輸入與假設!$C$214-輸入與假設!$C$216)</f>
        <v>-100.246074689921</v>
      </c>
    </row>
    <row r="35" customFormat="false" ht="15" hidden="false" customHeight="false" outlineLevel="0" collapsed="false">
      <c r="A35" s="4" t="s">
        <v>1749</v>
      </c>
      <c r="B35" s="11" t="n">
        <f aca="false">SUM(各期收支!C39:G39)</f>
        <v>-111.388074689921</v>
      </c>
    </row>
    <row r="36" customFormat="false" ht="15" hidden="false" customHeight="false" outlineLevel="0" collapsed="false">
      <c r="A36" s="3" t="s">
        <v>1400</v>
      </c>
      <c r="B36" s="11" t="n">
        <f aca="false">各期收支!G41</f>
        <v>1.99999999999999</v>
      </c>
    </row>
    <row r="37" customFormat="false" ht="15" hidden="false" customHeight="false" outlineLevel="0" collapsed="false">
      <c r="A37" s="4" t="s">
        <v>1750</v>
      </c>
      <c r="B37" s="13" t="n">
        <f aca="false">評價_DCF與目標價!C25</f>
        <v>0</v>
      </c>
    </row>
    <row r="38" customFormat="false" ht="15" hidden="false" customHeight="false" outlineLevel="0" collapsed="false">
      <c r="A38" s="3" t="s">
        <v>1291</v>
      </c>
      <c r="B38" s="13" t="n">
        <f aca="false">評價_DCF與目標價!C48</f>
        <v>29.6784724968844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1751</v>
      </c>
    </row>
    <row r="2" customFormat="false" ht="15" hidden="false" customHeight="false" outlineLevel="0" collapsed="false">
      <c r="A2" s="12" t="s">
        <v>1752</v>
      </c>
    </row>
    <row r="4" customFormat="false" ht="15" hidden="false" customHeight="false" outlineLevel="0" collapsed="false">
      <c r="A4" s="15" t="s">
        <v>1753</v>
      </c>
      <c r="B4" s="15" t="s">
        <v>1754</v>
      </c>
      <c r="C4" s="15" t="s">
        <v>1755</v>
      </c>
      <c r="D4" s="15" t="s">
        <v>1756</v>
      </c>
      <c r="E4" s="15" t="s">
        <v>1757</v>
      </c>
    </row>
    <row r="5" customFormat="false" ht="100.7" hidden="false" customHeight="false" outlineLevel="0" collapsed="false">
      <c r="A5" s="107" t="s">
        <v>1758</v>
      </c>
      <c r="B5" s="107" t="s">
        <v>1759</v>
      </c>
      <c r="C5" s="108" t="s">
        <v>1760</v>
      </c>
      <c r="D5" s="109" t="s">
        <v>1761</v>
      </c>
      <c r="E5" s="108" t="s">
        <v>1762</v>
      </c>
    </row>
    <row r="6" customFormat="false" ht="72.35" hidden="false" customHeight="false" outlineLevel="0" collapsed="false">
      <c r="A6" s="107" t="s">
        <v>1763</v>
      </c>
      <c r="B6" s="107" t="s">
        <v>1764</v>
      </c>
      <c r="C6" s="108" t="s">
        <v>1765</v>
      </c>
      <c r="D6" s="109" t="s">
        <v>1766</v>
      </c>
      <c r="E6" s="108" t="s">
        <v>1767</v>
      </c>
    </row>
    <row r="7" customFormat="false" ht="72.35" hidden="false" customHeight="false" outlineLevel="0" collapsed="false">
      <c r="A7" s="107" t="s">
        <v>1768</v>
      </c>
      <c r="B7" s="107" t="s">
        <v>1764</v>
      </c>
      <c r="C7" s="108" t="s">
        <v>1769</v>
      </c>
      <c r="D7" s="109" t="s">
        <v>1770</v>
      </c>
      <c r="E7" s="108" t="s">
        <v>1771</v>
      </c>
    </row>
    <row r="8" customFormat="false" ht="44" hidden="false" customHeight="false" outlineLevel="0" collapsed="false">
      <c r="A8" s="107" t="s">
        <v>1772</v>
      </c>
      <c r="B8" s="107" t="s">
        <v>1773</v>
      </c>
      <c r="C8" s="108" t="s">
        <v>1774</v>
      </c>
      <c r="D8" s="109" t="s">
        <v>1770</v>
      </c>
      <c r="E8" s="108" t="s">
        <v>1775</v>
      </c>
    </row>
    <row r="9" customFormat="false" ht="44" hidden="false" customHeight="false" outlineLevel="0" collapsed="false">
      <c r="A9" s="107" t="s">
        <v>1776</v>
      </c>
      <c r="B9" s="107" t="s">
        <v>1773</v>
      </c>
      <c r="C9" s="108" t="s">
        <v>1777</v>
      </c>
      <c r="D9" s="109" t="s">
        <v>1778</v>
      </c>
      <c r="E9" s="108" t="s">
        <v>1779</v>
      </c>
    </row>
    <row r="10" customFormat="false" ht="44" hidden="false" customHeight="false" outlineLevel="0" collapsed="false">
      <c r="A10" s="107" t="s">
        <v>1780</v>
      </c>
      <c r="B10" s="107" t="s">
        <v>1773</v>
      </c>
      <c r="C10" s="108" t="s">
        <v>1781</v>
      </c>
      <c r="D10" s="109" t="s">
        <v>1778</v>
      </c>
      <c r="E10" s="108" t="s">
        <v>1782</v>
      </c>
    </row>
    <row r="11" customFormat="false" ht="29.85" hidden="false" customHeight="false" outlineLevel="0" collapsed="false">
      <c r="A11" s="107" t="s">
        <v>1783</v>
      </c>
      <c r="B11" s="107" t="s">
        <v>1784</v>
      </c>
      <c r="C11" s="108" t="s">
        <v>1785</v>
      </c>
      <c r="D11" s="109" t="s">
        <v>1778</v>
      </c>
      <c r="E11" s="108" t="s">
        <v>1779</v>
      </c>
    </row>
    <row r="12" customFormat="false" ht="29.85" hidden="false" customHeight="false" outlineLevel="0" collapsed="false">
      <c r="A12" s="107" t="s">
        <v>1786</v>
      </c>
      <c r="B12" s="107" t="s">
        <v>1784</v>
      </c>
      <c r="C12" s="110" t="s">
        <v>1787</v>
      </c>
      <c r="D12" s="109" t="s">
        <v>1778</v>
      </c>
      <c r="E12" s="108" t="s">
        <v>1788</v>
      </c>
    </row>
    <row r="13" customFormat="false" ht="29.85" hidden="false" customHeight="false" outlineLevel="0" collapsed="false">
      <c r="A13" s="107" t="s">
        <v>1789</v>
      </c>
      <c r="B13" s="107" t="s">
        <v>1784</v>
      </c>
      <c r="C13" s="110" t="s">
        <v>1790</v>
      </c>
      <c r="D13" s="109" t="s">
        <v>1791</v>
      </c>
      <c r="E13" s="108" t="s">
        <v>1792</v>
      </c>
    </row>
    <row r="14" customFormat="false" ht="29.85" hidden="false" customHeight="false" outlineLevel="0" collapsed="false">
      <c r="A14" s="107" t="s">
        <v>1793</v>
      </c>
      <c r="B14" s="107" t="s">
        <v>1784</v>
      </c>
      <c r="C14" s="108" t="s">
        <v>1794</v>
      </c>
      <c r="D14" s="109" t="s">
        <v>1791</v>
      </c>
      <c r="E14" s="108" t="s">
        <v>1795</v>
      </c>
    </row>
    <row r="15" customFormat="false" ht="15" hidden="false" customHeight="false" outlineLevel="0" collapsed="false">
      <c r="A15" s="107" t="s">
        <v>1796</v>
      </c>
      <c r="B15" s="107" t="s">
        <v>1797</v>
      </c>
      <c r="C15" s="108" t="s">
        <v>1798</v>
      </c>
      <c r="D15" s="109" t="s">
        <v>1791</v>
      </c>
      <c r="E15" s="108" t="s">
        <v>1799</v>
      </c>
    </row>
    <row r="16" customFormat="false" ht="15" hidden="false" customHeight="false" outlineLevel="0" collapsed="false">
      <c r="A16" s="107" t="s">
        <v>1800</v>
      </c>
      <c r="B16" s="107" t="s">
        <v>1797</v>
      </c>
      <c r="C16" s="108" t="s">
        <v>1801</v>
      </c>
      <c r="D16" s="109" t="s">
        <v>1791</v>
      </c>
      <c r="E16" s="108" t="s">
        <v>1795</v>
      </c>
    </row>
    <row r="17" customFormat="false" ht="15" hidden="false" customHeight="false" outlineLevel="0" collapsed="false">
      <c r="A17" s="107" t="s">
        <v>1802</v>
      </c>
      <c r="B17" s="107" t="s">
        <v>1797</v>
      </c>
      <c r="C17" s="108" t="s">
        <v>1803</v>
      </c>
      <c r="D17" s="109" t="s">
        <v>1791</v>
      </c>
      <c r="E17" s="108" t="s">
        <v>1795</v>
      </c>
    </row>
    <row r="18" customFormat="false" ht="15" hidden="false" customHeight="false" outlineLevel="0" collapsed="false">
      <c r="A18" s="107" t="s">
        <v>1804</v>
      </c>
      <c r="B18" s="107" t="s">
        <v>1797</v>
      </c>
      <c r="C18" s="110" t="s">
        <v>1805</v>
      </c>
      <c r="D18" s="109" t="s">
        <v>1791</v>
      </c>
      <c r="E18" s="108" t="s">
        <v>1806</v>
      </c>
    </row>
    <row r="19" customFormat="false" ht="15" hidden="false" customHeight="false" outlineLevel="0" collapsed="false">
      <c r="A19" s="107" t="s">
        <v>1807</v>
      </c>
      <c r="B19" s="107" t="s">
        <v>1797</v>
      </c>
      <c r="C19" s="110" t="s">
        <v>1808</v>
      </c>
      <c r="D19" s="109" t="s">
        <v>1791</v>
      </c>
      <c r="E19" s="108" t="s">
        <v>1795</v>
      </c>
    </row>
    <row r="20" customFormat="false" ht="15" hidden="false" customHeight="false" outlineLevel="0" collapsed="false">
      <c r="A20" s="107" t="s">
        <v>1809</v>
      </c>
      <c r="B20" s="107" t="s">
        <v>1797</v>
      </c>
      <c r="C20" s="108" t="s">
        <v>1810</v>
      </c>
      <c r="D20" s="109" t="s">
        <v>1791</v>
      </c>
      <c r="E20" s="108" t="s">
        <v>1811</v>
      </c>
    </row>
    <row r="21" customFormat="false" ht="15" hidden="false" customHeight="false" outlineLevel="0" collapsed="false">
      <c r="A21" s="107" t="s">
        <v>1812</v>
      </c>
      <c r="B21" s="107" t="s">
        <v>1813</v>
      </c>
      <c r="C21" s="108" t="s">
        <v>1814</v>
      </c>
      <c r="D21" s="109" t="s">
        <v>1791</v>
      </c>
      <c r="E21" s="108" t="s">
        <v>1795</v>
      </c>
    </row>
    <row r="22" customFormat="false" ht="15" hidden="false" customHeight="false" outlineLevel="0" collapsed="false">
      <c r="A22" s="107" t="s">
        <v>1815</v>
      </c>
      <c r="B22" s="107" t="s">
        <v>1813</v>
      </c>
      <c r="C22" s="108" t="s">
        <v>1816</v>
      </c>
      <c r="D22" s="109" t="s">
        <v>1791</v>
      </c>
      <c r="E22" s="108" t="s">
        <v>1795</v>
      </c>
    </row>
    <row r="23" customFormat="false" ht="15" hidden="false" customHeight="false" outlineLevel="0" collapsed="false">
      <c r="A23" s="107" t="s">
        <v>1817</v>
      </c>
      <c r="B23" s="107" t="s">
        <v>1813</v>
      </c>
      <c r="C23" s="110" t="s">
        <v>1818</v>
      </c>
      <c r="D23" s="109" t="s">
        <v>1791</v>
      </c>
      <c r="E23" s="108" t="s">
        <v>1819</v>
      </c>
    </row>
    <row r="24" customFormat="false" ht="15" hidden="false" customHeight="false" outlineLevel="0" collapsed="false">
      <c r="A24" s="107" t="s">
        <v>1820</v>
      </c>
      <c r="B24" s="107" t="s">
        <v>1813</v>
      </c>
      <c r="C24" s="110" t="s">
        <v>1821</v>
      </c>
      <c r="D24" s="109" t="s">
        <v>1822</v>
      </c>
      <c r="E24" s="108" t="s">
        <v>1795</v>
      </c>
    </row>
    <row r="25" customFormat="false" ht="15" hidden="false" customHeight="false" outlineLevel="0" collapsed="false">
      <c r="A25" s="107" t="s">
        <v>1823</v>
      </c>
      <c r="B25" s="107" t="s">
        <v>1813</v>
      </c>
      <c r="C25" s="108" t="s">
        <v>1824</v>
      </c>
      <c r="D25" s="109" t="s">
        <v>1822</v>
      </c>
      <c r="E25" s="108" t="s">
        <v>1795</v>
      </c>
    </row>
    <row r="26" customFormat="false" ht="15" hidden="false" customHeight="false" outlineLevel="0" collapsed="false">
      <c r="A26" s="107" t="s">
        <v>1825</v>
      </c>
      <c r="B26" s="107" t="s">
        <v>1813</v>
      </c>
      <c r="C26" s="108" t="s">
        <v>1826</v>
      </c>
      <c r="D26" s="109" t="s">
        <v>1822</v>
      </c>
      <c r="E26" s="108" t="s">
        <v>1827</v>
      </c>
    </row>
    <row r="27" customFormat="false" ht="15" hidden="false" customHeight="false" outlineLevel="0" collapsed="false">
      <c r="A27" s="107" t="s">
        <v>1828</v>
      </c>
      <c r="B27" s="107" t="s">
        <v>1829</v>
      </c>
      <c r="C27" s="108" t="s">
        <v>1830</v>
      </c>
      <c r="D27" s="109" t="s">
        <v>1831</v>
      </c>
      <c r="E27" s="108" t="s">
        <v>1832</v>
      </c>
    </row>
    <row r="28" customFormat="false" ht="15" hidden="false" customHeight="false" outlineLevel="0" collapsed="false">
      <c r="A28" s="107" t="s">
        <v>1833</v>
      </c>
      <c r="B28" s="107" t="s">
        <v>1834</v>
      </c>
      <c r="C28" s="108" t="s">
        <v>1835</v>
      </c>
      <c r="D28" s="109" t="s">
        <v>1836</v>
      </c>
      <c r="E28" s="108" t="s">
        <v>1837</v>
      </c>
    </row>
    <row r="29" customFormat="false" ht="15" hidden="false" customHeight="false" outlineLevel="0" collapsed="false">
      <c r="A29" s="107" t="s">
        <v>1838</v>
      </c>
      <c r="B29" s="107" t="s">
        <v>1834</v>
      </c>
      <c r="C29" s="108" t="s">
        <v>1839</v>
      </c>
      <c r="D29" s="109" t="s">
        <v>1791</v>
      </c>
      <c r="E29" s="108" t="s">
        <v>1840</v>
      </c>
    </row>
    <row r="30" customFormat="false" ht="15" hidden="false" customHeight="false" outlineLevel="0" collapsed="false">
      <c r="A30" s="107" t="s">
        <v>1841</v>
      </c>
      <c r="B30" s="107" t="s">
        <v>1834</v>
      </c>
      <c r="C30" s="110" t="s">
        <v>1842</v>
      </c>
      <c r="D30" s="109" t="s">
        <v>1843</v>
      </c>
      <c r="E30" s="108" t="s">
        <v>1795</v>
      </c>
    </row>
    <row r="31" customFormat="false" ht="15" hidden="false" customHeight="false" outlineLevel="0" collapsed="false">
      <c r="A31" s="107" t="s">
        <v>1844</v>
      </c>
      <c r="B31" s="107" t="s">
        <v>1834</v>
      </c>
      <c r="C31" s="108" t="s">
        <v>1845</v>
      </c>
      <c r="D31" s="109" t="s">
        <v>1843</v>
      </c>
      <c r="E31" s="110" t="s">
        <v>1846</v>
      </c>
    </row>
    <row r="32" customFormat="false" ht="15" hidden="false" customHeight="false" outlineLevel="0" collapsed="false">
      <c r="A32" s="107" t="s">
        <v>1847</v>
      </c>
      <c r="B32" s="107" t="s">
        <v>1834</v>
      </c>
      <c r="C32" s="110" t="s">
        <v>1848</v>
      </c>
      <c r="D32" s="109" t="s">
        <v>1849</v>
      </c>
      <c r="E32" s="108" t="s">
        <v>1795</v>
      </c>
    </row>
    <row r="33" customFormat="false" ht="15" hidden="false" customHeight="false" outlineLevel="0" collapsed="false">
      <c r="A33" s="107" t="s">
        <v>1850</v>
      </c>
      <c r="B33" s="107" t="s">
        <v>1834</v>
      </c>
      <c r="C33" s="108" t="s">
        <v>1851</v>
      </c>
      <c r="D33" s="109" t="s">
        <v>1849</v>
      </c>
      <c r="E33" s="110" t="s">
        <v>1852</v>
      </c>
    </row>
    <row r="34" customFormat="false" ht="15" hidden="false" customHeight="false" outlineLevel="0" collapsed="false">
      <c r="A34" s="107" t="s">
        <v>1853</v>
      </c>
      <c r="B34" s="107" t="s">
        <v>1834</v>
      </c>
      <c r="C34" s="108" t="s">
        <v>1854</v>
      </c>
      <c r="D34" s="109" t="s">
        <v>1855</v>
      </c>
      <c r="E34" s="108" t="s">
        <v>1795</v>
      </c>
    </row>
    <row r="35" customFormat="false" ht="15" hidden="false" customHeight="false" outlineLevel="0" collapsed="false">
      <c r="A35" s="107" t="s">
        <v>1856</v>
      </c>
      <c r="B35" s="107" t="s">
        <v>1834</v>
      </c>
      <c r="C35" s="110" t="s">
        <v>1857</v>
      </c>
      <c r="D35" s="109" t="s">
        <v>1855</v>
      </c>
      <c r="E35" s="108" t="s">
        <v>1795</v>
      </c>
    </row>
    <row r="36" customFormat="false" ht="15" hidden="false" customHeight="false" outlineLevel="0" collapsed="false">
      <c r="A36" s="107" t="s">
        <v>1858</v>
      </c>
      <c r="B36" s="107" t="s">
        <v>1834</v>
      </c>
      <c r="C36" s="110" t="s">
        <v>1859</v>
      </c>
      <c r="D36" s="109" t="s">
        <v>1855</v>
      </c>
      <c r="E36" s="108" t="s">
        <v>1860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1861</v>
      </c>
    </row>
    <row r="3" customFormat="false" ht="15" hidden="false" customHeight="false" outlineLevel="0" collapsed="false">
      <c r="A3" s="15" t="s">
        <v>1862</v>
      </c>
      <c r="B3" s="15" t="s">
        <v>1863</v>
      </c>
    </row>
    <row r="4" customFormat="false" ht="45.75" hidden="false" customHeight="true" outlineLevel="0" collapsed="false">
      <c r="A4" s="5" t="s">
        <v>592</v>
      </c>
      <c r="B4" s="110" t="s">
        <v>1864</v>
      </c>
    </row>
    <row r="5" customFormat="false" ht="45.75" hidden="false" customHeight="true" outlineLevel="0" collapsed="false">
      <c r="A5" s="5" t="s">
        <v>592</v>
      </c>
      <c r="B5" s="108" t="s">
        <v>1865</v>
      </c>
    </row>
    <row r="6" customFormat="false" ht="45.75" hidden="false" customHeight="true" outlineLevel="0" collapsed="false">
      <c r="A6" s="5" t="s">
        <v>592</v>
      </c>
      <c r="B6" s="110" t="s">
        <v>1866</v>
      </c>
    </row>
    <row r="7" customFormat="false" ht="45.75" hidden="false" customHeight="true" outlineLevel="0" collapsed="false">
      <c r="A7" s="5" t="s">
        <v>592</v>
      </c>
      <c r="B7" s="108" t="s">
        <v>1867</v>
      </c>
    </row>
    <row r="8" customFormat="false" ht="45.75" hidden="false" customHeight="true" outlineLevel="0" collapsed="false">
      <c r="A8" s="5" t="s">
        <v>592</v>
      </c>
      <c r="B8" s="108" t="s">
        <v>1868</v>
      </c>
    </row>
    <row r="9" customFormat="false" ht="45.75" hidden="false" customHeight="true" outlineLevel="0" collapsed="false">
      <c r="A9" s="5" t="s">
        <v>592</v>
      </c>
      <c r="B9" s="110" t="s">
        <v>1869</v>
      </c>
    </row>
    <row r="10" customFormat="false" ht="45.75" hidden="false" customHeight="true" outlineLevel="0" collapsed="false">
      <c r="A10" s="5" t="s">
        <v>592</v>
      </c>
      <c r="B10" s="108" t="s">
        <v>1870</v>
      </c>
    </row>
    <row r="11" customFormat="false" ht="45.75" hidden="false" customHeight="true" outlineLevel="0" collapsed="false">
      <c r="A11" s="5" t="s">
        <v>596</v>
      </c>
      <c r="B11" s="108" t="s">
        <v>1871</v>
      </c>
    </row>
    <row r="12" customFormat="false" ht="45.75" hidden="false" customHeight="true" outlineLevel="0" collapsed="false">
      <c r="A12" s="5" t="s">
        <v>596</v>
      </c>
      <c r="B12" s="108" t="s">
        <v>1872</v>
      </c>
    </row>
    <row r="13" customFormat="false" ht="45.75" hidden="false" customHeight="true" outlineLevel="0" collapsed="false">
      <c r="A13" s="5" t="s">
        <v>596</v>
      </c>
      <c r="B13" s="110" t="s">
        <v>1873</v>
      </c>
    </row>
    <row r="14" customFormat="false" ht="45.75" hidden="false" customHeight="true" outlineLevel="0" collapsed="false">
      <c r="A14" s="5" t="s">
        <v>1874</v>
      </c>
      <c r="B14" s="110" t="s">
        <v>1875</v>
      </c>
    </row>
    <row r="15" customFormat="false" ht="45.75" hidden="false" customHeight="true" outlineLevel="0" collapsed="false">
      <c r="A15" s="5" t="s">
        <v>1876</v>
      </c>
      <c r="B15" s="110" t="s">
        <v>1877</v>
      </c>
    </row>
    <row r="16" customFormat="false" ht="45.75" hidden="false" customHeight="true" outlineLevel="0" collapsed="false">
      <c r="A16" s="5" t="s">
        <v>1878</v>
      </c>
      <c r="B16" s="110" t="s">
        <v>1879</v>
      </c>
    </row>
    <row r="17" customFormat="false" ht="45.75" hidden="false" customHeight="true" outlineLevel="0" collapsed="false">
      <c r="A17" s="5" t="s">
        <v>596</v>
      </c>
      <c r="B17" s="108" t="s">
        <v>1880</v>
      </c>
    </row>
    <row r="18" customFormat="false" ht="45.75" hidden="false" customHeight="true" outlineLevel="0" collapsed="false">
      <c r="A18" s="5" t="s">
        <v>592</v>
      </c>
      <c r="B18" s="110" t="s">
        <v>1881</v>
      </c>
    </row>
    <row r="19" customFormat="false" ht="45.75" hidden="false" customHeight="true" outlineLevel="0" collapsed="false">
      <c r="A19" s="2" t="s">
        <v>1882</v>
      </c>
      <c r="B19" s="110" t="s">
        <v>1883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1884</v>
      </c>
    </row>
    <row r="2" customFormat="false" ht="15" hidden="false" customHeight="false" outlineLevel="0" collapsed="false">
      <c r="A2" s="7" t="s">
        <v>1885</v>
      </c>
    </row>
    <row r="3" customFormat="false" ht="15" hidden="false" customHeight="false" outlineLevel="0" collapsed="false">
      <c r="A3" s="7" t="s">
        <v>1886</v>
      </c>
    </row>
    <row r="4" customFormat="false" ht="17.15" hidden="false" customHeight="false" outlineLevel="0" collapsed="false">
      <c r="A4" s="15" t="s">
        <v>1887</v>
      </c>
      <c r="B4" s="15" t="s">
        <v>1888</v>
      </c>
      <c r="C4" s="15" t="s">
        <v>1889</v>
      </c>
      <c r="D4" s="15" t="s">
        <v>88</v>
      </c>
      <c r="E4" s="15" t="s">
        <v>271</v>
      </c>
      <c r="F4" s="15" t="s">
        <v>1890</v>
      </c>
      <c r="G4" s="15" t="s">
        <v>1891</v>
      </c>
      <c r="H4" s="15" t="s">
        <v>1892</v>
      </c>
      <c r="I4" s="16" t="s">
        <v>1893</v>
      </c>
      <c r="J4" s="15" t="s">
        <v>1894</v>
      </c>
    </row>
    <row r="5" customFormat="false" ht="15" hidden="false" customHeight="false" outlineLevel="0" collapsed="false">
      <c r="A5" s="4" t="s">
        <v>1895</v>
      </c>
      <c r="B5" s="4" t="s">
        <v>1896</v>
      </c>
      <c r="C5" s="3" t="s">
        <v>1897</v>
      </c>
      <c r="D5" s="7" t="s">
        <v>1898</v>
      </c>
      <c r="E5" s="4" t="s">
        <v>1899</v>
      </c>
      <c r="F5" s="22" t="n">
        <v>22439</v>
      </c>
      <c r="G5" s="22" t="n">
        <v>22439</v>
      </c>
      <c r="H5" s="22" t="n">
        <v>22439</v>
      </c>
      <c r="I5" s="12" t="s">
        <v>1900</v>
      </c>
      <c r="J5" s="12" t="s">
        <v>1901</v>
      </c>
    </row>
    <row r="6" customFormat="false" ht="15" hidden="false" customHeight="false" outlineLevel="0" collapsed="false">
      <c r="A6" s="4" t="s">
        <v>1902</v>
      </c>
      <c r="B6" s="4" t="s">
        <v>1896</v>
      </c>
      <c r="C6" s="3" t="s">
        <v>1897</v>
      </c>
      <c r="D6" s="7" t="s">
        <v>1898</v>
      </c>
      <c r="E6" s="4" t="s">
        <v>1903</v>
      </c>
      <c r="F6" s="22" t="n">
        <v>6969</v>
      </c>
      <c r="G6" s="22" t="n">
        <v>6969</v>
      </c>
      <c r="H6" s="22" t="n">
        <v>6969</v>
      </c>
      <c r="I6" s="12" t="s">
        <v>1904</v>
      </c>
      <c r="J6" s="12" t="s">
        <v>1901</v>
      </c>
    </row>
    <row r="7" customFormat="false" ht="15" hidden="false" customHeight="false" outlineLevel="0" collapsed="false">
      <c r="A7" s="4" t="s">
        <v>1905</v>
      </c>
      <c r="B7" s="4" t="s">
        <v>1896</v>
      </c>
      <c r="C7" s="3" t="s">
        <v>1897</v>
      </c>
      <c r="D7" s="7" t="s">
        <v>1898</v>
      </c>
      <c r="E7" s="4" t="s">
        <v>1906</v>
      </c>
      <c r="F7" s="22" t="n">
        <v>6764</v>
      </c>
      <c r="G7" s="22" t="n">
        <v>6764</v>
      </c>
      <c r="H7" s="22" t="n">
        <v>6764</v>
      </c>
      <c r="I7" s="12" t="s">
        <v>1907</v>
      </c>
      <c r="J7" s="12" t="s">
        <v>1901</v>
      </c>
    </row>
    <row r="8" customFormat="false" ht="15" hidden="false" customHeight="false" outlineLevel="0" collapsed="false">
      <c r="A8" s="4" t="s">
        <v>1908</v>
      </c>
      <c r="B8" s="4" t="s">
        <v>1896</v>
      </c>
      <c r="C8" s="3" t="s">
        <v>1897</v>
      </c>
      <c r="D8" s="7" t="s">
        <v>1898</v>
      </c>
      <c r="E8" s="4" t="s">
        <v>1909</v>
      </c>
      <c r="F8" s="22" t="n">
        <v>4052</v>
      </c>
      <c r="G8" s="22" t="n">
        <v>4052</v>
      </c>
      <c r="H8" s="22" t="n">
        <v>4052</v>
      </c>
      <c r="I8" s="12" t="s">
        <v>1910</v>
      </c>
      <c r="J8" s="12" t="s">
        <v>1901</v>
      </c>
    </row>
    <row r="9" customFormat="false" ht="15" hidden="false" customHeight="false" outlineLevel="0" collapsed="false">
      <c r="A9" s="4" t="s">
        <v>1911</v>
      </c>
      <c r="B9" s="4" t="s">
        <v>1896</v>
      </c>
      <c r="C9" s="3" t="s">
        <v>1897</v>
      </c>
      <c r="D9" s="7" t="s">
        <v>1898</v>
      </c>
      <c r="E9" s="4" t="s">
        <v>1912</v>
      </c>
      <c r="F9" s="22" t="n">
        <v>2705</v>
      </c>
      <c r="G9" s="22" t="n">
        <v>2705</v>
      </c>
      <c r="H9" s="22" t="n">
        <v>2705</v>
      </c>
      <c r="I9" s="12" t="s">
        <v>1913</v>
      </c>
      <c r="J9" s="12" t="s">
        <v>1901</v>
      </c>
    </row>
    <row r="10" customFormat="false" ht="15" hidden="false" customHeight="false" outlineLevel="0" collapsed="false">
      <c r="A10" s="4" t="s">
        <v>1914</v>
      </c>
      <c r="B10" s="4" t="s">
        <v>1915</v>
      </c>
      <c r="C10" s="3" t="s">
        <v>1916</v>
      </c>
      <c r="D10" s="7" t="s">
        <v>1917</v>
      </c>
      <c r="E10" s="4" t="s">
        <v>1899</v>
      </c>
      <c r="F10" s="22" t="n">
        <v>718048</v>
      </c>
      <c r="G10" s="22" t="n">
        <v>718048</v>
      </c>
      <c r="H10" s="22" t="n">
        <v>718048</v>
      </c>
      <c r="I10" s="12" t="s">
        <v>1918</v>
      </c>
      <c r="J10" s="12" t="s">
        <v>1901</v>
      </c>
    </row>
    <row r="11" customFormat="false" ht="15" hidden="false" customHeight="false" outlineLevel="0" collapsed="false">
      <c r="A11" s="4" t="s">
        <v>1919</v>
      </c>
      <c r="B11" s="4" t="s">
        <v>1915</v>
      </c>
      <c r="C11" s="3" t="s">
        <v>1916</v>
      </c>
      <c r="D11" s="7" t="s">
        <v>1917</v>
      </c>
      <c r="E11" s="4" t="s">
        <v>1903</v>
      </c>
      <c r="F11" s="22" t="n">
        <v>501768</v>
      </c>
      <c r="G11" s="22" t="n">
        <v>501768</v>
      </c>
      <c r="H11" s="22" t="n">
        <v>501768</v>
      </c>
      <c r="I11" s="12" t="s">
        <v>1920</v>
      </c>
      <c r="J11" s="12" t="s">
        <v>1901</v>
      </c>
    </row>
    <row r="12" customFormat="false" ht="15" hidden="false" customHeight="false" outlineLevel="0" collapsed="false">
      <c r="A12" s="4" t="s">
        <v>1921</v>
      </c>
      <c r="B12" s="4" t="s">
        <v>1915</v>
      </c>
      <c r="C12" s="3" t="s">
        <v>1916</v>
      </c>
      <c r="D12" s="7" t="s">
        <v>1917</v>
      </c>
      <c r="E12" s="4" t="s">
        <v>1906</v>
      </c>
      <c r="F12" s="22" t="n">
        <v>487008</v>
      </c>
      <c r="G12" s="22" t="n">
        <v>487008</v>
      </c>
      <c r="H12" s="22" t="n">
        <v>487008</v>
      </c>
      <c r="I12" s="12" t="s">
        <v>1922</v>
      </c>
      <c r="J12" s="12" t="s">
        <v>1901</v>
      </c>
    </row>
    <row r="13" customFormat="false" ht="15" hidden="false" customHeight="false" outlineLevel="0" collapsed="false">
      <c r="A13" s="4" t="s">
        <v>1923</v>
      </c>
      <c r="B13" s="4" t="s">
        <v>1915</v>
      </c>
      <c r="C13" s="3" t="s">
        <v>1916</v>
      </c>
      <c r="D13" s="7" t="s">
        <v>1917</v>
      </c>
      <c r="E13" s="4" t="s">
        <v>1909</v>
      </c>
      <c r="F13" s="22" t="n">
        <v>291744</v>
      </c>
      <c r="G13" s="22" t="n">
        <v>291744</v>
      </c>
      <c r="H13" s="22" t="n">
        <v>291744</v>
      </c>
      <c r="I13" s="12" t="s">
        <v>1924</v>
      </c>
      <c r="J13" s="12" t="s">
        <v>1901</v>
      </c>
    </row>
    <row r="14" customFormat="false" ht="15" hidden="false" customHeight="false" outlineLevel="0" collapsed="false">
      <c r="A14" s="4" t="s">
        <v>1925</v>
      </c>
      <c r="B14" s="4" t="s">
        <v>1915</v>
      </c>
      <c r="C14" s="3" t="s">
        <v>1916</v>
      </c>
      <c r="D14" s="7" t="s">
        <v>1917</v>
      </c>
      <c r="E14" s="4" t="s">
        <v>1912</v>
      </c>
      <c r="F14" s="22" t="n">
        <v>194760</v>
      </c>
      <c r="G14" s="22" t="n">
        <v>194760</v>
      </c>
      <c r="H14" s="22" t="n">
        <v>194760</v>
      </c>
      <c r="I14" s="12" t="s">
        <v>1926</v>
      </c>
      <c r="J14" s="12" t="s">
        <v>1901</v>
      </c>
    </row>
    <row r="15" customFormat="false" ht="15" hidden="false" customHeight="false" outlineLevel="0" collapsed="false">
      <c r="A15" s="4" t="s">
        <v>1927</v>
      </c>
      <c r="B15" s="4" t="s">
        <v>1928</v>
      </c>
      <c r="C15" s="3" t="s">
        <v>1929</v>
      </c>
      <c r="D15" s="12" t="s">
        <v>1930</v>
      </c>
      <c r="E15" s="4" t="s">
        <v>1899</v>
      </c>
      <c r="F15" s="111" t="n">
        <v>1.1</v>
      </c>
      <c r="G15" s="111" t="n">
        <v>1.2</v>
      </c>
      <c r="H15" s="111" t="n">
        <v>1.3</v>
      </c>
      <c r="I15" s="12" t="s">
        <v>1931</v>
      </c>
      <c r="J15" s="12" t="s">
        <v>1901</v>
      </c>
    </row>
    <row r="16" customFormat="false" ht="15" hidden="false" customHeight="false" outlineLevel="0" collapsed="false">
      <c r="A16" s="4" t="s">
        <v>1932</v>
      </c>
      <c r="B16" s="4" t="s">
        <v>1928</v>
      </c>
      <c r="C16" s="3" t="s">
        <v>1929</v>
      </c>
      <c r="D16" s="12" t="s">
        <v>1930</v>
      </c>
      <c r="E16" s="4" t="s">
        <v>1903</v>
      </c>
      <c r="F16" s="111" t="n">
        <v>1.1</v>
      </c>
      <c r="G16" s="111" t="n">
        <v>1.2</v>
      </c>
      <c r="H16" s="111" t="n">
        <v>1.3</v>
      </c>
      <c r="I16" s="12" t="s">
        <v>1933</v>
      </c>
      <c r="J16" s="12" t="s">
        <v>1901</v>
      </c>
    </row>
    <row r="17" customFormat="false" ht="15" hidden="false" customHeight="false" outlineLevel="0" collapsed="false">
      <c r="A17" s="4" t="s">
        <v>1934</v>
      </c>
      <c r="B17" s="4" t="s">
        <v>1928</v>
      </c>
      <c r="C17" s="3" t="s">
        <v>1929</v>
      </c>
      <c r="D17" s="12" t="s">
        <v>1930</v>
      </c>
      <c r="E17" s="4" t="s">
        <v>1906</v>
      </c>
      <c r="F17" s="111" t="n">
        <v>1.1</v>
      </c>
      <c r="G17" s="111" t="n">
        <v>1.2</v>
      </c>
      <c r="H17" s="111" t="n">
        <v>1.3</v>
      </c>
      <c r="I17" s="12" t="s">
        <v>1935</v>
      </c>
      <c r="J17" s="12" t="s">
        <v>1901</v>
      </c>
    </row>
    <row r="18" customFormat="false" ht="15" hidden="false" customHeight="false" outlineLevel="0" collapsed="false">
      <c r="A18" s="4" t="s">
        <v>1936</v>
      </c>
      <c r="B18" s="4" t="s">
        <v>1928</v>
      </c>
      <c r="C18" s="3" t="s">
        <v>1929</v>
      </c>
      <c r="D18" s="12" t="s">
        <v>1930</v>
      </c>
      <c r="E18" s="4" t="s">
        <v>1909</v>
      </c>
      <c r="F18" s="111" t="n">
        <v>1.1</v>
      </c>
      <c r="G18" s="111" t="n">
        <v>1.2</v>
      </c>
      <c r="H18" s="111" t="n">
        <v>1.3</v>
      </c>
      <c r="I18" s="12" t="s">
        <v>1937</v>
      </c>
      <c r="J18" s="12" t="s">
        <v>1901</v>
      </c>
    </row>
    <row r="19" customFormat="false" ht="15" hidden="false" customHeight="false" outlineLevel="0" collapsed="false">
      <c r="A19" s="4" t="s">
        <v>1938</v>
      </c>
      <c r="B19" s="4" t="s">
        <v>1928</v>
      </c>
      <c r="C19" s="3" t="s">
        <v>1929</v>
      </c>
      <c r="D19" s="12" t="s">
        <v>1930</v>
      </c>
      <c r="E19" s="4" t="s">
        <v>1912</v>
      </c>
      <c r="F19" s="111" t="n">
        <v>1.1</v>
      </c>
      <c r="G19" s="111" t="n">
        <v>1.2</v>
      </c>
      <c r="H19" s="111" t="n">
        <v>1.3</v>
      </c>
      <c r="I19" s="12" t="s">
        <v>1939</v>
      </c>
      <c r="J19" s="12" t="s">
        <v>1901</v>
      </c>
    </row>
    <row r="20" customFormat="false" ht="15" hidden="false" customHeight="false" outlineLevel="0" collapsed="false">
      <c r="A20" s="4" t="s">
        <v>1940</v>
      </c>
      <c r="B20" s="4" t="s">
        <v>1941</v>
      </c>
      <c r="C20" s="3" t="s">
        <v>1942</v>
      </c>
      <c r="D20" s="12" t="s">
        <v>1943</v>
      </c>
      <c r="E20" s="4" t="s">
        <v>1899</v>
      </c>
      <c r="F20" s="111" t="n">
        <v>21.4202694</v>
      </c>
      <c r="G20" s="111" t="n">
        <v>27.510214</v>
      </c>
      <c r="H20" s="111" t="n">
        <v>34.1207434</v>
      </c>
      <c r="I20" s="12" t="s">
        <v>1944</v>
      </c>
      <c r="J20" s="12" t="s">
        <v>1901</v>
      </c>
    </row>
    <row r="21" customFormat="false" ht="15" hidden="false" customHeight="false" outlineLevel="0" collapsed="false">
      <c r="A21" s="4" t="s">
        <v>1945</v>
      </c>
      <c r="B21" s="4" t="s">
        <v>1941</v>
      </c>
      <c r="C21" s="3" t="s">
        <v>1942</v>
      </c>
      <c r="D21" s="12" t="s">
        <v>1943</v>
      </c>
      <c r="E21" s="4" t="s">
        <v>1903</v>
      </c>
      <c r="F21" s="111" t="n">
        <v>20.6393904</v>
      </c>
      <c r="G21" s="111" t="n">
        <v>24.015174</v>
      </c>
      <c r="H21" s="111" t="n">
        <v>27.6502044</v>
      </c>
      <c r="I21" s="12" t="s">
        <v>1946</v>
      </c>
      <c r="J21" s="12" t="s">
        <v>1901</v>
      </c>
    </row>
    <row r="22" customFormat="false" ht="15" hidden="false" customHeight="false" outlineLevel="0" collapsed="false">
      <c r="A22" s="4" t="s">
        <v>1947</v>
      </c>
      <c r="B22" s="4" t="s">
        <v>1941</v>
      </c>
      <c r="C22" s="3" t="s">
        <v>1942</v>
      </c>
      <c r="D22" s="12" t="s">
        <v>1943</v>
      </c>
      <c r="E22" s="4" t="s">
        <v>1906</v>
      </c>
      <c r="F22" s="111" t="n">
        <v>28.5549024</v>
      </c>
      <c r="G22" s="111" t="n">
        <v>37.445504</v>
      </c>
      <c r="H22" s="111" t="n">
        <v>50.9505064</v>
      </c>
      <c r="I22" s="12" t="s">
        <v>1948</v>
      </c>
      <c r="J22" s="12" t="s">
        <v>1901</v>
      </c>
    </row>
    <row r="23" customFormat="false" ht="15" hidden="false" customHeight="false" outlineLevel="0" collapsed="false">
      <c r="A23" s="4" t="s">
        <v>1949</v>
      </c>
      <c r="B23" s="4" t="s">
        <v>1941</v>
      </c>
      <c r="C23" s="3" t="s">
        <v>1942</v>
      </c>
      <c r="D23" s="12" t="s">
        <v>1943</v>
      </c>
      <c r="E23" s="4" t="s">
        <v>1909</v>
      </c>
      <c r="F23" s="111" t="n">
        <v>33.2734032</v>
      </c>
      <c r="G23" s="111" t="n">
        <v>37.586352</v>
      </c>
      <c r="H23" s="111" t="n">
        <v>42.6375752</v>
      </c>
      <c r="I23" s="12" t="s">
        <v>1950</v>
      </c>
      <c r="J23" s="12" t="s">
        <v>1901</v>
      </c>
    </row>
    <row r="24" customFormat="false" ht="15" hidden="false" customHeight="false" outlineLevel="0" collapsed="false">
      <c r="A24" s="4" t="s">
        <v>1951</v>
      </c>
      <c r="B24" s="4" t="s">
        <v>1941</v>
      </c>
      <c r="C24" s="3" t="s">
        <v>1942</v>
      </c>
      <c r="D24" s="12" t="s">
        <v>1943</v>
      </c>
      <c r="E24" s="4" t="s">
        <v>1912</v>
      </c>
      <c r="F24" s="111" t="n">
        <v>35.845578</v>
      </c>
      <c r="G24" s="111" t="n">
        <v>50.08578</v>
      </c>
      <c r="H24" s="111" t="n">
        <v>65.481558</v>
      </c>
      <c r="I24" s="12" t="s">
        <v>1952</v>
      </c>
      <c r="J24" s="12" t="s">
        <v>1901</v>
      </c>
    </row>
    <row r="25" customFormat="false" ht="15" hidden="false" customHeight="false" outlineLevel="0" collapsed="false">
      <c r="A25" s="4" t="s">
        <v>1953</v>
      </c>
      <c r="B25" s="4" t="s">
        <v>1954</v>
      </c>
      <c r="C25" s="3" t="s">
        <v>1955</v>
      </c>
      <c r="D25" s="12" t="s">
        <v>1943</v>
      </c>
      <c r="E25" s="4" t="s">
        <v>1899</v>
      </c>
      <c r="F25" s="111" t="n">
        <v>10.212</v>
      </c>
      <c r="G25" s="111" t="n">
        <v>12.67</v>
      </c>
      <c r="H25" s="111" t="n">
        <v>16.186</v>
      </c>
      <c r="I25" s="12" t="s">
        <v>1956</v>
      </c>
      <c r="J25" s="12" t="s">
        <v>1901</v>
      </c>
    </row>
    <row r="26" customFormat="false" ht="15" hidden="false" customHeight="false" outlineLevel="0" collapsed="false">
      <c r="A26" s="4" t="s">
        <v>1957</v>
      </c>
      <c r="B26" s="4" t="s">
        <v>1954</v>
      </c>
      <c r="C26" s="3" t="s">
        <v>1955</v>
      </c>
      <c r="D26" s="12" t="s">
        <v>1943</v>
      </c>
      <c r="E26" s="4" t="s">
        <v>1903</v>
      </c>
      <c r="F26" s="111" t="n">
        <v>10.212</v>
      </c>
      <c r="G26" s="111" t="n">
        <v>12.67</v>
      </c>
      <c r="H26" s="111" t="n">
        <v>16.186</v>
      </c>
      <c r="I26" s="12" t="s">
        <v>1958</v>
      </c>
      <c r="J26" s="12" t="s">
        <v>1901</v>
      </c>
    </row>
    <row r="27" customFormat="false" ht="15" hidden="false" customHeight="false" outlineLevel="0" collapsed="false">
      <c r="A27" s="4" t="s">
        <v>1959</v>
      </c>
      <c r="B27" s="4" t="s">
        <v>1954</v>
      </c>
      <c r="C27" s="3" t="s">
        <v>1955</v>
      </c>
      <c r="D27" s="12" t="s">
        <v>1943</v>
      </c>
      <c r="E27" s="4" t="s">
        <v>1906</v>
      </c>
      <c r="F27" s="111" t="n">
        <v>10.212</v>
      </c>
      <c r="G27" s="111" t="n">
        <v>12.67</v>
      </c>
      <c r="H27" s="111" t="n">
        <v>16.186</v>
      </c>
      <c r="I27" s="12" t="s">
        <v>1960</v>
      </c>
      <c r="J27" s="12" t="s">
        <v>1901</v>
      </c>
    </row>
    <row r="28" customFormat="false" ht="15" hidden="false" customHeight="false" outlineLevel="0" collapsed="false">
      <c r="A28" s="4" t="s">
        <v>1961</v>
      </c>
      <c r="B28" s="4" t="s">
        <v>1954</v>
      </c>
      <c r="C28" s="3" t="s">
        <v>1955</v>
      </c>
      <c r="D28" s="12" t="s">
        <v>1943</v>
      </c>
      <c r="E28" s="4" t="s">
        <v>1909</v>
      </c>
      <c r="F28" s="111" t="n">
        <v>10.212</v>
      </c>
      <c r="G28" s="111" t="n">
        <v>12.67</v>
      </c>
      <c r="H28" s="111" t="n">
        <v>16.186</v>
      </c>
      <c r="I28" s="12" t="s">
        <v>1962</v>
      </c>
      <c r="J28" s="12" t="s">
        <v>1901</v>
      </c>
    </row>
    <row r="29" customFormat="false" ht="15" hidden="false" customHeight="false" outlineLevel="0" collapsed="false">
      <c r="A29" s="4" t="s">
        <v>1963</v>
      </c>
      <c r="B29" s="4" t="s">
        <v>1954</v>
      </c>
      <c r="C29" s="3" t="s">
        <v>1955</v>
      </c>
      <c r="D29" s="12" t="s">
        <v>1943</v>
      </c>
      <c r="E29" s="4" t="s">
        <v>1912</v>
      </c>
      <c r="F29" s="111" t="n">
        <v>10.212</v>
      </c>
      <c r="G29" s="111" t="n">
        <v>12.67</v>
      </c>
      <c r="H29" s="111" t="n">
        <v>16.186</v>
      </c>
      <c r="I29" s="12" t="s">
        <v>1964</v>
      </c>
      <c r="J29" s="12" t="s">
        <v>1901</v>
      </c>
    </row>
    <row r="30" customFormat="false" ht="15" hidden="false" customHeight="false" outlineLevel="0" collapsed="false">
      <c r="A30" s="4" t="s">
        <v>1965</v>
      </c>
      <c r="B30" s="4" t="s">
        <v>1966</v>
      </c>
      <c r="C30" s="3" t="s">
        <v>1967</v>
      </c>
      <c r="D30" s="12" t="s">
        <v>1943</v>
      </c>
      <c r="E30" s="4" t="s">
        <v>1899</v>
      </c>
      <c r="F30" s="111" t="n">
        <v>31.6322694</v>
      </c>
      <c r="G30" s="111" t="n">
        <v>40.180214</v>
      </c>
      <c r="H30" s="111" t="n">
        <v>50.3067434</v>
      </c>
      <c r="I30" s="12" t="s">
        <v>1968</v>
      </c>
      <c r="J30" s="12" t="s">
        <v>1901</v>
      </c>
    </row>
    <row r="31" customFormat="false" ht="15" hidden="false" customHeight="false" outlineLevel="0" collapsed="false">
      <c r="A31" s="4" t="s">
        <v>1969</v>
      </c>
      <c r="B31" s="4" t="s">
        <v>1966</v>
      </c>
      <c r="C31" s="3" t="s">
        <v>1967</v>
      </c>
      <c r="D31" s="12" t="s">
        <v>1943</v>
      </c>
      <c r="E31" s="4" t="s">
        <v>1903</v>
      </c>
      <c r="F31" s="111" t="n">
        <v>30.8513904</v>
      </c>
      <c r="G31" s="111" t="n">
        <v>36.685174</v>
      </c>
      <c r="H31" s="111" t="n">
        <v>43.8362044</v>
      </c>
      <c r="I31" s="12" t="s">
        <v>1970</v>
      </c>
      <c r="J31" s="12" t="s">
        <v>1901</v>
      </c>
    </row>
    <row r="32" customFormat="false" ht="15" hidden="false" customHeight="false" outlineLevel="0" collapsed="false">
      <c r="A32" s="4" t="s">
        <v>1971</v>
      </c>
      <c r="B32" s="4" t="s">
        <v>1966</v>
      </c>
      <c r="C32" s="3" t="s">
        <v>1967</v>
      </c>
      <c r="D32" s="12" t="s">
        <v>1943</v>
      </c>
      <c r="E32" s="4" t="s">
        <v>1906</v>
      </c>
      <c r="F32" s="111" t="n">
        <v>38.7669024</v>
      </c>
      <c r="G32" s="111" t="n">
        <v>50.115504</v>
      </c>
      <c r="H32" s="111" t="n">
        <v>67.1365064</v>
      </c>
      <c r="I32" s="12" t="s">
        <v>1972</v>
      </c>
      <c r="J32" s="12" t="s">
        <v>1901</v>
      </c>
    </row>
    <row r="33" customFormat="false" ht="15" hidden="false" customHeight="false" outlineLevel="0" collapsed="false">
      <c r="A33" s="4" t="s">
        <v>1973</v>
      </c>
      <c r="B33" s="4" t="s">
        <v>1966</v>
      </c>
      <c r="C33" s="3" t="s">
        <v>1967</v>
      </c>
      <c r="D33" s="12" t="s">
        <v>1943</v>
      </c>
      <c r="E33" s="4" t="s">
        <v>1909</v>
      </c>
      <c r="F33" s="111" t="n">
        <v>43.4854032</v>
      </c>
      <c r="G33" s="111" t="n">
        <v>50.256352</v>
      </c>
      <c r="H33" s="111" t="n">
        <v>58.8235752</v>
      </c>
      <c r="I33" s="12" t="s">
        <v>1974</v>
      </c>
      <c r="J33" s="12" t="s">
        <v>1901</v>
      </c>
    </row>
    <row r="34" customFormat="false" ht="15" hidden="false" customHeight="false" outlineLevel="0" collapsed="false">
      <c r="A34" s="4" t="s">
        <v>1975</v>
      </c>
      <c r="B34" s="4" t="s">
        <v>1966</v>
      </c>
      <c r="C34" s="3" t="s">
        <v>1967</v>
      </c>
      <c r="D34" s="12" t="s">
        <v>1943</v>
      </c>
      <c r="E34" s="4" t="s">
        <v>1912</v>
      </c>
      <c r="F34" s="111" t="n">
        <v>46.057578</v>
      </c>
      <c r="G34" s="111" t="n">
        <v>62.75578</v>
      </c>
      <c r="H34" s="111" t="n">
        <v>81.667558</v>
      </c>
      <c r="I34" s="12" t="s">
        <v>1976</v>
      </c>
      <c r="J34" s="12" t="s">
        <v>1901</v>
      </c>
    </row>
    <row r="35" customFormat="false" ht="15" hidden="false" customHeight="false" outlineLevel="0" collapsed="false">
      <c r="A35" s="4" t="s">
        <v>1977</v>
      </c>
      <c r="B35" s="4" t="s">
        <v>1978</v>
      </c>
      <c r="C35" s="3" t="s">
        <v>1979</v>
      </c>
      <c r="D35" s="12" t="s">
        <v>1980</v>
      </c>
      <c r="E35" s="4" t="s">
        <v>1899</v>
      </c>
      <c r="F35" s="111" t="n">
        <v>5.39897242953333</v>
      </c>
      <c r="G35" s="111" t="n">
        <v>7.49682782333333</v>
      </c>
      <c r="H35" s="111" t="n">
        <v>12.9492728665333</v>
      </c>
      <c r="I35" s="12" t="s">
        <v>1981</v>
      </c>
      <c r="J35" s="12" t="s">
        <v>1901</v>
      </c>
    </row>
    <row r="36" customFormat="false" ht="15" hidden="false" customHeight="false" outlineLevel="0" collapsed="false">
      <c r="A36" s="4" t="s">
        <v>1982</v>
      </c>
      <c r="B36" s="4" t="s">
        <v>1978</v>
      </c>
      <c r="C36" s="3" t="s">
        <v>1979</v>
      </c>
      <c r="D36" s="12" t="s">
        <v>1980</v>
      </c>
      <c r="E36" s="4" t="s">
        <v>1903</v>
      </c>
      <c r="F36" s="111" t="n">
        <v>5.25086571253333</v>
      </c>
      <c r="G36" s="111" t="n">
        <v>6.79199475666667</v>
      </c>
      <c r="H36" s="111" t="n">
        <v>11.0210522445333</v>
      </c>
      <c r="I36" s="12" t="s">
        <v>1983</v>
      </c>
      <c r="J36" s="12" t="s">
        <v>1901</v>
      </c>
    </row>
    <row r="37" customFormat="false" ht="15" hidden="false" customHeight="false" outlineLevel="0" collapsed="false">
      <c r="A37" s="4" t="s">
        <v>1984</v>
      </c>
      <c r="B37" s="4" t="s">
        <v>1978</v>
      </c>
      <c r="C37" s="3" t="s">
        <v>1979</v>
      </c>
      <c r="D37" s="12" t="s">
        <v>1980</v>
      </c>
      <c r="E37" s="4" t="s">
        <v>1906</v>
      </c>
      <c r="F37" s="111" t="n">
        <v>6.75217448853333</v>
      </c>
      <c r="G37" s="111" t="n">
        <v>9.50044464</v>
      </c>
      <c r="H37" s="111" t="n">
        <v>17.9645422405333</v>
      </c>
      <c r="I37" s="12" t="s">
        <v>1985</v>
      </c>
      <c r="J37" s="12" t="s">
        <v>1901</v>
      </c>
    </row>
    <row r="38" customFormat="false" ht="15" hidden="false" customHeight="false" outlineLevel="0" collapsed="false">
      <c r="A38" s="4" t="s">
        <v>1986</v>
      </c>
      <c r="B38" s="4" t="s">
        <v>1978</v>
      </c>
      <c r="C38" s="3" t="s">
        <v>1979</v>
      </c>
      <c r="D38" s="12" t="s">
        <v>1980</v>
      </c>
      <c r="E38" s="4" t="s">
        <v>1909</v>
      </c>
      <c r="F38" s="111" t="n">
        <v>7.64711680693333</v>
      </c>
      <c r="G38" s="111" t="n">
        <v>9.52884898666667</v>
      </c>
      <c r="H38" s="111" t="n">
        <v>15.4872887429333</v>
      </c>
      <c r="I38" s="12" t="s">
        <v>1987</v>
      </c>
      <c r="J38" s="12" t="s">
        <v>1901</v>
      </c>
    </row>
    <row r="39" customFormat="false" ht="15" hidden="false" customHeight="false" outlineLevel="0" collapsed="false">
      <c r="A39" s="4" t="s">
        <v>1988</v>
      </c>
      <c r="B39" s="4" t="s">
        <v>1978</v>
      </c>
      <c r="C39" s="3" t="s">
        <v>1979</v>
      </c>
      <c r="D39" s="12" t="s">
        <v>1980</v>
      </c>
      <c r="E39" s="4" t="s">
        <v>1912</v>
      </c>
      <c r="F39" s="111" t="n">
        <v>8.13497262733334</v>
      </c>
      <c r="G39" s="111" t="n">
        <v>12.0495669666667</v>
      </c>
      <c r="H39" s="111" t="n">
        <v>22.2947956173333</v>
      </c>
      <c r="I39" s="12" t="s">
        <v>1989</v>
      </c>
      <c r="J39" s="12" t="s">
        <v>1901</v>
      </c>
    </row>
    <row r="40" customFormat="false" ht="15" hidden="false" customHeight="false" outlineLevel="0" collapsed="false">
      <c r="A40" s="4" t="s">
        <v>1990</v>
      </c>
      <c r="B40" s="4" t="s">
        <v>1991</v>
      </c>
      <c r="C40" s="3" t="s">
        <v>1992</v>
      </c>
      <c r="D40" s="12" t="s">
        <v>1980</v>
      </c>
      <c r="E40" s="4" t="s">
        <v>1899</v>
      </c>
      <c r="F40" s="111" t="n">
        <v>7.0000433103819</v>
      </c>
      <c r="G40" s="111" t="n">
        <v>10.0957952959174</v>
      </c>
      <c r="H40" s="111" t="n">
        <v>17.4059720636914</v>
      </c>
      <c r="I40" s="12" t="s">
        <v>1993</v>
      </c>
      <c r="J40" s="12" t="s">
        <v>1901</v>
      </c>
    </row>
    <row r="41" customFormat="false" ht="15" hidden="false" customHeight="false" outlineLevel="0" collapsed="false">
      <c r="A41" s="4" t="s">
        <v>1994</v>
      </c>
      <c r="B41" s="4" t="s">
        <v>1991</v>
      </c>
      <c r="C41" s="3" t="s">
        <v>1992</v>
      </c>
      <c r="D41" s="12" t="s">
        <v>1980</v>
      </c>
      <c r="E41" s="4" t="s">
        <v>1903</v>
      </c>
      <c r="F41" s="111" t="n">
        <v>6.81316695089878</v>
      </c>
      <c r="G41" s="111" t="n">
        <v>9.17098191725462</v>
      </c>
      <c r="H41" s="111" t="n">
        <v>14.9200285257983</v>
      </c>
      <c r="I41" s="12" t="s">
        <v>1995</v>
      </c>
      <c r="J41" s="12" t="s">
        <v>1901</v>
      </c>
    </row>
    <row r="42" customFormat="false" ht="15" hidden="false" customHeight="false" outlineLevel="0" collapsed="false">
      <c r="A42" s="4" t="s">
        <v>1996</v>
      </c>
      <c r="B42" s="4" t="s">
        <v>1991</v>
      </c>
      <c r="C42" s="3" t="s">
        <v>1992</v>
      </c>
      <c r="D42" s="12" t="s">
        <v>1980</v>
      </c>
      <c r="E42" s="4" t="s">
        <v>1906</v>
      </c>
      <c r="F42" s="111" t="n">
        <v>8.70747076237914</v>
      </c>
      <c r="G42" s="111" t="n">
        <v>12.7247463559608</v>
      </c>
      <c r="H42" s="111" t="n">
        <v>23.87186935202</v>
      </c>
      <c r="I42" s="12" t="s">
        <v>1997</v>
      </c>
      <c r="J42" s="12" t="s">
        <v>1901</v>
      </c>
    </row>
    <row r="43" customFormat="false" ht="15" hidden="false" customHeight="false" outlineLevel="0" collapsed="false">
      <c r="A43" s="4" t="s">
        <v>1998</v>
      </c>
      <c r="B43" s="4" t="s">
        <v>1991</v>
      </c>
      <c r="C43" s="3" t="s">
        <v>1992</v>
      </c>
      <c r="D43" s="12" t="s">
        <v>1980</v>
      </c>
      <c r="E43" s="4" t="s">
        <v>1909</v>
      </c>
      <c r="F43" s="111" t="n">
        <v>9.83668060375303</v>
      </c>
      <c r="G43" s="111" t="n">
        <v>12.7620157762701</v>
      </c>
      <c r="H43" s="111" t="n">
        <v>20.6780894215396</v>
      </c>
      <c r="I43" s="12" t="s">
        <v>1999</v>
      </c>
      <c r="J43" s="12" t="s">
        <v>1901</v>
      </c>
    </row>
    <row r="44" customFormat="false" ht="15" hidden="false" customHeight="false" outlineLevel="0" collapsed="false">
      <c r="A44" s="4" t="s">
        <v>2000</v>
      </c>
      <c r="B44" s="4" t="s">
        <v>1991</v>
      </c>
      <c r="C44" s="3" t="s">
        <v>1992</v>
      </c>
      <c r="D44" s="12" t="s">
        <v>1980</v>
      </c>
      <c r="E44" s="4" t="s">
        <v>1912</v>
      </c>
      <c r="F44" s="111" t="n">
        <v>10.4522416094636</v>
      </c>
      <c r="G44" s="111" t="n">
        <v>16.0694566753819</v>
      </c>
      <c r="H44" s="111" t="n">
        <v>29.454615058956</v>
      </c>
      <c r="I44" s="12" t="s">
        <v>2001</v>
      </c>
      <c r="J44" s="12" t="s">
        <v>1901</v>
      </c>
    </row>
    <row r="45" customFormat="false" ht="15" hidden="false" customHeight="false" outlineLevel="0" collapsed="false">
      <c r="A45" s="4" t="s">
        <v>2002</v>
      </c>
      <c r="B45" s="4" t="s">
        <v>2003</v>
      </c>
      <c r="C45" s="3" t="s">
        <v>2004</v>
      </c>
      <c r="D45" s="12" t="s">
        <v>2005</v>
      </c>
      <c r="E45" s="4" t="s">
        <v>1899</v>
      </c>
      <c r="F45" s="111" t="n">
        <v>1.11286669150028</v>
      </c>
      <c r="G45" s="111" t="n">
        <v>1.60502925637165</v>
      </c>
      <c r="H45" s="111" t="n">
        <v>2.76720095633376</v>
      </c>
      <c r="I45" s="12" t="s">
        <v>2006</v>
      </c>
      <c r="J45" s="12" t="s">
        <v>1901</v>
      </c>
    </row>
    <row r="46" customFormat="false" ht="15" hidden="false" customHeight="false" outlineLevel="0" collapsed="false">
      <c r="A46" s="4" t="s">
        <v>2007</v>
      </c>
      <c r="B46" s="4" t="s">
        <v>2003</v>
      </c>
      <c r="C46" s="3" t="s">
        <v>2004</v>
      </c>
      <c r="D46" s="12" t="s">
        <v>2005</v>
      </c>
      <c r="E46" s="4" t="s">
        <v>1903</v>
      </c>
      <c r="F46" s="111" t="n">
        <v>1.55003663914234</v>
      </c>
      <c r="G46" s="111" t="n">
        <v>2.08645378736555</v>
      </c>
      <c r="H46" s="111" t="n">
        <v>3.39439662035368</v>
      </c>
      <c r="I46" s="12" t="s">
        <v>2008</v>
      </c>
      <c r="J46" s="12" t="s">
        <v>1901</v>
      </c>
    </row>
    <row r="47" customFormat="false" ht="15" hidden="false" customHeight="false" outlineLevel="0" collapsed="false">
      <c r="A47" s="4" t="s">
        <v>2009</v>
      </c>
      <c r="B47" s="4" t="s">
        <v>2003</v>
      </c>
      <c r="C47" s="3" t="s">
        <v>2004</v>
      </c>
      <c r="D47" s="12" t="s">
        <v>2005</v>
      </c>
      <c r="E47" s="4" t="s">
        <v>1906</v>
      </c>
      <c r="F47" s="111" t="n">
        <v>2.04104144426194</v>
      </c>
      <c r="G47" s="111" t="n">
        <v>2.98269559427618</v>
      </c>
      <c r="H47" s="111" t="n">
        <v>5.59559440727497</v>
      </c>
      <c r="I47" s="12" t="s">
        <v>2010</v>
      </c>
      <c r="J47" s="12" t="s">
        <v>1901</v>
      </c>
    </row>
    <row r="48" customFormat="false" ht="15" hidden="false" customHeight="false" outlineLevel="0" collapsed="false">
      <c r="A48" s="4" t="s">
        <v>2011</v>
      </c>
      <c r="B48" s="4" t="s">
        <v>2003</v>
      </c>
      <c r="C48" s="3" t="s">
        <v>2004</v>
      </c>
      <c r="D48" s="12" t="s">
        <v>2005</v>
      </c>
      <c r="E48" s="4" t="s">
        <v>1909</v>
      </c>
      <c r="F48" s="111" t="n">
        <v>3.84895231682799</v>
      </c>
      <c r="G48" s="111" t="n">
        <v>4.99359409623699</v>
      </c>
      <c r="H48" s="111" t="n">
        <v>8.09104040200768</v>
      </c>
      <c r="I48" s="12" t="s">
        <v>2012</v>
      </c>
      <c r="J48" s="12" t="s">
        <v>1901</v>
      </c>
    </row>
    <row r="49" customFormat="false" ht="15" hidden="false" customHeight="false" outlineLevel="0" collapsed="false">
      <c r="A49" s="4" t="s">
        <v>2013</v>
      </c>
      <c r="B49" s="4" t="s">
        <v>2003</v>
      </c>
      <c r="C49" s="3" t="s">
        <v>2004</v>
      </c>
      <c r="D49" s="12" t="s">
        <v>2005</v>
      </c>
      <c r="E49" s="4" t="s">
        <v>1912</v>
      </c>
      <c r="F49" s="111" t="n">
        <v>6.12640309057557</v>
      </c>
      <c r="G49" s="111" t="n">
        <v>9.41883786448199</v>
      </c>
      <c r="H49" s="111" t="n">
        <v>17.2643200828347</v>
      </c>
      <c r="I49" s="12" t="s">
        <v>2014</v>
      </c>
      <c r="J49" s="12" t="s">
        <v>1901</v>
      </c>
    </row>
    <row r="50" customFormat="false" ht="15" hidden="false" customHeight="false" outlineLevel="0" collapsed="false">
      <c r="A50" s="4" t="s">
        <v>2015</v>
      </c>
      <c r="B50" s="4" t="s">
        <v>2016</v>
      </c>
      <c r="C50" s="3" t="s">
        <v>2017</v>
      </c>
      <c r="D50" s="12" t="s">
        <v>1980</v>
      </c>
      <c r="E50" s="4" t="s">
        <v>1899</v>
      </c>
      <c r="F50" s="111" t="n">
        <v>0.404712</v>
      </c>
      <c r="G50" s="111" t="n">
        <v>0.672768</v>
      </c>
      <c r="H50" s="111" t="n">
        <v>1.02492</v>
      </c>
      <c r="I50" s="12" t="s">
        <v>2018</v>
      </c>
      <c r="J50" s="12" t="s">
        <v>1901</v>
      </c>
    </row>
    <row r="51" customFormat="false" ht="15" hidden="false" customHeight="false" outlineLevel="0" collapsed="false">
      <c r="A51" s="4" t="s">
        <v>2019</v>
      </c>
      <c r="B51" s="4" t="s">
        <v>2016</v>
      </c>
      <c r="C51" s="3" t="s">
        <v>2017</v>
      </c>
      <c r="D51" s="12" t="s">
        <v>1980</v>
      </c>
      <c r="E51" s="4" t="s">
        <v>1903</v>
      </c>
      <c r="F51" s="111" t="n">
        <v>0.404712</v>
      </c>
      <c r="G51" s="111" t="n">
        <v>0.672768</v>
      </c>
      <c r="H51" s="111" t="n">
        <v>1.02492</v>
      </c>
      <c r="I51" s="12" t="s">
        <v>2020</v>
      </c>
      <c r="J51" s="12" t="s">
        <v>1901</v>
      </c>
    </row>
    <row r="52" customFormat="false" ht="15" hidden="false" customHeight="false" outlineLevel="0" collapsed="false">
      <c r="A52" s="4" t="s">
        <v>2021</v>
      </c>
      <c r="B52" s="4" t="s">
        <v>2016</v>
      </c>
      <c r="C52" s="3" t="s">
        <v>2017</v>
      </c>
      <c r="D52" s="12" t="s">
        <v>1980</v>
      </c>
      <c r="E52" s="4" t="s">
        <v>1906</v>
      </c>
      <c r="F52" s="111" t="n">
        <v>0.404712</v>
      </c>
      <c r="G52" s="111" t="n">
        <v>0.672768</v>
      </c>
      <c r="H52" s="111" t="n">
        <v>1.02492</v>
      </c>
      <c r="I52" s="12" t="s">
        <v>2022</v>
      </c>
      <c r="J52" s="12" t="s">
        <v>1901</v>
      </c>
    </row>
    <row r="53" customFormat="false" ht="15" hidden="false" customHeight="false" outlineLevel="0" collapsed="false">
      <c r="A53" s="4" t="s">
        <v>2023</v>
      </c>
      <c r="B53" s="4" t="s">
        <v>2016</v>
      </c>
      <c r="C53" s="3" t="s">
        <v>2017</v>
      </c>
      <c r="D53" s="12" t="s">
        <v>1980</v>
      </c>
      <c r="E53" s="4" t="s">
        <v>1909</v>
      </c>
      <c r="F53" s="111" t="n">
        <v>0.404712</v>
      </c>
      <c r="G53" s="111" t="n">
        <v>0.672768</v>
      </c>
      <c r="H53" s="111" t="n">
        <v>1.02492</v>
      </c>
      <c r="I53" s="12" t="s">
        <v>2024</v>
      </c>
      <c r="J53" s="12" t="s">
        <v>1901</v>
      </c>
    </row>
    <row r="54" customFormat="false" ht="15" hidden="false" customHeight="false" outlineLevel="0" collapsed="false">
      <c r="A54" s="4" t="s">
        <v>2025</v>
      </c>
      <c r="B54" s="4" t="s">
        <v>2016</v>
      </c>
      <c r="C54" s="3" t="s">
        <v>2017</v>
      </c>
      <c r="D54" s="12" t="s">
        <v>1980</v>
      </c>
      <c r="E54" s="4" t="s">
        <v>1912</v>
      </c>
      <c r="F54" s="111" t="n">
        <v>0.404712</v>
      </c>
      <c r="G54" s="111" t="n">
        <v>0.672768</v>
      </c>
      <c r="H54" s="111" t="n">
        <v>1.02492</v>
      </c>
      <c r="I54" s="12" t="s">
        <v>2026</v>
      </c>
      <c r="J54" s="12" t="s">
        <v>1901</v>
      </c>
    </row>
    <row r="55" customFormat="false" ht="15" hidden="false" customHeight="false" outlineLevel="0" collapsed="false">
      <c r="A55" s="4" t="s">
        <v>2027</v>
      </c>
      <c r="B55" s="4" t="s">
        <v>2028</v>
      </c>
      <c r="C55" s="3" t="s">
        <v>2029</v>
      </c>
      <c r="D55" s="12" t="s">
        <v>77</v>
      </c>
      <c r="E55" s="4" t="s">
        <v>1462</v>
      </c>
      <c r="F55" s="112"/>
      <c r="G55" s="23" t="n">
        <v>0.6</v>
      </c>
      <c r="H55" s="112"/>
      <c r="I55" s="12" t="s">
        <v>2030</v>
      </c>
      <c r="J55" s="12" t="s">
        <v>1901</v>
      </c>
    </row>
    <row r="56" customFormat="false" ht="15" hidden="false" customHeight="false" outlineLevel="0" collapsed="false">
      <c r="A56" s="4" t="s">
        <v>2031</v>
      </c>
      <c r="B56" s="4" t="s">
        <v>2032</v>
      </c>
      <c r="C56" s="3" t="s">
        <v>2033</v>
      </c>
      <c r="D56" s="12" t="s">
        <v>2034</v>
      </c>
      <c r="E56" s="4" t="s">
        <v>1462</v>
      </c>
      <c r="F56" s="111" t="n">
        <v>10.212</v>
      </c>
      <c r="G56" s="111" t="n">
        <v>12.67</v>
      </c>
      <c r="H56" s="111" t="n">
        <v>16.186</v>
      </c>
      <c r="I56" s="12" t="s">
        <v>2035</v>
      </c>
      <c r="J56" s="12" t="s">
        <v>1901</v>
      </c>
    </row>
    <row r="57" customFormat="false" ht="15" hidden="false" customHeight="false" outlineLevel="0" collapsed="false">
      <c r="A57" s="4" t="s">
        <v>2036</v>
      </c>
      <c r="B57" s="4" t="s">
        <v>2037</v>
      </c>
      <c r="C57" s="3" t="s">
        <v>2038</v>
      </c>
      <c r="D57" s="12" t="s">
        <v>2005</v>
      </c>
      <c r="E57" s="4" t="s">
        <v>1462</v>
      </c>
      <c r="F57" s="111" t="n">
        <v>1.55003663914234</v>
      </c>
      <c r="G57" s="111" t="n">
        <v>2.08645378736555</v>
      </c>
      <c r="H57" s="111" t="n">
        <v>3.39439662035368</v>
      </c>
      <c r="I57" s="12" t="s">
        <v>2039</v>
      </c>
      <c r="J57" s="12" t="s">
        <v>1901</v>
      </c>
    </row>
    <row r="58" customFormat="false" ht="15" hidden="false" customHeight="false" outlineLevel="0" collapsed="false">
      <c r="A58" s="4" t="s">
        <v>2040</v>
      </c>
      <c r="B58" s="4" t="s">
        <v>2041</v>
      </c>
      <c r="C58" s="3" t="s">
        <v>2042</v>
      </c>
      <c r="D58" s="12" t="s">
        <v>2005</v>
      </c>
      <c r="E58" s="4" t="s">
        <v>1462</v>
      </c>
      <c r="F58" s="111" t="n">
        <v>2.04104144426194</v>
      </c>
      <c r="G58" s="111" t="n">
        <v>2.98269559427618</v>
      </c>
      <c r="H58" s="111" t="n">
        <v>5.59559440727497</v>
      </c>
      <c r="I58" s="12" t="s">
        <v>2043</v>
      </c>
      <c r="J58" s="12" t="s">
        <v>1901</v>
      </c>
    </row>
    <row r="59" customFormat="false" ht="15" hidden="false" customHeight="false" outlineLevel="0" collapsed="false">
      <c r="A59" s="4" t="s">
        <v>2044</v>
      </c>
      <c r="B59" s="4" t="s">
        <v>2045</v>
      </c>
      <c r="C59" s="4" t="s">
        <v>2046</v>
      </c>
      <c r="D59" s="12" t="s">
        <v>2047</v>
      </c>
      <c r="E59" s="4" t="s">
        <v>1462</v>
      </c>
      <c r="F59" s="111" t="n">
        <v>32.4824679759956</v>
      </c>
      <c r="G59" s="111" t="n">
        <v>48.7237019639935</v>
      </c>
      <c r="H59" s="111" t="n">
        <v>64.9649359519913</v>
      </c>
      <c r="I59" s="12" t="s">
        <v>2048</v>
      </c>
      <c r="J59" s="12" t="s">
        <v>1901</v>
      </c>
    </row>
    <row r="60" customFormat="false" ht="15" hidden="false" customHeight="false" outlineLevel="0" collapsed="false">
      <c r="A60" s="4" t="s">
        <v>2049</v>
      </c>
      <c r="B60" s="4" t="s">
        <v>2050</v>
      </c>
      <c r="C60" s="4" t="s">
        <v>2051</v>
      </c>
      <c r="D60" s="7" t="s">
        <v>360</v>
      </c>
      <c r="E60" s="4" t="s">
        <v>1899</v>
      </c>
      <c r="F60" s="111" t="n">
        <v>6</v>
      </c>
      <c r="G60" s="111" t="n">
        <v>6</v>
      </c>
      <c r="H60" s="111" t="n">
        <v>4</v>
      </c>
      <c r="I60" s="12" t="s">
        <v>2052</v>
      </c>
      <c r="J60" s="12" t="s">
        <v>1901</v>
      </c>
    </row>
    <row r="61" customFormat="false" ht="15" hidden="false" customHeight="false" outlineLevel="0" collapsed="false">
      <c r="A61" s="4" t="s">
        <v>2053</v>
      </c>
      <c r="B61" s="4" t="s">
        <v>2050</v>
      </c>
      <c r="C61" s="4" t="s">
        <v>2051</v>
      </c>
      <c r="D61" s="7" t="s">
        <v>360</v>
      </c>
      <c r="E61" s="4" t="s">
        <v>1903</v>
      </c>
      <c r="F61" s="111" t="n">
        <v>6</v>
      </c>
      <c r="G61" s="111" t="n">
        <v>6</v>
      </c>
      <c r="H61" s="111" t="n">
        <v>4</v>
      </c>
      <c r="I61" s="12" t="s">
        <v>2054</v>
      </c>
      <c r="J61" s="12" t="s">
        <v>1901</v>
      </c>
    </row>
    <row r="62" customFormat="false" ht="15" hidden="false" customHeight="false" outlineLevel="0" collapsed="false">
      <c r="A62" s="4" t="s">
        <v>2055</v>
      </c>
      <c r="B62" s="4" t="s">
        <v>2050</v>
      </c>
      <c r="C62" s="4" t="s">
        <v>2051</v>
      </c>
      <c r="D62" s="7" t="s">
        <v>360</v>
      </c>
      <c r="E62" s="4" t="s">
        <v>1906</v>
      </c>
      <c r="F62" s="111" t="n">
        <v>6</v>
      </c>
      <c r="G62" s="111" t="n">
        <v>6</v>
      </c>
      <c r="H62" s="111" t="n">
        <v>4</v>
      </c>
      <c r="I62" s="12" t="s">
        <v>2056</v>
      </c>
      <c r="J62" s="12" t="s">
        <v>1901</v>
      </c>
    </row>
    <row r="63" customFormat="false" ht="15" hidden="false" customHeight="false" outlineLevel="0" collapsed="false">
      <c r="A63" s="4" t="s">
        <v>2057</v>
      </c>
      <c r="B63" s="4" t="s">
        <v>2050</v>
      </c>
      <c r="C63" s="4" t="s">
        <v>2051</v>
      </c>
      <c r="D63" s="7" t="s">
        <v>360</v>
      </c>
      <c r="E63" s="4" t="s">
        <v>1909</v>
      </c>
      <c r="F63" s="111" t="n">
        <v>6</v>
      </c>
      <c r="G63" s="111" t="n">
        <v>6</v>
      </c>
      <c r="H63" s="111" t="n">
        <v>4</v>
      </c>
      <c r="I63" s="12" t="s">
        <v>2058</v>
      </c>
      <c r="J63" s="12" t="s">
        <v>1901</v>
      </c>
    </row>
    <row r="64" customFormat="false" ht="15" hidden="false" customHeight="false" outlineLevel="0" collapsed="false">
      <c r="A64" s="4" t="s">
        <v>2059</v>
      </c>
      <c r="B64" s="4" t="s">
        <v>2050</v>
      </c>
      <c r="C64" s="4" t="s">
        <v>2051</v>
      </c>
      <c r="D64" s="7" t="s">
        <v>360</v>
      </c>
      <c r="E64" s="4" t="s">
        <v>1912</v>
      </c>
      <c r="F64" s="111" t="n">
        <v>6</v>
      </c>
      <c r="G64" s="111" t="n">
        <v>6</v>
      </c>
      <c r="H64" s="111" t="n">
        <v>4</v>
      </c>
      <c r="I64" s="12" t="s">
        <v>2060</v>
      </c>
      <c r="J64" s="12" t="s">
        <v>1901</v>
      </c>
    </row>
    <row r="65" customFormat="false" ht="15" hidden="false" customHeight="false" outlineLevel="0" collapsed="false">
      <c r="A65" s="4" t="s">
        <v>2061</v>
      </c>
      <c r="B65" s="4" t="s">
        <v>2062</v>
      </c>
      <c r="C65" s="3" t="s">
        <v>2063</v>
      </c>
      <c r="D65" s="12" t="s">
        <v>1980</v>
      </c>
      <c r="E65" s="4" t="s">
        <v>1899</v>
      </c>
      <c r="F65" s="111" t="n">
        <v>3.5700449</v>
      </c>
      <c r="G65" s="111" t="n">
        <v>4.58503566666667</v>
      </c>
      <c r="H65" s="111" t="n">
        <v>8.53018585</v>
      </c>
      <c r="I65" s="12" t="s">
        <v>2064</v>
      </c>
      <c r="J65" s="12" t="s">
        <v>1901</v>
      </c>
    </row>
    <row r="66" customFormat="false" ht="15" hidden="false" customHeight="false" outlineLevel="0" collapsed="false">
      <c r="A66" s="4" t="s">
        <v>2065</v>
      </c>
      <c r="B66" s="4" t="s">
        <v>2062</v>
      </c>
      <c r="C66" s="3" t="s">
        <v>2063</v>
      </c>
      <c r="D66" s="12" t="s">
        <v>1980</v>
      </c>
      <c r="E66" s="4" t="s">
        <v>1903</v>
      </c>
      <c r="F66" s="111" t="n">
        <v>3.4398984</v>
      </c>
      <c r="G66" s="111" t="n">
        <v>4.002529</v>
      </c>
      <c r="H66" s="111" t="n">
        <v>6.9125511</v>
      </c>
      <c r="I66" s="12" t="s">
        <v>2066</v>
      </c>
      <c r="J66" s="12" t="s">
        <v>1901</v>
      </c>
    </row>
    <row r="67" customFormat="false" ht="15" hidden="false" customHeight="false" outlineLevel="0" collapsed="false">
      <c r="A67" s="4" t="s">
        <v>2067</v>
      </c>
      <c r="B67" s="4" t="s">
        <v>2062</v>
      </c>
      <c r="C67" s="3" t="s">
        <v>2063</v>
      </c>
      <c r="D67" s="12" t="s">
        <v>1980</v>
      </c>
      <c r="E67" s="4" t="s">
        <v>1906</v>
      </c>
      <c r="F67" s="111" t="n">
        <v>4.7591504</v>
      </c>
      <c r="G67" s="111" t="n">
        <v>6.24091733333333</v>
      </c>
      <c r="H67" s="111" t="n">
        <v>12.7376266</v>
      </c>
      <c r="I67" s="12" t="s">
        <v>2068</v>
      </c>
      <c r="J67" s="12" t="s">
        <v>1901</v>
      </c>
    </row>
    <row r="68" customFormat="false" ht="15" hidden="false" customHeight="false" outlineLevel="0" collapsed="false">
      <c r="A68" s="4" t="s">
        <v>2069</v>
      </c>
      <c r="B68" s="4" t="s">
        <v>2062</v>
      </c>
      <c r="C68" s="3" t="s">
        <v>2063</v>
      </c>
      <c r="D68" s="12" t="s">
        <v>1980</v>
      </c>
      <c r="E68" s="4" t="s">
        <v>1909</v>
      </c>
      <c r="F68" s="111" t="n">
        <v>5.5455672</v>
      </c>
      <c r="G68" s="111" t="n">
        <v>6.264392</v>
      </c>
      <c r="H68" s="111" t="n">
        <v>10.6593938</v>
      </c>
      <c r="I68" s="12" t="s">
        <v>2070</v>
      </c>
      <c r="J68" s="12" t="s">
        <v>1901</v>
      </c>
    </row>
    <row r="69" customFormat="false" ht="15" hidden="false" customHeight="false" outlineLevel="0" collapsed="false">
      <c r="A69" s="4" t="s">
        <v>2071</v>
      </c>
      <c r="B69" s="4" t="s">
        <v>2062</v>
      </c>
      <c r="C69" s="3" t="s">
        <v>2063</v>
      </c>
      <c r="D69" s="12" t="s">
        <v>1980</v>
      </c>
      <c r="E69" s="4" t="s">
        <v>1912</v>
      </c>
      <c r="F69" s="111" t="n">
        <v>5.974263</v>
      </c>
      <c r="G69" s="111" t="n">
        <v>8.34763</v>
      </c>
      <c r="H69" s="111" t="n">
        <v>16.3703895</v>
      </c>
      <c r="I69" s="12" t="s">
        <v>2072</v>
      </c>
      <c r="J69" s="12" t="s">
        <v>1901</v>
      </c>
    </row>
    <row r="70" customFormat="false" ht="15" hidden="false" customHeight="false" outlineLevel="0" collapsed="false">
      <c r="A70" s="4" t="s">
        <v>2073</v>
      </c>
      <c r="B70" s="4" t="s">
        <v>2074</v>
      </c>
      <c r="C70" s="3" t="s">
        <v>2075</v>
      </c>
      <c r="D70" s="12" t="s">
        <v>1980</v>
      </c>
      <c r="E70" s="4" t="s">
        <v>1899</v>
      </c>
      <c r="F70" s="111" t="n">
        <v>0.507733333333333</v>
      </c>
      <c r="G70" s="111" t="n">
        <v>0.634416666666667</v>
      </c>
      <c r="H70" s="111" t="n">
        <v>0.812233333333334</v>
      </c>
      <c r="I70" s="12" t="s">
        <v>2076</v>
      </c>
      <c r="J70" s="12" t="s">
        <v>1901</v>
      </c>
    </row>
    <row r="71" customFormat="false" ht="15" hidden="false" customHeight="false" outlineLevel="0" collapsed="false">
      <c r="A71" s="4" t="s">
        <v>2077</v>
      </c>
      <c r="B71" s="4" t="s">
        <v>2074</v>
      </c>
      <c r="C71" s="3" t="s">
        <v>2075</v>
      </c>
      <c r="D71" s="12" t="s">
        <v>1980</v>
      </c>
      <c r="E71" s="4" t="s">
        <v>1903</v>
      </c>
      <c r="F71" s="111" t="n">
        <v>0.507733333333333</v>
      </c>
      <c r="G71" s="111" t="n">
        <v>0.634416666666667</v>
      </c>
      <c r="H71" s="111" t="n">
        <v>0.812233333333334</v>
      </c>
      <c r="I71" s="12" t="s">
        <v>2078</v>
      </c>
      <c r="J71" s="12" t="s">
        <v>1901</v>
      </c>
    </row>
    <row r="72" customFormat="false" ht="15" hidden="false" customHeight="false" outlineLevel="0" collapsed="false">
      <c r="A72" s="4" t="s">
        <v>2079</v>
      </c>
      <c r="B72" s="4" t="s">
        <v>2074</v>
      </c>
      <c r="C72" s="3" t="s">
        <v>2075</v>
      </c>
      <c r="D72" s="12" t="s">
        <v>1980</v>
      </c>
      <c r="E72" s="4" t="s">
        <v>1906</v>
      </c>
      <c r="F72" s="111" t="n">
        <v>0.507733333333333</v>
      </c>
      <c r="G72" s="111" t="n">
        <v>0.634416666666667</v>
      </c>
      <c r="H72" s="111" t="n">
        <v>0.812233333333334</v>
      </c>
      <c r="I72" s="12" t="s">
        <v>2080</v>
      </c>
      <c r="J72" s="12" t="s">
        <v>1901</v>
      </c>
    </row>
    <row r="73" customFormat="false" ht="15" hidden="false" customHeight="false" outlineLevel="0" collapsed="false">
      <c r="A73" s="4" t="s">
        <v>2081</v>
      </c>
      <c r="B73" s="4" t="s">
        <v>2074</v>
      </c>
      <c r="C73" s="3" t="s">
        <v>2075</v>
      </c>
      <c r="D73" s="12" t="s">
        <v>1980</v>
      </c>
      <c r="E73" s="4" t="s">
        <v>1909</v>
      </c>
      <c r="F73" s="111" t="n">
        <v>0.507733333333333</v>
      </c>
      <c r="G73" s="111" t="n">
        <v>0.634416666666667</v>
      </c>
      <c r="H73" s="111" t="n">
        <v>0.812233333333334</v>
      </c>
      <c r="I73" s="12" t="s">
        <v>2082</v>
      </c>
      <c r="J73" s="12" t="s">
        <v>1901</v>
      </c>
    </row>
    <row r="74" customFormat="false" ht="15" hidden="false" customHeight="false" outlineLevel="0" collapsed="false">
      <c r="A74" s="4" t="s">
        <v>2083</v>
      </c>
      <c r="B74" s="4" t="s">
        <v>2074</v>
      </c>
      <c r="C74" s="3" t="s">
        <v>2075</v>
      </c>
      <c r="D74" s="12" t="s">
        <v>1980</v>
      </c>
      <c r="E74" s="4" t="s">
        <v>1912</v>
      </c>
      <c r="F74" s="111" t="n">
        <v>0.507733333333333</v>
      </c>
      <c r="G74" s="111" t="n">
        <v>0.634416666666667</v>
      </c>
      <c r="H74" s="111" t="n">
        <v>0.812233333333334</v>
      </c>
      <c r="I74" s="12" t="s">
        <v>2084</v>
      </c>
      <c r="J74" s="12" t="s">
        <v>1901</v>
      </c>
    </row>
    <row r="75" customFormat="false" ht="15" hidden="false" customHeight="false" outlineLevel="0" collapsed="false">
      <c r="A75" s="4" t="s">
        <v>2085</v>
      </c>
      <c r="B75" s="4" t="s">
        <v>2086</v>
      </c>
      <c r="C75" s="3" t="s">
        <v>2087</v>
      </c>
      <c r="D75" s="12" t="s">
        <v>77</v>
      </c>
      <c r="E75" s="4" t="s">
        <v>1899</v>
      </c>
      <c r="F75" s="23" t="n">
        <v>0.7</v>
      </c>
      <c r="G75" s="23" t="n">
        <v>0.8</v>
      </c>
      <c r="H75" s="23" t="n">
        <v>0.9</v>
      </c>
      <c r="I75" s="12" t="s">
        <v>2088</v>
      </c>
      <c r="J75" s="12" t="s">
        <v>1901</v>
      </c>
    </row>
    <row r="76" customFormat="false" ht="15" hidden="false" customHeight="false" outlineLevel="0" collapsed="false">
      <c r="A76" s="4" t="s">
        <v>2089</v>
      </c>
      <c r="B76" s="4" t="s">
        <v>2086</v>
      </c>
      <c r="C76" s="3" t="s">
        <v>2087</v>
      </c>
      <c r="D76" s="12" t="s">
        <v>77</v>
      </c>
      <c r="E76" s="4" t="s">
        <v>1903</v>
      </c>
      <c r="F76" s="23" t="n">
        <v>0.7</v>
      </c>
      <c r="G76" s="23" t="n">
        <v>0.8</v>
      </c>
      <c r="H76" s="23" t="n">
        <v>0.9</v>
      </c>
      <c r="I76" s="12" t="s">
        <v>2090</v>
      </c>
      <c r="J76" s="12" t="s">
        <v>1901</v>
      </c>
    </row>
    <row r="77" customFormat="false" ht="15" hidden="false" customHeight="false" outlineLevel="0" collapsed="false">
      <c r="A77" s="4" t="s">
        <v>2091</v>
      </c>
      <c r="B77" s="4" t="s">
        <v>2086</v>
      </c>
      <c r="C77" s="3" t="s">
        <v>2087</v>
      </c>
      <c r="D77" s="12" t="s">
        <v>77</v>
      </c>
      <c r="E77" s="4" t="s">
        <v>1906</v>
      </c>
      <c r="F77" s="23" t="n">
        <v>0.7</v>
      </c>
      <c r="G77" s="23" t="n">
        <v>0.8</v>
      </c>
      <c r="H77" s="23" t="n">
        <v>0.9</v>
      </c>
      <c r="I77" s="12" t="s">
        <v>2092</v>
      </c>
      <c r="J77" s="12" t="s">
        <v>1901</v>
      </c>
    </row>
    <row r="78" customFormat="false" ht="15" hidden="false" customHeight="false" outlineLevel="0" collapsed="false">
      <c r="A78" s="4" t="s">
        <v>2093</v>
      </c>
      <c r="B78" s="4" t="s">
        <v>2086</v>
      </c>
      <c r="C78" s="3" t="s">
        <v>2087</v>
      </c>
      <c r="D78" s="12" t="s">
        <v>77</v>
      </c>
      <c r="E78" s="4" t="s">
        <v>1909</v>
      </c>
      <c r="F78" s="23" t="n">
        <v>0.7</v>
      </c>
      <c r="G78" s="23" t="n">
        <v>0.8</v>
      </c>
      <c r="H78" s="23" t="n">
        <v>0.9</v>
      </c>
      <c r="I78" s="12" t="s">
        <v>2094</v>
      </c>
      <c r="J78" s="12" t="s">
        <v>1901</v>
      </c>
    </row>
    <row r="79" customFormat="false" ht="15" hidden="false" customHeight="false" outlineLevel="0" collapsed="false">
      <c r="A79" s="4" t="s">
        <v>2095</v>
      </c>
      <c r="B79" s="4" t="s">
        <v>2086</v>
      </c>
      <c r="C79" s="3" t="s">
        <v>2087</v>
      </c>
      <c r="D79" s="12" t="s">
        <v>77</v>
      </c>
      <c r="E79" s="4" t="s">
        <v>1912</v>
      </c>
      <c r="F79" s="23" t="n">
        <v>0.7</v>
      </c>
      <c r="G79" s="23" t="n">
        <v>0.8</v>
      </c>
      <c r="H79" s="23" t="n">
        <v>0.9</v>
      </c>
      <c r="I79" s="12" t="s">
        <v>2096</v>
      </c>
      <c r="J79" s="12" t="s">
        <v>1901</v>
      </c>
    </row>
    <row r="80" customFormat="false" ht="15" hidden="false" customHeight="false" outlineLevel="0" collapsed="false">
      <c r="A80" s="4" t="s">
        <v>2097</v>
      </c>
      <c r="B80" s="4" t="s">
        <v>2098</v>
      </c>
      <c r="C80" s="3" t="s">
        <v>322</v>
      </c>
      <c r="D80" s="12" t="s">
        <v>2099</v>
      </c>
      <c r="E80" s="4" t="s">
        <v>1899</v>
      </c>
      <c r="F80" s="111" t="n">
        <v>0.06</v>
      </c>
      <c r="G80" s="111" t="n">
        <v>0.08</v>
      </c>
      <c r="H80" s="111" t="n">
        <v>0.1</v>
      </c>
      <c r="I80" s="12" t="s">
        <v>2100</v>
      </c>
      <c r="J80" s="12" t="s">
        <v>1901</v>
      </c>
    </row>
    <row r="81" customFormat="false" ht="15" hidden="false" customHeight="false" outlineLevel="0" collapsed="false">
      <c r="A81" s="4" t="s">
        <v>2101</v>
      </c>
      <c r="B81" s="4" t="s">
        <v>2098</v>
      </c>
      <c r="C81" s="3" t="s">
        <v>322</v>
      </c>
      <c r="D81" s="12" t="s">
        <v>2099</v>
      </c>
      <c r="E81" s="4" t="s">
        <v>1903</v>
      </c>
      <c r="F81" s="111" t="n">
        <v>0.06</v>
      </c>
      <c r="G81" s="111" t="n">
        <v>0.08</v>
      </c>
      <c r="H81" s="111" t="n">
        <v>0.1</v>
      </c>
      <c r="I81" s="12" t="s">
        <v>2102</v>
      </c>
      <c r="J81" s="12" t="s">
        <v>1901</v>
      </c>
    </row>
    <row r="82" customFormat="false" ht="15" hidden="false" customHeight="false" outlineLevel="0" collapsed="false">
      <c r="A82" s="4" t="s">
        <v>2103</v>
      </c>
      <c r="B82" s="4" t="s">
        <v>2098</v>
      </c>
      <c r="C82" s="3" t="s">
        <v>322</v>
      </c>
      <c r="D82" s="12" t="s">
        <v>2099</v>
      </c>
      <c r="E82" s="4" t="s">
        <v>1906</v>
      </c>
      <c r="F82" s="111" t="n">
        <v>0.06</v>
      </c>
      <c r="G82" s="111" t="n">
        <v>0.08</v>
      </c>
      <c r="H82" s="111" t="n">
        <v>0.1</v>
      </c>
      <c r="I82" s="12" t="s">
        <v>2104</v>
      </c>
      <c r="J82" s="12" t="s">
        <v>1901</v>
      </c>
    </row>
    <row r="83" customFormat="false" ht="15" hidden="false" customHeight="false" outlineLevel="0" collapsed="false">
      <c r="A83" s="4" t="s">
        <v>2105</v>
      </c>
      <c r="B83" s="4" t="s">
        <v>2098</v>
      </c>
      <c r="C83" s="3" t="s">
        <v>322</v>
      </c>
      <c r="D83" s="12" t="s">
        <v>2099</v>
      </c>
      <c r="E83" s="4" t="s">
        <v>1909</v>
      </c>
      <c r="F83" s="111" t="n">
        <v>0.06</v>
      </c>
      <c r="G83" s="111" t="n">
        <v>0.08</v>
      </c>
      <c r="H83" s="111" t="n">
        <v>0.1</v>
      </c>
      <c r="I83" s="12" t="s">
        <v>2106</v>
      </c>
      <c r="J83" s="12" t="s">
        <v>1901</v>
      </c>
    </row>
    <row r="84" customFormat="false" ht="15" hidden="false" customHeight="false" outlineLevel="0" collapsed="false">
      <c r="A84" s="4" t="s">
        <v>2107</v>
      </c>
      <c r="B84" s="4" t="s">
        <v>2098</v>
      </c>
      <c r="C84" s="3" t="s">
        <v>322</v>
      </c>
      <c r="D84" s="12" t="s">
        <v>2099</v>
      </c>
      <c r="E84" s="4" t="s">
        <v>1912</v>
      </c>
      <c r="F84" s="111" t="n">
        <v>0.06</v>
      </c>
      <c r="G84" s="111" t="n">
        <v>0.08</v>
      </c>
      <c r="H84" s="111" t="n">
        <v>0.1</v>
      </c>
      <c r="I84" s="12" t="s">
        <v>2108</v>
      </c>
      <c r="J84" s="12" t="s">
        <v>1901</v>
      </c>
    </row>
    <row r="85" customFormat="false" ht="15" hidden="false" customHeight="false" outlineLevel="0" collapsed="false">
      <c r="A85" s="4" t="s">
        <v>2109</v>
      </c>
      <c r="B85" s="4" t="s">
        <v>2110</v>
      </c>
      <c r="C85" s="3" t="s">
        <v>2111</v>
      </c>
      <c r="D85" s="12" t="s">
        <v>1980</v>
      </c>
      <c r="E85" s="4" t="s">
        <v>1899</v>
      </c>
      <c r="F85" s="111" t="n">
        <v>0.428405388</v>
      </c>
      <c r="G85" s="111" t="n">
        <v>0.82530642</v>
      </c>
      <c r="H85" s="111" t="n">
        <v>1.364829736</v>
      </c>
      <c r="I85" s="12" t="s">
        <v>2112</v>
      </c>
      <c r="J85" s="12" t="s">
        <v>1901</v>
      </c>
    </row>
    <row r="86" customFormat="false" ht="15" hidden="false" customHeight="false" outlineLevel="0" collapsed="false">
      <c r="A86" s="4" t="s">
        <v>2113</v>
      </c>
      <c r="B86" s="4" t="s">
        <v>2110</v>
      </c>
      <c r="C86" s="3" t="s">
        <v>2111</v>
      </c>
      <c r="D86" s="12" t="s">
        <v>1980</v>
      </c>
      <c r="E86" s="4" t="s">
        <v>1903</v>
      </c>
      <c r="F86" s="111" t="n">
        <v>0.412787808</v>
      </c>
      <c r="G86" s="111" t="n">
        <v>0.72045522</v>
      </c>
      <c r="H86" s="111" t="n">
        <v>1.106008176</v>
      </c>
      <c r="I86" s="12" t="s">
        <v>2114</v>
      </c>
      <c r="J86" s="12" t="s">
        <v>1901</v>
      </c>
    </row>
    <row r="87" customFormat="false" ht="15" hidden="false" customHeight="false" outlineLevel="0" collapsed="false">
      <c r="A87" s="4" t="s">
        <v>2115</v>
      </c>
      <c r="B87" s="4" t="s">
        <v>2110</v>
      </c>
      <c r="C87" s="3" t="s">
        <v>2111</v>
      </c>
      <c r="D87" s="12" t="s">
        <v>1980</v>
      </c>
      <c r="E87" s="4" t="s">
        <v>1906</v>
      </c>
      <c r="F87" s="111" t="n">
        <v>0.571098048</v>
      </c>
      <c r="G87" s="111" t="n">
        <v>1.12336512</v>
      </c>
      <c r="H87" s="111" t="n">
        <v>2.038020256</v>
      </c>
      <c r="I87" s="12" t="s">
        <v>2116</v>
      </c>
      <c r="J87" s="12" t="s">
        <v>1901</v>
      </c>
    </row>
    <row r="88" customFormat="false" ht="15" hidden="false" customHeight="false" outlineLevel="0" collapsed="false">
      <c r="A88" s="4" t="s">
        <v>2117</v>
      </c>
      <c r="B88" s="4" t="s">
        <v>2110</v>
      </c>
      <c r="C88" s="3" t="s">
        <v>2111</v>
      </c>
      <c r="D88" s="12" t="s">
        <v>1980</v>
      </c>
      <c r="E88" s="4" t="s">
        <v>1909</v>
      </c>
      <c r="F88" s="111" t="n">
        <v>0.665468064</v>
      </c>
      <c r="G88" s="111" t="n">
        <v>1.12759056</v>
      </c>
      <c r="H88" s="111" t="n">
        <v>1.705503008</v>
      </c>
      <c r="I88" s="12" t="s">
        <v>2118</v>
      </c>
      <c r="J88" s="12" t="s">
        <v>1901</v>
      </c>
    </row>
    <row r="89" customFormat="false" ht="15" hidden="false" customHeight="false" outlineLevel="0" collapsed="false">
      <c r="A89" s="4" t="s">
        <v>2119</v>
      </c>
      <c r="B89" s="4" t="s">
        <v>2110</v>
      </c>
      <c r="C89" s="3" t="s">
        <v>2111</v>
      </c>
      <c r="D89" s="12" t="s">
        <v>1980</v>
      </c>
      <c r="E89" s="4" t="s">
        <v>1912</v>
      </c>
      <c r="F89" s="111" t="n">
        <v>0.71691156</v>
      </c>
      <c r="G89" s="111" t="n">
        <v>1.5025734</v>
      </c>
      <c r="H89" s="111" t="n">
        <v>2.61926232</v>
      </c>
      <c r="I89" s="12" t="s">
        <v>2120</v>
      </c>
      <c r="J89" s="12" t="s">
        <v>1901</v>
      </c>
    </row>
    <row r="90" customFormat="false" ht="15" hidden="false" customHeight="false" outlineLevel="0" collapsed="false">
      <c r="A90" s="4" t="s">
        <v>2121</v>
      </c>
      <c r="B90" s="4" t="s">
        <v>2122</v>
      </c>
      <c r="C90" s="3" t="s">
        <v>2123</v>
      </c>
      <c r="D90" s="12" t="s">
        <v>1980</v>
      </c>
      <c r="E90" s="4" t="s">
        <v>1899</v>
      </c>
      <c r="F90" s="111" t="n">
        <v>0.15318</v>
      </c>
      <c r="G90" s="111" t="n">
        <v>0.2534</v>
      </c>
      <c r="H90" s="111" t="n">
        <v>0.40465</v>
      </c>
      <c r="I90" s="12" t="s">
        <v>2124</v>
      </c>
      <c r="J90" s="12" t="s">
        <v>1901</v>
      </c>
    </row>
    <row r="91" customFormat="false" ht="15" hidden="false" customHeight="false" outlineLevel="0" collapsed="false">
      <c r="A91" s="4" t="s">
        <v>2125</v>
      </c>
      <c r="B91" s="4" t="s">
        <v>2122</v>
      </c>
      <c r="C91" s="3" t="s">
        <v>2123</v>
      </c>
      <c r="D91" s="12" t="s">
        <v>1980</v>
      </c>
      <c r="E91" s="4" t="s">
        <v>1903</v>
      </c>
      <c r="F91" s="111" t="n">
        <v>0.15318</v>
      </c>
      <c r="G91" s="111" t="n">
        <v>0.2534</v>
      </c>
      <c r="H91" s="111" t="n">
        <v>0.40465</v>
      </c>
      <c r="I91" s="12" t="s">
        <v>2126</v>
      </c>
      <c r="J91" s="12" t="s">
        <v>1901</v>
      </c>
    </row>
    <row r="92" customFormat="false" ht="15" hidden="false" customHeight="false" outlineLevel="0" collapsed="false">
      <c r="A92" s="4" t="s">
        <v>2127</v>
      </c>
      <c r="B92" s="4" t="s">
        <v>2122</v>
      </c>
      <c r="C92" s="3" t="s">
        <v>2123</v>
      </c>
      <c r="D92" s="12" t="s">
        <v>1980</v>
      </c>
      <c r="E92" s="4" t="s">
        <v>1906</v>
      </c>
      <c r="F92" s="111" t="n">
        <v>0.15318</v>
      </c>
      <c r="G92" s="111" t="n">
        <v>0.2534</v>
      </c>
      <c r="H92" s="111" t="n">
        <v>0.40465</v>
      </c>
      <c r="I92" s="12" t="s">
        <v>2128</v>
      </c>
      <c r="J92" s="12" t="s">
        <v>1901</v>
      </c>
    </row>
    <row r="93" customFormat="false" ht="15" hidden="false" customHeight="false" outlineLevel="0" collapsed="false">
      <c r="A93" s="4" t="s">
        <v>2129</v>
      </c>
      <c r="B93" s="4" t="s">
        <v>2122</v>
      </c>
      <c r="C93" s="3" t="s">
        <v>2123</v>
      </c>
      <c r="D93" s="12" t="s">
        <v>1980</v>
      </c>
      <c r="E93" s="4" t="s">
        <v>1909</v>
      </c>
      <c r="F93" s="111" t="n">
        <v>0.15318</v>
      </c>
      <c r="G93" s="111" t="n">
        <v>0.2534</v>
      </c>
      <c r="H93" s="111" t="n">
        <v>0.40465</v>
      </c>
      <c r="I93" s="12" t="s">
        <v>2130</v>
      </c>
      <c r="J93" s="12" t="s">
        <v>1901</v>
      </c>
    </row>
    <row r="94" customFormat="false" ht="15" hidden="false" customHeight="false" outlineLevel="0" collapsed="false">
      <c r="A94" s="4" t="s">
        <v>2131</v>
      </c>
      <c r="B94" s="4" t="s">
        <v>2122</v>
      </c>
      <c r="C94" s="3" t="s">
        <v>2123</v>
      </c>
      <c r="D94" s="12" t="s">
        <v>1980</v>
      </c>
      <c r="E94" s="4" t="s">
        <v>1912</v>
      </c>
      <c r="F94" s="111" t="n">
        <v>0.15318</v>
      </c>
      <c r="G94" s="111" t="n">
        <v>0.2534</v>
      </c>
      <c r="H94" s="111" t="n">
        <v>0.40465</v>
      </c>
      <c r="I94" s="12" t="s">
        <v>2132</v>
      </c>
      <c r="J94" s="12" t="s">
        <v>1901</v>
      </c>
    </row>
    <row r="95" customFormat="false" ht="15" hidden="false" customHeight="false" outlineLevel="0" collapsed="false">
      <c r="A95" s="4" t="s">
        <v>2133</v>
      </c>
      <c r="B95" s="4" t="s">
        <v>2134</v>
      </c>
      <c r="C95" s="3" t="s">
        <v>2135</v>
      </c>
      <c r="D95" s="12" t="s">
        <v>1980</v>
      </c>
      <c r="E95" s="4" t="s">
        <v>1899</v>
      </c>
      <c r="F95" s="111" t="n">
        <v>0.24</v>
      </c>
      <c r="G95" s="111" t="n">
        <v>0.325</v>
      </c>
      <c r="H95" s="111" t="n">
        <v>0.41</v>
      </c>
      <c r="I95" s="12" t="s">
        <v>2136</v>
      </c>
      <c r="J95" s="12" t="s">
        <v>1901</v>
      </c>
    </row>
    <row r="96" customFormat="false" ht="15" hidden="false" customHeight="false" outlineLevel="0" collapsed="false">
      <c r="A96" s="4" t="s">
        <v>2137</v>
      </c>
      <c r="B96" s="4" t="s">
        <v>2134</v>
      </c>
      <c r="C96" s="3" t="s">
        <v>2135</v>
      </c>
      <c r="D96" s="12" t="s">
        <v>1980</v>
      </c>
      <c r="E96" s="4" t="s">
        <v>1903</v>
      </c>
      <c r="F96" s="111" t="n">
        <v>0.24</v>
      </c>
      <c r="G96" s="111" t="n">
        <v>0.325</v>
      </c>
      <c r="H96" s="111" t="n">
        <v>0.41</v>
      </c>
      <c r="I96" s="12" t="s">
        <v>2138</v>
      </c>
      <c r="J96" s="12" t="s">
        <v>1901</v>
      </c>
    </row>
    <row r="97" customFormat="false" ht="15" hidden="false" customHeight="false" outlineLevel="0" collapsed="false">
      <c r="A97" s="4" t="s">
        <v>2139</v>
      </c>
      <c r="B97" s="4" t="s">
        <v>2134</v>
      </c>
      <c r="C97" s="3" t="s">
        <v>2135</v>
      </c>
      <c r="D97" s="12" t="s">
        <v>1980</v>
      </c>
      <c r="E97" s="4" t="s">
        <v>1906</v>
      </c>
      <c r="F97" s="111" t="n">
        <v>0.24</v>
      </c>
      <c r="G97" s="111" t="n">
        <v>0.325</v>
      </c>
      <c r="H97" s="111" t="n">
        <v>0.41</v>
      </c>
      <c r="I97" s="12" t="s">
        <v>2140</v>
      </c>
      <c r="J97" s="12" t="s">
        <v>1901</v>
      </c>
    </row>
    <row r="98" customFormat="false" ht="15" hidden="false" customHeight="false" outlineLevel="0" collapsed="false">
      <c r="A98" s="4" t="s">
        <v>2141</v>
      </c>
      <c r="B98" s="4" t="s">
        <v>2134</v>
      </c>
      <c r="C98" s="3" t="s">
        <v>2135</v>
      </c>
      <c r="D98" s="12" t="s">
        <v>1980</v>
      </c>
      <c r="E98" s="4" t="s">
        <v>1909</v>
      </c>
      <c r="F98" s="111" t="n">
        <v>0.24</v>
      </c>
      <c r="G98" s="111" t="n">
        <v>0.325</v>
      </c>
      <c r="H98" s="111" t="n">
        <v>0.41</v>
      </c>
      <c r="I98" s="12" t="s">
        <v>2142</v>
      </c>
      <c r="J98" s="12" t="s">
        <v>1901</v>
      </c>
    </row>
    <row r="99" customFormat="false" ht="15" hidden="false" customHeight="false" outlineLevel="0" collapsed="false">
      <c r="A99" s="4" t="s">
        <v>2143</v>
      </c>
      <c r="B99" s="4" t="s">
        <v>2134</v>
      </c>
      <c r="C99" s="3" t="s">
        <v>2135</v>
      </c>
      <c r="D99" s="12" t="s">
        <v>1980</v>
      </c>
      <c r="E99" s="4" t="s">
        <v>1912</v>
      </c>
      <c r="F99" s="111" t="n">
        <v>0.24</v>
      </c>
      <c r="G99" s="111" t="n">
        <v>0.325</v>
      </c>
      <c r="H99" s="111" t="n">
        <v>0.41</v>
      </c>
      <c r="I99" s="12" t="s">
        <v>2144</v>
      </c>
      <c r="J99" s="12" t="s">
        <v>1901</v>
      </c>
    </row>
    <row r="100" customFormat="false" ht="15" hidden="false" customHeight="false" outlineLevel="0" collapsed="false">
      <c r="A100" s="4" t="s">
        <v>2145</v>
      </c>
      <c r="B100" s="4" t="s">
        <v>2146</v>
      </c>
      <c r="C100" s="3" t="s">
        <v>2147</v>
      </c>
      <c r="D100" s="12" t="s">
        <v>1980</v>
      </c>
      <c r="E100" s="4" t="s">
        <v>1899</v>
      </c>
      <c r="F100" s="111" t="n">
        <v>0.0948968082</v>
      </c>
      <c r="G100" s="111" t="n">
        <v>0.20090107</v>
      </c>
      <c r="H100" s="111" t="n">
        <v>0.4024539472</v>
      </c>
      <c r="I100" s="12" t="s">
        <v>2148</v>
      </c>
      <c r="J100" s="12" t="s">
        <v>1901</v>
      </c>
    </row>
    <row r="101" customFormat="false" ht="15" hidden="false" customHeight="false" outlineLevel="0" collapsed="false">
      <c r="A101" s="4" t="s">
        <v>2149</v>
      </c>
      <c r="B101" s="4" t="s">
        <v>2146</v>
      </c>
      <c r="C101" s="3" t="s">
        <v>2147</v>
      </c>
      <c r="D101" s="12" t="s">
        <v>1980</v>
      </c>
      <c r="E101" s="4" t="s">
        <v>1903</v>
      </c>
      <c r="F101" s="111" t="n">
        <v>0.0925541712</v>
      </c>
      <c r="G101" s="111" t="n">
        <v>0.18342587</v>
      </c>
      <c r="H101" s="111" t="n">
        <v>0.3506896352</v>
      </c>
      <c r="I101" s="12" t="s">
        <v>2150</v>
      </c>
      <c r="J101" s="12" t="s">
        <v>1901</v>
      </c>
    </row>
    <row r="102" customFormat="false" ht="15" hidden="false" customHeight="false" outlineLevel="0" collapsed="false">
      <c r="A102" s="4" t="s">
        <v>2151</v>
      </c>
      <c r="B102" s="4" t="s">
        <v>2146</v>
      </c>
      <c r="C102" s="3" t="s">
        <v>2147</v>
      </c>
      <c r="D102" s="12" t="s">
        <v>1980</v>
      </c>
      <c r="E102" s="4" t="s">
        <v>1906</v>
      </c>
      <c r="F102" s="111" t="n">
        <v>0.1163007072</v>
      </c>
      <c r="G102" s="111" t="n">
        <v>0.25057752</v>
      </c>
      <c r="H102" s="111" t="n">
        <v>0.5370920512</v>
      </c>
      <c r="I102" s="12" t="s">
        <v>2152</v>
      </c>
      <c r="J102" s="12" t="s">
        <v>1901</v>
      </c>
    </row>
    <row r="103" customFormat="false" ht="15" hidden="false" customHeight="false" outlineLevel="0" collapsed="false">
      <c r="A103" s="4" t="s">
        <v>2153</v>
      </c>
      <c r="B103" s="4" t="s">
        <v>2146</v>
      </c>
      <c r="C103" s="3" t="s">
        <v>2147</v>
      </c>
      <c r="D103" s="12" t="s">
        <v>1980</v>
      </c>
      <c r="E103" s="4" t="s">
        <v>1909</v>
      </c>
      <c r="F103" s="111" t="n">
        <v>0.1304562096</v>
      </c>
      <c r="G103" s="111" t="n">
        <v>0.25128176</v>
      </c>
      <c r="H103" s="111" t="n">
        <v>0.4705886016</v>
      </c>
      <c r="I103" s="12" t="s">
        <v>2154</v>
      </c>
      <c r="J103" s="12" t="s">
        <v>1901</v>
      </c>
    </row>
    <row r="104" customFormat="false" ht="15" hidden="false" customHeight="false" outlineLevel="0" collapsed="false">
      <c r="A104" s="4" t="s">
        <v>2155</v>
      </c>
      <c r="B104" s="4" t="s">
        <v>2146</v>
      </c>
      <c r="C104" s="3" t="s">
        <v>2147</v>
      </c>
      <c r="D104" s="12" t="s">
        <v>1980</v>
      </c>
      <c r="E104" s="4" t="s">
        <v>1912</v>
      </c>
      <c r="F104" s="111" t="n">
        <v>0.138172734</v>
      </c>
      <c r="G104" s="111" t="n">
        <v>0.3137789</v>
      </c>
      <c r="H104" s="111" t="n">
        <v>0.653340464</v>
      </c>
      <c r="I104" s="12" t="s">
        <v>2156</v>
      </c>
      <c r="J104" s="12" t="s">
        <v>1901</v>
      </c>
    </row>
    <row r="105" customFormat="false" ht="15" hidden="false" customHeight="false" outlineLevel="0" collapsed="false">
      <c r="A105" s="4" t="s">
        <v>2157</v>
      </c>
      <c r="B105" s="4" t="s">
        <v>2158</v>
      </c>
      <c r="C105" s="3" t="s">
        <v>2159</v>
      </c>
      <c r="D105" s="12" t="s">
        <v>1980</v>
      </c>
      <c r="E105" s="4" t="s">
        <v>1899</v>
      </c>
      <c r="F105" s="111" t="n">
        <v>1.3211941962</v>
      </c>
      <c r="G105" s="111" t="n">
        <v>2.27737549</v>
      </c>
      <c r="H105" s="111" t="n">
        <v>3.6068536832</v>
      </c>
      <c r="I105" s="12" t="s">
        <v>2160</v>
      </c>
      <c r="J105" s="12" t="s">
        <v>1901</v>
      </c>
    </row>
    <row r="106" customFormat="false" ht="15" hidden="false" customHeight="false" outlineLevel="0" collapsed="false">
      <c r="A106" s="4" t="s">
        <v>2161</v>
      </c>
      <c r="B106" s="4" t="s">
        <v>2158</v>
      </c>
      <c r="C106" s="3" t="s">
        <v>2159</v>
      </c>
      <c r="D106" s="12" t="s">
        <v>1980</v>
      </c>
      <c r="E106" s="4" t="s">
        <v>1903</v>
      </c>
      <c r="F106" s="111" t="n">
        <v>1.3032339792</v>
      </c>
      <c r="G106" s="111" t="n">
        <v>2.15504909</v>
      </c>
      <c r="H106" s="111" t="n">
        <v>3.2962678112</v>
      </c>
      <c r="I106" s="12" t="s">
        <v>2162</v>
      </c>
      <c r="J106" s="12" t="s">
        <v>1901</v>
      </c>
    </row>
    <row r="107" customFormat="false" ht="15" hidden="false" customHeight="false" outlineLevel="0" collapsed="false">
      <c r="A107" s="4" t="s">
        <v>2163</v>
      </c>
      <c r="B107" s="4" t="s">
        <v>2158</v>
      </c>
      <c r="C107" s="3" t="s">
        <v>2159</v>
      </c>
      <c r="D107" s="12" t="s">
        <v>1980</v>
      </c>
      <c r="E107" s="4" t="s">
        <v>1906</v>
      </c>
      <c r="F107" s="111" t="n">
        <v>1.4852907552</v>
      </c>
      <c r="G107" s="111" t="n">
        <v>2.62511064</v>
      </c>
      <c r="H107" s="111" t="n">
        <v>4.4146823072</v>
      </c>
      <c r="I107" s="12" t="s">
        <v>2164</v>
      </c>
      <c r="J107" s="12" t="s">
        <v>1901</v>
      </c>
    </row>
    <row r="108" customFormat="false" ht="15" hidden="false" customHeight="false" outlineLevel="0" collapsed="false">
      <c r="A108" s="4" t="s">
        <v>2165</v>
      </c>
      <c r="B108" s="4" t="s">
        <v>2158</v>
      </c>
      <c r="C108" s="3" t="s">
        <v>2159</v>
      </c>
      <c r="D108" s="12" t="s">
        <v>1980</v>
      </c>
      <c r="E108" s="4" t="s">
        <v>1909</v>
      </c>
      <c r="F108" s="111" t="n">
        <v>1.5938162736</v>
      </c>
      <c r="G108" s="111" t="n">
        <v>2.63004032</v>
      </c>
      <c r="H108" s="111" t="n">
        <v>4.0156616096</v>
      </c>
      <c r="I108" s="12" t="s">
        <v>2166</v>
      </c>
      <c r="J108" s="12" t="s">
        <v>1901</v>
      </c>
    </row>
    <row r="109" customFormat="false" ht="15" hidden="false" customHeight="false" outlineLevel="0" collapsed="false">
      <c r="A109" s="4" t="s">
        <v>2167</v>
      </c>
      <c r="B109" s="4" t="s">
        <v>2158</v>
      </c>
      <c r="C109" s="3" t="s">
        <v>2159</v>
      </c>
      <c r="D109" s="12" t="s">
        <v>1980</v>
      </c>
      <c r="E109" s="4" t="s">
        <v>1912</v>
      </c>
      <c r="F109" s="111" t="n">
        <v>1.652976294</v>
      </c>
      <c r="G109" s="111" t="n">
        <v>3.0675203</v>
      </c>
      <c r="H109" s="111" t="n">
        <v>5.112172784</v>
      </c>
      <c r="I109" s="12" t="s">
        <v>2168</v>
      </c>
      <c r="J109" s="12" t="s">
        <v>1901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2026-10-07T16:28:41Z</dcterms:created>
  <dc:creator>openpyxl</dc:creator>
  <dc:description/>
  <dc:language>en-US</dc:language>
  <cp:lastModifiedBy/>
  <dcterms:modified xsi:type="dcterms:W3CDTF">2026-10-07T16:28:42Z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