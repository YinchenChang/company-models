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Q!$B$16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Q!$F$16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6" vbProcedure="false">In!$E$37</definedName>
    <definedName function="false" hidden="false" name="ais_26_hi" vbProcedure="false">In!$F$37</definedName>
    <definedName function="false" hidden="false" name="ais_26_lo" vbProcedure="false">In!$D$37</definedName>
    <definedName function="false" hidden="false" name="b_eps26" vbProcedure="false">In!$E$60</definedName>
    <definedName function="false" hidden="false" name="b_eps27a" vbProcedure="false">In!$E$63</definedName>
    <definedName function="false" hidden="false" name="b_eps27b" vbProcedure="false">In!$E$64</definedName>
    <definedName function="false" hidden="false" name="b_gm27" vbProcedure="false">In!$E$65</definedName>
    <definedName function="false" hidden="false" name="b_rev26" vbProcedure="false">In!$E$59</definedName>
    <definedName function="false" hidden="false" name="b_rev27a" vbProcedure="false">In!$E$61</definedName>
    <definedName function="false" hidden="false" name="b_rev27b" vbProcedure="false">In!$E$62</definedName>
    <definedName function="false" hidden="false" name="cons_feps" vbProcedure="false">In!$E$85</definedName>
    <definedName function="false" hidden="false" name="cons_tp" vbProcedure="false">In!$E$84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In!$E$43</definedName>
    <definedName function="false" hidden="false" name="d_ai_hi" vbProcedure="false">In!$F$43</definedName>
    <definedName function="false" hidden="false" name="d_ai_lo" vbProcedure="false">In!$D$43</definedName>
    <definedName function="false" hidden="false" name="fade_gA" vbProcedure="false">In!$E$80</definedName>
    <definedName function="false" hidden="false" name="fade_gB" vbProcedure="false">In!$E$81</definedName>
    <definedName function="false" hidden="false" name="fade_gC" vbProcedure="false">In!$E$82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NHI27" vbProcedure="false">In!$F$39</definedName>
    <definedName function="false" hidden="false" name="GNHI28" vbProcedure="false">In!$F$40</definedName>
    <definedName function="false" hidden="false" name="GNHI29" vbProcedure="false">In!$F$41</definedName>
    <definedName function="false" hidden="false" name="GNLO27" vbProcedure="false">In!$D$39</definedName>
    <definedName function="false" hidden="false" name="GNLO28" vbProcedure="false">In!$D$40</definedName>
    <definedName function="false" hidden="false" name="GNLO29" vbProcedure="false">In!$D$41</definedName>
    <definedName function="false" hidden="false" name="g_nai26" vbProcedure="false">In!$E$38</definedName>
    <definedName function="false" hidden="false" name="g_nai26_hi" vbProcedure="false">In!$F$38</definedName>
    <definedName function="false" hidden="false" name="g_nai26_lo" vbProcedure="false">In!$D$38</definedName>
    <definedName function="false" hidden="false" name="g_nai27" vbProcedure="false">In!$E$39</definedName>
    <definedName function="false" hidden="false" name="g_nai27_hi" vbProcedure="false">In!$F$39</definedName>
    <definedName function="false" hidden="false" name="g_nai27_lo" vbProcedure="false">In!$D$39</definedName>
    <definedName function="false" hidden="false" name="g_nai28" vbProcedure="false">In!$E$40</definedName>
    <definedName function="false" hidden="false" name="g_nai28_hi" vbProcedure="false">In!$F$40</definedName>
    <definedName function="false" hidden="false" name="g_nai28_lo" vbProcedure="false">In!$D$40</definedName>
    <definedName function="false" hidden="false" name="g_nai29" vbProcedure="false">In!$E$41</definedName>
    <definedName function="false" hidden="false" name="g_nai29_hi" vbProcedure="false">In!$F$41</definedName>
    <definedName function="false" hidden="false" name="g_nai29_lo" vbProcedure="false">In!$D$41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In!$E$57</definedName>
    <definedName function="false" hidden="false" name="mf_hi" vbProcedure="false">In!$F$57</definedName>
    <definedName function="false" hidden="false" name="mf_lo" vbProcedure="false">In!$D$57</definedName>
    <definedName function="false" hidden="false" name="nim10_f" vbProcedure="false">In!$E$83</definedName>
    <definedName function="false" hidden="false" name="nio_f" vbProcedure="false">In!$E$55</definedName>
    <definedName function="false" hidden="false" name="nio_f_hi" vbProcedure="false">In!$F$55</definedName>
    <definedName function="false" hidden="false" name="nio_f_lo" vbProcedure="false">In!$D$55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In!$E$54</definedName>
    <definedName function="false" hidden="false" name="opx_adj_hi" vbProcedure="false">In!$F$54</definedName>
    <definedName function="false" hidden="false" name="opx_adj_lo" vbProcedure="false">In!$D$54</definedName>
    <definedName function="false" hidden="false" name="pe_fair_andy" vbProcedure="false">In!$E$67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In!$E$70</definedName>
    <definedName function="false" hidden="false" name="phi" vbProcedure="false">In!$E$53</definedName>
    <definedName function="false" hidden="false" name="phi_hi" vbProcedure="false">In!$F$53</definedName>
    <definedName function="false" hidden="false" name="phi_lo" vbProcedure="false">In!$D$53</definedName>
    <definedName function="false" hidden="false" name="px" vbProcedure="false">In!$E$69</definedName>
    <definedName function="false" hidden="false" name="q3_rev" vbProcedure="false">In!$E$46</definedName>
    <definedName function="false" hidden="false" name="q4g" vbProcedure="false">In!$E$47</definedName>
    <definedName function="false" hidden="false" name="q4g_hi" vbProcedure="false">In!$F$47</definedName>
    <definedName function="false" hidden="false" name="q4g_lo" vbProcedure="false">In!$D$47</definedName>
    <definedName function="false" hidden="false" name="q_gm" vbProcedure="false">In!$E$48</definedName>
    <definedName function="false" hidden="false" name="q_gm_hi" vbProcedure="false">In!$F$48</definedName>
    <definedName function="false" hidden="false" name="q_gm_lo" vbProcedure="false">In!$D$48</definedName>
    <definedName function="false" hidden="false" name="q_nio" vbProcedure="false">In!$E$50</definedName>
    <definedName function="false" hidden="false" name="q_nio_hi" vbProcedure="false">In!$F$50</definedName>
    <definedName function="false" hidden="false" name="q_nio_lo" vbProcedure="false">In!$D$50</definedName>
    <definedName function="false" hidden="false" name="q_opx" vbProcedure="false">In!$E$49</definedName>
    <definedName function="false" hidden="false" name="q_opx_hi" vbProcedure="false">In!$F$49</definedName>
    <definedName function="false" hidden="false" name="q_opx_lo" vbProcedure="false">In!$D$49</definedName>
    <definedName function="false" hidden="false" name="q_sh" vbProcedure="false">In!$E$51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In!$E$66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In!$E$56</definedName>
    <definedName function="false" hidden="false" name="sh_g_hi" vbProcedure="false">In!$F$56</definedName>
    <definedName function="false" hidden="false" name="sh_g_lo" vbProcedure="false">In!$D$56</definedName>
    <definedName function="false" hidden="false" name="srv_26" vbProcedure="false">In!$E$36</definedName>
    <definedName function="false" hidden="false" name="srv_26_hi" vbProcedure="false">In!$F$36</definedName>
    <definedName function="false" hidden="false" name="srv_26_lo" vbProcedure="false">In!$D$36</definedName>
    <definedName function="false" hidden="false" name="tp_comp" vbProcedure="false">Val!$B$116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In!$E$77</definedName>
    <definedName function="false" hidden="false" name="tp_r" vbProcedure="false">In!$E$76</definedName>
    <definedName function="false" hidden="false" name="tp_roe" vbProcedure="false">In!$E$78</definedName>
    <definedName function="false" hidden="false" name="tp_wA" vbProcedure="false">In!$E$72</definedName>
    <definedName function="false" hidden="false" name="tp_wB" vbProcedure="false">In!$E$73</definedName>
    <definedName function="false" hidden="false" name="tp_wC" vbProcedure="false">In!$E$74</definedName>
    <definedName function="false" hidden="false" name="tp_w_dcf" vbProcedure="false">In!$E$79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In!$E$44</definedName>
    <definedName function="false" hidden="false" name="vrd_hi" vbProcedure="false">In!$F$44</definedName>
    <definedName function="false" hidden="false" name="vrd_lo" vbProcedure="false">In!$D$44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<sst xmlns="http://schemas.openxmlformats.org/spreadsheetml/2006/main" count="2901" uniqueCount="776">
  <si>
    <r>
      <rPr>
        <b val="true"/>
        <sz val="11"/>
        <rFont val="Noto Sans CJK SC"/>
        <family val="2"/>
      </rPr>
      <t xml:space="preserve">廣達電腦（</t>
    </r>
    <r>
      <rPr>
        <b val="true"/>
        <sz val="11"/>
        <rFont val="Cambria"/>
        <family val="0"/>
        <charset val="1"/>
      </rPr>
      <t xml:space="preserve">2382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</si>
  <si>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伺服器組裝市場、廣達有效份額、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每櫃價格與客供比例在本模型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條）；鴻海、緯創之後讀這條組裝線。</t>
    </r>
  </si>
  <si>
    <r>
      <rPr>
        <sz val="11"/>
        <rFont val="Noto Sans CJK SC"/>
        <family val="2"/>
      </rPr>
      <t xml:space="preserve">模型命題：廣達的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客供比例）。組裝營收含轉手的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，營收大、毛利率約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；客供比例上升時營收成長放慢、毛利率回升，毛利金額大致不變。市場約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</si>
  <si>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核心問題：客供比例上升與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每櫃價格上升之下，每櫃毛利金額能不能撐住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成長；約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</si>
  <si>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</si>
  <si>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</si>
  <si>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每櫃價格（法人）＝組裝市場；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以公司伺服器與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</si>
  <si>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</si>
  <si>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</si>
  <si>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目標價（緯創、緯穎、鴻海、英業達、</t>
    </r>
    <r>
      <rPr>
        <sz val="11"/>
        <rFont val="Cambria"/>
        <family val="0"/>
        <charset val="1"/>
      </rPr>
      <t xml:space="preserve">Super Micro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</si>
  <si>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</si>
  <si>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，公司只說「比重仍低」；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份額只有一個量化來源（單月櫃數調查），且有效份額的分母含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與其他廠，與櫃數份額不同口徑；</t>
    </r>
    <r>
      <rPr>
        <sz val="11"/>
        <rFont val="Cambria"/>
        <family val="0"/>
        <charset val="1"/>
      </rPr>
      <t xml:space="preserve">(3)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價值（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）是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兩來源在 </t>
    </r>
    <r>
      <rPr>
        <sz val="11"/>
        <rFont val="Cambria"/>
        <family val="0"/>
        <charset val="1"/>
      </rPr>
      <t xml:space="preserve">2016–2021 </t>
    </r>
    <r>
      <rPr>
        <sz val="11"/>
        <rFont val="Noto Sans CJK SC"/>
        <family val="2"/>
      </rPr>
      <t xml:space="preserve">年差距大，且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前為低倍數；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</si>
  <si>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亦為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</si>
  <si>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</si>
  <si>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對照保留不動，不進目標價；本版未新增先驗。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</si>
  <si>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</si>
  <si>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未使用。公司原文＝廣達法說（經富果、優分析、</t>
    </r>
    <r>
      <rPr>
        <sz val="11"/>
        <color theme="1"/>
        <rFont val="Calibri"/>
        <family val="2"/>
        <charset val="1"/>
      </rPr>
      <t xml:space="preserve">Taipei Times </t>
    </r>
    <r>
      <rPr>
        <sz val="11"/>
        <color theme="1"/>
        <rFont val="Noto Sans CJK SC"/>
        <family val="2"/>
      </rPr>
      <t xml:space="preserve">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</si>
  <si>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</si>
  <si>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</si>
  <si>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</si>
  <si>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</si>
  <si>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</si>
  <si>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</si>
  <si>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</si>
  <si>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</si>
  <si>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</si>
  <si>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</si>
  <si>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</si>
  <si>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</si>
  <si>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</si>
  <si>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</si>
  <si>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</si>
  <si>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</si>
  <si>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</si>
  <si>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</si>
  <si>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</si>
  <si>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</si>
  <si>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</si>
  <si>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</si>
  <si>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</si>
  <si>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</si>
  <si>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</si>
  <si>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</si>
  <si>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</si>
  <si>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</si>
  <si>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</si>
  <si>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</si>
  <si>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</si>
  <si>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</si>
  <si>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</si>
  <si>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</si>
  <si>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</si>
  <si>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廣達：</t>
    </r>
    <r>
      <rPr>
        <sz val="11"/>
        <color theme="1"/>
        <rFont val="Calibri"/>
        <family val="2"/>
        <charset val="1"/>
      </rPr>
      <t xml:space="preserve">Vera Rubin 4Q26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</si>
  <si>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</si>
  <si>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</si>
  <si>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</si>
  <si>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</si>
  <si>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</si>
  <si>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</si>
  <si>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</si>
  <si>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</si>
  <si>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</si>
  <si>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</si>
  <si>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</si>
  <si>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</si>
  <si>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</si>
  <si>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</si>
  <si>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</si>
  <si>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</si>
  <si>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</si>
  <si>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</si>
  <si>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</si>
  <si>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</si>
  <si>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</si>
  <si>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</si>
  <si>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</si>
  <si>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</si>
  <si>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</si>
  <si>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</si>
  <si>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</si>
  <si>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</si>
  <si>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</si>
  <si>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</si>
  <si>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</si>
  <si>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</si>
  <si>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</si>
  <si>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</si>
  <si>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</si>
  <si>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</si>
  <si>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</si>
  <si>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</si>
  <si>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與台達電模型相同（公司換算隱含約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</si>
  <si>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先驗比對用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（只影響美元換算的市場與每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</si>
  <si>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組裝價格、廣達份額與客供（本專案為權威：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整櫃組裝份額、每櫃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價格、客供比例，規則第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</si>
  <si>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</si>
  <si>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</si>
  <si>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</si>
  <si>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</si>
  <si>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</si>
  <si>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</si>
  <si>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</si>
  <si>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</si>
  <si>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</si>
  <si>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</si>
  <si>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架數：未找到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</si>
  <si>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27.1B → 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4.0 × 6,764 vs 6.75 × 4,052</t>
    </r>
    <r>
      <rPr>
        <sz val="11"/>
        <color theme="1"/>
        <rFont val="Noto Sans CJK SC"/>
        <family val="2"/>
      </rPr>
      <t xml:space="preserve">）：換世代時每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大致持平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</si>
  <si>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</si>
  <si>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</si>
  <si>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</si>
  <si>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</si>
  <si>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</si>
  <si>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https://money.udn.com/money/amp/story/5607/9745501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</si>
  <si>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r>
      <rPr>
        <sz val="11"/>
        <color theme="1"/>
        <rFont val="Noto Sans CJK SC"/>
        <family val="2"/>
      </rPr>
      <t xml:space="preserve">公司：前五大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為主，</t>
    </r>
    <r>
      <rPr>
        <sz val="11"/>
        <color theme="1"/>
        <rFont val="Calibri"/>
        <family val="2"/>
        <charset val="1"/>
      </rPr>
      <t xml:space="preserve">Neocloud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CSP ASIC </t>
    </r>
    <r>
      <rPr>
        <sz val="11"/>
        <color theme="1"/>
        <rFont val="Noto Sans CJK SC"/>
        <family val="2"/>
      </rPr>
      <t xml:space="preserve">專案小量出貨（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找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</si>
  <si>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</si>
  <si>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</si>
  <si>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</si>
  <si>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rel_29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</si>
  <si>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</si>
  <si>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</si>
  <si>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</si>
  <si>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起部分高價關鍵料件改客供，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客戶都有；比重仍低（公司）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</si>
  <si>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客供比重小，營益率持平 </t>
    </r>
    <r>
      <rPr>
        <sz val="11"/>
        <color theme="1"/>
        <rFont val="Calibri"/>
        <family val="2"/>
        <charset val="1"/>
      </rPr>
      <t xml:space="preserve">1H26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</si>
  <si>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</si>
  <si>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</si>
  <si>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同上；公司與客戶協商轉換以提高利潤率（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</si>
  <si>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</si>
  <si>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</si>
  <si>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</si>
  <si>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</si>
  <si>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公司：客供可減輕毛利率稀釋與營運資金壓力（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</si>
  <si>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買賣模式下轉手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的加價很薄；客供後少掉這部分加價：未找到量化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</si>
  <si>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</si>
  <si>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</si>
  <si>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</si>
  <si>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：伺服器自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起超過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</si>
  <si>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：雲端伺服器 </t>
    </r>
    <r>
      <rPr>
        <sz val="11"/>
        <color theme="1"/>
        <rFont val="Calibri"/>
        <family val="2"/>
        <charset val="1"/>
      </rPr>
      <t xml:space="preserve">2026F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</si>
  <si>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</si>
  <si>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</si>
  <si>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Calibri"/>
        <family val="2"/>
        <charset val="1"/>
      </rPr>
      <t xml:space="preserve">https://uanalyze.com.tw/articles/5252953366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75–80%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</si>
  <si>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：同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</si>
  <si>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</si>
  <si>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營收年增（反推 </t>
    </r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</si>
  <si>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公司：筆電雙位數衰退、一般伺服器雙位數成長（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法說、財報狗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</si>
  <si>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：公司維持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伺服器「三位數年增」；若只倍增，非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須 </t>
    </r>
    <r>
      <rPr>
        <sz val="11"/>
        <color theme="1"/>
        <rFont val="Calibri"/>
        <family val="2"/>
        <charset val="1"/>
      </rPr>
      <t xml:space="preserve">+67%</t>
    </r>
    <r>
      <rPr>
        <sz val="11"/>
        <color theme="1"/>
        <rFont val="Noto Sans CJK SC"/>
        <family val="2"/>
      </rPr>
      <t xml:space="preserve">，與筆電衰退不符，所以倍增讀為下限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</si>
  <si>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</si>
  <si>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</si>
  <si>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筆電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年雙位數衰退、低於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）；一般伺服器雙位數成長（公司）</t>
    </r>
  </si>
  <si>
    <r>
      <rPr>
        <sz val="11"/>
        <color theme="1"/>
        <rFont val="Noto Sans CJK SC"/>
        <family val="2"/>
      </rPr>
      <t xml:space="preserve">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</si>
  <si>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</si>
  <si>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</si>
  <si>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</si>
  <si>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</si>
  <si>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</si>
  <si>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</si>
  <si>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</si>
  <si>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</si>
  <si>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公司：高價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機櫃稀釋毛利率；</t>
    </r>
    <r>
      <rPr>
        <sz val="11"/>
        <color theme="1"/>
        <rFont val="Calibri"/>
        <family val="2"/>
        <charset val="1"/>
      </rPr>
      <t xml:space="preserve">FY2025 6.98% → 1H26 4.92%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</si>
  <si>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部門別毛利率未揭露：未找到</t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</si>
  <si>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</si>
  <si>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</si>
  <si>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每櫃價格較高，毛利金額增加、毛利率可能被稀釋；凱基毛利率 </t>
    </r>
    <r>
      <rPr>
        <sz val="11"/>
        <color theme="1"/>
        <rFont val="Calibri"/>
        <family val="2"/>
        <charset val="1"/>
      </rPr>
      <t xml:space="preserve">2026F 4.9% → 2027F 4.7%</t>
    </r>
  </si>
  <si>
    <t xml:space="preserve">每櫃加工費與每櫃價格不同比例上升：未找到量化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</si>
  <si>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</si>
  <si>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</si>
  <si>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</si>
  <si>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</si>
  <si>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</si>
  <si>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</si>
  <si>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2.96 </t>
    </r>
    <r>
      <rPr>
        <sz val="11"/>
        <color theme="1"/>
        <rFont val="Noto Sans CJK SC"/>
        <family val="2"/>
      </rPr>
      <t xml:space="preserve">兆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</si>
  <si>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</si>
  <si>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</si>
  <si>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：法人估全年接近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1.04 </t>
    </r>
    <r>
      <rPr>
        <sz val="11"/>
        <color theme="1"/>
        <rFont val="Noto Sans CJK SC"/>
        <family val="2"/>
      </rPr>
      <t xml:space="preserve">兆，季減約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</si>
  <si>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主要動能、</t>
    </r>
    <r>
      <rPr>
        <sz val="11"/>
        <color theme="1"/>
        <rFont val="Calibri"/>
        <family val="2"/>
        <charset val="1"/>
      </rPr>
      <t xml:space="preserve">VR 4Q </t>
    </r>
    <r>
      <rPr>
        <sz val="11"/>
        <color theme="1"/>
        <rFont val="Noto Sans CJK SC"/>
        <family val="2"/>
      </rPr>
      <t xml:space="preserve">小量；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（出貨時點）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</si>
  <si>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</si>
  <si>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</si>
  <si>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：全年利潤率維持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2Q26 5.02%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</si>
  <si>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4.9%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</si>
  <si>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</si>
  <si>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</si>
  <si>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1.72%</t>
    </r>
    <r>
      <rPr>
        <sz val="11"/>
        <color theme="1"/>
        <rFont val="Noto Sans CJK SC"/>
        <family val="2"/>
      </rPr>
      <t xml:space="preserve">（新低）、</t>
    </r>
    <r>
      <rPr>
        <sz val="11"/>
        <color theme="1"/>
        <rFont val="Calibri"/>
        <family val="2"/>
        <charset val="1"/>
      </rPr>
      <t xml:space="preserve">1H26 1.81%</t>
    </r>
    <r>
      <rPr>
        <sz val="11"/>
        <color theme="1"/>
        <rFont val="Noto Sans CJK SC"/>
        <family val="2"/>
      </rPr>
      <t xml:space="preserve">（公司）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</si>
  <si>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</si>
  <si>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</si>
  <si>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49.84 ÷ 57.3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74.98 ÷ 87.5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0.857</t>
    </r>
    <r>
      <rPr>
        <sz val="11"/>
        <color theme="1"/>
        <rFont val="Noto Sans CJK SC"/>
        <family val="2"/>
      </rPr>
      <t xml:space="preserve">（公司）</t>
    </r>
  </si>
  <si>
    <t xml:space="preserve">業外收益與稅前利益：未找到（公開摘要未列）</t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</si>
  <si>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</si>
  <si>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</si>
  <si>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</si>
  <si>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49.84 ÷ EPS 12.93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</si>
  <si>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74.98 ÷ 19.45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3.855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</si>
  <si>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</si>
  <si>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</si>
  <si>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</si>
  <si>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</si>
  <si>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2.9% → 2Q26 1.72%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</si>
  <si>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</si>
  <si>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</si>
  <si>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</si>
  <si>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個百分點已是約 </t>
    </r>
    <r>
      <rPr>
        <sz val="11"/>
        <color theme="1"/>
        <rFont val="Calibri"/>
        <family val="2"/>
        <charset val="1"/>
      </rPr>
      <t xml:space="preserve">±7%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</si>
  <si>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</si>
  <si>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</si>
  <si>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</si>
  <si>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低值＝券商隱含：凱基 </t>
    </r>
    <r>
      <rPr>
        <sz val="11"/>
        <color theme="1"/>
        <rFont val="Calibri"/>
        <family val="2"/>
        <charset val="1"/>
      </rPr>
      <t xml:space="preserve">FY2026 EPS 27.06 × 3.855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3.2% × 4,219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≈ 0.73</t>
    </r>
    <r>
      <rPr>
        <sz val="11"/>
        <color theme="1"/>
        <rFont val="Noto Sans CJK SC"/>
        <family val="2"/>
      </rPr>
      <t xml:space="preserve">（原因未找到）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</si>
  <si>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</si>
  <si>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</si>
  <si>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3.855 → 1H26 3.855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</si>
  <si>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</si>
  <si>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</si>
  <si>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</si>
  <si>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</si>
  <si>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</si>
  <si>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</si>
  <si>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</si>
  <si>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https://www.kgi.com.hk/zh-cn/-/media/files/kgishk/research-reports/tw-reports/quanta-computer-2382-tt-20260813en.pdf</t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</si>
  <si>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</si>
  <si>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</si>
  <si>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</si>
  <si>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</si>
  <si>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</si>
  <si>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</si>
  <si>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b_rev27b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</si>
  <si>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</si>
  <si>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</si>
  <si>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</si>
  <si>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</si>
  <si>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</si>
  <si>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</si>
  <si>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（未具名；目標價 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</si>
  <si>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</si>
  <si>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</si>
  <si>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</si>
  <si>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3.2%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</si>
  <si>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</si>
  <si>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中廣達的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</si>
  <si>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</si>
  <si>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等）；第二個量化來源：未找到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</si>
  <si>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</si>
  <si>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</si>
  <si>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廣達</t>
    </r>
    <r>
      <rPr>
        <sz val="11"/>
        <color theme="1"/>
        <rFont val="Calibri"/>
        <family val="2"/>
        <charset val="1"/>
      </rPr>
      <t xml:space="preserve">_20261024 Q9b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</si>
  <si>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</si>
  <si>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</si>
  <si>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</si>
  <si>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</si>
  <si>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328.5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</si>
  <si>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</si>
  <si>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</si>
  <si>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</si>
  <si>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</si>
  <si>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</si>
  <si>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</si>
  <si>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</si>
  <si>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</si>
  <si>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</si>
  <si>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</si>
  <si>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</si>
  <si>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</si>
  <si>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</si>
  <si>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</si>
  <si>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</si>
  <si>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</si>
  <si>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</si>
  <si>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</si>
  <si>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</si>
  <si>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</si>
  <si>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</si>
  <si>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</si>
  <si>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</si>
  <si>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</si>
  <si>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</si>
  <si>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21.86%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28.42%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</si>
  <si>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39.48%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</si>
  <si>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</si>
  <si>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</si>
  <si>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</si>
  <si>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</si>
  <si>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</si>
  <si>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</si>
  <si>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</si>
  <si>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</si>
  <si>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</si>
  <si>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</si>
  <si>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</si>
  <si>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</si>
  <si>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</si>
  <si>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</si>
  <si>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</si>
  <si>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</si>
  <si>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</si>
  <si>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</si>
  <si>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427.84</t>
    </r>
    <r>
      <rPr>
        <sz val="11"/>
        <color theme="1"/>
        <rFont val="Noto Sans CJK SC"/>
        <family val="2"/>
      </rPr>
      <t xml:space="preserve">，頁面時間 </t>
    </r>
    <r>
      <rPr>
        <sz val="11"/>
        <color theme="1"/>
        <rFont val="Calibri"/>
        <family val="2"/>
        <charset val="1"/>
      </rPr>
      <t xml:space="preserve">2026-10-14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</si>
  <si>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</si>
  <si>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</si>
  <si>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</si>
  <si>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323 ÷ Forward PE 11.31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</si>
  <si>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</si>
  <si>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為新台幣；股數為十億股）。藍字＝輸入；黑字＝公式。實績取自廣達法說摘要、財報新聞與月營收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</si>
  <si>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毛利由公司揭露的毛利率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營業利益同。業外與稅前：未找到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</si>
  <si>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</si>
  <si>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</si>
  <si>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</si>
  <si>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</si>
  <si>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</si>
  <si>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</si>
  <si>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</si>
  <si>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</si>
  <si>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https://uanalyze.com.tw/articles/3341848159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https://blog.fugle.tw/post/earnings-call-2382-2026-08-13</t>
    </r>
  </si>
  <si>
    <r>
      <rPr>
        <sz val="11"/>
        <color theme="1"/>
        <rFont val="Calibri"/>
        <family val="2"/>
        <charset val="1"/>
      </rPr>
      <t xml:space="preserve">FY2025 2,123.689</t>
    </r>
    <r>
      <rPr>
        <sz val="11"/>
        <color theme="1"/>
        <rFont val="Noto Sans CJK SC"/>
        <family val="2"/>
      </rPr>
      <t xml:space="preserve">（凱基）；</t>
    </r>
    <r>
      <rPr>
        <sz val="11"/>
        <color theme="1"/>
        <rFont val="Calibri"/>
        <family val="2"/>
        <charset val="1"/>
      </rPr>
      <t xml:space="preserve">1H26 1.8458 </t>
    </r>
    <r>
      <rPr>
        <sz val="11"/>
        <color theme="1"/>
        <rFont val="Noto Sans CJK SC"/>
        <family val="2"/>
      </rPr>
      <t xml:space="preserve">兆（公司）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</si>
  <si>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</si>
  <si>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</si>
  <si>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4.92%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</si>
  <si>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</si>
  <si>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</si>
  <si>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</si>
  <si>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</si>
  <si>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</si>
  <si>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</si>
  <si>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1H26 573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</si>
  <si>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</si>
  <si>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</si>
  <si>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</si>
  <si>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28.65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EPS 7.43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</si>
  <si>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</si>
  <si>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</si>
  <si>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</si>
  <si>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</si>
  <si>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</si>
  <si>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</si>
  <si>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7.43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</si>
  <si>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占伺服器）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</si>
  <si>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</si>
  <si>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</si>
  <si>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</si>
  <si>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營收（一般伺服器、筆電、其他）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</si>
  <si>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</si>
  <si>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</si>
  <si>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</si>
  <si>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</si>
  <si>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</si>
  <si>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</si>
  <si>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</si>
  <si>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年增（隱含；公司說三位數）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</si>
  <si>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伺服器組裝市場、廣達份額、客供比例（本專案權威，規則第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</si>
  <si>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</si>
  <si>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</si>
  <si>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</si>
  <si>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</si>
  <si>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</si>
  <si>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</si>
  <si>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</si>
  <si>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</si>
  <si>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</si>
  <si>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</si>
  <si>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GB300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6.75 </t>
    </r>
    <r>
      <rPr>
        <sz val="11"/>
        <color theme="1"/>
        <rFont val="Noto Sans CJK SC"/>
        <family val="2"/>
      </rPr>
      <t xml:space="preserve">百萬美元）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</si>
  <si>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</si>
  <si>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</si>
  <si>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廣達有效份額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</si>
  <si>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</si>
  <si>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</si>
  <si>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</si>
  <si>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</si>
  <si>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</si>
  <si>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</si>
  <si>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隱含廣達出貨櫃數（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</si>
  <si>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</si>
  <si>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</si>
  <si>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</si>
  <si>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</si>
  <si>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</si>
  <si>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</si>
  <si>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其他廠商（鴻海、緯創、英業達、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− 廣達毛額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</si>
  <si>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有效份額遠低於整櫃櫃數份額（三家中約三分之一），因為本模型分母是全部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與其他組裝廠），且公司部分出貨為運算托盤而非整櫃。客供比例與份額相對值是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</si>
  <si>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廣達損益（十億新台幣；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</si>
  <si>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</si>
  <si>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</si>
  <si>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</si>
  <si>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</si>
  <si>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</si>
  <si>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</si>
  <si>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</si>
  <si>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</si>
  <si>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</si>
  <si>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</si>
  <si>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</si>
  <si>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</si>
  <si>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</si>
  <si>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</si>
  <si>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</si>
  <si>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</si>
  <si>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</si>
  <si>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</si>
  <si>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</si>
  <si>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</si>
  <si>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</si>
  <si>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</si>
  <si>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</si>
  <si>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</si>
  <si>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</si>
  <si>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</si>
  <si>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</si>
  <si>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</si>
  <si>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</si>
  <si>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的少量客供已含在錨點與校準份額內，記為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</si>
  <si>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</si>
  <si>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</si>
  <si>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</si>
  <si>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</si>
  <si>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隱含廣達出貨櫃數（毛額價值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</si>
  <si>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</si>
  <si>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</si>
  <si>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</si>
  <si>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</si>
  <si>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</si>
  <si>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</si>
  <si>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</si>
  <si>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</si>
  <si>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</si>
  <si>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</si>
  <si>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</si>
  <si>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</si>
  <si>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</si>
  <si>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</si>
  <si>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</si>
  <si>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</si>
  <si>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</si>
  <si>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</si>
  <si>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</si>
  <si>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</si>
  <si>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</si>
  <si>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</si>
  <si>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</si>
  <si>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</si>
  <si>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</si>
  <si>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</si>
  <si>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</si>
  <si>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</si>
  <si>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</si>
  <si>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</si>
  <si>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</si>
  <si>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</si>
  <si>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</si>
  <si>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</si>
  <si>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</si>
  <si>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</si>
  <si>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循環位置：廣達不是設備股，不套設備市場見頂年；以本模型營收最高的會計年度為見頂年（比照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</si>
  <si>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</si>
  <si>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</si>
  <si>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</si>
  <si>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</si>
  <si>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</si>
  <si>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</si>
  <si>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</si>
  <si>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</si>
  <si>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</si>
  <si>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</si>
  <si>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</si>
  <si>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</si>
  <si>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</si>
  <si>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Q9a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20x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</si>
  <si>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</si>
  <si>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</si>
  <si>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</si>
  <si>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</si>
  <si>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</si>
  <si>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</si>
  <si>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</si>
  <si>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</si>
  <si>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</si>
  <si>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</si>
  <si>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</si>
  <si>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</si>
  <si>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</si>
  <si>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</si>
  <si>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</si>
  <si>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</si>
  <si>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</si>
  <si>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</si>
  <si>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</si>
  <si>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</si>
  <si>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</si>
  <si>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</si>
  <si>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15x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</si>
  <si>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15x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</si>
  <si>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</si>
  <si>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</si>
  <si>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</si>
  <si>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</si>
  <si>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</si>
  <si>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</si>
  <si>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</si>
  <si>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</si>
  <si>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</si>
  <si>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</si>
  <si>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</si>
  <si>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</si>
  <si>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</si>
  <si>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</si>
  <si>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</si>
  <si>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年筆電代工期低倍數（約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</si>
  <si>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</si>
  <si>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疑用還原股價，數字較低）；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多年加權平均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12.02–20.7 </t>
    </r>
    <r>
      <rPr>
        <sz val="11"/>
        <color theme="1"/>
        <rFont val="Noto Sans CJK SC"/>
        <family val="2"/>
      </rPr>
      <t xml:space="preserve">只作量級核對。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年廣達為筆電代工為主的低成長公司（約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</si>
  <si>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</si>
  <si>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</si>
  <si>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</si>
  <si>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</si>
  <si>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</si>
  <si>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</si>
  <si>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</si>
  <si>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</si>
  <si>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</si>
  <si>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</si>
  <si>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</si>
  <si>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</si>
  <si>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</si>
  <si>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</si>
  <si>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</si>
  <si>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</si>
  <si>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</si>
  <si>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</si>
  <si>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</si>
  <si>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</si>
  <si>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</si>
  <si>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</si>
  <si>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</si>
  <si>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</si>
  <si>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</si>
  <si>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</si>
  <si>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</si>
  <si>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</si>
  <si>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</si>
  <si>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</si>
  <si>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</si>
  <si>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</si>
  <si>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</si>
  <si>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</si>
  <si>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</si>
  <si>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</si>
  <si>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</si>
  <si>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</si>
  <si>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</si>
  <si>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</si>
  <si>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</si>
  <si>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</si>
  <si>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</si>
  <si>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</si>
  <si>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</si>
  <si>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</si>
  <si>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</si>
  <si>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</si>
  <si>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</si>
  <si>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</si>
  <si>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</si>
  <si>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</si>
  <si>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</si>
  <si>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</si>
  <si>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</si>
  <si>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</si>
  <si>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</si>
  <si>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</si>
  <si>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</si>
  <si>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</si>
  <si>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</si>
  <si>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</si>
  <si>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</si>
  <si>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</si>
  <si>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</si>
  <si>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</si>
  <si>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</si>
  <si>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</si>
  <si>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</si>
  <si>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</si>
  <si>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</si>
  <si>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</si>
  <si>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</si>
  <si>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</si>
  <si>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</si>
  <si>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</si>
  <si>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</si>
  <si>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</si>
  <si>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</si>
  <si>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</si>
  <si>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</si>
  <si>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t xml:space="preserve">Super Micro</t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</si>
  <si>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</si>
  <si>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</si>
  <si>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</si>
  <si>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同業：緯創、緯穎、鴻海、英業達、</t>
    </r>
    <r>
      <rPr>
        <sz val="11"/>
        <color theme="1"/>
        <rFont val="Calibri"/>
        <family val="2"/>
        <charset val="1"/>
      </rPr>
      <t xml:space="preserve">Super Micro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</si>
  <si>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</si>
  <si>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</si>
  <si>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</si>
  <si>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</si>
  <si>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</si>
  <si>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</si>
  <si>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</si>
  <si>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</si>
  <si>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</si>
  <si>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</si>
  <si>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</si>
  <si>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</si>
  <si>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</si>
  <si>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</si>
  <si>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</si>
  <si>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</si>
  <si>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</si>
  <si>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</si>
  <si>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</si>
  <si>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</si>
  <si>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</si>
  <si>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</si>
  <si>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：緯創、緯穎、鴻海、英業達、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中位數；部分價格為 </t>
    </r>
    <r>
      <rPr>
        <sz val="11"/>
        <color theme="1"/>
        <rFont val="Calibri"/>
        <family val="2"/>
        <charset val="1"/>
      </rPr>
      <t xml:space="preserve">8–10 </t>
    </r>
    <r>
      <rPr>
        <sz val="11"/>
        <color theme="1"/>
        <rFont val="Noto Sans CJK SC"/>
        <family val="2"/>
      </rPr>
      <t xml:space="preserve">月初，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低倍數（約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）反映會計與治理折價，偏誤方向不明確。情境對應：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</si>
  <si>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</si>
  <si>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</si>
  <si>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</si>
  <si>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</si>
  <si>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</si>
  <si>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</si>
  <si>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</si>
  <si>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</si>
  <si>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</si>
  <si>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</si>
  <si>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</si>
  <si>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</si>
  <si>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</si>
  <si>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</si>
  <si>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</si>
  <si>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</si>
  <si>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</si>
  <si>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</si>
  <si>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</si>
  <si>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</si>
  <si>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</si>
  <si>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兩家區間 </t>
    </r>
    <r>
      <rPr>
        <sz val="11"/>
        <color theme="1"/>
        <rFont val="Calibri"/>
        <family val="2"/>
        <charset val="1"/>
      </rPr>
      <t xml:space="preserve">31.75–32.09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</si>
  <si>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</si>
  <si>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Noto Sans CJK SC"/>
        <family val="2"/>
      </rPr>
      <t xml:space="preserve">模型含客供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，毛利率較高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</si>
  <si>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</si>
  <si>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</si>
  <si>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</si>
  <si>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</si>
  <si>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</si>
  <si>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</si>
  <si>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</si>
  <si>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隱含廣達出貨櫃數（千櫃，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</si>
  <si>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三家調查單月約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30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</si>
  <si>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</si>
  <si>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</si>
  <si>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</si>
  <si>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</si>
  <si>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</si>
  <si>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</si>
  <si>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</si>
  <si>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客供使毛利率上升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</si>
  <si>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</si>
  <si>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</si>
  <si>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</si>
  <si>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</si>
  <si>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</si>
  <si>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</si>
  <si>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</si>
  <si>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</si>
  <si>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</si>
  <si>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</si>
  <si>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</si>
  <si>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</si>
  <si>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</si>
  <si>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</si>
  <si>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</si>
  <si>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</si>
  <si>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</si>
  <si>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</si>
  <si>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</si>
  <si>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</si>
  <si>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</si>
  <si>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</si>
  <si>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</si>
  <si>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（鴻海、緯創搶單）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</si>
  <si>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</si>
  <si>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</si>
  <si>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</si>
  <si>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</si>
  <si>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</si>
  <si>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</si>
  <si>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</si>
  <si>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</si>
  <si>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</si>
  <si>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</si>
  <si>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</si>
  <si>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</si>
  <si>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</si>
  <si>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</si>
  <si>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</si>
  <si>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</si>
  <si>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</si>
  <si>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</si>
  <si>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</si>
  <si>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</si>
  <si>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</si>
  <si>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</si>
  <si>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</si>
  <si>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</si>
  <si>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Noto Sans CJK SC"/>
        <family val="2"/>
      </rPr>
      <t xml:space="preserve">只低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</si>
  <si>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</si>
  <si>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</si>
  <si>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</si>
  <si>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</si>
  <si>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</si>
  <si>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</si>
  <si>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</si>
  <si>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（券商隱含約 </t>
    </r>
    <r>
      <rPr>
        <sz val="11"/>
        <color theme="1"/>
        <rFont val="Calibri"/>
        <family val="2"/>
        <charset val="1"/>
      </rPr>
      <t xml:space="preserve">0.73–0.77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</si>
  <si>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</si>
  <si>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</si>
  <si>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</si>
  <si>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</si>
  <si>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恆等於錨點。「客供」案例同時改變營收與毛利率，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只受保留毛利比例影響：客供比例高、保留比例低時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才明顯下降。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</si>
  <si>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</si>
  <si>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</si>
  <si>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</si>
  <si>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</si>
  <si>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</si>
  <si>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</si>
  <si>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</si>
  <si>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</si>
  <si>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</si>
  <si>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</si>
  <si>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</si>
  <si>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</si>
  <si>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3.5pt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</si>
  <si>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</si>
  <si>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</si>
  <si>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</si>
  <si>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</si>
  <si>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</si>
  <si>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</si>
  <si>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</si>
  <si>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</si>
  <si>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</si>
  <si>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</si>
  <si>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</si>
  <si>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</si>
  <si>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</si>
  <si>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</si>
  <si>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</si>
  <si>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</si>
  <si>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</si>
  <si>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</si>
  <si>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</si>
  <si>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</si>
  <si>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</si>
  <si>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</si>
  <si>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</si>
  <si>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</si>
  <si>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占比、客供、產能、資本支出）</t>
    </r>
  </si>
  <si>
    <t xml:space="preserve">https://blog.fugle.tw/post/earnings-call-2382-2026-08-13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</si>
  <si>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占伺服器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、毛利率、能見度至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</si>
  <si>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https://uanalyze.com.tw/articles/5252953366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</si>
  <si>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4.78%</t>
    </r>
    <r>
      <rPr>
        <sz val="11"/>
        <color theme="1"/>
        <rFont val="Noto Sans CJK SC"/>
        <family val="2"/>
      </rPr>
      <t xml:space="preserve">、客供轉換協商）</t>
    </r>
  </si>
  <si>
    <t xml:space="preserve">https://www.taipeitimes.com/News/biz/archives/2026/05/15/2003857345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</si>
  <si>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749.8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19.45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</si>
  <si>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https://uanalyze.com.tw/articles/3341848159</t>
  </si>
  <si>
    <r>
      <rPr>
        <sz val="11"/>
        <color theme="1"/>
        <rFont val="Noto Sans CJK SC"/>
        <family val="2"/>
      </rPr>
      <t xml:space="preserve">二手：財報狗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時程、筆電占比）</t>
    </r>
  </si>
  <si>
    <t xml:space="preserve">https://statementdog.com/news/17848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</si>
  <si>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</si>
  <si>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32.09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每櫃價格）</t>
    </r>
  </si>
  <si>
    <t xml:space="preserve">https://www.ctee.com.tw/news/20261008700747-430201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</si>
  <si>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（同上；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）</t>
    </r>
  </si>
  <si>
    <t xml:space="preserve">https://www.ftnn.com.tw/news/585951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</si>
  <si>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</si>
  <si>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</si>
  <si>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</si>
  <si>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https://tw.stock.yahoo.com/quote/2382.TW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</si>
  <si>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</si>
  <si>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https://companiesmarketcap.com/quanta-computer/pe-ratio/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</si>
  <si>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</si>
  <si>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https://goodinfo.tw/tw/StockBzPerformance.asp?STOCK_ID=2382&amp;RPT_CAT=M_YEAR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</si>
  <si>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</si>
  <si>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）；業外與稅前利益；客供比例的量化；前瞻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</si>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</sst>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0%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4" t="s">
        <v>16</v>
      </c>
    </row>
    <row r="3" customFormat="false" ht="17.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</row>
    <row r="4" customFormat="false" ht="17.15" hidden="false" customHeight="false" outlineLevel="0" collapsed="false">
      <c r="A4" s="6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0" t="s">
        <v>29</v>
      </c>
      <c r="E5" s="7" t="n">
        <v>781.872916666667</v>
      </c>
      <c r="G5" s="8" t="s">
        <v>30</v>
      </c>
      <c r="H5" s="8" t="s">
        <v>31</v>
      </c>
      <c r="I5" s="4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0" t="s">
        <v>29</v>
      </c>
      <c r="E6" s="7" t="n">
        <v>1565.35</v>
      </c>
      <c r="G6" s="8" t="s">
        <v>30</v>
      </c>
      <c r="H6" s="8" t="s">
        <v>31</v>
      </c>
      <c r="I6" s="4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0" t="s">
        <v>29</v>
      </c>
      <c r="E7" s="7" t="n">
        <v>1984.26388888889</v>
      </c>
      <c r="G7" s="8" t="s">
        <v>30</v>
      </c>
      <c r="H7" s="8" t="s">
        <v>31</v>
      </c>
      <c r="I7" s="4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29</v>
      </c>
      <c r="E8" s="7" t="n">
        <v>2260.39027777778</v>
      </c>
      <c r="G8" s="8" t="s">
        <v>30</v>
      </c>
      <c r="H8" s="8" t="s">
        <v>31</v>
      </c>
      <c r="I8" s="4" t="s">
        <v>35</v>
      </c>
    </row>
    <row r="9" customFormat="false" ht="17.15" hidden="false" customHeight="false" outlineLevel="0" collapsed="false">
      <c r="A9" s="0" t="s">
        <v>40</v>
      </c>
      <c r="B9" s="4" t="s">
        <v>41</v>
      </c>
      <c r="C9" s="0" t="s">
        <v>29</v>
      </c>
      <c r="E9" s="7" t="n">
        <v>32.237224</v>
      </c>
      <c r="G9" s="8" t="s">
        <v>30</v>
      </c>
      <c r="H9" s="8" t="s">
        <v>42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4" t="s">
        <v>45</v>
      </c>
      <c r="C10" s="0" t="s">
        <v>29</v>
      </c>
      <c r="E10" s="7" t="n">
        <v>37.586352</v>
      </c>
      <c r="G10" s="8" t="s">
        <v>30</v>
      </c>
      <c r="H10" s="8" t="s">
        <v>42</v>
      </c>
      <c r="I10" s="4" t="s">
        <v>46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49</v>
      </c>
      <c r="D11" s="7" t="n">
        <v>0.15</v>
      </c>
      <c r="E11" s="7" t="n">
        <v>0.22</v>
      </c>
      <c r="F11" s="7" t="n">
        <v>0.3</v>
      </c>
      <c r="G11" s="8" t="s">
        <v>50</v>
      </c>
      <c r="H11" s="8" t="s">
        <v>51</v>
      </c>
      <c r="I11" s="4" t="s">
        <v>52</v>
      </c>
    </row>
    <row r="12" customFormat="false" ht="17.15" hidden="false" customHeight="false" outlineLevel="0" collapsed="false">
      <c r="A12" s="0" t="s">
        <v>53</v>
      </c>
      <c r="B12" s="4" t="s">
        <v>54</v>
      </c>
      <c r="C12" s="4" t="s">
        <v>55</v>
      </c>
      <c r="E12" s="7" t="n">
        <v>6764</v>
      </c>
      <c r="G12" s="8" t="s">
        <v>30</v>
      </c>
      <c r="H12" s="8" t="s">
        <v>56</v>
      </c>
      <c r="I12" s="8" t="s">
        <v>57</v>
      </c>
    </row>
    <row r="13" customFormat="false" ht="17.15" hidden="false" customHeight="false" outlineLevel="0" collapsed="false">
      <c r="A13" s="0" t="s">
        <v>58</v>
      </c>
      <c r="B13" s="4" t="s">
        <v>59</v>
      </c>
      <c r="C13" s="4" t="s">
        <v>55</v>
      </c>
      <c r="E13" s="7" t="n">
        <v>4052</v>
      </c>
      <c r="G13" s="8" t="s">
        <v>30</v>
      </c>
      <c r="H13" s="8" t="s">
        <v>56</v>
      </c>
      <c r="I13" s="4" t="s">
        <v>35</v>
      </c>
    </row>
    <row r="14" customFormat="false" ht="17.15" hidden="false" customHeight="false" outlineLevel="0" collapsed="false">
      <c r="A14" s="0" t="s">
        <v>60</v>
      </c>
      <c r="B14" s="4" t="s">
        <v>61</v>
      </c>
      <c r="C14" s="0" t="s">
        <v>62</v>
      </c>
      <c r="E14" s="7" t="n">
        <v>4.3</v>
      </c>
      <c r="G14" s="8" t="s">
        <v>30</v>
      </c>
      <c r="H14" s="8" t="s">
        <v>63</v>
      </c>
      <c r="I14" s="8" t="s">
        <v>64</v>
      </c>
    </row>
    <row r="15" customFormat="false" ht="17.15" hidden="false" customHeight="false" outlineLevel="0" collapsed="false">
      <c r="A15" s="0" t="s">
        <v>65</v>
      </c>
      <c r="B15" s="4" t="s">
        <v>66</v>
      </c>
      <c r="C15" s="0" t="s">
        <v>62</v>
      </c>
      <c r="E15" s="7" t="n">
        <v>8.4</v>
      </c>
      <c r="G15" s="8" t="s">
        <v>30</v>
      </c>
      <c r="H15" s="8" t="s">
        <v>63</v>
      </c>
      <c r="I15" s="4" t="s">
        <v>35</v>
      </c>
    </row>
    <row r="16" customFormat="false" ht="17.15" hidden="false" customHeight="false" outlineLevel="0" collapsed="false">
      <c r="A16" s="0" t="s">
        <v>67</v>
      </c>
      <c r="B16" s="4" t="s">
        <v>68</v>
      </c>
      <c r="C16" s="0" t="s">
        <v>69</v>
      </c>
      <c r="E16" s="7" t="n">
        <v>1</v>
      </c>
      <c r="G16" s="8" t="s">
        <v>70</v>
      </c>
      <c r="H16" s="8" t="s">
        <v>71</v>
      </c>
      <c r="I16" s="8" t="s">
        <v>72</v>
      </c>
    </row>
    <row r="17" customFormat="false" ht="17.15" hidden="false" customHeight="false" outlineLevel="0" collapsed="false">
      <c r="A17" s="0" t="s">
        <v>73</v>
      </c>
      <c r="B17" s="4" t="s">
        <v>74</v>
      </c>
      <c r="C17" s="0" t="s">
        <v>69</v>
      </c>
      <c r="E17" s="7" t="n">
        <v>1</v>
      </c>
      <c r="G17" s="8" t="s">
        <v>70</v>
      </c>
      <c r="H17" s="8" t="s">
        <v>75</v>
      </c>
      <c r="I17" s="4" t="s">
        <v>35</v>
      </c>
    </row>
    <row r="18" customFormat="false" ht="17.15" hidden="false" customHeight="false" outlineLevel="0" collapsed="false">
      <c r="A18" s="0" t="s">
        <v>76</v>
      </c>
      <c r="B18" s="4" t="s">
        <v>77</v>
      </c>
      <c r="C18" s="0" t="s">
        <v>69</v>
      </c>
      <c r="E18" s="7" t="n">
        <v>0.8</v>
      </c>
      <c r="G18" s="8" t="s">
        <v>70</v>
      </c>
      <c r="H18" s="8" t="s">
        <v>78</v>
      </c>
      <c r="I18" s="8" t="s">
        <v>72</v>
      </c>
    </row>
    <row r="19" customFormat="false" ht="17.15" hidden="false" customHeight="false" outlineLevel="0" collapsed="false">
      <c r="A19" s="0" t="s">
        <v>79</v>
      </c>
      <c r="B19" s="4" t="s">
        <v>80</v>
      </c>
      <c r="C19" s="0" t="s">
        <v>69</v>
      </c>
      <c r="E19" s="7" t="n">
        <v>0.85</v>
      </c>
      <c r="G19" s="8" t="s">
        <v>70</v>
      </c>
      <c r="H19" s="8" t="s">
        <v>81</v>
      </c>
      <c r="I19" s="4" t="s">
        <v>35</v>
      </c>
    </row>
    <row r="20" customFormat="false" ht="17.15" hidden="false" customHeight="false" outlineLevel="0" collapsed="false">
      <c r="A20" s="0" t="s">
        <v>82</v>
      </c>
      <c r="B20" s="4" t="s">
        <v>83</v>
      </c>
      <c r="C20" s="0" t="s">
        <v>69</v>
      </c>
      <c r="E20" s="7" t="n">
        <v>0.6</v>
      </c>
      <c r="G20" s="8" t="s">
        <v>70</v>
      </c>
      <c r="H20" s="8" t="s">
        <v>84</v>
      </c>
      <c r="I20" s="8" t="s">
        <v>72</v>
      </c>
    </row>
    <row r="21" customFormat="false" ht="17.15" hidden="false" customHeight="false" outlineLevel="0" collapsed="false">
      <c r="A21" s="0" t="s">
        <v>85</v>
      </c>
      <c r="B21" s="4" t="s">
        <v>86</v>
      </c>
      <c r="C21" s="0" t="s">
        <v>69</v>
      </c>
      <c r="E21" s="7" t="n">
        <v>0.6</v>
      </c>
      <c r="G21" s="8" t="s">
        <v>70</v>
      </c>
      <c r="H21" s="8" t="s">
        <v>87</v>
      </c>
      <c r="I21" s="4" t="s">
        <v>35</v>
      </c>
    </row>
    <row r="22" customFormat="false" ht="17.15" hidden="false" customHeight="false" outlineLevel="0" collapsed="false">
      <c r="A22" s="0" t="s">
        <v>88</v>
      </c>
      <c r="B22" s="4" t="s">
        <v>89</v>
      </c>
      <c r="C22" s="0" t="s">
        <v>90</v>
      </c>
      <c r="D22" s="7" t="n">
        <v>30.5</v>
      </c>
      <c r="E22" s="7" t="n">
        <v>32</v>
      </c>
      <c r="F22" s="7" t="n">
        <v>33</v>
      </c>
      <c r="G22" s="8" t="s">
        <v>30</v>
      </c>
      <c r="H22" s="4" t="s">
        <v>91</v>
      </c>
      <c r="I22" s="4" t="s">
        <v>92</v>
      </c>
    </row>
    <row r="23" customFormat="false" ht="17.15" hidden="false" customHeight="false" outlineLevel="0" collapsed="false">
      <c r="A23" s="6" t="s">
        <v>93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62</v>
      </c>
      <c r="D24" s="7" t="n">
        <v>3.6</v>
      </c>
      <c r="E24" s="7" t="n">
        <v>4</v>
      </c>
      <c r="F24" s="7" t="n">
        <v>4.3</v>
      </c>
      <c r="G24" s="8" t="s">
        <v>50</v>
      </c>
      <c r="H24" s="8" t="s">
        <v>96</v>
      </c>
      <c r="I24" s="8" t="s">
        <v>97</v>
      </c>
    </row>
    <row r="25" customFormat="false" ht="17.15" hidden="false" customHeight="false" outlineLevel="0" collapsed="false">
      <c r="A25" s="0" t="s">
        <v>98</v>
      </c>
      <c r="B25" s="0" t="s">
        <v>99</v>
      </c>
      <c r="C25" s="0" t="s">
        <v>62</v>
      </c>
      <c r="D25" s="7" t="n">
        <v>6.5</v>
      </c>
      <c r="E25" s="7" t="n">
        <v>6.75</v>
      </c>
      <c r="F25" s="7" t="n">
        <v>7</v>
      </c>
      <c r="G25" s="8" t="s">
        <v>50</v>
      </c>
      <c r="H25" s="8" t="s">
        <v>100</v>
      </c>
      <c r="I25" s="8" t="s">
        <v>101</v>
      </c>
    </row>
    <row r="26" customFormat="false" ht="17.15" hidden="false" customHeight="false" outlineLevel="0" collapsed="false">
      <c r="A26" s="0" t="s">
        <v>102</v>
      </c>
      <c r="B26" s="4" t="s">
        <v>103</v>
      </c>
      <c r="C26" s="0" t="s">
        <v>69</v>
      </c>
      <c r="D26" s="7" t="n">
        <v>0.85</v>
      </c>
      <c r="E26" s="7" t="n">
        <v>1</v>
      </c>
      <c r="F26" s="7" t="n">
        <v>1.2</v>
      </c>
      <c r="G26" s="8" t="s">
        <v>70</v>
      </c>
      <c r="H26" s="8" t="s">
        <v>104</v>
      </c>
      <c r="I26" s="4" t="s">
        <v>105</v>
      </c>
    </row>
    <row r="27" customFormat="false" ht="17.15" hidden="false" customHeight="false" outlineLevel="0" collapsed="false">
      <c r="A27" s="0" t="s">
        <v>106</v>
      </c>
      <c r="B27" s="4" t="s">
        <v>107</v>
      </c>
      <c r="C27" s="0" t="s">
        <v>69</v>
      </c>
      <c r="D27" s="7" t="n">
        <v>0.85</v>
      </c>
      <c r="E27" s="7" t="n">
        <v>1</v>
      </c>
      <c r="F27" s="7" t="n">
        <v>1.2</v>
      </c>
      <c r="G27" s="8" t="s">
        <v>70</v>
      </c>
      <c r="H27" s="4" t="s">
        <v>35</v>
      </c>
      <c r="I27" s="8" t="s">
        <v>108</v>
      </c>
    </row>
    <row r="28" customFormat="false" ht="17.15" hidden="false" customHeight="false" outlineLevel="0" collapsed="false">
      <c r="A28" s="0" t="s">
        <v>109</v>
      </c>
      <c r="B28" s="4" t="s">
        <v>110</v>
      </c>
      <c r="C28" s="0" t="s">
        <v>69</v>
      </c>
      <c r="D28" s="7" t="n">
        <v>0.85</v>
      </c>
      <c r="E28" s="7" t="n">
        <v>1</v>
      </c>
      <c r="F28" s="7" t="n">
        <v>1.1</v>
      </c>
      <c r="G28" s="8" t="s">
        <v>70</v>
      </c>
      <c r="H28" s="8" t="s">
        <v>111</v>
      </c>
      <c r="I28" s="4" t="s">
        <v>112</v>
      </c>
    </row>
    <row r="29" customFormat="false" ht="17.15" hidden="false" customHeight="false" outlineLevel="0" collapsed="false">
      <c r="A29" s="0" t="s">
        <v>113</v>
      </c>
      <c r="B29" s="4" t="s">
        <v>114</v>
      </c>
      <c r="C29" s="0" t="s">
        <v>69</v>
      </c>
      <c r="D29" s="7" t="n">
        <v>0.75</v>
      </c>
      <c r="E29" s="7" t="n">
        <v>0.95</v>
      </c>
      <c r="F29" s="7" t="n">
        <v>1.1</v>
      </c>
      <c r="G29" s="8" t="s">
        <v>70</v>
      </c>
      <c r="H29" s="4" t="s">
        <v>115</v>
      </c>
      <c r="I29" s="8" t="s">
        <v>108</v>
      </c>
    </row>
    <row r="30" customFormat="false" ht="17.15" hidden="false" customHeight="false" outlineLevel="0" collapsed="false">
      <c r="A30" s="0" t="s">
        <v>116</v>
      </c>
      <c r="B30" s="4" t="s">
        <v>117</v>
      </c>
      <c r="C30" s="0" t="s">
        <v>69</v>
      </c>
      <c r="D30" s="7" t="n">
        <v>0.7</v>
      </c>
      <c r="E30" s="7" t="n">
        <v>0.9</v>
      </c>
      <c r="F30" s="7" t="n">
        <v>1.1</v>
      </c>
      <c r="G30" s="8" t="s">
        <v>70</v>
      </c>
      <c r="H30" s="4" t="s">
        <v>35</v>
      </c>
      <c r="I30" s="8" t="s">
        <v>108</v>
      </c>
    </row>
    <row r="31" customFormat="false" ht="17.15" hidden="false" customHeight="false" outlineLevel="0" collapsed="false">
      <c r="A31" s="0" t="s">
        <v>118</v>
      </c>
      <c r="B31" s="4" t="s">
        <v>119</v>
      </c>
      <c r="C31" s="0" t="s">
        <v>49</v>
      </c>
      <c r="D31" s="7" t="n">
        <v>0</v>
      </c>
      <c r="E31" s="7" t="n">
        <v>0.1</v>
      </c>
      <c r="F31" s="7" t="n">
        <v>0.25</v>
      </c>
      <c r="G31" s="8" t="s">
        <v>70</v>
      </c>
      <c r="H31" s="8" t="s">
        <v>120</v>
      </c>
      <c r="I31" s="8" t="s">
        <v>121</v>
      </c>
    </row>
    <row r="32" customFormat="false" ht="17.15" hidden="false" customHeight="false" outlineLevel="0" collapsed="false">
      <c r="A32" s="0" t="s">
        <v>122</v>
      </c>
      <c r="B32" s="4" t="s">
        <v>123</v>
      </c>
      <c r="C32" s="0" t="s">
        <v>49</v>
      </c>
      <c r="D32" s="7" t="n">
        <v>0</v>
      </c>
      <c r="E32" s="7" t="n">
        <v>0.2</v>
      </c>
      <c r="F32" s="7" t="n">
        <v>0.4</v>
      </c>
      <c r="G32" s="8" t="s">
        <v>70</v>
      </c>
      <c r="H32" s="4" t="s">
        <v>124</v>
      </c>
      <c r="I32" s="8" t="s">
        <v>108</v>
      </c>
    </row>
    <row r="33" customFormat="false" ht="17.15" hidden="false" customHeight="false" outlineLevel="0" collapsed="false">
      <c r="A33" s="0" t="s">
        <v>125</v>
      </c>
      <c r="B33" s="4" t="s">
        <v>126</v>
      </c>
      <c r="C33" s="0" t="s">
        <v>49</v>
      </c>
      <c r="D33" s="7" t="n">
        <v>0</v>
      </c>
      <c r="E33" s="7" t="n">
        <v>0.25</v>
      </c>
      <c r="F33" s="7" t="n">
        <v>0.5</v>
      </c>
      <c r="G33" s="8" t="s">
        <v>70</v>
      </c>
      <c r="H33" s="4" t="s">
        <v>35</v>
      </c>
      <c r="I33" s="8" t="s">
        <v>108</v>
      </c>
    </row>
    <row r="34" customFormat="false" ht="17.15" hidden="false" customHeight="false" outlineLevel="0" collapsed="false">
      <c r="A34" s="0" t="s">
        <v>127</v>
      </c>
      <c r="B34" s="4" t="s">
        <v>128</v>
      </c>
      <c r="C34" s="0" t="s">
        <v>69</v>
      </c>
      <c r="D34" s="7" t="n">
        <v>0.7</v>
      </c>
      <c r="E34" s="7" t="n">
        <v>0.9</v>
      </c>
      <c r="F34" s="7" t="n">
        <v>1</v>
      </c>
      <c r="G34" s="8" t="s">
        <v>70</v>
      </c>
      <c r="H34" s="4" t="s">
        <v>129</v>
      </c>
      <c r="I34" s="4" t="s">
        <v>130</v>
      </c>
    </row>
    <row r="35" customFormat="false" ht="17.15" hidden="false" customHeight="false" outlineLevel="0" collapsed="false">
      <c r="A35" s="6" t="s">
        <v>131</v>
      </c>
    </row>
    <row r="36" customFormat="false" ht="17.15" hidden="false" customHeight="false" outlineLevel="0" collapsed="false">
      <c r="A36" s="0" t="s">
        <v>132</v>
      </c>
      <c r="B36" s="0" t="s">
        <v>133</v>
      </c>
      <c r="C36" s="0" t="s">
        <v>49</v>
      </c>
      <c r="D36" s="7" t="n">
        <v>0.82</v>
      </c>
      <c r="E36" s="7" t="n">
        <v>0.85</v>
      </c>
      <c r="F36" s="7" t="n">
        <v>0.88</v>
      </c>
      <c r="G36" s="8" t="s">
        <v>50</v>
      </c>
      <c r="H36" s="8" t="s">
        <v>134</v>
      </c>
      <c r="I36" s="8" t="s">
        <v>135</v>
      </c>
    </row>
    <row r="37" customFormat="false" ht="17.15" hidden="false" customHeight="false" outlineLevel="0" collapsed="false">
      <c r="A37" s="0" t="s">
        <v>136</v>
      </c>
      <c r="B37" s="0" t="s">
        <v>137</v>
      </c>
      <c r="C37" s="0" t="s">
        <v>49</v>
      </c>
      <c r="D37" s="7" t="n">
        <v>0.75</v>
      </c>
      <c r="E37" s="7" t="n">
        <v>0.8</v>
      </c>
      <c r="F37" s="7" t="n">
        <v>0.82</v>
      </c>
      <c r="G37" s="8" t="s">
        <v>50</v>
      </c>
      <c r="H37" s="8" t="s">
        <v>138</v>
      </c>
      <c r="I37" s="8" t="s">
        <v>139</v>
      </c>
    </row>
    <row r="38" customFormat="false" ht="17.15" hidden="false" customHeight="false" outlineLevel="0" collapsed="false">
      <c r="A38" s="0" t="s">
        <v>140</v>
      </c>
      <c r="B38" s="0" t="s">
        <v>141</v>
      </c>
      <c r="C38" s="0" t="s">
        <v>49</v>
      </c>
      <c r="D38" s="7" t="n">
        <v>-0.05</v>
      </c>
      <c r="E38" s="7" t="n">
        <v>0.05</v>
      </c>
      <c r="F38" s="7" t="n">
        <v>0.15</v>
      </c>
      <c r="G38" s="8" t="s">
        <v>70</v>
      </c>
      <c r="H38" s="4" t="s">
        <v>142</v>
      </c>
      <c r="I38" s="8" t="s">
        <v>143</v>
      </c>
    </row>
    <row r="39" customFormat="false" ht="17.15" hidden="false" customHeight="false" outlineLevel="0" collapsed="false">
      <c r="A39" s="0" t="s">
        <v>144</v>
      </c>
      <c r="B39" s="4" t="s">
        <v>145</v>
      </c>
      <c r="C39" s="0" t="s">
        <v>49</v>
      </c>
      <c r="D39" s="7" t="n">
        <v>-0.05</v>
      </c>
      <c r="E39" s="7" t="n">
        <v>0.03</v>
      </c>
      <c r="F39" s="7" t="n">
        <v>0.08</v>
      </c>
      <c r="G39" s="8" t="s">
        <v>70</v>
      </c>
      <c r="H39" s="4" t="s">
        <v>146</v>
      </c>
      <c r="I39" s="4" t="s">
        <v>147</v>
      </c>
    </row>
    <row r="40" customFormat="false" ht="17.15" hidden="false" customHeight="false" outlineLevel="0" collapsed="false">
      <c r="A40" s="0" t="s">
        <v>148</v>
      </c>
      <c r="B40" s="4" t="s">
        <v>149</v>
      </c>
      <c r="C40" s="0" t="s">
        <v>49</v>
      </c>
      <c r="D40" s="7" t="n">
        <v>-0.05</v>
      </c>
      <c r="E40" s="7" t="n">
        <v>0.02</v>
      </c>
      <c r="F40" s="7" t="n">
        <v>0.06</v>
      </c>
      <c r="G40" s="8" t="s">
        <v>70</v>
      </c>
      <c r="H40" s="4" t="s">
        <v>35</v>
      </c>
      <c r="I40" s="8" t="s">
        <v>108</v>
      </c>
    </row>
    <row r="41" customFormat="false" ht="17.15" hidden="false" customHeight="false" outlineLevel="0" collapsed="false">
      <c r="A41" s="0" t="s">
        <v>150</v>
      </c>
      <c r="B41" s="4" t="s">
        <v>151</v>
      </c>
      <c r="C41" s="0" t="s">
        <v>49</v>
      </c>
      <c r="D41" s="7" t="n">
        <v>-0.05</v>
      </c>
      <c r="E41" s="7" t="n">
        <v>0.02</v>
      </c>
      <c r="F41" s="7" t="n">
        <v>0.06</v>
      </c>
      <c r="G41" s="8" t="s">
        <v>70</v>
      </c>
      <c r="H41" s="4" t="s">
        <v>35</v>
      </c>
      <c r="I41" s="8" t="s">
        <v>108</v>
      </c>
    </row>
    <row r="42" customFormat="false" ht="17.15" hidden="false" customHeight="false" outlineLevel="0" collapsed="false">
      <c r="A42" s="6" t="s">
        <v>152</v>
      </c>
    </row>
    <row r="43" customFormat="false" ht="17.15" hidden="false" customHeight="false" outlineLevel="0" collapsed="false">
      <c r="A43" s="0" t="s">
        <v>153</v>
      </c>
      <c r="B43" s="0" t="s">
        <v>154</v>
      </c>
      <c r="C43" s="0" t="s">
        <v>155</v>
      </c>
      <c r="D43" s="7" t="n">
        <v>-0.035</v>
      </c>
      <c r="E43" s="7" t="n">
        <v>-0.02</v>
      </c>
      <c r="F43" s="7" t="n">
        <v>-0.005</v>
      </c>
      <c r="G43" s="8" t="s">
        <v>70</v>
      </c>
      <c r="H43" s="4" t="s">
        <v>156</v>
      </c>
      <c r="I43" s="4" t="s">
        <v>157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0" t="s">
        <v>155</v>
      </c>
      <c r="D44" s="7" t="n">
        <v>-0.006</v>
      </c>
      <c r="E44" s="7" t="n">
        <v>-0.003</v>
      </c>
      <c r="F44" s="7" t="n">
        <v>0</v>
      </c>
      <c r="G44" s="8" t="s">
        <v>70</v>
      </c>
      <c r="H44" s="4" t="s">
        <v>160</v>
      </c>
      <c r="I44" s="4" t="s">
        <v>161</v>
      </c>
    </row>
    <row r="45" customFormat="false" ht="17.15" hidden="false" customHeight="false" outlineLevel="0" collapsed="false">
      <c r="A45" s="6" t="s">
        <v>162</v>
      </c>
    </row>
    <row r="46" customFormat="false" ht="17.15" hidden="false" customHeight="false" outlineLevel="0" collapsed="false">
      <c r="A46" s="0" t="s">
        <v>163</v>
      </c>
      <c r="B46" s="0" t="s">
        <v>164</v>
      </c>
      <c r="C46" s="0" t="s">
        <v>165</v>
      </c>
      <c r="E46" s="7" t="n">
        <v>1115.5</v>
      </c>
      <c r="G46" s="8" t="s">
        <v>166</v>
      </c>
      <c r="H46" s="8" t="s">
        <v>167</v>
      </c>
      <c r="I46" s="8" t="s">
        <v>168</v>
      </c>
    </row>
    <row r="47" customFormat="false" ht="17.15" hidden="false" customHeight="false" outlineLevel="0" collapsed="false">
      <c r="A47" s="0" t="s">
        <v>169</v>
      </c>
      <c r="B47" s="0" t="s">
        <v>170</v>
      </c>
      <c r="C47" s="0" t="s">
        <v>49</v>
      </c>
      <c r="D47" s="7" t="n">
        <v>-0.15</v>
      </c>
      <c r="E47" s="7" t="n">
        <v>-0.07</v>
      </c>
      <c r="F47" s="7" t="n">
        <v>0.05</v>
      </c>
      <c r="G47" s="8" t="s">
        <v>50</v>
      </c>
      <c r="H47" s="8" t="s">
        <v>171</v>
      </c>
      <c r="I47" s="4" t="s">
        <v>172</v>
      </c>
    </row>
    <row r="48" customFormat="false" ht="17.15" hidden="false" customHeight="false" outlineLevel="0" collapsed="false">
      <c r="A48" s="0" t="s">
        <v>173</v>
      </c>
      <c r="B48" s="0" t="s">
        <v>174</v>
      </c>
      <c r="C48" s="0" t="s">
        <v>49</v>
      </c>
      <c r="D48" s="7" t="n">
        <v>0.047</v>
      </c>
      <c r="E48" s="7" t="n">
        <v>0.05</v>
      </c>
      <c r="F48" s="7" t="n">
        <v>0.053</v>
      </c>
      <c r="G48" s="8" t="s">
        <v>50</v>
      </c>
      <c r="H48" s="8" t="s">
        <v>175</v>
      </c>
      <c r="I48" s="8" t="s">
        <v>176</v>
      </c>
    </row>
    <row r="49" customFormat="false" ht="17.15" hidden="false" customHeight="false" outlineLevel="0" collapsed="false">
      <c r="A49" s="0" t="s">
        <v>177</v>
      </c>
      <c r="B49" s="0" t="s">
        <v>178</v>
      </c>
      <c r="C49" s="0" t="s">
        <v>49</v>
      </c>
      <c r="D49" s="7" t="n">
        <v>0.0165</v>
      </c>
      <c r="E49" s="7" t="n">
        <v>0.0175</v>
      </c>
      <c r="F49" s="7" t="n">
        <v>0.019</v>
      </c>
      <c r="G49" s="8" t="s">
        <v>70</v>
      </c>
      <c r="H49" s="8" t="s">
        <v>179</v>
      </c>
      <c r="I49" s="8" t="s">
        <v>108</v>
      </c>
    </row>
    <row r="50" customFormat="false" ht="17.15" hidden="false" customHeight="false" outlineLevel="0" collapsed="false">
      <c r="A50" s="0" t="s">
        <v>180</v>
      </c>
      <c r="B50" s="0" t="s">
        <v>181</v>
      </c>
      <c r="C50" s="0" t="s">
        <v>49</v>
      </c>
      <c r="D50" s="7" t="n">
        <v>0.84</v>
      </c>
      <c r="E50" s="7" t="n">
        <v>0.87</v>
      </c>
      <c r="F50" s="7" t="n">
        <v>0.89</v>
      </c>
      <c r="G50" s="8" t="s">
        <v>30</v>
      </c>
      <c r="H50" s="8" t="s">
        <v>182</v>
      </c>
      <c r="I50" s="4" t="s">
        <v>183</v>
      </c>
    </row>
    <row r="51" customFormat="false" ht="17.15" hidden="false" customHeight="false" outlineLevel="0" collapsed="false">
      <c r="A51" s="0" t="s">
        <v>184</v>
      </c>
      <c r="B51" s="4" t="s">
        <v>185</v>
      </c>
      <c r="C51" s="4" t="s">
        <v>186</v>
      </c>
      <c r="E51" s="0" t="n">
        <f aca="false">49.84/12.93</f>
        <v>3.85460170146945</v>
      </c>
      <c r="G51" s="0" t="s">
        <v>30</v>
      </c>
      <c r="H51" s="0" t="s">
        <v>187</v>
      </c>
      <c r="I51" s="0" t="s">
        <v>188</v>
      </c>
    </row>
    <row r="52" customFormat="false" ht="17.15" hidden="false" customHeight="false" outlineLevel="0" collapsed="false">
      <c r="A52" s="6" t="s">
        <v>189</v>
      </c>
    </row>
    <row r="53" customFormat="false" ht="17.15" hidden="false" customHeight="false" outlineLevel="0" collapsed="false">
      <c r="A53" s="0" t="s">
        <v>190</v>
      </c>
      <c r="B53" s="4" t="s">
        <v>191</v>
      </c>
      <c r="C53" s="0" t="s">
        <v>69</v>
      </c>
      <c r="D53" s="7" t="n">
        <v>0.2</v>
      </c>
      <c r="E53" s="7" t="n">
        <v>0.4</v>
      </c>
      <c r="F53" s="7" t="n">
        <v>0.7</v>
      </c>
      <c r="G53" s="8" t="s">
        <v>30</v>
      </c>
      <c r="H53" s="8" t="s">
        <v>192</v>
      </c>
      <c r="I53" s="4" t="s">
        <v>193</v>
      </c>
    </row>
    <row r="54" customFormat="false" ht="17.15" hidden="false" customHeight="false" outlineLevel="0" collapsed="false">
      <c r="A54" s="0" t="s">
        <v>194</v>
      </c>
      <c r="B54" s="4" t="s">
        <v>195</v>
      </c>
      <c r="C54" s="0" t="s">
        <v>155</v>
      </c>
      <c r="D54" s="7" t="n">
        <v>-0.002</v>
      </c>
      <c r="E54" s="7" t="n">
        <v>0</v>
      </c>
      <c r="F54" s="7" t="n">
        <v>0.002</v>
      </c>
      <c r="G54" s="8" t="s">
        <v>70</v>
      </c>
      <c r="H54" s="4" t="s">
        <v>196</v>
      </c>
      <c r="I54" s="4" t="s">
        <v>197</v>
      </c>
    </row>
    <row r="55" customFormat="false" ht="17.15" hidden="false" customHeight="false" outlineLevel="0" collapsed="false">
      <c r="A55" s="0" t="s">
        <v>198</v>
      </c>
      <c r="B55" s="4" t="s">
        <v>199</v>
      </c>
      <c r="C55" s="0" t="s">
        <v>49</v>
      </c>
      <c r="D55" s="7" t="n">
        <v>0.75</v>
      </c>
      <c r="E55" s="7" t="n">
        <v>0.865</v>
      </c>
      <c r="F55" s="7" t="n">
        <v>0.89</v>
      </c>
      <c r="G55" s="8" t="s">
        <v>30</v>
      </c>
      <c r="H55" s="4" t="s">
        <v>200</v>
      </c>
      <c r="I55" s="4" t="s">
        <v>201</v>
      </c>
    </row>
    <row r="56" customFormat="false" ht="17.15" hidden="false" customHeight="false" outlineLevel="0" collapsed="false">
      <c r="A56" s="0" t="s">
        <v>202</v>
      </c>
      <c r="B56" s="4" t="s">
        <v>203</v>
      </c>
      <c r="C56" s="0" t="s">
        <v>49</v>
      </c>
      <c r="D56" s="7" t="n">
        <v>0</v>
      </c>
      <c r="E56" s="7" t="n">
        <v>0</v>
      </c>
      <c r="F56" s="7" t="n">
        <v>0.005</v>
      </c>
      <c r="G56" s="8" t="s">
        <v>70</v>
      </c>
      <c r="H56" s="8" t="s">
        <v>204</v>
      </c>
      <c r="I56" s="8" t="s">
        <v>108</v>
      </c>
    </row>
    <row r="57" customFormat="false" ht="17.15" hidden="false" customHeight="false" outlineLevel="0" collapsed="false">
      <c r="A57" s="0" t="s">
        <v>205</v>
      </c>
      <c r="B57" s="0" t="s">
        <v>206</v>
      </c>
      <c r="C57" s="0" t="s">
        <v>69</v>
      </c>
      <c r="D57" s="7" t="n">
        <v>0.8</v>
      </c>
      <c r="E57" s="7" t="n">
        <v>1</v>
      </c>
      <c r="F57" s="7" t="n">
        <v>1.2</v>
      </c>
      <c r="G57" s="8" t="s">
        <v>70</v>
      </c>
      <c r="H57" s="4" t="s">
        <v>207</v>
      </c>
      <c r="I57" s="8" t="s">
        <v>208</v>
      </c>
    </row>
    <row r="58" customFormat="false" ht="17.15" hidden="false" customHeight="false" outlineLevel="0" collapsed="false">
      <c r="A58" s="6" t="s">
        <v>209</v>
      </c>
    </row>
    <row r="59" customFormat="false" ht="17.15" hidden="false" customHeight="false" outlineLevel="0" collapsed="false">
      <c r="A59" s="0" t="s">
        <v>210</v>
      </c>
      <c r="B59" s="4" t="s">
        <v>211</v>
      </c>
      <c r="C59" s="0" t="s">
        <v>165</v>
      </c>
      <c r="E59" s="7" t="n">
        <v>4219.196</v>
      </c>
      <c r="G59" s="8" t="s">
        <v>50</v>
      </c>
      <c r="H59" s="8" t="s">
        <v>212</v>
      </c>
      <c r="I59" s="8" t="s">
        <v>213</v>
      </c>
    </row>
    <row r="60" customFormat="false" ht="17.15" hidden="false" customHeight="false" outlineLevel="0" collapsed="false">
      <c r="A60" s="0" t="s">
        <v>214</v>
      </c>
      <c r="B60" s="4" t="s">
        <v>215</v>
      </c>
      <c r="C60" s="0" t="s">
        <v>216</v>
      </c>
      <c r="E60" s="7" t="n">
        <v>27.06</v>
      </c>
      <c r="G60" s="8" t="s">
        <v>50</v>
      </c>
      <c r="H60" s="8" t="s">
        <v>212</v>
      </c>
      <c r="I60" s="8" t="s">
        <v>108</v>
      </c>
    </row>
    <row r="61" customFormat="false" ht="17.15" hidden="false" customHeight="false" outlineLevel="0" collapsed="false">
      <c r="A61" s="0" t="s">
        <v>217</v>
      </c>
      <c r="B61" s="4" t="s">
        <v>218</v>
      </c>
      <c r="C61" s="0" t="s">
        <v>165</v>
      </c>
      <c r="E61" s="7" t="n">
        <v>5220.407</v>
      </c>
      <c r="G61" s="8" t="s">
        <v>50</v>
      </c>
      <c r="H61" s="8" t="s">
        <v>212</v>
      </c>
      <c r="I61" s="8" t="s">
        <v>108</v>
      </c>
    </row>
    <row r="62" customFormat="false" ht="17.15" hidden="false" customHeight="false" outlineLevel="0" collapsed="false">
      <c r="A62" s="0" t="s">
        <v>219</v>
      </c>
      <c r="B62" s="4" t="s">
        <v>220</v>
      </c>
      <c r="C62" s="0" t="s">
        <v>165</v>
      </c>
      <c r="E62" s="7" t="n">
        <v>5300</v>
      </c>
      <c r="G62" s="8" t="s">
        <v>50</v>
      </c>
      <c r="H62" s="8" t="s">
        <v>221</v>
      </c>
      <c r="I62" s="8" t="s">
        <v>108</v>
      </c>
    </row>
    <row r="63" customFormat="false" ht="17.15" hidden="false" customHeight="false" outlineLevel="0" collapsed="false">
      <c r="A63" s="0" t="s">
        <v>222</v>
      </c>
      <c r="B63" s="4" t="s">
        <v>223</v>
      </c>
      <c r="C63" s="0" t="s">
        <v>216</v>
      </c>
      <c r="E63" s="7" t="n">
        <v>31.75</v>
      </c>
      <c r="G63" s="8" t="s">
        <v>50</v>
      </c>
      <c r="H63" s="8" t="s">
        <v>212</v>
      </c>
      <c r="I63" s="8" t="s">
        <v>108</v>
      </c>
    </row>
    <row r="64" customFormat="false" ht="17.15" hidden="false" customHeight="false" outlineLevel="0" collapsed="false">
      <c r="A64" s="0" t="s">
        <v>224</v>
      </c>
      <c r="B64" s="4" t="s">
        <v>225</v>
      </c>
      <c r="C64" s="0" t="s">
        <v>216</v>
      </c>
      <c r="E64" s="7" t="n">
        <v>32.09</v>
      </c>
      <c r="G64" s="8" t="s">
        <v>50</v>
      </c>
      <c r="H64" s="8" t="s">
        <v>226</v>
      </c>
      <c r="I64" s="8" t="s">
        <v>227</v>
      </c>
    </row>
    <row r="65" customFormat="false" ht="17.15" hidden="false" customHeight="false" outlineLevel="0" collapsed="false">
      <c r="A65" s="0" t="s">
        <v>228</v>
      </c>
      <c r="B65" s="4" t="s">
        <v>229</v>
      </c>
      <c r="C65" s="0" t="s">
        <v>49</v>
      </c>
      <c r="E65" s="7" t="n">
        <v>0.047</v>
      </c>
      <c r="G65" s="8" t="s">
        <v>50</v>
      </c>
      <c r="H65" s="8" t="s">
        <v>212</v>
      </c>
      <c r="I65" s="4" t="s">
        <v>230</v>
      </c>
    </row>
    <row r="66" customFormat="false" ht="17.15" hidden="false" customHeight="false" outlineLevel="0" collapsed="false">
      <c r="A66" s="0" t="s">
        <v>231</v>
      </c>
      <c r="B66" s="4" t="s">
        <v>232</v>
      </c>
      <c r="C66" s="0" t="s">
        <v>49</v>
      </c>
      <c r="E66" s="0" t="n">
        <f aca="false">2525/(2600+2525+2350)</f>
        <v>0.337792642140468</v>
      </c>
      <c r="G66" s="0" t="s">
        <v>50</v>
      </c>
      <c r="H66" s="4" t="s">
        <v>233</v>
      </c>
      <c r="I66" s="4" t="s">
        <v>234</v>
      </c>
    </row>
    <row r="67" customFormat="false" ht="17.15" hidden="false" customHeight="false" outlineLevel="0" collapsed="false">
      <c r="A67" s="0" t="s">
        <v>235</v>
      </c>
      <c r="B67" s="0" t="s">
        <v>236</v>
      </c>
      <c r="C67" s="0" t="s">
        <v>69</v>
      </c>
      <c r="E67" s="7" t="n">
        <v>15</v>
      </c>
      <c r="G67" s="8" t="s">
        <v>70</v>
      </c>
      <c r="H67" s="4" t="s">
        <v>237</v>
      </c>
      <c r="I67" s="4" t="s">
        <v>238</v>
      </c>
    </row>
    <row r="68" customFormat="false" ht="17.15" hidden="false" customHeight="false" outlineLevel="0" collapsed="false">
      <c r="A68" s="6" t="s">
        <v>239</v>
      </c>
    </row>
    <row r="69" customFormat="false" ht="17.15" hidden="false" customHeight="false" outlineLevel="0" collapsed="false">
      <c r="A69" s="0" t="s">
        <v>240</v>
      </c>
      <c r="B69" s="4" t="s">
        <v>241</v>
      </c>
      <c r="C69" s="0" t="s">
        <v>216</v>
      </c>
      <c r="E69" s="7" t="n">
        <v>322</v>
      </c>
      <c r="G69" s="8" t="s">
        <v>50</v>
      </c>
      <c r="H69" s="8" t="s">
        <v>242</v>
      </c>
      <c r="I69" s="4" t="s">
        <v>243</v>
      </c>
    </row>
    <row r="70" customFormat="false" ht="17.15" hidden="false" customHeight="false" outlineLevel="0" collapsed="false">
      <c r="A70" s="0" t="s">
        <v>244</v>
      </c>
      <c r="B70" s="4" t="s">
        <v>245</v>
      </c>
      <c r="C70" s="0" t="s">
        <v>69</v>
      </c>
      <c r="E70" s="7" t="n">
        <v>14.31</v>
      </c>
      <c r="G70" s="8" t="s">
        <v>50</v>
      </c>
      <c r="H70" s="8" t="s">
        <v>246</v>
      </c>
      <c r="I70" s="8" t="s">
        <v>108</v>
      </c>
    </row>
    <row r="71" customFormat="false" ht="17.15" hidden="false" customHeight="false" outlineLevel="0" collapsed="false">
      <c r="A71" s="6" t="s">
        <v>247</v>
      </c>
    </row>
    <row r="72" customFormat="false" ht="17.15" hidden="false" customHeight="false" outlineLevel="0" collapsed="false">
      <c r="A72" s="0" t="s">
        <v>248</v>
      </c>
      <c r="B72" s="4" t="s">
        <v>249</v>
      </c>
      <c r="C72" s="4" t="s">
        <v>250</v>
      </c>
      <c r="E72" s="9" t="n">
        <v>0.3</v>
      </c>
      <c r="G72" s="8" t="s">
        <v>70</v>
      </c>
      <c r="H72" s="8" t="s">
        <v>251</v>
      </c>
      <c r="I72" s="4" t="s">
        <v>252</v>
      </c>
    </row>
    <row r="73" customFormat="false" ht="17.15" hidden="false" customHeight="false" outlineLevel="0" collapsed="false">
      <c r="A73" s="0" t="s">
        <v>253</v>
      </c>
      <c r="B73" s="4" t="s">
        <v>254</v>
      </c>
      <c r="C73" s="4" t="s">
        <v>250</v>
      </c>
      <c r="E73" s="9" t="n">
        <v>0.5</v>
      </c>
      <c r="G73" s="8" t="s">
        <v>70</v>
      </c>
      <c r="H73" s="8" t="s">
        <v>251</v>
      </c>
      <c r="I73" s="4" t="s">
        <v>252</v>
      </c>
    </row>
    <row r="74" customFormat="false" ht="17.15" hidden="false" customHeight="false" outlineLevel="0" collapsed="false">
      <c r="A74" s="0" t="s">
        <v>255</v>
      </c>
      <c r="B74" s="4" t="s">
        <v>256</v>
      </c>
      <c r="C74" s="4" t="s">
        <v>250</v>
      </c>
      <c r="E74" s="9" t="n">
        <v>0.2</v>
      </c>
      <c r="G74" s="8" t="s">
        <v>70</v>
      </c>
      <c r="H74" s="8" t="s">
        <v>251</v>
      </c>
      <c r="I74" s="4" t="s">
        <v>252</v>
      </c>
    </row>
    <row r="75" customFormat="false" ht="17.15" hidden="false" customHeight="false" outlineLevel="0" collapsed="false">
      <c r="A75" s="6" t="s">
        <v>257</v>
      </c>
    </row>
    <row r="76" customFormat="false" ht="17.15" hidden="false" customHeight="false" outlineLevel="0" collapsed="false">
      <c r="A76" s="0" t="s">
        <v>258</v>
      </c>
      <c r="B76" s="4" t="s">
        <v>259</v>
      </c>
      <c r="C76" s="0" t="s">
        <v>49</v>
      </c>
      <c r="E76" s="9" t="n">
        <v>0.1</v>
      </c>
      <c r="G76" s="8" t="s">
        <v>70</v>
      </c>
      <c r="H76" s="8" t="s">
        <v>260</v>
      </c>
      <c r="I76" s="8" t="s">
        <v>261</v>
      </c>
    </row>
    <row r="77" customFormat="false" ht="17.15" hidden="false" customHeight="false" outlineLevel="0" collapsed="false">
      <c r="A77" s="0" t="s">
        <v>262</v>
      </c>
      <c r="B77" s="4" t="s">
        <v>263</v>
      </c>
      <c r="C77" s="0" t="s">
        <v>49</v>
      </c>
      <c r="E77" s="9" t="n">
        <v>0.04</v>
      </c>
      <c r="G77" s="8" t="s">
        <v>70</v>
      </c>
      <c r="H77" s="8" t="s">
        <v>264</v>
      </c>
      <c r="I77" s="8" t="s">
        <v>265</v>
      </c>
    </row>
    <row r="78" customFormat="false" ht="17.15" hidden="false" customHeight="false" outlineLevel="0" collapsed="false">
      <c r="A78" s="0" t="s">
        <v>266</v>
      </c>
      <c r="B78" s="0" t="s">
        <v>267</v>
      </c>
      <c r="C78" s="0" t="s">
        <v>49</v>
      </c>
      <c r="E78" s="10" t="n">
        <f aca="false">AVERAGE(0.2186,0.2842,0.3119)</f>
        <v>0.271566666666667</v>
      </c>
      <c r="G78" s="8" t="s">
        <v>30</v>
      </c>
      <c r="H78" s="8" t="s">
        <v>268</v>
      </c>
      <c r="I78" s="4" t="s">
        <v>269</v>
      </c>
    </row>
    <row r="79" customFormat="false" ht="17.15" hidden="false" customHeight="false" outlineLevel="0" collapsed="false">
      <c r="A79" s="0" t="s">
        <v>270</v>
      </c>
      <c r="B79" s="4" t="s">
        <v>271</v>
      </c>
      <c r="C79" s="0" t="s">
        <v>49</v>
      </c>
      <c r="E79" s="9" t="n">
        <v>0.5</v>
      </c>
      <c r="G79" s="8" t="s">
        <v>70</v>
      </c>
      <c r="H79" s="8" t="s">
        <v>272</v>
      </c>
      <c r="I79" s="8" t="s">
        <v>273</v>
      </c>
    </row>
    <row r="80" customFormat="false" ht="17.15" hidden="false" customHeight="false" outlineLevel="0" collapsed="false">
      <c r="A80" s="0" t="s">
        <v>274</v>
      </c>
      <c r="B80" s="4" t="s">
        <v>275</v>
      </c>
      <c r="C80" s="0" t="s">
        <v>49</v>
      </c>
      <c r="E80" s="10" t="n">
        <f aca="false">tp_g+0.02</f>
        <v>0.06</v>
      </c>
      <c r="G80" s="8" t="s">
        <v>70</v>
      </c>
      <c r="H80" s="4" t="s">
        <v>276</v>
      </c>
      <c r="I80" s="8" t="s">
        <v>277</v>
      </c>
    </row>
    <row r="81" customFormat="false" ht="17.15" hidden="false" customHeight="false" outlineLevel="0" collapsed="false">
      <c r="A81" s="0" t="s">
        <v>278</v>
      </c>
      <c r="B81" s="4" t="s">
        <v>279</v>
      </c>
      <c r="C81" s="0" t="s">
        <v>49</v>
      </c>
      <c r="E81" s="10" t="n">
        <f aca="false">tp_g</f>
        <v>0.04</v>
      </c>
      <c r="G81" s="8" t="s">
        <v>70</v>
      </c>
      <c r="H81" s="4" t="s">
        <v>35</v>
      </c>
      <c r="I81" s="8" t="s">
        <v>108</v>
      </c>
    </row>
    <row r="82" customFormat="false" ht="17.15" hidden="false" customHeight="false" outlineLevel="0" collapsed="false">
      <c r="A82" s="0" t="s">
        <v>280</v>
      </c>
      <c r="B82" s="4" t="s">
        <v>281</v>
      </c>
      <c r="C82" s="0" t="s">
        <v>49</v>
      </c>
      <c r="E82" s="10" t="n">
        <f aca="false">tp_g-0.02</f>
        <v>0.02</v>
      </c>
      <c r="G82" s="8" t="s">
        <v>70</v>
      </c>
      <c r="H82" s="4" t="s">
        <v>35</v>
      </c>
      <c r="I82" s="8" t="s">
        <v>108</v>
      </c>
    </row>
    <row r="83" customFormat="false" ht="17.15" hidden="false" customHeight="false" outlineLevel="0" collapsed="false">
      <c r="A83" s="0" t="s">
        <v>282</v>
      </c>
      <c r="B83" s="4" t="s">
        <v>283</v>
      </c>
      <c r="C83" s="0" t="s">
        <v>69</v>
      </c>
      <c r="E83" s="9" t="n">
        <v>0.8</v>
      </c>
      <c r="G83" s="8" t="s">
        <v>70</v>
      </c>
      <c r="H83" s="4" t="s">
        <v>284</v>
      </c>
      <c r="I83" s="4" t="s">
        <v>285</v>
      </c>
    </row>
    <row r="84" customFormat="false" ht="17.15" hidden="false" customHeight="false" outlineLevel="0" collapsed="false">
      <c r="A84" s="0" t="s">
        <v>286</v>
      </c>
      <c r="B84" s="4" t="s">
        <v>287</v>
      </c>
      <c r="C84" s="0" t="s">
        <v>216</v>
      </c>
      <c r="E84" s="7" t="n">
        <v>427.84</v>
      </c>
      <c r="G84" s="8" t="s">
        <v>50</v>
      </c>
      <c r="H84" s="8" t="s">
        <v>288</v>
      </c>
      <c r="I84" s="4" t="s">
        <v>289</v>
      </c>
    </row>
    <row r="85" customFormat="false" ht="17.15" hidden="false" customHeight="false" outlineLevel="0" collapsed="false">
      <c r="A85" s="0" t="s">
        <v>290</v>
      </c>
      <c r="B85" s="4" t="s">
        <v>291</v>
      </c>
      <c r="C85" s="0" t="s">
        <v>216</v>
      </c>
      <c r="E85" s="0" t="n">
        <f aca="false">323/11.31</f>
        <v>28.5587975243148</v>
      </c>
      <c r="G85" s="0" t="s">
        <v>50</v>
      </c>
      <c r="H85" s="0" t="s">
        <v>292</v>
      </c>
      <c r="I85" s="4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294</v>
      </c>
    </row>
    <row r="2" customFormat="false" ht="17.15" hidden="false" customHeight="false" outlineLevel="0" collapsed="false">
      <c r="A2" s="0" t="s">
        <v>295</v>
      </c>
    </row>
    <row r="3" customFormat="false" ht="17.15" hidden="false" customHeight="false" outlineLevel="0" collapsed="false">
      <c r="A3" s="5" t="s">
        <v>18</v>
      </c>
      <c r="B3" s="11" t="s">
        <v>296</v>
      </c>
      <c r="C3" s="11" t="s">
        <v>297</v>
      </c>
      <c r="D3" s="11" t="s">
        <v>298</v>
      </c>
      <c r="E3" s="11" t="s">
        <v>299</v>
      </c>
      <c r="F3" s="11" t="s">
        <v>300</v>
      </c>
      <c r="G3" s="5" t="s">
        <v>23</v>
      </c>
      <c r="H3" s="5" t="s">
        <v>301</v>
      </c>
      <c r="I3" s="5" t="s">
        <v>25</v>
      </c>
    </row>
    <row r="4" customFormat="false" ht="17.15" hidden="false" customHeight="false" outlineLevel="0" collapsed="false">
      <c r="A4" s="4" t="s">
        <v>302</v>
      </c>
      <c r="B4" s="12" t="n">
        <v>2123.689</v>
      </c>
      <c r="C4" s="12" t="n">
        <v>1845.8</v>
      </c>
      <c r="D4" s="13" t="n">
        <f aca="false">q3_rev</f>
        <v>1115.5</v>
      </c>
      <c r="E4" s="13" t="n">
        <f aca="false">D4*(1+q4g)</f>
        <v>1037.415</v>
      </c>
      <c r="F4" s="13" t="n">
        <f aca="false">SUM(C4:E4)</f>
        <v>3998.715</v>
      </c>
      <c r="G4" s="8" t="s">
        <v>303</v>
      </c>
      <c r="H4" s="8" t="s">
        <v>304</v>
      </c>
      <c r="I4" s="8" t="s">
        <v>305</v>
      </c>
    </row>
    <row r="5" customFormat="false" ht="17.15" hidden="false" customHeight="false" outlineLevel="0" collapsed="false">
      <c r="A5" s="4" t="s">
        <v>306</v>
      </c>
      <c r="B5" s="13" t="n">
        <f aca="false">B4*0.0698</f>
        <v>148.2334922</v>
      </c>
      <c r="C5" s="13" t="n">
        <f aca="false">C4*0.0492</f>
        <v>90.81336</v>
      </c>
      <c r="D5" s="13" t="n">
        <f aca="false">D4*q_gm</f>
        <v>55.775</v>
      </c>
      <c r="E5" s="13" t="n">
        <f aca="false">E4*q_gm</f>
        <v>51.87075</v>
      </c>
      <c r="F5" s="13" t="n">
        <f aca="false">SUM(C5:E5)</f>
        <v>198.45911</v>
      </c>
      <c r="G5" s="8" t="s">
        <v>307</v>
      </c>
      <c r="H5" s="8" t="s">
        <v>304</v>
      </c>
      <c r="I5" s="8" t="s">
        <v>308</v>
      </c>
    </row>
    <row r="6" customFormat="false" ht="15" hidden="false" customHeight="false" outlineLevel="0" collapsed="false">
      <c r="A6" s="4" t="s">
        <v>309</v>
      </c>
      <c r="B6" s="14" t="n">
        <f aca="false">B5/B4</f>
        <v>0.0698</v>
      </c>
      <c r="C6" s="14" t="n">
        <f aca="false">C5/C4</f>
        <v>0.0492</v>
      </c>
      <c r="D6" s="14" t="n">
        <f aca="false">D5/D4</f>
        <v>0.05</v>
      </c>
      <c r="E6" s="14" t="n">
        <f aca="false">E5/E4</f>
        <v>0.05</v>
      </c>
      <c r="F6" s="14" t="n">
        <f aca="false">F5/F4</f>
        <v>0.0496307213692399</v>
      </c>
      <c r="G6" s="8" t="s">
        <v>30</v>
      </c>
      <c r="H6" s="8" t="s">
        <v>108</v>
      </c>
      <c r="I6" s="8" t="s">
        <v>108</v>
      </c>
    </row>
    <row r="7" customFormat="false" ht="17.15" hidden="false" customHeight="false" outlineLevel="0" collapsed="false">
      <c r="A7" s="4" t="s">
        <v>310</v>
      </c>
      <c r="B7" s="13" t="n">
        <f aca="false">B5-B8</f>
        <v>60.7375054</v>
      </c>
      <c r="C7" s="13" t="n">
        <f aca="false">C5-C8</f>
        <v>33.51336</v>
      </c>
      <c r="D7" s="13" t="n">
        <f aca="false">D4*q_opx</f>
        <v>19.52125</v>
      </c>
      <c r="E7" s="13" t="n">
        <f aca="false">E4*q_opx</f>
        <v>18.1547625</v>
      </c>
      <c r="F7" s="13" t="n">
        <f aca="false">SUM(C7:E7)</f>
        <v>71.1893725</v>
      </c>
      <c r="G7" s="8" t="s">
        <v>311</v>
      </c>
      <c r="H7" s="8" t="s">
        <v>304</v>
      </c>
      <c r="I7" s="8" t="s">
        <v>312</v>
      </c>
    </row>
    <row r="8" customFormat="false" ht="17.15" hidden="false" customHeight="false" outlineLevel="0" collapsed="false">
      <c r="A8" s="4" t="s">
        <v>313</v>
      </c>
      <c r="B8" s="13" t="n">
        <f aca="false">B4*0.0412</f>
        <v>87.4959868</v>
      </c>
      <c r="C8" s="12" t="n">
        <v>57.3</v>
      </c>
      <c r="D8" s="13" t="n">
        <f aca="false">D5-D7</f>
        <v>36.25375</v>
      </c>
      <c r="E8" s="13" t="n">
        <f aca="false">E5-E7</f>
        <v>33.7159875</v>
      </c>
      <c r="F8" s="13" t="n">
        <f aca="false">SUM(C8:E8)</f>
        <v>127.2697375</v>
      </c>
      <c r="G8" s="8" t="s">
        <v>314</v>
      </c>
      <c r="H8" s="8" t="s">
        <v>304</v>
      </c>
      <c r="I8" s="8" t="s">
        <v>315</v>
      </c>
    </row>
    <row r="9" customFormat="false" ht="15" hidden="false" customHeight="false" outlineLevel="0" collapsed="false">
      <c r="A9" s="4" t="s">
        <v>316</v>
      </c>
      <c r="B9" s="14" t="n">
        <f aca="false">B8/B4</f>
        <v>0.0412</v>
      </c>
      <c r="C9" s="14" t="n">
        <f aca="false">C8/C4</f>
        <v>0.0310434499945823</v>
      </c>
      <c r="D9" s="14" t="n">
        <f aca="false">D8/D4</f>
        <v>0.0325</v>
      </c>
      <c r="E9" s="14" t="n">
        <f aca="false">E8/E4</f>
        <v>0.0325</v>
      </c>
      <c r="F9" s="14" t="n">
        <f aca="false">F8/F4</f>
        <v>0.0318276590104571</v>
      </c>
      <c r="G9" s="8" t="s">
        <v>30</v>
      </c>
      <c r="H9" s="8" t="s">
        <v>108</v>
      </c>
      <c r="I9" s="8" t="s">
        <v>108</v>
      </c>
    </row>
    <row r="10" customFormat="false" ht="17.15" hidden="false" customHeight="false" outlineLevel="0" collapsed="false">
      <c r="A10" s="4" t="s">
        <v>317</v>
      </c>
      <c r="B10" s="12" t="n">
        <v>74.98</v>
      </c>
      <c r="C10" s="12" t="n">
        <v>49.84</v>
      </c>
      <c r="D10" s="13" t="n">
        <f aca="false">D8*q_nio</f>
        <v>31.5407625</v>
      </c>
      <c r="E10" s="13" t="n">
        <f aca="false">E8*q_nio</f>
        <v>29.332909125</v>
      </c>
      <c r="F10" s="13" t="n">
        <f aca="false">SUM(C10:E10)</f>
        <v>110.713671625</v>
      </c>
      <c r="G10" s="8" t="s">
        <v>318</v>
      </c>
      <c r="H10" s="8" t="s">
        <v>304</v>
      </c>
      <c r="I10" s="8" t="s">
        <v>319</v>
      </c>
    </row>
    <row r="11" customFormat="false" ht="17.15" hidden="false" customHeight="false" outlineLevel="0" collapsed="false">
      <c r="A11" s="4" t="s">
        <v>320</v>
      </c>
      <c r="B11" s="15" t="n">
        <f aca="false">B10/B8</f>
        <v>0.856953590013114</v>
      </c>
      <c r="C11" s="15" t="n">
        <f aca="false">C10/C8</f>
        <v>0.869808027923211</v>
      </c>
      <c r="D11" s="15" t="n">
        <f aca="false">D10/D8</f>
        <v>0.87</v>
      </c>
      <c r="E11" s="15" t="n">
        <f aca="false">E10/E8</f>
        <v>0.87</v>
      </c>
      <c r="F11" s="15" t="n">
        <f aca="false">F10/F8</f>
        <v>0.869913569398224</v>
      </c>
      <c r="G11" s="8" t="s">
        <v>30</v>
      </c>
      <c r="H11" s="8" t="s">
        <v>108</v>
      </c>
      <c r="I11" s="8" t="s">
        <v>108</v>
      </c>
    </row>
    <row r="12" customFormat="false" ht="17.15" hidden="false" customHeight="false" outlineLevel="0" collapsed="false">
      <c r="A12" s="4" t="s">
        <v>321</v>
      </c>
      <c r="B12" s="13" t="n">
        <f aca="false">74.98/19.45</f>
        <v>3.85501285347044</v>
      </c>
      <c r="C12" s="13" t="n">
        <f aca="false">q_sh</f>
        <v>3.85460170146945</v>
      </c>
      <c r="D12" s="13" t="n">
        <f aca="false">q_sh</f>
        <v>3.85460170146945</v>
      </c>
      <c r="E12" s="13" t="n">
        <f aca="false">q_sh</f>
        <v>3.85460170146945</v>
      </c>
      <c r="F12" s="13" t="n">
        <f aca="false">q_sh</f>
        <v>3.85460170146945</v>
      </c>
      <c r="G12" s="8" t="s">
        <v>30</v>
      </c>
      <c r="H12" s="8" t="s">
        <v>304</v>
      </c>
      <c r="I12" s="4" t="s">
        <v>322</v>
      </c>
    </row>
    <row r="13" customFormat="false" ht="17.15" hidden="false" customHeight="false" outlineLevel="0" collapsed="false">
      <c r="A13" s="0" t="s">
        <v>323</v>
      </c>
      <c r="B13" s="16" t="n">
        <f aca="false">B10/B12</f>
        <v>19.45</v>
      </c>
      <c r="C13" s="16" t="n">
        <f aca="false">C10/C12</f>
        <v>12.93</v>
      </c>
      <c r="D13" s="16" t="n">
        <f aca="false">D10/D12</f>
        <v>8.18262558436999</v>
      </c>
      <c r="E13" s="16" t="n">
        <f aca="false">E10/E12</f>
        <v>7.60984179346408</v>
      </c>
      <c r="F13" s="16" t="n">
        <f aca="false">F10/F12</f>
        <v>28.7224673778341</v>
      </c>
      <c r="G13" s="8" t="s">
        <v>30</v>
      </c>
      <c r="H13" s="4" t="s">
        <v>324</v>
      </c>
      <c r="I13" s="8" t="s">
        <v>108</v>
      </c>
    </row>
    <row r="14" customFormat="false" ht="17.15" hidden="false" customHeight="false" outlineLevel="0" collapsed="false">
      <c r="A14" s="4" t="s">
        <v>325</v>
      </c>
      <c r="B14" s="17" t="n">
        <v>19.45</v>
      </c>
      <c r="C14" s="17" t="n">
        <v>12.93</v>
      </c>
      <c r="G14" s="8" t="s">
        <v>166</v>
      </c>
      <c r="H14" s="8" t="s">
        <v>304</v>
      </c>
      <c r="I14" s="8" t="s">
        <v>326</v>
      </c>
    </row>
    <row r="15" customFormat="false" ht="17.15" hidden="false" customHeight="false" outlineLevel="0" collapsed="false">
      <c r="A15" s="0" t="s">
        <v>327</v>
      </c>
      <c r="B15" s="13" t="n">
        <f aca="false">B4-F16/(1+g_nai26)</f>
        <v>905.033</v>
      </c>
      <c r="F15" s="13" t="n">
        <f aca="false">F4*srv_26*ais_26</f>
        <v>2719.1262</v>
      </c>
      <c r="G15" s="8" t="s">
        <v>328</v>
      </c>
      <c r="H15" s="4" t="s">
        <v>329</v>
      </c>
      <c r="I15" s="4" t="s">
        <v>330</v>
      </c>
    </row>
    <row r="16" customFormat="false" ht="17.15" hidden="false" customHeight="false" outlineLevel="0" collapsed="false">
      <c r="A16" s="4" t="s">
        <v>331</v>
      </c>
      <c r="B16" s="13" t="n">
        <f aca="false">F16/(1+g_nai26)</f>
        <v>1218.656</v>
      </c>
      <c r="F16" s="13" t="n">
        <f aca="false">F4-F15</f>
        <v>1279.5888</v>
      </c>
      <c r="G16" s="8" t="s">
        <v>332</v>
      </c>
      <c r="H16" s="8" t="s">
        <v>108</v>
      </c>
      <c r="I16" s="8" t="s">
        <v>108</v>
      </c>
    </row>
    <row r="18" customFormat="false" ht="17.15" hidden="false" customHeight="false" outlineLevel="0" collapsed="false">
      <c r="A18" s="6" t="s">
        <v>333</v>
      </c>
    </row>
    <row r="19" customFormat="false" ht="17.15" hidden="false" customHeight="false" outlineLevel="0" collapsed="false">
      <c r="A19" s="0" t="s">
        <v>334</v>
      </c>
      <c r="B19" s="15" t="n">
        <f aca="false">F4/B4-1</f>
        <v>0.88290987993063</v>
      </c>
    </row>
    <row r="20" customFormat="false" ht="17.15" hidden="false" customHeight="false" outlineLevel="0" collapsed="false">
      <c r="A20" s="0" t="s">
        <v>335</v>
      </c>
      <c r="B20" s="15" t="n">
        <f aca="false">F7/B7-1</f>
        <v>0.172082587705356</v>
      </c>
    </row>
    <row r="21" customFormat="false" ht="17.15" hidden="false" customHeight="false" outlineLevel="0" collapsed="false">
      <c r="A21" s="4" t="s">
        <v>336</v>
      </c>
      <c r="B21" s="16" t="n">
        <f aca="false">B20/B19</f>
        <v>0.194903909919862</v>
      </c>
    </row>
    <row r="22" customFormat="false" ht="17.15" hidden="false" customHeight="false" outlineLevel="0" collapsed="false">
      <c r="A22" s="0" t="s">
        <v>337</v>
      </c>
      <c r="B22" s="15" t="n">
        <f aca="false">F4/b_rev26-1</f>
        <v>-0.0522566384685612</v>
      </c>
    </row>
    <row r="23" customFormat="false" ht="17.15" hidden="false" customHeight="false" outlineLevel="0" collapsed="false">
      <c r="A23" s="0" t="s">
        <v>338</v>
      </c>
      <c r="B23" s="15" t="n">
        <f aca="false">F13/b_eps26-1</f>
        <v>0.0614363406442746</v>
      </c>
    </row>
    <row r="24" customFormat="false" ht="17.15" hidden="false" customHeight="false" outlineLevel="0" collapsed="false">
      <c r="A24" s="0" t="s">
        <v>339</v>
      </c>
      <c r="B24" s="15" t="n">
        <f aca="false">F15/B15-1</f>
        <v>2.00444978249412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340</v>
      </c>
    </row>
    <row r="3" customFormat="false" ht="15" hidden="false" customHeight="false" outlineLevel="0" collapsed="false">
      <c r="A3" s="5" t="s">
        <v>18</v>
      </c>
      <c r="B3" s="5" t="s">
        <v>19</v>
      </c>
      <c r="C3" s="11" t="s">
        <v>341</v>
      </c>
      <c r="D3" s="11" t="s">
        <v>342</v>
      </c>
      <c r="E3" s="11" t="s">
        <v>343</v>
      </c>
      <c r="F3" s="11" t="s">
        <v>344</v>
      </c>
      <c r="G3" s="5" t="s">
        <v>345</v>
      </c>
    </row>
    <row r="4" customFormat="false" ht="17.15" hidden="false" customHeight="false" outlineLevel="0" collapsed="false">
      <c r="A4" s="4" t="s">
        <v>346</v>
      </c>
      <c r="B4" s="0" t="s">
        <v>347</v>
      </c>
      <c r="C4" s="18" t="n">
        <f aca="false">PL!D65</f>
        <v>23.3995380420639</v>
      </c>
      <c r="D4" s="18" t="n">
        <f aca="false">PL!E65</f>
        <v>41.6467658260637</v>
      </c>
      <c r="E4" s="18" t="n">
        <f aca="false">PL!F65</f>
        <v>52.792138191248</v>
      </c>
      <c r="F4" s="18" t="n">
        <f aca="false">PL!G65</f>
        <v>60.1385917361116</v>
      </c>
      <c r="G4" s="8" t="s">
        <v>348</v>
      </c>
    </row>
    <row r="5" customFormat="false" ht="17.15" hidden="false" customHeight="false" outlineLevel="0" collapsed="false">
      <c r="A5" s="4" t="s">
        <v>349</v>
      </c>
      <c r="B5" s="0" t="s">
        <v>350</v>
      </c>
      <c r="C5" s="16" t="n">
        <f aca="false">PL!D66</f>
        <v>27.1209</v>
      </c>
      <c r="D5" s="16" t="n">
        <f aca="false">PL!E66</f>
        <v>27.351</v>
      </c>
      <c r="E5" s="16" t="n">
        <f aca="false">PL!F66</f>
        <v>27.351</v>
      </c>
      <c r="F5" s="16" t="n">
        <f aca="false">PL!G66</f>
        <v>27.351</v>
      </c>
      <c r="G5" s="4" t="s">
        <v>351</v>
      </c>
    </row>
    <row r="6" customFormat="false" ht="17.15" hidden="false" customHeight="false" outlineLevel="0" collapsed="false">
      <c r="A6" s="0" t="s">
        <v>352</v>
      </c>
      <c r="B6" s="0" t="s">
        <v>29</v>
      </c>
      <c r="C6" s="19" t="n">
        <f aca="false">PL!D67</f>
        <v>634.616531285011</v>
      </c>
      <c r="D6" s="19" t="n">
        <f aca="false">PL!E67</f>
        <v>1139.08069210867</v>
      </c>
      <c r="E6" s="19" t="n">
        <f aca="false">PL!F67</f>
        <v>1443.91777166882</v>
      </c>
      <c r="F6" s="19" t="n">
        <f aca="false">PL!G67</f>
        <v>1644.85062257439</v>
      </c>
      <c r="G6" s="4" t="s">
        <v>353</v>
      </c>
    </row>
    <row r="7" customFormat="false" ht="17.15" hidden="false" customHeight="false" outlineLevel="0" collapsed="false">
      <c r="A7" s="4" t="s">
        <v>354</v>
      </c>
      <c r="B7" s="0" t="s">
        <v>49</v>
      </c>
      <c r="C7" s="15" t="n">
        <f aca="false">PL!D71</f>
        <v>0.133896123975753</v>
      </c>
      <c r="D7" s="15" t="n">
        <f aca="false">PL!E71</f>
        <v>0.133896123975753</v>
      </c>
      <c r="E7" s="15" t="n">
        <f aca="false">PL!F71</f>
        <v>0.127201317776965</v>
      </c>
      <c r="F7" s="15" t="n">
        <f aca="false">PL!G71</f>
        <v>0.120506511578177</v>
      </c>
      <c r="G7" s="8" t="s">
        <v>355</v>
      </c>
    </row>
    <row r="8" customFormat="false" ht="17.15" hidden="false" customHeight="false" outlineLevel="0" collapsed="false">
      <c r="A8" s="4" t="s">
        <v>356</v>
      </c>
      <c r="B8" s="0" t="s">
        <v>29</v>
      </c>
      <c r="C8" s="19" t="n">
        <f aca="false">PL!D72/fx</f>
        <v>84.97269375</v>
      </c>
      <c r="D8" s="19" t="n">
        <f aca="false">PL!E72/fx</f>
        <v>152.518489568968</v>
      </c>
      <c r="E8" s="19" t="n">
        <f aca="false">PL!F72/fx</f>
        <v>183.668243317853</v>
      </c>
      <c r="F8" s="19" t="n">
        <f aca="false">PL!G72/fx</f>
        <v>198.215210593633</v>
      </c>
      <c r="G8" s="4" t="s">
        <v>357</v>
      </c>
    </row>
    <row r="9" customFormat="false" ht="17.15" hidden="false" customHeight="false" outlineLevel="0" collapsed="false">
      <c r="A9" s="4" t="s">
        <v>358</v>
      </c>
      <c r="B9" s="0" t="s">
        <v>49</v>
      </c>
      <c r="C9" s="15" t="n">
        <f aca="false">PL!D73</f>
        <v>0</v>
      </c>
      <c r="D9" s="15" t="n">
        <f aca="false">PL!E73</f>
        <v>0.1</v>
      </c>
      <c r="E9" s="15" t="n">
        <f aca="false">PL!F73</f>
        <v>0.2</v>
      </c>
      <c r="F9" s="15" t="n">
        <f aca="false">PL!G73</f>
        <v>0.25</v>
      </c>
      <c r="G9" s="8" t="s">
        <v>359</v>
      </c>
    </row>
    <row r="10" customFormat="false" ht="17.15" hidden="false" customHeight="false" outlineLevel="0" collapsed="false">
      <c r="A10" s="4" t="s">
        <v>360</v>
      </c>
      <c r="B10" s="0" t="s">
        <v>29</v>
      </c>
      <c r="C10" s="19" t="n">
        <f aca="false">PL!D74/fx</f>
        <v>84.97269375</v>
      </c>
      <c r="D10" s="19" t="n">
        <f aca="false">PL!E74/fx</f>
        <v>137.266640612071</v>
      </c>
      <c r="E10" s="19" t="n">
        <f aca="false">PL!F74/fx</f>
        <v>146.934594654283</v>
      </c>
      <c r="F10" s="19" t="n">
        <f aca="false">PL!G74/fx</f>
        <v>148.661407945225</v>
      </c>
    </row>
    <row r="11" customFormat="false" ht="17.15" hidden="false" customHeight="false" outlineLevel="0" collapsed="false">
      <c r="A11" s="4" t="s">
        <v>361</v>
      </c>
      <c r="B11" s="4" t="s">
        <v>362</v>
      </c>
      <c r="C11" s="19" t="n">
        <f aca="false">PL!D81</f>
        <v>18.4522679153094</v>
      </c>
      <c r="D11" s="19" t="n">
        <f aca="false">PL!E81</f>
        <v>22.5953317879953</v>
      </c>
      <c r="E11" s="19" t="n">
        <f aca="false">PL!F81</f>
        <v>27.2101101211634</v>
      </c>
      <c r="F11" s="19" t="n">
        <f aca="false">PL!G81</f>
        <v>29.3652163842419</v>
      </c>
      <c r="G11" s="4" t="s">
        <v>363</v>
      </c>
    </row>
    <row r="12" customFormat="false" ht="17.15" hidden="false" customHeight="false" outlineLevel="0" collapsed="false">
      <c r="A12" s="4" t="s">
        <v>364</v>
      </c>
      <c r="B12" s="0" t="s">
        <v>350</v>
      </c>
      <c r="C12" s="16" t="n">
        <f aca="false">PL!D80</f>
        <v>3.63138338873399</v>
      </c>
      <c r="D12" s="16" t="n">
        <f aca="false">PL!E80</f>
        <v>3.29597359817473</v>
      </c>
      <c r="E12" s="16" t="n">
        <f aca="false">PL!F80</f>
        <v>2.78326659401422</v>
      </c>
      <c r="F12" s="16" t="n">
        <f aca="false">PL!G80</f>
        <v>2.47198019863105</v>
      </c>
      <c r="G12" s="4" t="s">
        <v>365</v>
      </c>
    </row>
    <row r="13" customFormat="false" ht="17.15" hidden="false" customHeight="false" outlineLevel="0" collapsed="false">
      <c r="A13" s="4" t="s">
        <v>366</v>
      </c>
      <c r="B13" s="0" t="s">
        <v>49</v>
      </c>
      <c r="C13" s="14" t="n">
        <f aca="false">PL!D87</f>
        <v>0.0432307213692399</v>
      </c>
      <c r="D13" s="14" t="n">
        <f aca="false">PL!E87</f>
        <v>0.0442537935061639</v>
      </c>
      <c r="E13" s="14" t="n">
        <f aca="false">PL!F87</f>
        <v>0.0492826336773188</v>
      </c>
      <c r="F13" s="14" t="n">
        <f aca="false">PL!G87</f>
        <v>0.0522999377800118</v>
      </c>
      <c r="G13" s="4" t="s">
        <v>367</v>
      </c>
    </row>
    <row r="14" customFormat="false" ht="17.15" hidden="false" customHeight="false" outlineLevel="0" collapsed="false">
      <c r="A14" s="4" t="s">
        <v>368</v>
      </c>
      <c r="B14" s="0" t="s">
        <v>29</v>
      </c>
      <c r="C14" s="19" t="n">
        <f aca="false">PL!D67-PL!D72/fx</f>
        <v>549.643837535011</v>
      </c>
      <c r="D14" s="19" t="n">
        <f aca="false">PL!E67-PL!E72/fx</f>
        <v>986.562202539699</v>
      </c>
      <c r="E14" s="19" t="n">
        <f aca="false">PL!F67-PL!F72/fx</f>
        <v>1260.24952835097</v>
      </c>
      <c r="F14" s="19" t="n">
        <f aca="false">PL!G67-PL!G72/fx</f>
        <v>1446.63541198075</v>
      </c>
    </row>
    <row r="16" customFormat="false" ht="17.15" hidden="false" customHeight="false" outlineLevel="0" collapsed="false">
      <c r="A16" s="1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370</v>
      </c>
    </row>
    <row r="3" customFormat="false" ht="17.15" hidden="false" customHeight="false" outlineLevel="0" collapsed="false">
      <c r="A3" s="5" t="s">
        <v>371</v>
      </c>
      <c r="B3" s="5" t="s">
        <v>19</v>
      </c>
      <c r="C3" s="11" t="s">
        <v>296</v>
      </c>
      <c r="D3" s="11" t="s">
        <v>372</v>
      </c>
      <c r="E3" s="11" t="s">
        <v>373</v>
      </c>
      <c r="F3" s="11" t="s">
        <v>374</v>
      </c>
      <c r="G3" s="11" t="s">
        <v>375</v>
      </c>
      <c r="H3" s="5" t="s">
        <v>345</v>
      </c>
    </row>
    <row r="4" customFormat="false" ht="17.15" hidden="false" customHeight="false" outlineLevel="0" collapsed="false">
      <c r="A4" s="1" t="s">
        <v>376</v>
      </c>
    </row>
    <row r="5" customFormat="false" ht="15" hidden="false" customHeight="false" outlineLevel="0" collapsed="false">
      <c r="A5" s="4" t="s">
        <v>302</v>
      </c>
      <c r="B5" s="0" t="s">
        <v>165</v>
      </c>
      <c r="C5" s="19" t="n">
        <f aca="false">C77</f>
        <v>2123.689</v>
      </c>
      <c r="D5" s="19" t="n">
        <f aca="false">D77</f>
        <v>3998.715</v>
      </c>
      <c r="E5" s="19" t="n">
        <f aca="false">E77</f>
        <v>5710.50896358629</v>
      </c>
      <c r="F5" s="19" t="n">
        <f aca="false">F77</f>
        <v>6046.24302221704</v>
      </c>
      <c r="G5" s="19" t="n">
        <f aca="false">G77</f>
        <v>6128.38776739279</v>
      </c>
    </row>
    <row r="6" customFormat="false" ht="15" hidden="false" customHeight="false" outlineLevel="0" collapsed="false">
      <c r="A6" s="4" t="s">
        <v>377</v>
      </c>
      <c r="B6" s="0" t="s">
        <v>49</v>
      </c>
      <c r="D6" s="15" t="n">
        <f aca="false">D78</f>
        <v>0.88290987993063</v>
      </c>
      <c r="E6" s="15" t="n">
        <f aca="false">E78</f>
        <v>0.428086013528418</v>
      </c>
      <c r="F6" s="15" t="n">
        <f aca="false">F78</f>
        <v>0.0587923179477703</v>
      </c>
      <c r="G6" s="15" t="n">
        <f aca="false">G78</f>
        <v>0.0135860806245958</v>
      </c>
    </row>
    <row r="7" customFormat="false" ht="17.15" hidden="false" customHeight="false" outlineLevel="0" collapsed="false">
      <c r="A7" s="0" t="s">
        <v>378</v>
      </c>
      <c r="B7" s="0" t="s">
        <v>165</v>
      </c>
      <c r="C7" s="19" t="n">
        <f aca="false">C74</f>
        <v>905.033</v>
      </c>
      <c r="D7" s="19" t="n">
        <f aca="false">D74</f>
        <v>2719.1262</v>
      </c>
      <c r="E7" s="19" t="n">
        <f aca="false">E74</f>
        <v>4392.53249958629</v>
      </c>
      <c r="F7" s="19" t="n">
        <f aca="false">F74</f>
        <v>4701.90702893704</v>
      </c>
      <c r="G7" s="19" t="n">
        <f aca="false">G74</f>
        <v>4757.16505424718</v>
      </c>
    </row>
    <row r="8" customFormat="false" ht="17.15" hidden="false" customHeight="false" outlineLevel="0" collapsed="false">
      <c r="A8" s="4" t="s">
        <v>379</v>
      </c>
      <c r="B8" s="0" t="s">
        <v>165</v>
      </c>
      <c r="C8" s="19" t="n">
        <f aca="false">C76</f>
        <v>1218.656</v>
      </c>
      <c r="D8" s="19" t="n">
        <f aca="false">D76</f>
        <v>1279.5888</v>
      </c>
      <c r="E8" s="19" t="n">
        <f aca="false">E76</f>
        <v>1317.976464</v>
      </c>
      <c r="F8" s="19" t="n">
        <f aca="false">F76</f>
        <v>1344.33599328</v>
      </c>
      <c r="G8" s="19" t="n">
        <f aca="false">G76</f>
        <v>1371.2227131456</v>
      </c>
    </row>
    <row r="9" customFormat="false" ht="17.15" hidden="false" customHeight="false" outlineLevel="0" collapsed="false">
      <c r="A9" s="0" t="s">
        <v>380</v>
      </c>
      <c r="B9" s="0" t="s">
        <v>49</v>
      </c>
      <c r="C9" s="15" t="n">
        <f aca="false">C79</f>
        <v>0.426160798497332</v>
      </c>
      <c r="D9" s="15" t="n">
        <f aca="false">D79</f>
        <v>0.68</v>
      </c>
      <c r="E9" s="15" t="n">
        <f aca="false">E79</f>
        <v>0.769201576881461</v>
      </c>
      <c r="F9" s="15" t="n">
        <f aca="false">F79</f>
        <v>0.777657631633361</v>
      </c>
      <c r="G9" s="15" t="n">
        <f aca="false">G79</f>
        <v>0.776250660827723</v>
      </c>
    </row>
    <row r="10" customFormat="false" ht="15" hidden="false" customHeight="false" outlineLevel="0" collapsed="false">
      <c r="A10" s="4" t="s">
        <v>306</v>
      </c>
      <c r="B10" s="0" t="s">
        <v>165</v>
      </c>
      <c r="C10" s="19" t="n">
        <f aca="false">C85</f>
        <v>148.2334922</v>
      </c>
      <c r="D10" s="19" t="n">
        <f aca="false">D85</f>
        <v>198.45911</v>
      </c>
      <c r="E10" s="19" t="n">
        <f aca="false">E85</f>
        <v>277.722828772205</v>
      </c>
      <c r="F10" s="19" t="n">
        <f aca="false">F85</f>
        <v>316.725696309643</v>
      </c>
      <c r="G10" s="19" t="n">
        <f aca="false">G85</f>
        <v>335.502837656457</v>
      </c>
    </row>
    <row r="11" customFormat="false" ht="15" hidden="false" customHeight="false" outlineLevel="0" collapsed="false">
      <c r="A11" s="4" t="s">
        <v>309</v>
      </c>
      <c r="B11" s="0" t="s">
        <v>49</v>
      </c>
      <c r="C11" s="14" t="n">
        <f aca="false">C86</f>
        <v>0.0698</v>
      </c>
      <c r="D11" s="14" t="n">
        <f aca="false">D86</f>
        <v>0.0496307213692399</v>
      </c>
      <c r="E11" s="14" t="n">
        <f aca="false">E86</f>
        <v>0.0486336385325961</v>
      </c>
      <c r="F11" s="14" t="n">
        <f aca="false">F86</f>
        <v>0.0523838845289261</v>
      </c>
      <c r="G11" s="14" t="n">
        <f aca="false">G86</f>
        <v>0.0547456933847368</v>
      </c>
    </row>
    <row r="12" customFormat="false" ht="15" hidden="false" customHeight="false" outlineLevel="0" collapsed="false">
      <c r="A12" s="4" t="s">
        <v>316</v>
      </c>
      <c r="B12" s="0" t="s">
        <v>49</v>
      </c>
      <c r="C12" s="14" t="n">
        <f aca="false">C91</f>
        <v>0.0412</v>
      </c>
      <c r="D12" s="14" t="n">
        <f aca="false">D91</f>
        <v>0.0318276590104571</v>
      </c>
      <c r="E12" s="14" t="n">
        <f aca="false">E91</f>
        <v>0.0340325858237527</v>
      </c>
      <c r="F12" s="14" t="n">
        <f aca="false">F91</f>
        <v>0.0382692896751384</v>
      </c>
      <c r="G12" s="14" t="n">
        <f aca="false">G91</f>
        <v>0.0407446135213378</v>
      </c>
    </row>
    <row r="13" customFormat="false" ht="15" hidden="false" customHeight="false" outlineLevel="0" collapsed="false">
      <c r="A13" s="4" t="s">
        <v>317</v>
      </c>
      <c r="B13" s="0" t="s">
        <v>165</v>
      </c>
      <c r="C13" s="19" t="n">
        <f aca="false">C93</f>
        <v>74.98</v>
      </c>
      <c r="D13" s="19" t="n">
        <f aca="false">D93</f>
        <v>110.713671625</v>
      </c>
      <c r="E13" s="19" t="n">
        <f aca="false">E93</f>
        <v>168.107029236484</v>
      </c>
      <c r="F13" s="19" t="n">
        <f aca="false">F93</f>
        <v>200.148393198935</v>
      </c>
      <c r="G13" s="19" t="n">
        <f aca="false">G93</f>
        <v>215.989454293986</v>
      </c>
    </row>
    <row r="14" customFormat="false" ht="15" hidden="false" customHeight="false" outlineLevel="0" collapsed="false">
      <c r="A14" s="0" t="s">
        <v>323</v>
      </c>
      <c r="B14" s="0" t="s">
        <v>216</v>
      </c>
      <c r="C14" s="16" t="n">
        <f aca="false">C95</f>
        <v>19.45</v>
      </c>
      <c r="D14" s="16" t="n">
        <f aca="false">D95</f>
        <v>28.7224673778341</v>
      </c>
      <c r="E14" s="16" t="n">
        <f aca="false">E95</f>
        <v>43.61203627664</v>
      </c>
      <c r="F14" s="16" t="n">
        <f aca="false">F95</f>
        <v>51.9245329868023</v>
      </c>
      <c r="G14" s="16" t="n">
        <f aca="false">G95</f>
        <v>56.0341822636685</v>
      </c>
    </row>
    <row r="15" customFormat="false" ht="17.15" hidden="false" customHeight="false" outlineLevel="0" collapsed="false">
      <c r="A15" s="0" t="s">
        <v>381</v>
      </c>
      <c r="B15" s="0" t="s">
        <v>49</v>
      </c>
      <c r="D15" s="15" t="n">
        <f aca="false">D96</f>
        <v>0.476733541276816</v>
      </c>
      <c r="E15" s="15" t="n">
        <f aca="false">E96</f>
        <v>0.518394492469565</v>
      </c>
      <c r="F15" s="15" t="n">
        <f aca="false">F96</f>
        <v>0.190600976699058</v>
      </c>
      <c r="G15" s="15" t="n">
        <f aca="false">G96</f>
        <v>0.0791465814032595</v>
      </c>
    </row>
    <row r="17" customFormat="false" ht="17.15" hidden="false" customHeight="false" outlineLevel="0" collapsed="false">
      <c r="A17" s="1" t="s">
        <v>382</v>
      </c>
    </row>
    <row r="18" customFormat="false" ht="15" hidden="false" customHeight="false" outlineLevel="0" collapsed="false">
      <c r="A18" s="4" t="s">
        <v>302</v>
      </c>
      <c r="B18" s="0" t="s">
        <v>165</v>
      </c>
      <c r="C18" s="19" t="n">
        <f aca="false">C116</f>
        <v>2123.689</v>
      </c>
      <c r="D18" s="19" t="n">
        <f aca="false">D116</f>
        <v>3998.715</v>
      </c>
      <c r="E18" s="19" t="n">
        <f aca="false">E116</f>
        <v>5710.50896358629</v>
      </c>
      <c r="F18" s="19" t="n">
        <f aca="false">F116</f>
        <v>5105.86161642964</v>
      </c>
      <c r="G18" s="19" t="n">
        <f aca="false">G116</f>
        <v>5414.81300925571</v>
      </c>
    </row>
    <row r="19" customFormat="false" ht="15" hidden="false" customHeight="false" outlineLevel="0" collapsed="false">
      <c r="A19" s="4" t="s">
        <v>377</v>
      </c>
      <c r="B19" s="0" t="s">
        <v>49</v>
      </c>
      <c r="D19" s="15" t="n">
        <f aca="false">D117</f>
        <v>0.88290987993063</v>
      </c>
      <c r="E19" s="15" t="n">
        <f aca="false">E117</f>
        <v>0.428086013528418</v>
      </c>
      <c r="F19" s="15" t="n">
        <f aca="false">F117</f>
        <v>-0.105883267325602</v>
      </c>
      <c r="G19" s="15" t="n">
        <f aca="false">G117</f>
        <v>0.0605091590872593</v>
      </c>
    </row>
    <row r="20" customFormat="false" ht="17.15" hidden="false" customHeight="false" outlineLevel="0" collapsed="false">
      <c r="A20" s="0" t="s">
        <v>378</v>
      </c>
      <c r="B20" s="0" t="s">
        <v>165</v>
      </c>
      <c r="C20" s="19" t="n">
        <f aca="false">C113</f>
        <v>905.033</v>
      </c>
      <c r="D20" s="19" t="n">
        <f aca="false">D113</f>
        <v>2719.1262</v>
      </c>
      <c r="E20" s="19" t="n">
        <f aca="false">E113</f>
        <v>4392.53249958629</v>
      </c>
      <c r="F20" s="19" t="n">
        <f aca="false">F113</f>
        <v>3761.52562314964</v>
      </c>
      <c r="G20" s="19" t="n">
        <f aca="false">G113</f>
        <v>4043.59029611011</v>
      </c>
    </row>
    <row r="21" customFormat="false" ht="17.15" hidden="false" customHeight="false" outlineLevel="0" collapsed="false">
      <c r="A21" s="4" t="s">
        <v>379</v>
      </c>
      <c r="B21" s="0" t="s">
        <v>165</v>
      </c>
      <c r="C21" s="19" t="n">
        <f aca="false">C115</f>
        <v>1218.656</v>
      </c>
      <c r="D21" s="19" t="n">
        <f aca="false">D115</f>
        <v>1279.5888</v>
      </c>
      <c r="E21" s="19" t="n">
        <f aca="false">E115</f>
        <v>1317.976464</v>
      </c>
      <c r="F21" s="19" t="n">
        <f aca="false">F115</f>
        <v>1344.33599328</v>
      </c>
      <c r="G21" s="19" t="n">
        <f aca="false">G115</f>
        <v>1371.2227131456</v>
      </c>
    </row>
    <row r="22" customFormat="false" ht="17.15" hidden="false" customHeight="false" outlineLevel="0" collapsed="false">
      <c r="A22" s="0" t="s">
        <v>380</v>
      </c>
      <c r="B22" s="0" t="s">
        <v>49</v>
      </c>
      <c r="C22" s="15" t="n">
        <f aca="false">C118</f>
        <v>0.426160798497332</v>
      </c>
      <c r="D22" s="15" t="n">
        <f aca="false">D118</f>
        <v>0.68</v>
      </c>
      <c r="E22" s="15" t="n">
        <f aca="false">E118</f>
        <v>0.769201576881461</v>
      </c>
      <c r="F22" s="15" t="n">
        <f aca="false">F118</f>
        <v>0.736707319102774</v>
      </c>
      <c r="G22" s="15" t="n">
        <f aca="false">G118</f>
        <v>0.746764530778491</v>
      </c>
    </row>
    <row r="23" customFormat="false" ht="15" hidden="false" customHeight="false" outlineLevel="0" collapsed="false">
      <c r="A23" s="4" t="s">
        <v>306</v>
      </c>
      <c r="B23" s="0" t="s">
        <v>165</v>
      </c>
      <c r="C23" s="19" t="n">
        <f aca="false">C124</f>
        <v>148.2334922</v>
      </c>
      <c r="D23" s="19" t="n">
        <f aca="false">D124</f>
        <v>198.45911</v>
      </c>
      <c r="E23" s="19" t="n">
        <f aca="false">E124</f>
        <v>277.722828772205</v>
      </c>
      <c r="F23" s="19" t="n">
        <f aca="false">F124</f>
        <v>270.38122397126</v>
      </c>
      <c r="G23" s="19" t="n">
        <f aca="false">G124</f>
        <v>298.182922204501</v>
      </c>
    </row>
    <row r="24" customFormat="false" ht="15" hidden="false" customHeight="false" outlineLevel="0" collapsed="false">
      <c r="A24" s="4" t="s">
        <v>309</v>
      </c>
      <c r="B24" s="0" t="s">
        <v>49</v>
      </c>
      <c r="C24" s="14" t="n">
        <f aca="false">C125</f>
        <v>0.0698</v>
      </c>
      <c r="D24" s="14" t="n">
        <f aca="false">D125</f>
        <v>0.0496307213692399</v>
      </c>
      <c r="E24" s="14" t="n">
        <f aca="false">E125</f>
        <v>0.0486336385325961</v>
      </c>
      <c r="F24" s="14" t="n">
        <f aca="false">F125</f>
        <v>0.0529550630791143</v>
      </c>
      <c r="G24" s="14" t="n">
        <f aca="false">G125</f>
        <v>0.0550679998911888</v>
      </c>
    </row>
    <row r="25" customFormat="false" ht="15" hidden="false" customHeight="false" outlineLevel="0" collapsed="false">
      <c r="A25" s="4" t="s">
        <v>316</v>
      </c>
      <c r="B25" s="0" t="s">
        <v>49</v>
      </c>
      <c r="C25" s="14" t="n">
        <f aca="false">C130</f>
        <v>0.0412</v>
      </c>
      <c r="D25" s="14" t="n">
        <f aca="false">D130</f>
        <v>0.0318276590104571</v>
      </c>
      <c r="E25" s="14" t="n">
        <f aca="false">E130</f>
        <v>0.0340325858237527</v>
      </c>
      <c r="F25" s="14" t="n">
        <f aca="false">F130</f>
        <v>0.0366249216386672</v>
      </c>
      <c r="G25" s="14" t="n">
        <f aca="false">G130</f>
        <v>0.0392969048962365</v>
      </c>
    </row>
    <row r="26" customFormat="false" ht="15" hidden="false" customHeight="false" outlineLevel="0" collapsed="false">
      <c r="A26" s="4" t="s">
        <v>317</v>
      </c>
      <c r="B26" s="0" t="s">
        <v>165</v>
      </c>
      <c r="C26" s="19" t="n">
        <f aca="false">C132</f>
        <v>74.98</v>
      </c>
      <c r="D26" s="19" t="n">
        <f aca="false">D132</f>
        <v>110.713671625</v>
      </c>
      <c r="E26" s="19" t="n">
        <f aca="false">E132</f>
        <v>168.107029236484</v>
      </c>
      <c r="F26" s="19" t="n">
        <f aca="false">F132</f>
        <v>161.756541083666</v>
      </c>
      <c r="G26" s="19" t="n">
        <f aca="false">G132</f>
        <v>184.059363955116</v>
      </c>
    </row>
    <row r="27" customFormat="false" ht="15" hidden="false" customHeight="false" outlineLevel="0" collapsed="false">
      <c r="A27" s="0" t="s">
        <v>323</v>
      </c>
      <c r="B27" s="0" t="s">
        <v>216</v>
      </c>
      <c r="C27" s="16" t="n">
        <f aca="false">C134</f>
        <v>19.45</v>
      </c>
      <c r="D27" s="16" t="n">
        <f aca="false">D134</f>
        <v>28.7224673778341</v>
      </c>
      <c r="E27" s="16" t="n">
        <f aca="false">E134</f>
        <v>43.61203627664</v>
      </c>
      <c r="F27" s="16" t="n">
        <f aca="false">F134</f>
        <v>41.9645280138805</v>
      </c>
      <c r="G27" s="16" t="n">
        <f aca="false">G134</f>
        <v>47.7505532893189</v>
      </c>
    </row>
    <row r="28" customFormat="false" ht="17.15" hidden="false" customHeight="false" outlineLevel="0" collapsed="false">
      <c r="A28" s="0" t="s">
        <v>381</v>
      </c>
      <c r="B28" s="0" t="s">
        <v>49</v>
      </c>
      <c r="D28" s="15" t="n">
        <f aca="false">D135</f>
        <v>0.476733541276816</v>
      </c>
      <c r="E28" s="15" t="n">
        <f aca="false">E135</f>
        <v>0.518394492469565</v>
      </c>
      <c r="F28" s="15" t="n">
        <f aca="false">F135</f>
        <v>-0.0377764581389647</v>
      </c>
      <c r="G28" s="15" t="n">
        <f aca="false">G135</f>
        <v>0.137878955138602</v>
      </c>
    </row>
    <row r="30" customFormat="false" ht="17.15" hidden="false" customHeight="false" outlineLevel="0" collapsed="false">
      <c r="A30" s="1" t="s">
        <v>383</v>
      </c>
    </row>
    <row r="31" customFormat="false" ht="15" hidden="false" customHeight="false" outlineLevel="0" collapsed="false">
      <c r="A31" s="4" t="s">
        <v>302</v>
      </c>
      <c r="B31" s="0" t="s">
        <v>165</v>
      </c>
      <c r="C31" s="19" t="n">
        <f aca="false">C155</f>
        <v>2123.689</v>
      </c>
      <c r="D31" s="19" t="n">
        <f aca="false">D155</f>
        <v>3998.715</v>
      </c>
      <c r="E31" s="19" t="n">
        <f aca="false">E155</f>
        <v>5710.50896358629</v>
      </c>
      <c r="F31" s="19" t="n">
        <f aca="false">F155</f>
        <v>4165.48021064223</v>
      </c>
      <c r="G31" s="19" t="n">
        <f aca="false">G155</f>
        <v>4225.52174569391</v>
      </c>
    </row>
    <row r="32" customFormat="false" ht="15" hidden="false" customHeight="false" outlineLevel="0" collapsed="false">
      <c r="A32" s="4" t="s">
        <v>377</v>
      </c>
      <c r="B32" s="0" t="s">
        <v>49</v>
      </c>
      <c r="D32" s="15" t="n">
        <f aca="false">D156</f>
        <v>0.88290987993063</v>
      </c>
      <c r="E32" s="15" t="n">
        <f aca="false">E156</f>
        <v>0.428086013528418</v>
      </c>
      <c r="F32" s="15" t="n">
        <f aca="false">F156</f>
        <v>-0.270558852598974</v>
      </c>
      <c r="G32" s="15" t="n">
        <f aca="false">G156</f>
        <v>0.01441407281165</v>
      </c>
    </row>
    <row r="33" customFormat="false" ht="17.15" hidden="false" customHeight="false" outlineLevel="0" collapsed="false">
      <c r="A33" s="0" t="s">
        <v>378</v>
      </c>
      <c r="B33" s="0" t="s">
        <v>165</v>
      </c>
      <c r="C33" s="19" t="n">
        <f aca="false">C152</f>
        <v>905.033</v>
      </c>
      <c r="D33" s="19" t="n">
        <f aca="false">D152</f>
        <v>2719.1262</v>
      </c>
      <c r="E33" s="19" t="n">
        <f aca="false">E152</f>
        <v>4392.53249958629</v>
      </c>
      <c r="F33" s="19" t="n">
        <f aca="false">F152</f>
        <v>2821.14421736223</v>
      </c>
      <c r="G33" s="19" t="n">
        <f aca="false">G152</f>
        <v>2854.29903254831</v>
      </c>
    </row>
    <row r="34" customFormat="false" ht="17.15" hidden="false" customHeight="false" outlineLevel="0" collapsed="false">
      <c r="A34" s="4" t="s">
        <v>379</v>
      </c>
      <c r="B34" s="0" t="s">
        <v>165</v>
      </c>
      <c r="C34" s="19" t="n">
        <f aca="false">C154</f>
        <v>1218.656</v>
      </c>
      <c r="D34" s="19" t="n">
        <f aca="false">D154</f>
        <v>1279.5888</v>
      </c>
      <c r="E34" s="19" t="n">
        <f aca="false">E154</f>
        <v>1317.976464</v>
      </c>
      <c r="F34" s="19" t="n">
        <f aca="false">F154</f>
        <v>1344.33599328</v>
      </c>
      <c r="G34" s="19" t="n">
        <f aca="false">G154</f>
        <v>1371.2227131456</v>
      </c>
    </row>
    <row r="35" customFormat="false" ht="17.15" hidden="false" customHeight="false" outlineLevel="0" collapsed="false">
      <c r="A35" s="0" t="s">
        <v>380</v>
      </c>
      <c r="B35" s="0" t="s">
        <v>49</v>
      </c>
      <c r="C35" s="15" t="n">
        <f aca="false">C157</f>
        <v>0.426160798497332</v>
      </c>
      <c r="D35" s="15" t="n">
        <f aca="false">D157</f>
        <v>0.68</v>
      </c>
      <c r="E35" s="15" t="n">
        <f aca="false">E157</f>
        <v>0.769201576881461</v>
      </c>
      <c r="F35" s="15" t="n">
        <f aca="false">F157</f>
        <v>0.677267463701926</v>
      </c>
      <c r="G35" s="15" t="n">
        <f aca="false">G157</f>
        <v>0.67549031914391</v>
      </c>
    </row>
    <row r="36" customFormat="false" ht="15" hidden="false" customHeight="false" outlineLevel="0" collapsed="false">
      <c r="A36" s="4" t="s">
        <v>306</v>
      </c>
      <c r="B36" s="0" t="s">
        <v>165</v>
      </c>
      <c r="C36" s="19" t="n">
        <f aca="false">C163</f>
        <v>148.2334922</v>
      </c>
      <c r="D36" s="19" t="n">
        <f aca="false">D163</f>
        <v>198.45911</v>
      </c>
      <c r="E36" s="19" t="n">
        <f aca="false">E163</f>
        <v>277.722828772205</v>
      </c>
      <c r="F36" s="19" t="n">
        <f aca="false">F163</f>
        <v>224.036751632877</v>
      </c>
      <c r="G36" s="19" t="n">
        <f aca="false">G163</f>
        <v>235.983063117907</v>
      </c>
    </row>
    <row r="37" customFormat="false" ht="15" hidden="false" customHeight="false" outlineLevel="0" collapsed="false">
      <c r="A37" s="4" t="s">
        <v>309</v>
      </c>
      <c r="B37" s="0" t="s">
        <v>49</v>
      </c>
      <c r="C37" s="14" t="n">
        <f aca="false">C164</f>
        <v>0.0698</v>
      </c>
      <c r="D37" s="14" t="n">
        <f aca="false">D164</f>
        <v>0.0496307213692399</v>
      </c>
      <c r="E37" s="14" t="n">
        <f aca="false">E164</f>
        <v>0.0486336385325961</v>
      </c>
      <c r="F37" s="14" t="n">
        <f aca="false">F164</f>
        <v>0.0537841353946405</v>
      </c>
      <c r="G37" s="14" t="n">
        <f aca="false">G164</f>
        <v>0.0558470828740592</v>
      </c>
    </row>
    <row r="38" customFormat="false" ht="15" hidden="false" customHeight="false" outlineLevel="0" collapsed="false">
      <c r="A38" s="4" t="s">
        <v>316</v>
      </c>
      <c r="B38" s="0" t="s">
        <v>49</v>
      </c>
      <c r="C38" s="14" t="n">
        <f aca="false">C169</f>
        <v>0.0412</v>
      </c>
      <c r="D38" s="14" t="n">
        <f aca="false">D169</f>
        <v>0.0318276590104571</v>
      </c>
      <c r="E38" s="14" t="n">
        <f aca="false">E169</f>
        <v>0.0340325858237527</v>
      </c>
      <c r="F38" s="14" t="n">
        <f aca="false">F169</f>
        <v>0.0337673694624382</v>
      </c>
      <c r="G38" s="14" t="n">
        <f aca="false">G169</f>
        <v>0.0360009709948716</v>
      </c>
    </row>
    <row r="39" customFormat="false" ht="15" hidden="false" customHeight="false" outlineLevel="0" collapsed="false">
      <c r="A39" s="4" t="s">
        <v>317</v>
      </c>
      <c r="B39" s="0" t="s">
        <v>165</v>
      </c>
      <c r="C39" s="19" t="n">
        <f aca="false">C171</f>
        <v>74.98</v>
      </c>
      <c r="D39" s="19" t="n">
        <f aca="false">D171</f>
        <v>110.713671625</v>
      </c>
      <c r="E39" s="19" t="n">
        <f aca="false">E171</f>
        <v>168.107029236484</v>
      </c>
      <c r="F39" s="19" t="n">
        <f aca="false">F171</f>
        <v>121.668572510965</v>
      </c>
      <c r="G39" s="19" t="n">
        <f aca="false">G171</f>
        <v>131.586296221261</v>
      </c>
    </row>
    <row r="40" customFormat="false" ht="15" hidden="false" customHeight="false" outlineLevel="0" collapsed="false">
      <c r="A40" s="0" t="s">
        <v>323</v>
      </c>
      <c r="B40" s="0" t="s">
        <v>216</v>
      </c>
      <c r="C40" s="16" t="n">
        <f aca="false">C173</f>
        <v>19.45</v>
      </c>
      <c r="D40" s="16" t="n">
        <f aca="false">D173</f>
        <v>28.7224673778341</v>
      </c>
      <c r="E40" s="16" t="n">
        <f aca="false">E173</f>
        <v>43.61203627664</v>
      </c>
      <c r="F40" s="16" t="n">
        <f aca="false">F173</f>
        <v>31.5644992489321</v>
      </c>
      <c r="G40" s="16" t="n">
        <f aca="false">G173</f>
        <v>34.1374560622171</v>
      </c>
    </row>
    <row r="41" customFormat="false" ht="17.15" hidden="false" customHeight="false" outlineLevel="0" collapsed="false">
      <c r="A41" s="0" t="s">
        <v>381</v>
      </c>
      <c r="B41" s="0" t="s">
        <v>49</v>
      </c>
      <c r="D41" s="15" t="n">
        <f aca="false">D174</f>
        <v>0.476733541276816</v>
      </c>
      <c r="E41" s="15" t="n">
        <f aca="false">E174</f>
        <v>0.518394492469565</v>
      </c>
      <c r="F41" s="15" t="n">
        <f aca="false">F174</f>
        <v>-0.276243396462571</v>
      </c>
      <c r="G41" s="15" t="n">
        <f aca="false">G174</f>
        <v>0.0815142604669075</v>
      </c>
    </row>
    <row r="43" customFormat="false" ht="17.15" hidden="false" customHeight="false" outlineLevel="0" collapsed="false">
      <c r="A43" s="1" t="s">
        <v>384</v>
      </c>
    </row>
    <row r="44" customFormat="false" ht="17.15" hidden="false" customHeight="false" outlineLevel="0" collapsed="false">
      <c r="A44" s="4" t="s">
        <v>385</v>
      </c>
      <c r="D44" s="20" t="n">
        <f aca="false">D77-a26_rev</f>
        <v>0</v>
      </c>
    </row>
    <row r="45" customFormat="false" ht="17.15" hidden="false" customHeight="false" outlineLevel="0" collapsed="false">
      <c r="A45" s="4" t="s">
        <v>386</v>
      </c>
      <c r="D45" s="20" t="n">
        <f aca="false">D74-a26_ai</f>
        <v>0</v>
      </c>
    </row>
    <row r="46" customFormat="false" ht="17.15" hidden="false" customHeight="false" outlineLevel="0" collapsed="false">
      <c r="A46" s="4" t="s">
        <v>387</v>
      </c>
      <c r="D46" s="20" t="n">
        <f aca="false">D83*D76+D84-a26_gp</f>
        <v>0</v>
      </c>
    </row>
    <row r="60" customFormat="false" ht="17.15" hidden="false" customHeight="false" outlineLevel="0" collapsed="false">
      <c r="A60" s="1" t="s">
        <v>388</v>
      </c>
    </row>
    <row r="61" customFormat="false" ht="17.15" hidden="false" customHeight="false" outlineLevel="0" collapsed="false">
      <c r="A61" s="5" t="s">
        <v>18</v>
      </c>
      <c r="B61" s="5" t="s">
        <v>19</v>
      </c>
      <c r="C61" s="11" t="s">
        <v>296</v>
      </c>
      <c r="D61" s="11" t="s">
        <v>372</v>
      </c>
      <c r="E61" s="11" t="s">
        <v>373</v>
      </c>
      <c r="F61" s="11" t="s">
        <v>374</v>
      </c>
      <c r="G61" s="11" t="s">
        <v>375</v>
      </c>
      <c r="H61" s="5" t="s">
        <v>345</v>
      </c>
    </row>
    <row r="62" customFormat="false" ht="17.15" hidden="false" customHeight="false" outlineLevel="0" collapsed="false">
      <c r="A62" s="6" t="s">
        <v>389</v>
      </c>
    </row>
    <row r="63" customFormat="false" ht="17.15" hidden="false" customHeight="false" outlineLevel="0" collapsed="false">
      <c r="A63" s="0" t="s">
        <v>390</v>
      </c>
      <c r="B63" s="0" t="s">
        <v>29</v>
      </c>
      <c r="D63" s="21" t="n">
        <f aca="false">itc_26*1</f>
        <v>781.872916666667</v>
      </c>
      <c r="E63" s="21" t="n">
        <f aca="false">itc_27*1*1</f>
        <v>1565.35</v>
      </c>
      <c r="F63" s="21" t="n">
        <f aca="false">itc_28*um28_A*1</f>
        <v>1984.26388888889</v>
      </c>
      <c r="G63" s="21" t="n">
        <f aca="false">itc_29*um29_A*1</f>
        <v>2260.39027777778</v>
      </c>
    </row>
    <row r="64" customFormat="false" ht="17.15" hidden="false" customHeight="false" outlineLevel="0" collapsed="false">
      <c r="A64" s="4" t="s">
        <v>391</v>
      </c>
      <c r="B64" s="0" t="s">
        <v>29</v>
      </c>
      <c r="D64" s="21" t="n">
        <f aca="false">itpg_gb*(1-vr26)+itpg_vr*vr26</f>
        <v>33.41403216</v>
      </c>
      <c r="E64" s="21" t="n">
        <f aca="false">itpg_vr</f>
        <v>37.586352</v>
      </c>
      <c r="F64" s="21" t="n">
        <f aca="false">itpg_vr</f>
        <v>37.586352</v>
      </c>
      <c r="G64" s="21" t="n">
        <f aca="false">itpg_vr</f>
        <v>37.586352</v>
      </c>
    </row>
    <row r="65" customFormat="false" ht="17.15" hidden="false" customHeight="false" outlineLevel="0" collapsed="false">
      <c r="A65" s="4" t="s">
        <v>392</v>
      </c>
      <c r="B65" s="0" t="s">
        <v>347</v>
      </c>
      <c r="D65" s="18" t="n">
        <f aca="false">D63/D64</f>
        <v>23.3995380420639</v>
      </c>
      <c r="E65" s="18" t="n">
        <f aca="false">E63/E64</f>
        <v>41.6467658260637</v>
      </c>
      <c r="F65" s="18" t="n">
        <f aca="false">F63/F64</f>
        <v>52.792138191248</v>
      </c>
      <c r="G65" s="18" t="n">
        <f aca="false">G63/G64</f>
        <v>60.1385917361116</v>
      </c>
    </row>
    <row r="66" customFormat="false" ht="17.15" hidden="false" customHeight="false" outlineLevel="0" collapsed="false">
      <c r="A66" s="4" t="s">
        <v>349</v>
      </c>
      <c r="B66" s="0" t="s">
        <v>350</v>
      </c>
      <c r="D66" s="16" t="n">
        <f aca="false">(racks_gb*odm_gb*(1-vr26)+racks_vr*odm_vr*vr26)/1000</f>
        <v>27.1209</v>
      </c>
      <c r="E66" s="16" t="n">
        <f aca="false">racks_vr*odm_vr/1000</f>
        <v>27.351</v>
      </c>
      <c r="F66" s="16" t="n">
        <f aca="false">$E66*vpg_28</f>
        <v>27.351</v>
      </c>
      <c r="G66" s="16" t="n">
        <f aca="false">$E66*vpg_29</f>
        <v>27.351</v>
      </c>
      <c r="H66" s="4" t="s">
        <v>393</v>
      </c>
    </row>
    <row r="67" customFormat="false" ht="17.15" hidden="false" customHeight="false" outlineLevel="0" collapsed="false">
      <c r="A67" s="0" t="s">
        <v>394</v>
      </c>
      <c r="B67" s="0" t="s">
        <v>29</v>
      </c>
      <c r="D67" s="19" t="n">
        <f aca="false">D65*D66</f>
        <v>634.616531285011</v>
      </c>
      <c r="E67" s="19" t="n">
        <f aca="false">E65*E66</f>
        <v>1139.08069210867</v>
      </c>
      <c r="F67" s="19" t="n">
        <f aca="false">F65*F66</f>
        <v>1443.91777166882</v>
      </c>
      <c r="G67" s="19" t="n">
        <f aca="false">G65*G66</f>
        <v>1644.85062257439</v>
      </c>
    </row>
    <row r="68" customFormat="false" ht="17.15" hidden="false" customHeight="false" outlineLevel="0" collapsed="false">
      <c r="A68" s="0" t="s">
        <v>395</v>
      </c>
      <c r="B68" s="0" t="s">
        <v>165</v>
      </c>
      <c r="D68" s="19" t="n">
        <f aca="false">D67*fx</f>
        <v>20307.7290011204</v>
      </c>
      <c r="E68" s="19" t="n">
        <f aca="false">E67*fx</f>
        <v>36450.5821474774</v>
      </c>
      <c r="F68" s="19" t="n">
        <f aca="false">F67*fx</f>
        <v>46205.3686934024</v>
      </c>
      <c r="G68" s="19" t="n">
        <f aca="false">G67*fx</f>
        <v>52635.2199223804</v>
      </c>
    </row>
    <row r="69" customFormat="false" ht="17.15" hidden="false" customHeight="false" outlineLevel="0" collapsed="false">
      <c r="A69" s="4" t="s">
        <v>396</v>
      </c>
      <c r="B69" s="0" t="s">
        <v>49</v>
      </c>
      <c r="D69" s="15" t="n">
        <f aca="false">a26_ai/D68</f>
        <v>0.133896123975753</v>
      </c>
      <c r="H69" s="8" t="s">
        <v>397</v>
      </c>
    </row>
    <row r="70" customFormat="false" ht="17.15" hidden="false" customHeight="false" outlineLevel="0" collapsed="false">
      <c r="A70" s="4" t="s">
        <v>398</v>
      </c>
      <c r="B70" s="0" t="s">
        <v>69</v>
      </c>
      <c r="D70" s="16" t="n">
        <f aca="false">1</f>
        <v>1</v>
      </c>
      <c r="E70" s="16" t="n">
        <f aca="false">rel_27</f>
        <v>1</v>
      </c>
      <c r="F70" s="16" t="n">
        <f aca="false">rel_28</f>
        <v>0.95</v>
      </c>
      <c r="G70" s="16" t="n">
        <f aca="false">rel_29</f>
        <v>0.9</v>
      </c>
    </row>
    <row r="71" customFormat="false" ht="15" hidden="false" customHeight="false" outlineLevel="0" collapsed="false">
      <c r="A71" s="4" t="s">
        <v>354</v>
      </c>
      <c r="B71" s="0" t="s">
        <v>49</v>
      </c>
      <c r="D71" s="15" t="n">
        <f aca="false">$D$69*D70</f>
        <v>0.133896123975753</v>
      </c>
      <c r="E71" s="15" t="n">
        <f aca="false">$D$69*E70</f>
        <v>0.133896123975753</v>
      </c>
      <c r="F71" s="15" t="n">
        <f aca="false">$D$69*F70</f>
        <v>0.127201317776965</v>
      </c>
      <c r="G71" s="15" t="n">
        <f aca="false">$D$69*G70</f>
        <v>0.120506511578177</v>
      </c>
    </row>
    <row r="72" customFormat="false" ht="17.15" hidden="false" customHeight="false" outlineLevel="0" collapsed="false">
      <c r="A72" s="0" t="s">
        <v>399</v>
      </c>
      <c r="B72" s="0" t="s">
        <v>165</v>
      </c>
      <c r="D72" s="19" t="n">
        <f aca="false">D68*D71</f>
        <v>2719.1262</v>
      </c>
      <c r="E72" s="19" t="n">
        <f aca="false">E68*E71</f>
        <v>4880.59166620699</v>
      </c>
      <c r="F72" s="19" t="n">
        <f aca="false">F68*F71</f>
        <v>5877.38378617131</v>
      </c>
      <c r="G72" s="19" t="n">
        <f aca="false">G68*G71</f>
        <v>6342.88673899625</v>
      </c>
    </row>
    <row r="73" customFormat="false" ht="17.15" hidden="false" customHeight="false" outlineLevel="0" collapsed="false">
      <c r="A73" s="4" t="s">
        <v>358</v>
      </c>
      <c r="B73" s="0" t="s">
        <v>49</v>
      </c>
      <c r="D73" s="15" t="n">
        <f aca="false">0</f>
        <v>0</v>
      </c>
      <c r="E73" s="15" t="n">
        <f aca="false">cs_27</f>
        <v>0.1</v>
      </c>
      <c r="F73" s="15" t="n">
        <f aca="false">cs_28</f>
        <v>0.2</v>
      </c>
      <c r="G73" s="15" t="n">
        <f aca="false">cs_29</f>
        <v>0.25</v>
      </c>
      <c r="H73" s="8" t="s">
        <v>400</v>
      </c>
    </row>
    <row r="74" customFormat="false" ht="17.15" hidden="false" customHeight="false" outlineLevel="0" collapsed="false">
      <c r="A74" s="0" t="s">
        <v>401</v>
      </c>
      <c r="B74" s="0" t="s">
        <v>165</v>
      </c>
      <c r="C74" s="19" t="n">
        <f aca="false">a25_ai</f>
        <v>905.033</v>
      </c>
      <c r="D74" s="19" t="n">
        <f aca="false">D72*(1-D73)</f>
        <v>2719.1262</v>
      </c>
      <c r="E74" s="19" t="n">
        <f aca="false">E72*(1-E73)</f>
        <v>4392.53249958629</v>
      </c>
      <c r="F74" s="19" t="n">
        <f aca="false">F72*(1-F73)</f>
        <v>4701.90702893704</v>
      </c>
      <c r="G74" s="19" t="n">
        <f aca="false">G72*(1-G73)</f>
        <v>4757.16505424718</v>
      </c>
    </row>
    <row r="75" customFormat="false" ht="17.15" hidden="false" customHeight="false" outlineLevel="0" collapsed="false">
      <c r="A75" s="6" t="s">
        <v>402</v>
      </c>
    </row>
    <row r="76" customFormat="false" ht="17.15" hidden="false" customHeight="false" outlineLevel="0" collapsed="false">
      <c r="A76" s="4" t="s">
        <v>331</v>
      </c>
      <c r="B76" s="0" t="s">
        <v>165</v>
      </c>
      <c r="C76" s="19" t="n">
        <f aca="false">a25_nai</f>
        <v>1218.656</v>
      </c>
      <c r="D76" s="19" t="n">
        <f aca="false">a26_nai</f>
        <v>1279.5888</v>
      </c>
      <c r="E76" s="19" t="n">
        <f aca="false">D76*(1+g_nai27)</f>
        <v>1317.976464</v>
      </c>
      <c r="F76" s="19" t="n">
        <f aca="false">E76*(1+g_nai28)</f>
        <v>1344.33599328</v>
      </c>
      <c r="G76" s="19" t="n">
        <f aca="false">F76*(1+g_nai29)</f>
        <v>1371.2227131456</v>
      </c>
    </row>
    <row r="77" customFormat="false" ht="15" hidden="false" customHeight="false" outlineLevel="0" collapsed="false">
      <c r="A77" s="4" t="s">
        <v>302</v>
      </c>
      <c r="B77" s="0" t="s">
        <v>165</v>
      </c>
      <c r="C77" s="19" t="n">
        <f aca="false">C74+C76</f>
        <v>2123.689</v>
      </c>
      <c r="D77" s="19" t="n">
        <f aca="false">D74+D76</f>
        <v>3998.715</v>
      </c>
      <c r="E77" s="19" t="n">
        <f aca="false">E74+E76</f>
        <v>5710.50896358629</v>
      </c>
      <c r="F77" s="19" t="n">
        <f aca="false">F74+F76</f>
        <v>6046.24302221704</v>
      </c>
      <c r="G77" s="19" t="n">
        <f aca="false">G74+G76</f>
        <v>6128.38776739279</v>
      </c>
    </row>
    <row r="78" customFormat="false" ht="15" hidden="false" customHeight="false" outlineLevel="0" collapsed="false">
      <c r="A78" s="4" t="s">
        <v>403</v>
      </c>
      <c r="B78" s="0" t="s">
        <v>49</v>
      </c>
      <c r="D78" s="15" t="n">
        <f aca="false">D77/C77-1</f>
        <v>0.88290987993063</v>
      </c>
      <c r="E78" s="15" t="n">
        <f aca="false">E77/D77-1</f>
        <v>0.428086013528418</v>
      </c>
      <c r="F78" s="15" t="n">
        <f aca="false">F77/E77-1</f>
        <v>0.0587923179477703</v>
      </c>
      <c r="G78" s="15" t="n">
        <f aca="false">G77/F77-1</f>
        <v>0.0135860806245958</v>
      </c>
    </row>
    <row r="79" customFormat="false" ht="17.15" hidden="false" customHeight="false" outlineLevel="0" collapsed="false">
      <c r="A79" s="0" t="s">
        <v>404</v>
      </c>
      <c r="B79" s="0" t="s">
        <v>49</v>
      </c>
      <c r="C79" s="15" t="n">
        <f aca="false">C74/C77</f>
        <v>0.426160798497332</v>
      </c>
      <c r="D79" s="15" t="n">
        <f aca="false">D74/D77</f>
        <v>0.68</v>
      </c>
      <c r="E79" s="15" t="n">
        <f aca="false">E74/E77</f>
        <v>0.769201576881461</v>
      </c>
      <c r="F79" s="15" t="n">
        <f aca="false">F74/F77</f>
        <v>0.777657631633361</v>
      </c>
      <c r="G79" s="15" t="n">
        <f aca="false">G74/G77</f>
        <v>0.776250660827723</v>
      </c>
    </row>
    <row r="80" customFormat="false" ht="17.15" hidden="false" customHeight="false" outlineLevel="0" collapsed="false">
      <c r="A80" s="4" t="s">
        <v>364</v>
      </c>
      <c r="B80" s="0" t="s">
        <v>350</v>
      </c>
      <c r="D80" s="16" t="n">
        <f aca="false">D74/fx/D65</f>
        <v>3.63138338873399</v>
      </c>
      <c r="E80" s="16" t="n">
        <f aca="false">E74/fx/E65</f>
        <v>3.29597359817473</v>
      </c>
      <c r="F80" s="16" t="n">
        <f aca="false">F74/fx/F65</f>
        <v>2.78326659401422</v>
      </c>
      <c r="G80" s="16" t="n">
        <f aca="false">G74/fx/G65</f>
        <v>2.47198019863105</v>
      </c>
    </row>
    <row r="81" customFormat="false" ht="17.15" hidden="false" customHeight="false" outlineLevel="0" collapsed="false">
      <c r="A81" s="4" t="s">
        <v>405</v>
      </c>
      <c r="B81" s="4" t="s">
        <v>362</v>
      </c>
      <c r="D81" s="19" t="n">
        <f aca="false">D72/fx/(odm_gb*(1-vr26)+odm_vr*vr26)</f>
        <v>18.4522679153094</v>
      </c>
      <c r="E81" s="19" t="n">
        <f aca="false">E72/fx/odm_vr</f>
        <v>22.5953317879953</v>
      </c>
      <c r="F81" s="19" t="n">
        <f aca="false">F72/fx/odm_vr</f>
        <v>27.2101101211634</v>
      </c>
      <c r="G81" s="19" t="n">
        <f aca="false">G72/fx/odm_vr</f>
        <v>29.3652163842419</v>
      </c>
      <c r="H81" s="4" t="s">
        <v>406</v>
      </c>
    </row>
    <row r="82" customFormat="false" ht="17.15" hidden="false" customHeight="false" outlineLevel="0" collapsed="false">
      <c r="A82" s="6" t="s">
        <v>407</v>
      </c>
    </row>
    <row r="83" customFormat="false" ht="17.15" hidden="false" customHeight="false" outlineLevel="0" collapsed="false">
      <c r="A83" s="4" t="s">
        <v>408</v>
      </c>
      <c r="B83" s="0" t="s">
        <v>49</v>
      </c>
      <c r="D83" s="14" t="n">
        <f aca="false">a26_gp/D77-d_ai*D79</f>
        <v>0.0632307213692399</v>
      </c>
      <c r="H83" s="8" t="s">
        <v>409</v>
      </c>
    </row>
    <row r="84" customFormat="false" ht="17.15" hidden="false" customHeight="false" outlineLevel="0" collapsed="false">
      <c r="A84" s="0" t="s">
        <v>410</v>
      </c>
      <c r="B84" s="0" t="s">
        <v>165</v>
      </c>
      <c r="D84" s="21" t="n">
        <f aca="false">($D$83+d_ai)*D72*(1-D73*(1-keep))</f>
        <v>117.54978712</v>
      </c>
      <c r="E84" s="21" t="n">
        <f aca="false">($D$83+d_ai+vrd)*E72*(1-E73*(1-keep))</f>
        <v>194.386226205805</v>
      </c>
      <c r="F84" s="21" t="n">
        <f aca="false">($D$83+d_ai+vrd)*F72*(1-F73*(1-keep))</f>
        <v>231.722361691915</v>
      </c>
      <c r="G84" s="21" t="n">
        <f aca="false">($D$83+d_ai+vrd)*G72*(1-G73*(1-keep))</f>
        <v>248.799436346374</v>
      </c>
      <c r="H84" s="4" t="s">
        <v>411</v>
      </c>
    </row>
    <row r="85" customFormat="false" ht="15" hidden="false" customHeight="false" outlineLevel="0" collapsed="false">
      <c r="A85" s="4" t="s">
        <v>306</v>
      </c>
      <c r="B85" s="0" t="s">
        <v>165</v>
      </c>
      <c r="C85" s="19" t="n">
        <f aca="false">a25_gp</f>
        <v>148.2334922</v>
      </c>
      <c r="D85" s="19" t="n">
        <f aca="false">a26_gp</f>
        <v>198.45911</v>
      </c>
      <c r="E85" s="19" t="n">
        <f aca="false">$D$83*E76+E84</f>
        <v>277.722828772205</v>
      </c>
      <c r="F85" s="19" t="n">
        <f aca="false">$D$83*F76+F84</f>
        <v>316.725696309643</v>
      </c>
      <c r="G85" s="19" t="n">
        <f aca="false">$D$83*G76+G84</f>
        <v>335.502837656457</v>
      </c>
    </row>
    <row r="86" customFormat="false" ht="15" hidden="false" customHeight="false" outlineLevel="0" collapsed="false">
      <c r="A86" s="4" t="s">
        <v>309</v>
      </c>
      <c r="B86" s="0" t="s">
        <v>49</v>
      </c>
      <c r="C86" s="14" t="n">
        <f aca="false">C85/C77</f>
        <v>0.0698</v>
      </c>
      <c r="D86" s="14" t="n">
        <f aca="false">D85/D77</f>
        <v>0.0496307213692399</v>
      </c>
      <c r="E86" s="14" t="n">
        <f aca="false">E85/E77</f>
        <v>0.0486336385325961</v>
      </c>
      <c r="F86" s="14" t="n">
        <f aca="false">F85/F77</f>
        <v>0.0523838845289261</v>
      </c>
      <c r="G86" s="14" t="n">
        <f aca="false">G85/G77</f>
        <v>0.0547456933847368</v>
      </c>
    </row>
    <row r="87" customFormat="false" ht="17.15" hidden="false" customHeight="false" outlineLevel="0" collapsed="false">
      <c r="A87" s="0" t="s">
        <v>412</v>
      </c>
      <c r="B87" s="0" t="s">
        <v>49</v>
      </c>
      <c r="D87" s="14" t="n">
        <f aca="false">D84/D74</f>
        <v>0.0432307213692399</v>
      </c>
      <c r="E87" s="14" t="n">
        <f aca="false">E84/E74</f>
        <v>0.0442537935061639</v>
      </c>
      <c r="F87" s="14" t="n">
        <f aca="false">F84/F74</f>
        <v>0.0492826336773188</v>
      </c>
      <c r="G87" s="14" t="n">
        <f aca="false">G84/G74</f>
        <v>0.0522999377800118</v>
      </c>
      <c r="H87" s="4" t="s">
        <v>413</v>
      </c>
    </row>
    <row r="88" customFormat="false" ht="15" hidden="false" customHeight="false" outlineLevel="0" collapsed="false">
      <c r="A88" s="4" t="s">
        <v>414</v>
      </c>
      <c r="B88" s="0" t="s">
        <v>165</v>
      </c>
      <c r="C88" s="19" t="n">
        <f aca="false">a25_opx</f>
        <v>60.7375054</v>
      </c>
      <c r="D88" s="19" t="n">
        <f aca="false">a26_opx</f>
        <v>71.1893725</v>
      </c>
      <c r="E88" s="19" t="n">
        <f aca="false">D88*(1+MAX(0,phi*E78))</f>
        <v>83.3794423716458</v>
      </c>
      <c r="F88" s="19" t="n">
        <f aca="false">E88*(1+MAX(0,phi*F78))</f>
        <v>85.3402706461345</v>
      </c>
      <c r="G88" s="19" t="n">
        <f aca="false">F88*(1+MAX(0,phi*G78))</f>
        <v>85.8040465651437</v>
      </c>
    </row>
    <row r="89" customFormat="false" ht="15" hidden="false" customHeight="false" outlineLevel="0" collapsed="false">
      <c r="A89" s="4" t="s">
        <v>310</v>
      </c>
      <c r="B89" s="0" t="s">
        <v>165</v>
      </c>
      <c r="C89" s="19" t="n">
        <f aca="false">C88</f>
        <v>60.7375054</v>
      </c>
      <c r="D89" s="19" t="n">
        <f aca="false">D88</f>
        <v>71.1893725</v>
      </c>
      <c r="E89" s="19" t="n">
        <f aca="false">E88+0*E77</f>
        <v>83.3794423716458</v>
      </c>
      <c r="F89" s="19" t="n">
        <f aca="false">F88+0*F77</f>
        <v>85.3402706461345</v>
      </c>
      <c r="G89" s="19" t="n">
        <f aca="false">G88+0*G77</f>
        <v>85.8040465651437</v>
      </c>
    </row>
    <row r="90" customFormat="false" ht="15" hidden="false" customHeight="false" outlineLevel="0" collapsed="false">
      <c r="A90" s="4" t="s">
        <v>313</v>
      </c>
      <c r="B90" s="0" t="s">
        <v>165</v>
      </c>
      <c r="C90" s="19" t="n">
        <f aca="false">C85-C89</f>
        <v>87.4959868</v>
      </c>
      <c r="D90" s="19" t="n">
        <f aca="false">D85-D89</f>
        <v>127.2697375</v>
      </c>
      <c r="E90" s="19" t="n">
        <f aca="false">E85-E89</f>
        <v>194.34338640056</v>
      </c>
      <c r="F90" s="19" t="n">
        <f aca="false">F85-F89</f>
        <v>231.385425663509</v>
      </c>
      <c r="G90" s="19" t="n">
        <f aca="false">G85-G89</f>
        <v>249.698791091313</v>
      </c>
    </row>
    <row r="91" customFormat="false" ht="15" hidden="false" customHeight="false" outlineLevel="0" collapsed="false">
      <c r="A91" s="4" t="s">
        <v>316</v>
      </c>
      <c r="B91" s="0" t="s">
        <v>49</v>
      </c>
      <c r="C91" s="14" t="n">
        <f aca="false">C90/C77</f>
        <v>0.0412</v>
      </c>
      <c r="D91" s="14" t="n">
        <f aca="false">D90/D77</f>
        <v>0.0318276590104571</v>
      </c>
      <c r="E91" s="14" t="n">
        <f aca="false">E90/E77</f>
        <v>0.0340325858237527</v>
      </c>
      <c r="F91" s="14" t="n">
        <f aca="false">F90/F77</f>
        <v>0.0382692896751384</v>
      </c>
      <c r="G91" s="14" t="n">
        <f aca="false">G90/G77</f>
        <v>0.0407446135213378</v>
      </c>
    </row>
    <row r="92" customFormat="false" ht="17.15" hidden="false" customHeight="false" outlineLevel="0" collapsed="false">
      <c r="A92" s="4" t="s">
        <v>199</v>
      </c>
      <c r="B92" s="0" t="s">
        <v>49</v>
      </c>
      <c r="C92" s="15" t="n">
        <f aca="false">a25_ni/a25_oi</f>
        <v>0.856953590013114</v>
      </c>
      <c r="D92" s="15" t="n">
        <f aca="false">a26_ni/a26_oi</f>
        <v>0.869913569398224</v>
      </c>
      <c r="E92" s="15" t="n">
        <f aca="false">nio_f</f>
        <v>0.865</v>
      </c>
      <c r="F92" s="15" t="n">
        <f aca="false">nio_f</f>
        <v>0.865</v>
      </c>
      <c r="G92" s="15" t="n">
        <f aca="false">nio_f</f>
        <v>0.865</v>
      </c>
    </row>
    <row r="93" customFormat="false" ht="15" hidden="false" customHeight="false" outlineLevel="0" collapsed="false">
      <c r="A93" s="4" t="s">
        <v>317</v>
      </c>
      <c r="B93" s="0" t="s">
        <v>165</v>
      </c>
      <c r="C93" s="19" t="n">
        <f aca="false">a25_ni</f>
        <v>74.98</v>
      </c>
      <c r="D93" s="19" t="n">
        <f aca="false">a26_ni</f>
        <v>110.713671625</v>
      </c>
      <c r="E93" s="19" t="n">
        <f aca="false">E90*E92</f>
        <v>168.107029236484</v>
      </c>
      <c r="F93" s="19" t="n">
        <f aca="false">F90*F92</f>
        <v>200.148393198935</v>
      </c>
      <c r="G93" s="19" t="n">
        <f aca="false">G90*G92</f>
        <v>215.989454293986</v>
      </c>
    </row>
    <row r="94" customFormat="false" ht="15" hidden="false" customHeight="false" outlineLevel="0" collapsed="false">
      <c r="A94" s="4" t="s">
        <v>415</v>
      </c>
      <c r="B94" s="4" t="s">
        <v>186</v>
      </c>
      <c r="C94" s="22" t="n">
        <f aca="false">a25_sh</f>
        <v>3.85501285347044</v>
      </c>
      <c r="D94" s="22" t="n">
        <f aca="false">a26_sh</f>
        <v>3.85460170146945</v>
      </c>
      <c r="E94" s="22" t="n">
        <f aca="false">D94*(1+sh_g)</f>
        <v>3.85460170146945</v>
      </c>
      <c r="F94" s="22" t="n">
        <f aca="false">E94*(1+sh_g)</f>
        <v>3.85460170146945</v>
      </c>
      <c r="G94" s="22" t="n">
        <f aca="false">F94*(1+sh_g)</f>
        <v>3.85460170146945</v>
      </c>
    </row>
    <row r="95" customFormat="false" ht="15" hidden="false" customHeight="false" outlineLevel="0" collapsed="false">
      <c r="A95" s="0" t="s">
        <v>323</v>
      </c>
      <c r="B95" s="0" t="s">
        <v>216</v>
      </c>
      <c r="C95" s="21" t="n">
        <f aca="false">C93/C94</f>
        <v>19.45</v>
      </c>
      <c r="D95" s="21" t="n">
        <f aca="false">D93/D94</f>
        <v>28.7224673778341</v>
      </c>
      <c r="E95" s="21" t="n">
        <f aca="false">E93/E94</f>
        <v>43.61203627664</v>
      </c>
      <c r="F95" s="21" t="n">
        <f aca="false">F93/F94</f>
        <v>51.9245329868023</v>
      </c>
      <c r="G95" s="21" t="n">
        <f aca="false">G93/G94</f>
        <v>56.0341822636685</v>
      </c>
    </row>
    <row r="96" customFormat="false" ht="17.15" hidden="false" customHeight="false" outlineLevel="0" collapsed="false">
      <c r="A96" s="0" t="s">
        <v>416</v>
      </c>
      <c r="B96" s="0" t="s">
        <v>49</v>
      </c>
      <c r="D96" s="15" t="n">
        <f aca="false">D95/C95-1</f>
        <v>0.476733541276816</v>
      </c>
      <c r="E96" s="15" t="n">
        <f aca="false">E95/D95-1</f>
        <v>0.518394492469565</v>
      </c>
      <c r="F96" s="15" t="n">
        <f aca="false">F95/E95-1</f>
        <v>0.190600976699058</v>
      </c>
      <c r="G96" s="15" t="n">
        <f aca="false">G95/F95-1</f>
        <v>0.0791465814032595</v>
      </c>
    </row>
    <row r="99" customFormat="false" ht="17.15" hidden="false" customHeight="false" outlineLevel="0" collapsed="false">
      <c r="A99" s="1" t="s">
        <v>417</v>
      </c>
    </row>
    <row r="100" customFormat="false" ht="17.15" hidden="false" customHeight="false" outlineLevel="0" collapsed="false">
      <c r="A100" s="5" t="s">
        <v>18</v>
      </c>
      <c r="B100" s="5" t="s">
        <v>19</v>
      </c>
      <c r="C100" s="11" t="s">
        <v>296</v>
      </c>
      <c r="D100" s="11" t="s">
        <v>372</v>
      </c>
      <c r="E100" s="11" t="s">
        <v>373</v>
      </c>
      <c r="F100" s="11" t="s">
        <v>374</v>
      </c>
      <c r="G100" s="11" t="s">
        <v>375</v>
      </c>
      <c r="H100" s="5" t="s">
        <v>345</v>
      </c>
    </row>
    <row r="101" customFormat="false" ht="17.15" hidden="false" customHeight="false" outlineLevel="0" collapsed="false">
      <c r="A101" s="6" t="s">
        <v>389</v>
      </c>
    </row>
    <row r="102" customFormat="false" ht="17.15" hidden="false" customHeight="false" outlineLevel="0" collapsed="false">
      <c r="A102" s="0" t="s">
        <v>390</v>
      </c>
      <c r="B102" s="0" t="s">
        <v>29</v>
      </c>
      <c r="D102" s="21" t="n">
        <f aca="false">itc_26*1</f>
        <v>781.872916666667</v>
      </c>
      <c r="E102" s="21" t="n">
        <f aca="false">itc_27*1*1</f>
        <v>1565.35</v>
      </c>
      <c r="F102" s="21" t="n">
        <f aca="false">itc_28*um28_B*1</f>
        <v>1587.41111111111</v>
      </c>
      <c r="G102" s="21" t="n">
        <f aca="false">itc_29*um29_B*1</f>
        <v>1921.33173611111</v>
      </c>
    </row>
    <row r="103" customFormat="false" ht="17.15" hidden="false" customHeight="false" outlineLevel="0" collapsed="false">
      <c r="A103" s="4" t="s">
        <v>391</v>
      </c>
      <c r="B103" s="0" t="s">
        <v>29</v>
      </c>
      <c r="D103" s="21" t="n">
        <f aca="false">itpg_gb*(1-vr26)+itpg_vr*vr26</f>
        <v>33.41403216</v>
      </c>
      <c r="E103" s="21" t="n">
        <f aca="false">itpg_vr</f>
        <v>37.586352</v>
      </c>
      <c r="F103" s="21" t="n">
        <f aca="false">itpg_vr</f>
        <v>37.586352</v>
      </c>
      <c r="G103" s="21" t="n">
        <f aca="false">itpg_vr</f>
        <v>37.586352</v>
      </c>
    </row>
    <row r="104" customFormat="false" ht="17.15" hidden="false" customHeight="false" outlineLevel="0" collapsed="false">
      <c r="A104" s="4" t="s">
        <v>392</v>
      </c>
      <c r="B104" s="0" t="s">
        <v>347</v>
      </c>
      <c r="D104" s="18" t="n">
        <f aca="false">D102/D103</f>
        <v>23.3995380420639</v>
      </c>
      <c r="E104" s="18" t="n">
        <f aca="false">E102/E103</f>
        <v>41.6467658260637</v>
      </c>
      <c r="F104" s="18" t="n">
        <f aca="false">F102/F103</f>
        <v>42.2337105529984</v>
      </c>
      <c r="G104" s="18" t="n">
        <f aca="false">G102/G103</f>
        <v>51.1178029756948</v>
      </c>
    </row>
    <row r="105" customFormat="false" ht="17.15" hidden="false" customHeight="false" outlineLevel="0" collapsed="false">
      <c r="A105" s="4" t="s">
        <v>349</v>
      </c>
      <c r="B105" s="0" t="s">
        <v>350</v>
      </c>
      <c r="D105" s="16" t="n">
        <f aca="false">(racks_gb*odm_gb*(1-vr26)+racks_vr*odm_vr*vr26)/1000</f>
        <v>27.1209</v>
      </c>
      <c r="E105" s="16" t="n">
        <f aca="false">racks_vr*odm_vr/1000</f>
        <v>27.351</v>
      </c>
      <c r="F105" s="16" t="n">
        <f aca="false">$E105*vpg_28</f>
        <v>27.351</v>
      </c>
      <c r="G105" s="16" t="n">
        <f aca="false">$E105*vpg_29</f>
        <v>27.351</v>
      </c>
      <c r="H105" s="4" t="s">
        <v>393</v>
      </c>
    </row>
    <row r="106" customFormat="false" ht="17.15" hidden="false" customHeight="false" outlineLevel="0" collapsed="false">
      <c r="A106" s="0" t="s">
        <v>394</v>
      </c>
      <c r="B106" s="0" t="s">
        <v>29</v>
      </c>
      <c r="D106" s="19" t="n">
        <f aca="false">D104*D105</f>
        <v>634.616531285011</v>
      </c>
      <c r="E106" s="19" t="n">
        <f aca="false">E104*E105</f>
        <v>1139.08069210867</v>
      </c>
      <c r="F106" s="19" t="n">
        <f aca="false">F104*F105</f>
        <v>1155.13421733506</v>
      </c>
      <c r="G106" s="19" t="n">
        <f aca="false">G104*G105</f>
        <v>1398.12302918823</v>
      </c>
    </row>
    <row r="107" customFormat="false" ht="17.15" hidden="false" customHeight="false" outlineLevel="0" collapsed="false">
      <c r="A107" s="0" t="s">
        <v>395</v>
      </c>
      <c r="B107" s="0" t="s">
        <v>165</v>
      </c>
      <c r="D107" s="19" t="n">
        <f aca="false">D106*fx</f>
        <v>20307.7290011204</v>
      </c>
      <c r="E107" s="19" t="n">
        <f aca="false">E106*fx</f>
        <v>36450.5821474774</v>
      </c>
      <c r="F107" s="19" t="n">
        <f aca="false">F106*fx</f>
        <v>36964.2949547219</v>
      </c>
      <c r="G107" s="19" t="n">
        <f aca="false">G106*fx</f>
        <v>44739.9369340233</v>
      </c>
    </row>
    <row r="108" customFormat="false" ht="17.15" hidden="false" customHeight="false" outlineLevel="0" collapsed="false">
      <c r="A108" s="4" t="s">
        <v>396</v>
      </c>
      <c r="B108" s="0" t="s">
        <v>49</v>
      </c>
      <c r="D108" s="15" t="n">
        <f aca="false">a26_ai/D107</f>
        <v>0.133896123975753</v>
      </c>
      <c r="H108" s="8" t="s">
        <v>397</v>
      </c>
    </row>
    <row r="109" customFormat="false" ht="17.15" hidden="false" customHeight="false" outlineLevel="0" collapsed="false">
      <c r="A109" s="4" t="s">
        <v>398</v>
      </c>
      <c r="B109" s="0" t="s">
        <v>69</v>
      </c>
      <c r="D109" s="16" t="n">
        <f aca="false">1</f>
        <v>1</v>
      </c>
      <c r="E109" s="16" t="n">
        <f aca="false">rel_27</f>
        <v>1</v>
      </c>
      <c r="F109" s="16" t="n">
        <f aca="false">rel_28</f>
        <v>0.95</v>
      </c>
      <c r="G109" s="16" t="n">
        <f aca="false">rel_29</f>
        <v>0.9</v>
      </c>
    </row>
    <row r="110" customFormat="false" ht="15" hidden="false" customHeight="false" outlineLevel="0" collapsed="false">
      <c r="A110" s="4" t="s">
        <v>354</v>
      </c>
      <c r="B110" s="0" t="s">
        <v>49</v>
      </c>
      <c r="D110" s="15" t="n">
        <f aca="false">$D$108*D109</f>
        <v>0.133896123975753</v>
      </c>
      <c r="E110" s="15" t="n">
        <f aca="false">$D$108*E109</f>
        <v>0.133896123975753</v>
      </c>
      <c r="F110" s="15" t="n">
        <f aca="false">$D$108*F109</f>
        <v>0.127201317776965</v>
      </c>
      <c r="G110" s="15" t="n">
        <f aca="false">$D$108*G109</f>
        <v>0.120506511578177</v>
      </c>
    </row>
    <row r="111" customFormat="false" ht="17.15" hidden="false" customHeight="false" outlineLevel="0" collapsed="false">
      <c r="A111" s="0" t="s">
        <v>399</v>
      </c>
      <c r="B111" s="0" t="s">
        <v>165</v>
      </c>
      <c r="D111" s="19" t="n">
        <f aca="false">D107*D110</f>
        <v>2719.1262</v>
      </c>
      <c r="E111" s="19" t="n">
        <f aca="false">E107*E110</f>
        <v>4880.59166620699</v>
      </c>
      <c r="F111" s="19" t="n">
        <f aca="false">F107*F110</f>
        <v>4701.90702893704</v>
      </c>
      <c r="G111" s="19" t="n">
        <f aca="false">G107*G110</f>
        <v>5391.45372814681</v>
      </c>
    </row>
    <row r="112" customFormat="false" ht="17.15" hidden="false" customHeight="false" outlineLevel="0" collapsed="false">
      <c r="A112" s="4" t="s">
        <v>358</v>
      </c>
      <c r="B112" s="0" t="s">
        <v>49</v>
      </c>
      <c r="D112" s="15" t="n">
        <f aca="false">0</f>
        <v>0</v>
      </c>
      <c r="E112" s="15" t="n">
        <f aca="false">cs_27</f>
        <v>0.1</v>
      </c>
      <c r="F112" s="15" t="n">
        <f aca="false">cs_28</f>
        <v>0.2</v>
      </c>
      <c r="G112" s="15" t="n">
        <f aca="false">cs_29</f>
        <v>0.25</v>
      </c>
      <c r="H112" s="8" t="s">
        <v>400</v>
      </c>
    </row>
    <row r="113" customFormat="false" ht="17.15" hidden="false" customHeight="false" outlineLevel="0" collapsed="false">
      <c r="A113" s="0" t="s">
        <v>401</v>
      </c>
      <c r="B113" s="0" t="s">
        <v>165</v>
      </c>
      <c r="C113" s="19" t="n">
        <f aca="false">a25_ai</f>
        <v>905.033</v>
      </c>
      <c r="D113" s="19" t="n">
        <f aca="false">D111*(1-D112)</f>
        <v>2719.1262</v>
      </c>
      <c r="E113" s="19" t="n">
        <f aca="false">E111*(1-E112)</f>
        <v>4392.53249958629</v>
      </c>
      <c r="F113" s="19" t="n">
        <f aca="false">F111*(1-F112)</f>
        <v>3761.52562314964</v>
      </c>
      <c r="G113" s="19" t="n">
        <f aca="false">G111*(1-G112)</f>
        <v>4043.59029611011</v>
      </c>
    </row>
    <row r="114" customFormat="false" ht="17.15" hidden="false" customHeight="false" outlineLevel="0" collapsed="false">
      <c r="A114" s="6" t="s">
        <v>402</v>
      </c>
    </row>
    <row r="115" customFormat="false" ht="17.15" hidden="false" customHeight="false" outlineLevel="0" collapsed="false">
      <c r="A115" s="4" t="s">
        <v>331</v>
      </c>
      <c r="B115" s="0" t="s">
        <v>165</v>
      </c>
      <c r="C115" s="19" t="n">
        <f aca="false">a25_nai</f>
        <v>1218.656</v>
      </c>
      <c r="D115" s="19" t="n">
        <f aca="false">a26_nai</f>
        <v>1279.5888</v>
      </c>
      <c r="E115" s="19" t="n">
        <f aca="false">D115*(1+g_nai27)</f>
        <v>1317.976464</v>
      </c>
      <c r="F115" s="19" t="n">
        <f aca="false">E115*(1+g_nai28)</f>
        <v>1344.33599328</v>
      </c>
      <c r="G115" s="19" t="n">
        <f aca="false">F115*(1+g_nai29)</f>
        <v>1371.2227131456</v>
      </c>
    </row>
    <row r="116" customFormat="false" ht="15" hidden="false" customHeight="false" outlineLevel="0" collapsed="false">
      <c r="A116" s="4" t="s">
        <v>302</v>
      </c>
      <c r="B116" s="0" t="s">
        <v>165</v>
      </c>
      <c r="C116" s="19" t="n">
        <f aca="false">C113+C115</f>
        <v>2123.689</v>
      </c>
      <c r="D116" s="19" t="n">
        <f aca="false">D113+D115</f>
        <v>3998.715</v>
      </c>
      <c r="E116" s="19" t="n">
        <f aca="false">E113+E115</f>
        <v>5710.50896358629</v>
      </c>
      <c r="F116" s="19" t="n">
        <f aca="false">F113+F115</f>
        <v>5105.86161642964</v>
      </c>
      <c r="G116" s="19" t="n">
        <f aca="false">G113+G115</f>
        <v>5414.81300925571</v>
      </c>
    </row>
    <row r="117" customFormat="false" ht="15" hidden="false" customHeight="false" outlineLevel="0" collapsed="false">
      <c r="A117" s="4" t="s">
        <v>403</v>
      </c>
      <c r="B117" s="0" t="s">
        <v>49</v>
      </c>
      <c r="D117" s="15" t="n">
        <f aca="false">D116/C116-1</f>
        <v>0.88290987993063</v>
      </c>
      <c r="E117" s="15" t="n">
        <f aca="false">E116/D116-1</f>
        <v>0.428086013528418</v>
      </c>
      <c r="F117" s="15" t="n">
        <f aca="false">F116/E116-1</f>
        <v>-0.105883267325602</v>
      </c>
      <c r="G117" s="15" t="n">
        <f aca="false">G116/F116-1</f>
        <v>0.0605091590872593</v>
      </c>
    </row>
    <row r="118" customFormat="false" ht="17.15" hidden="false" customHeight="false" outlineLevel="0" collapsed="false">
      <c r="A118" s="0" t="s">
        <v>404</v>
      </c>
      <c r="B118" s="0" t="s">
        <v>49</v>
      </c>
      <c r="C118" s="15" t="n">
        <f aca="false">C113/C116</f>
        <v>0.426160798497332</v>
      </c>
      <c r="D118" s="15" t="n">
        <f aca="false">D113/D116</f>
        <v>0.68</v>
      </c>
      <c r="E118" s="15" t="n">
        <f aca="false">E113/E116</f>
        <v>0.769201576881461</v>
      </c>
      <c r="F118" s="15" t="n">
        <f aca="false">F113/F116</f>
        <v>0.736707319102774</v>
      </c>
      <c r="G118" s="15" t="n">
        <f aca="false">G113/G116</f>
        <v>0.746764530778491</v>
      </c>
    </row>
    <row r="119" customFormat="false" ht="17.15" hidden="false" customHeight="false" outlineLevel="0" collapsed="false">
      <c r="A119" s="4" t="s">
        <v>364</v>
      </c>
      <c r="B119" s="0" t="s">
        <v>350</v>
      </c>
      <c r="D119" s="16" t="n">
        <f aca="false">D113/fx/D104</f>
        <v>3.63138338873399</v>
      </c>
      <c r="E119" s="16" t="n">
        <f aca="false">E113/fx/E104</f>
        <v>3.29597359817473</v>
      </c>
      <c r="F119" s="16" t="n">
        <f aca="false">F113/fx/F104</f>
        <v>2.78326659401422</v>
      </c>
      <c r="G119" s="16" t="n">
        <f aca="false">G113/fx/G104</f>
        <v>2.47198019863105</v>
      </c>
    </row>
    <row r="120" customFormat="false" ht="17.15" hidden="false" customHeight="false" outlineLevel="0" collapsed="false">
      <c r="A120" s="4" t="s">
        <v>405</v>
      </c>
      <c r="B120" s="4" t="s">
        <v>362</v>
      </c>
      <c r="D120" s="19" t="n">
        <f aca="false">D111/fx/(odm_gb*(1-vr26)+odm_vr*vr26)</f>
        <v>18.4522679153094</v>
      </c>
      <c r="E120" s="19" t="n">
        <f aca="false">E111/fx/odm_vr</f>
        <v>22.5953317879953</v>
      </c>
      <c r="F120" s="19" t="n">
        <f aca="false">F111/fx/odm_vr</f>
        <v>21.7680880969308</v>
      </c>
      <c r="G120" s="19" t="n">
        <f aca="false">G111/fx/odm_vr</f>
        <v>24.9604339266056</v>
      </c>
      <c r="H120" s="4" t="s">
        <v>406</v>
      </c>
    </row>
    <row r="121" customFormat="false" ht="17.15" hidden="false" customHeight="false" outlineLevel="0" collapsed="false">
      <c r="A121" s="6" t="s">
        <v>407</v>
      </c>
    </row>
    <row r="122" customFormat="false" ht="17.15" hidden="false" customHeight="false" outlineLevel="0" collapsed="false">
      <c r="A122" s="4" t="s">
        <v>408</v>
      </c>
      <c r="B122" s="0" t="s">
        <v>49</v>
      </c>
      <c r="D122" s="14" t="n">
        <f aca="false">a26_gp/D116-d_ai*D118</f>
        <v>0.0632307213692399</v>
      </c>
      <c r="H122" s="8" t="s">
        <v>409</v>
      </c>
    </row>
    <row r="123" customFormat="false" ht="17.15" hidden="false" customHeight="false" outlineLevel="0" collapsed="false">
      <c r="A123" s="0" t="s">
        <v>410</v>
      </c>
      <c r="B123" s="0" t="s">
        <v>165</v>
      </c>
      <c r="D123" s="21" t="n">
        <f aca="false">($D$122+d_ai)*D111*(1-D112*(1-keep))</f>
        <v>117.54978712</v>
      </c>
      <c r="E123" s="21" t="n">
        <f aca="false">($D$122+d_ai+vrd)*E111*(1-E112*(1-keep))</f>
        <v>194.386226205805</v>
      </c>
      <c r="F123" s="21" t="n">
        <f aca="false">($D$122+d_ai+vrd)*F111*(1-F112*(1-keep))</f>
        <v>185.377889353532</v>
      </c>
      <c r="G123" s="21" t="n">
        <f aca="false">($D$122+d_ai+vrd)*G111*(1-G112*(1-keep))</f>
        <v>211.479520894418</v>
      </c>
      <c r="H123" s="4" t="s">
        <v>411</v>
      </c>
    </row>
    <row r="124" customFormat="false" ht="15" hidden="false" customHeight="false" outlineLevel="0" collapsed="false">
      <c r="A124" s="4" t="s">
        <v>306</v>
      </c>
      <c r="B124" s="0" t="s">
        <v>165</v>
      </c>
      <c r="C124" s="19" t="n">
        <f aca="false">a25_gp</f>
        <v>148.2334922</v>
      </c>
      <c r="D124" s="19" t="n">
        <f aca="false">a26_gp</f>
        <v>198.45911</v>
      </c>
      <c r="E124" s="19" t="n">
        <f aca="false">$D$122*E115+E123</f>
        <v>277.722828772205</v>
      </c>
      <c r="F124" s="19" t="n">
        <f aca="false">$D$122*F115+F123</f>
        <v>270.38122397126</v>
      </c>
      <c r="G124" s="19" t="n">
        <f aca="false">$D$122*G115+G123</f>
        <v>298.182922204501</v>
      </c>
    </row>
    <row r="125" customFormat="false" ht="15" hidden="false" customHeight="false" outlineLevel="0" collapsed="false">
      <c r="A125" s="4" t="s">
        <v>309</v>
      </c>
      <c r="B125" s="0" t="s">
        <v>49</v>
      </c>
      <c r="C125" s="14" t="n">
        <f aca="false">C124/C116</f>
        <v>0.0698</v>
      </c>
      <c r="D125" s="14" t="n">
        <f aca="false">D124/D116</f>
        <v>0.0496307213692399</v>
      </c>
      <c r="E125" s="14" t="n">
        <f aca="false">E124/E116</f>
        <v>0.0486336385325961</v>
      </c>
      <c r="F125" s="14" t="n">
        <f aca="false">F124/F116</f>
        <v>0.0529550630791143</v>
      </c>
      <c r="G125" s="14" t="n">
        <f aca="false">G124/G116</f>
        <v>0.0550679998911888</v>
      </c>
    </row>
    <row r="126" customFormat="false" ht="17.15" hidden="false" customHeight="false" outlineLevel="0" collapsed="false">
      <c r="A126" s="0" t="s">
        <v>412</v>
      </c>
      <c r="B126" s="0" t="s">
        <v>49</v>
      </c>
      <c r="D126" s="14" t="n">
        <f aca="false">D123/D113</f>
        <v>0.0432307213692399</v>
      </c>
      <c r="E126" s="14" t="n">
        <f aca="false">E123/E113</f>
        <v>0.0442537935061639</v>
      </c>
      <c r="F126" s="14" t="n">
        <f aca="false">F123/F113</f>
        <v>0.0492826336773188</v>
      </c>
      <c r="G126" s="14" t="n">
        <f aca="false">G123/G113</f>
        <v>0.0522999377800118</v>
      </c>
      <c r="H126" s="4" t="s">
        <v>413</v>
      </c>
    </row>
    <row r="127" customFormat="false" ht="15" hidden="false" customHeight="false" outlineLevel="0" collapsed="false">
      <c r="A127" s="4" t="s">
        <v>414</v>
      </c>
      <c r="B127" s="0" t="s">
        <v>165</v>
      </c>
      <c r="C127" s="19" t="n">
        <f aca="false">a25_opx</f>
        <v>60.7375054</v>
      </c>
      <c r="D127" s="19" t="n">
        <f aca="false">a26_opx</f>
        <v>71.1893725</v>
      </c>
      <c r="E127" s="19" t="n">
        <f aca="false">D127*(1+MAX(0,phi*E117))</f>
        <v>83.3794423716458</v>
      </c>
      <c r="F127" s="19" t="n">
        <f aca="false">E127*(1+MAX(0,phi*F117))</f>
        <v>83.3794423716458</v>
      </c>
      <c r="G127" s="19" t="n">
        <f aca="false">F127*(1+MAX(0,phi*G117))</f>
        <v>85.397530348875</v>
      </c>
    </row>
    <row r="128" customFormat="false" ht="15" hidden="false" customHeight="false" outlineLevel="0" collapsed="false">
      <c r="A128" s="4" t="s">
        <v>310</v>
      </c>
      <c r="B128" s="0" t="s">
        <v>165</v>
      </c>
      <c r="C128" s="19" t="n">
        <f aca="false">C127</f>
        <v>60.7375054</v>
      </c>
      <c r="D128" s="19" t="n">
        <f aca="false">D127</f>
        <v>71.1893725</v>
      </c>
      <c r="E128" s="19" t="n">
        <f aca="false">E127+0*E116</f>
        <v>83.3794423716458</v>
      </c>
      <c r="F128" s="19" t="n">
        <f aca="false">F127+0*F116</f>
        <v>83.3794423716458</v>
      </c>
      <c r="G128" s="19" t="n">
        <f aca="false">G127+0*G116</f>
        <v>85.397530348875</v>
      </c>
    </row>
    <row r="129" customFormat="false" ht="15" hidden="false" customHeight="false" outlineLevel="0" collapsed="false">
      <c r="A129" s="4" t="s">
        <v>313</v>
      </c>
      <c r="B129" s="0" t="s">
        <v>165</v>
      </c>
      <c r="C129" s="19" t="n">
        <f aca="false">C124-C128</f>
        <v>87.4959868</v>
      </c>
      <c r="D129" s="19" t="n">
        <f aca="false">D124-D128</f>
        <v>127.2697375</v>
      </c>
      <c r="E129" s="19" t="n">
        <f aca="false">E124-E128</f>
        <v>194.34338640056</v>
      </c>
      <c r="F129" s="19" t="n">
        <f aca="false">F124-F128</f>
        <v>187.001781599614</v>
      </c>
      <c r="G129" s="19" t="n">
        <f aca="false">G124-G128</f>
        <v>212.785391855626</v>
      </c>
    </row>
    <row r="130" customFormat="false" ht="15" hidden="false" customHeight="false" outlineLevel="0" collapsed="false">
      <c r="A130" s="4" t="s">
        <v>316</v>
      </c>
      <c r="B130" s="0" t="s">
        <v>49</v>
      </c>
      <c r="C130" s="14" t="n">
        <f aca="false">C129/C116</f>
        <v>0.0412</v>
      </c>
      <c r="D130" s="14" t="n">
        <f aca="false">D129/D116</f>
        <v>0.0318276590104571</v>
      </c>
      <c r="E130" s="14" t="n">
        <f aca="false">E129/E116</f>
        <v>0.0340325858237527</v>
      </c>
      <c r="F130" s="14" t="n">
        <f aca="false">F129/F116</f>
        <v>0.0366249216386672</v>
      </c>
      <c r="G130" s="14" t="n">
        <f aca="false">G129/G116</f>
        <v>0.0392969048962365</v>
      </c>
    </row>
    <row r="131" customFormat="false" ht="17.15" hidden="false" customHeight="false" outlineLevel="0" collapsed="false">
      <c r="A131" s="4" t="s">
        <v>199</v>
      </c>
      <c r="B131" s="0" t="s">
        <v>49</v>
      </c>
      <c r="C131" s="15" t="n">
        <f aca="false">a25_ni/a25_oi</f>
        <v>0.856953590013114</v>
      </c>
      <c r="D131" s="15" t="n">
        <f aca="false">a26_ni/a26_oi</f>
        <v>0.869913569398224</v>
      </c>
      <c r="E131" s="15" t="n">
        <f aca="false">nio_f</f>
        <v>0.865</v>
      </c>
      <c r="F131" s="15" t="n">
        <f aca="false">nio_f</f>
        <v>0.865</v>
      </c>
      <c r="G131" s="15" t="n">
        <f aca="false">nio_f</f>
        <v>0.865</v>
      </c>
    </row>
    <row r="132" customFormat="false" ht="15" hidden="false" customHeight="false" outlineLevel="0" collapsed="false">
      <c r="A132" s="4" t="s">
        <v>317</v>
      </c>
      <c r="B132" s="0" t="s">
        <v>165</v>
      </c>
      <c r="C132" s="19" t="n">
        <f aca="false">a25_ni</f>
        <v>74.98</v>
      </c>
      <c r="D132" s="19" t="n">
        <f aca="false">a26_ni</f>
        <v>110.713671625</v>
      </c>
      <c r="E132" s="19" t="n">
        <f aca="false">E129*E131</f>
        <v>168.107029236484</v>
      </c>
      <c r="F132" s="19" t="n">
        <f aca="false">F129*F131</f>
        <v>161.756541083666</v>
      </c>
      <c r="G132" s="19" t="n">
        <f aca="false">G129*G131</f>
        <v>184.059363955116</v>
      </c>
    </row>
    <row r="133" customFormat="false" ht="15" hidden="false" customHeight="false" outlineLevel="0" collapsed="false">
      <c r="A133" s="4" t="s">
        <v>415</v>
      </c>
      <c r="B133" s="4" t="s">
        <v>186</v>
      </c>
      <c r="C133" s="22" t="n">
        <f aca="false">a25_sh</f>
        <v>3.85501285347044</v>
      </c>
      <c r="D133" s="22" t="n">
        <f aca="false">a26_sh</f>
        <v>3.85460170146945</v>
      </c>
      <c r="E133" s="22" t="n">
        <f aca="false">D133*(1+sh_g)</f>
        <v>3.85460170146945</v>
      </c>
      <c r="F133" s="22" t="n">
        <f aca="false">E133*(1+sh_g)</f>
        <v>3.85460170146945</v>
      </c>
      <c r="G133" s="22" t="n">
        <f aca="false">F133*(1+sh_g)</f>
        <v>3.85460170146945</v>
      </c>
    </row>
    <row r="134" customFormat="false" ht="15" hidden="false" customHeight="false" outlineLevel="0" collapsed="false">
      <c r="A134" s="0" t="s">
        <v>323</v>
      </c>
      <c r="B134" s="0" t="s">
        <v>216</v>
      </c>
      <c r="C134" s="21" t="n">
        <f aca="false">C132/C133</f>
        <v>19.45</v>
      </c>
      <c r="D134" s="21" t="n">
        <f aca="false">D132/D133</f>
        <v>28.7224673778341</v>
      </c>
      <c r="E134" s="21" t="n">
        <f aca="false">E132/E133</f>
        <v>43.61203627664</v>
      </c>
      <c r="F134" s="21" t="n">
        <f aca="false">F132/F133</f>
        <v>41.9645280138805</v>
      </c>
      <c r="G134" s="21" t="n">
        <f aca="false">G132/G133</f>
        <v>47.7505532893189</v>
      </c>
    </row>
    <row r="135" customFormat="false" ht="17.15" hidden="false" customHeight="false" outlineLevel="0" collapsed="false">
      <c r="A135" s="0" t="s">
        <v>416</v>
      </c>
      <c r="B135" s="0" t="s">
        <v>49</v>
      </c>
      <c r="D135" s="15" t="n">
        <f aca="false">D134/C134-1</f>
        <v>0.476733541276816</v>
      </c>
      <c r="E135" s="15" t="n">
        <f aca="false">E134/D134-1</f>
        <v>0.518394492469565</v>
      </c>
      <c r="F135" s="15" t="n">
        <f aca="false">F134/E134-1</f>
        <v>-0.0377764581389647</v>
      </c>
      <c r="G135" s="15" t="n">
        <f aca="false">G134/F134-1</f>
        <v>0.137878955138602</v>
      </c>
    </row>
    <row r="138" customFormat="false" ht="17.15" hidden="false" customHeight="false" outlineLevel="0" collapsed="false">
      <c r="A138" s="1" t="s">
        <v>418</v>
      </c>
    </row>
    <row r="139" customFormat="false" ht="17.15" hidden="false" customHeight="false" outlineLevel="0" collapsed="false">
      <c r="A139" s="5" t="s">
        <v>18</v>
      </c>
      <c r="B139" s="5" t="s">
        <v>19</v>
      </c>
      <c r="C139" s="11" t="s">
        <v>296</v>
      </c>
      <c r="D139" s="11" t="s">
        <v>372</v>
      </c>
      <c r="E139" s="11" t="s">
        <v>373</v>
      </c>
      <c r="F139" s="11" t="s">
        <v>374</v>
      </c>
      <c r="G139" s="11" t="s">
        <v>375</v>
      </c>
      <c r="H139" s="5" t="s">
        <v>345</v>
      </c>
    </row>
    <row r="140" customFormat="false" ht="17.15" hidden="false" customHeight="false" outlineLevel="0" collapsed="false">
      <c r="A140" s="6" t="s">
        <v>389</v>
      </c>
    </row>
    <row r="141" customFormat="false" ht="17.15" hidden="false" customHeight="false" outlineLevel="0" collapsed="false">
      <c r="A141" s="0" t="s">
        <v>390</v>
      </c>
      <c r="B141" s="0" t="s">
        <v>29</v>
      </c>
      <c r="D141" s="21" t="n">
        <f aca="false">itc_26*1</f>
        <v>781.872916666667</v>
      </c>
      <c r="E141" s="21" t="n">
        <f aca="false">itc_27*1*1</f>
        <v>1565.35</v>
      </c>
      <c r="F141" s="21" t="n">
        <f aca="false">itc_28*um28_C*1</f>
        <v>1190.55833333333</v>
      </c>
      <c r="G141" s="21" t="n">
        <f aca="false">itc_29*um29_C*1</f>
        <v>1356.23416666667</v>
      </c>
    </row>
    <row r="142" customFormat="false" ht="17.15" hidden="false" customHeight="false" outlineLevel="0" collapsed="false">
      <c r="A142" s="4" t="s">
        <v>391</v>
      </c>
      <c r="B142" s="0" t="s">
        <v>29</v>
      </c>
      <c r="D142" s="21" t="n">
        <f aca="false">itpg_gb*(1-vr26)+itpg_vr*vr26</f>
        <v>33.41403216</v>
      </c>
      <c r="E142" s="21" t="n">
        <f aca="false">itpg_vr</f>
        <v>37.586352</v>
      </c>
      <c r="F142" s="21" t="n">
        <f aca="false">itpg_vr</f>
        <v>37.586352</v>
      </c>
      <c r="G142" s="21" t="n">
        <f aca="false">itpg_vr</f>
        <v>37.586352</v>
      </c>
    </row>
    <row r="143" customFormat="false" ht="17.15" hidden="false" customHeight="false" outlineLevel="0" collapsed="false">
      <c r="A143" s="4" t="s">
        <v>392</v>
      </c>
      <c r="B143" s="0" t="s">
        <v>347</v>
      </c>
      <c r="D143" s="18" t="n">
        <f aca="false">D141/D142</f>
        <v>23.3995380420639</v>
      </c>
      <c r="E143" s="18" t="n">
        <f aca="false">E141/E142</f>
        <v>41.6467658260637</v>
      </c>
      <c r="F143" s="18" t="n">
        <f aca="false">F141/F142</f>
        <v>31.6752829147488</v>
      </c>
      <c r="G143" s="18" t="n">
        <f aca="false">G141/G142</f>
        <v>36.0831550416669</v>
      </c>
    </row>
    <row r="144" customFormat="false" ht="17.15" hidden="false" customHeight="false" outlineLevel="0" collapsed="false">
      <c r="A144" s="4" t="s">
        <v>349</v>
      </c>
      <c r="B144" s="0" t="s">
        <v>350</v>
      </c>
      <c r="D144" s="16" t="n">
        <f aca="false">(racks_gb*odm_gb*(1-vr26)+racks_vr*odm_vr*vr26)/1000</f>
        <v>27.1209</v>
      </c>
      <c r="E144" s="16" t="n">
        <f aca="false">racks_vr*odm_vr/1000</f>
        <v>27.351</v>
      </c>
      <c r="F144" s="16" t="n">
        <f aca="false">$E144*vpg_28</f>
        <v>27.351</v>
      </c>
      <c r="G144" s="16" t="n">
        <f aca="false">$E144*vpg_29</f>
        <v>27.351</v>
      </c>
      <c r="H144" s="4" t="s">
        <v>393</v>
      </c>
    </row>
    <row r="145" customFormat="false" ht="17.15" hidden="false" customHeight="false" outlineLevel="0" collapsed="false">
      <c r="A145" s="0" t="s">
        <v>394</v>
      </c>
      <c r="B145" s="0" t="s">
        <v>29</v>
      </c>
      <c r="D145" s="19" t="n">
        <f aca="false">D143*D144</f>
        <v>634.616531285011</v>
      </c>
      <c r="E145" s="19" t="n">
        <f aca="false">E143*E144</f>
        <v>1139.08069210867</v>
      </c>
      <c r="F145" s="19" t="n">
        <f aca="false">F143*F144</f>
        <v>866.350663001294</v>
      </c>
      <c r="G145" s="19" t="n">
        <f aca="false">G143*G144</f>
        <v>986.910373544632</v>
      </c>
    </row>
    <row r="146" customFormat="false" ht="17.15" hidden="false" customHeight="false" outlineLevel="0" collapsed="false">
      <c r="A146" s="0" t="s">
        <v>395</v>
      </c>
      <c r="B146" s="0" t="s">
        <v>165</v>
      </c>
      <c r="D146" s="19" t="n">
        <f aca="false">D145*fx</f>
        <v>20307.7290011204</v>
      </c>
      <c r="E146" s="19" t="n">
        <f aca="false">E145*fx</f>
        <v>36450.5821474774</v>
      </c>
      <c r="F146" s="19" t="n">
        <f aca="false">F145*fx</f>
        <v>27723.2212160414</v>
      </c>
      <c r="G146" s="19" t="n">
        <f aca="false">G145*fx</f>
        <v>31581.1319534282</v>
      </c>
    </row>
    <row r="147" customFormat="false" ht="17.15" hidden="false" customHeight="false" outlineLevel="0" collapsed="false">
      <c r="A147" s="4" t="s">
        <v>396</v>
      </c>
      <c r="B147" s="0" t="s">
        <v>49</v>
      </c>
      <c r="D147" s="15" t="n">
        <f aca="false">a26_ai/D146</f>
        <v>0.133896123975753</v>
      </c>
      <c r="H147" s="8" t="s">
        <v>397</v>
      </c>
    </row>
    <row r="148" customFormat="false" ht="17.15" hidden="false" customHeight="false" outlineLevel="0" collapsed="false">
      <c r="A148" s="4" t="s">
        <v>398</v>
      </c>
      <c r="B148" s="0" t="s">
        <v>69</v>
      </c>
      <c r="D148" s="16" t="n">
        <f aca="false">1</f>
        <v>1</v>
      </c>
      <c r="E148" s="16" t="n">
        <f aca="false">rel_27</f>
        <v>1</v>
      </c>
      <c r="F148" s="16" t="n">
        <f aca="false">rel_28</f>
        <v>0.95</v>
      </c>
      <c r="G148" s="16" t="n">
        <f aca="false">rel_29</f>
        <v>0.9</v>
      </c>
    </row>
    <row r="149" customFormat="false" ht="15" hidden="false" customHeight="false" outlineLevel="0" collapsed="false">
      <c r="A149" s="4" t="s">
        <v>354</v>
      </c>
      <c r="B149" s="0" t="s">
        <v>49</v>
      </c>
      <c r="D149" s="15" t="n">
        <f aca="false">$D$147*D148</f>
        <v>0.133896123975753</v>
      </c>
      <c r="E149" s="15" t="n">
        <f aca="false">$D$147*E148</f>
        <v>0.133896123975753</v>
      </c>
      <c r="F149" s="15" t="n">
        <f aca="false">$D$147*F148</f>
        <v>0.127201317776965</v>
      </c>
      <c r="G149" s="15" t="n">
        <f aca="false">$D$147*G148</f>
        <v>0.120506511578177</v>
      </c>
    </row>
    <row r="150" customFormat="false" ht="17.15" hidden="false" customHeight="false" outlineLevel="0" collapsed="false">
      <c r="A150" s="0" t="s">
        <v>399</v>
      </c>
      <c r="B150" s="0" t="s">
        <v>165</v>
      </c>
      <c r="D150" s="19" t="n">
        <f aca="false">D146*D149</f>
        <v>2719.1262</v>
      </c>
      <c r="E150" s="19" t="n">
        <f aca="false">E146*E149</f>
        <v>4880.59166620699</v>
      </c>
      <c r="F150" s="19" t="n">
        <f aca="false">F146*F149</f>
        <v>3526.43027170278</v>
      </c>
      <c r="G150" s="19" t="n">
        <f aca="false">G146*G149</f>
        <v>3805.73204339775</v>
      </c>
    </row>
    <row r="151" customFormat="false" ht="17.15" hidden="false" customHeight="false" outlineLevel="0" collapsed="false">
      <c r="A151" s="4" t="s">
        <v>358</v>
      </c>
      <c r="B151" s="0" t="s">
        <v>49</v>
      </c>
      <c r="D151" s="15" t="n">
        <f aca="false">0</f>
        <v>0</v>
      </c>
      <c r="E151" s="15" t="n">
        <f aca="false">cs_27</f>
        <v>0.1</v>
      </c>
      <c r="F151" s="15" t="n">
        <f aca="false">cs_28</f>
        <v>0.2</v>
      </c>
      <c r="G151" s="15" t="n">
        <f aca="false">cs_29</f>
        <v>0.25</v>
      </c>
      <c r="H151" s="8" t="s">
        <v>400</v>
      </c>
    </row>
    <row r="152" customFormat="false" ht="17.15" hidden="false" customHeight="false" outlineLevel="0" collapsed="false">
      <c r="A152" s="0" t="s">
        <v>401</v>
      </c>
      <c r="B152" s="0" t="s">
        <v>165</v>
      </c>
      <c r="C152" s="19" t="n">
        <f aca="false">a25_ai</f>
        <v>905.033</v>
      </c>
      <c r="D152" s="19" t="n">
        <f aca="false">D150*(1-D151)</f>
        <v>2719.1262</v>
      </c>
      <c r="E152" s="19" t="n">
        <f aca="false">E150*(1-E151)</f>
        <v>4392.53249958629</v>
      </c>
      <c r="F152" s="19" t="n">
        <f aca="false">F150*(1-F151)</f>
        <v>2821.14421736223</v>
      </c>
      <c r="G152" s="19" t="n">
        <f aca="false">G150*(1-G151)</f>
        <v>2854.29903254831</v>
      </c>
    </row>
    <row r="153" customFormat="false" ht="17.15" hidden="false" customHeight="false" outlineLevel="0" collapsed="false">
      <c r="A153" s="6" t="s">
        <v>402</v>
      </c>
    </row>
    <row r="154" customFormat="false" ht="17.15" hidden="false" customHeight="false" outlineLevel="0" collapsed="false">
      <c r="A154" s="4" t="s">
        <v>331</v>
      </c>
      <c r="B154" s="0" t="s">
        <v>165</v>
      </c>
      <c r="C154" s="19" t="n">
        <f aca="false">a25_nai</f>
        <v>1218.656</v>
      </c>
      <c r="D154" s="19" t="n">
        <f aca="false">a26_nai</f>
        <v>1279.5888</v>
      </c>
      <c r="E154" s="19" t="n">
        <f aca="false">D154*(1+g_nai27)</f>
        <v>1317.976464</v>
      </c>
      <c r="F154" s="19" t="n">
        <f aca="false">E154*(1+g_nai28)</f>
        <v>1344.33599328</v>
      </c>
      <c r="G154" s="19" t="n">
        <f aca="false">F154*(1+g_nai29)</f>
        <v>1371.2227131456</v>
      </c>
    </row>
    <row r="155" customFormat="false" ht="15" hidden="false" customHeight="false" outlineLevel="0" collapsed="false">
      <c r="A155" s="4" t="s">
        <v>302</v>
      </c>
      <c r="B155" s="0" t="s">
        <v>165</v>
      </c>
      <c r="C155" s="19" t="n">
        <f aca="false">C152+C154</f>
        <v>2123.689</v>
      </c>
      <c r="D155" s="19" t="n">
        <f aca="false">D152+D154</f>
        <v>3998.715</v>
      </c>
      <c r="E155" s="19" t="n">
        <f aca="false">E152+E154</f>
        <v>5710.50896358629</v>
      </c>
      <c r="F155" s="19" t="n">
        <f aca="false">F152+F154</f>
        <v>4165.48021064223</v>
      </c>
      <c r="G155" s="19" t="n">
        <f aca="false">G152+G154</f>
        <v>4225.52174569391</v>
      </c>
    </row>
    <row r="156" customFormat="false" ht="15" hidden="false" customHeight="false" outlineLevel="0" collapsed="false">
      <c r="A156" s="4" t="s">
        <v>403</v>
      </c>
      <c r="B156" s="0" t="s">
        <v>49</v>
      </c>
      <c r="D156" s="15" t="n">
        <f aca="false">D155/C155-1</f>
        <v>0.88290987993063</v>
      </c>
      <c r="E156" s="15" t="n">
        <f aca="false">E155/D155-1</f>
        <v>0.428086013528418</v>
      </c>
      <c r="F156" s="15" t="n">
        <f aca="false">F155/E155-1</f>
        <v>-0.270558852598974</v>
      </c>
      <c r="G156" s="15" t="n">
        <f aca="false">G155/F155-1</f>
        <v>0.01441407281165</v>
      </c>
    </row>
    <row r="157" customFormat="false" ht="17.15" hidden="false" customHeight="false" outlineLevel="0" collapsed="false">
      <c r="A157" s="0" t="s">
        <v>404</v>
      </c>
      <c r="B157" s="0" t="s">
        <v>49</v>
      </c>
      <c r="C157" s="15" t="n">
        <f aca="false">C152/C155</f>
        <v>0.426160798497332</v>
      </c>
      <c r="D157" s="15" t="n">
        <f aca="false">D152/D155</f>
        <v>0.68</v>
      </c>
      <c r="E157" s="15" t="n">
        <f aca="false">E152/E155</f>
        <v>0.769201576881461</v>
      </c>
      <c r="F157" s="15" t="n">
        <f aca="false">F152/F155</f>
        <v>0.677267463701926</v>
      </c>
      <c r="G157" s="15" t="n">
        <f aca="false">G152/G155</f>
        <v>0.67549031914391</v>
      </c>
    </row>
    <row r="158" customFormat="false" ht="17.15" hidden="false" customHeight="false" outlineLevel="0" collapsed="false">
      <c r="A158" s="4" t="s">
        <v>364</v>
      </c>
      <c r="B158" s="0" t="s">
        <v>350</v>
      </c>
      <c r="D158" s="16" t="n">
        <f aca="false">D152/fx/D143</f>
        <v>3.63138338873399</v>
      </c>
      <c r="E158" s="16" t="n">
        <f aca="false">E152/fx/E143</f>
        <v>3.29597359817473</v>
      </c>
      <c r="F158" s="16" t="n">
        <f aca="false">F152/fx/F143</f>
        <v>2.78326659401422</v>
      </c>
      <c r="G158" s="16" t="n">
        <f aca="false">G152/fx/G143</f>
        <v>2.47198019863105</v>
      </c>
    </row>
    <row r="159" customFormat="false" ht="17.15" hidden="false" customHeight="false" outlineLevel="0" collapsed="false">
      <c r="A159" s="4" t="s">
        <v>405</v>
      </c>
      <c r="B159" s="4" t="s">
        <v>362</v>
      </c>
      <c r="D159" s="19" t="n">
        <f aca="false">D150/fx/(odm_gb*(1-vr26)+odm_vr*vr26)</f>
        <v>18.4522679153094</v>
      </c>
      <c r="E159" s="19" t="n">
        <f aca="false">E150/fx/odm_vr</f>
        <v>22.5953317879953</v>
      </c>
      <c r="F159" s="19" t="n">
        <f aca="false">F150/fx/odm_vr</f>
        <v>16.3260660726981</v>
      </c>
      <c r="G159" s="19" t="n">
        <f aca="false">G150/fx/odm_vr</f>
        <v>17.6191298305451</v>
      </c>
      <c r="H159" s="4" t="s">
        <v>406</v>
      </c>
    </row>
    <row r="160" customFormat="false" ht="17.15" hidden="false" customHeight="false" outlineLevel="0" collapsed="false">
      <c r="A160" s="6" t="s">
        <v>407</v>
      </c>
    </row>
    <row r="161" customFormat="false" ht="17.15" hidden="false" customHeight="false" outlineLevel="0" collapsed="false">
      <c r="A161" s="4" t="s">
        <v>408</v>
      </c>
      <c r="B161" s="0" t="s">
        <v>49</v>
      </c>
      <c r="D161" s="14" t="n">
        <f aca="false">a26_gp/D155-d_ai*D157</f>
        <v>0.0632307213692399</v>
      </c>
      <c r="H161" s="8" t="s">
        <v>409</v>
      </c>
    </row>
    <row r="162" customFormat="false" ht="17.15" hidden="false" customHeight="false" outlineLevel="0" collapsed="false">
      <c r="A162" s="0" t="s">
        <v>410</v>
      </c>
      <c r="B162" s="0" t="s">
        <v>165</v>
      </c>
      <c r="D162" s="21" t="n">
        <f aca="false">($D$161+d_ai)*D150*(1-D151*(1-keep))</f>
        <v>117.54978712</v>
      </c>
      <c r="E162" s="21" t="n">
        <f aca="false">($D$161+d_ai+vrd)*E150*(1-E151*(1-keep))</f>
        <v>194.386226205805</v>
      </c>
      <c r="F162" s="21" t="n">
        <f aca="false">($D$161+d_ai+vrd)*F150*(1-F151*(1-keep))</f>
        <v>139.033417015149</v>
      </c>
      <c r="G162" s="21" t="n">
        <f aca="false">($D$161+d_ai+vrd)*G150*(1-G151*(1-keep))</f>
        <v>149.279661807825</v>
      </c>
      <c r="H162" s="4" t="s">
        <v>411</v>
      </c>
    </row>
    <row r="163" customFormat="false" ht="15" hidden="false" customHeight="false" outlineLevel="0" collapsed="false">
      <c r="A163" s="4" t="s">
        <v>306</v>
      </c>
      <c r="B163" s="0" t="s">
        <v>165</v>
      </c>
      <c r="C163" s="19" t="n">
        <f aca="false">a25_gp</f>
        <v>148.2334922</v>
      </c>
      <c r="D163" s="19" t="n">
        <f aca="false">a26_gp</f>
        <v>198.45911</v>
      </c>
      <c r="E163" s="19" t="n">
        <f aca="false">$D$161*E154+E162</f>
        <v>277.722828772205</v>
      </c>
      <c r="F163" s="19" t="n">
        <f aca="false">$D$161*F154+F162</f>
        <v>224.036751632877</v>
      </c>
      <c r="G163" s="19" t="n">
        <f aca="false">$D$161*G154+G162</f>
        <v>235.983063117907</v>
      </c>
    </row>
    <row r="164" customFormat="false" ht="15" hidden="false" customHeight="false" outlineLevel="0" collapsed="false">
      <c r="A164" s="4" t="s">
        <v>309</v>
      </c>
      <c r="B164" s="0" t="s">
        <v>49</v>
      </c>
      <c r="C164" s="14" t="n">
        <f aca="false">C163/C155</f>
        <v>0.0698</v>
      </c>
      <c r="D164" s="14" t="n">
        <f aca="false">D163/D155</f>
        <v>0.0496307213692399</v>
      </c>
      <c r="E164" s="14" t="n">
        <f aca="false">E163/E155</f>
        <v>0.0486336385325961</v>
      </c>
      <c r="F164" s="14" t="n">
        <f aca="false">F163/F155</f>
        <v>0.0537841353946405</v>
      </c>
      <c r="G164" s="14" t="n">
        <f aca="false">G163/G155</f>
        <v>0.0558470828740592</v>
      </c>
    </row>
    <row r="165" customFormat="false" ht="17.15" hidden="false" customHeight="false" outlineLevel="0" collapsed="false">
      <c r="A165" s="0" t="s">
        <v>412</v>
      </c>
      <c r="B165" s="0" t="s">
        <v>49</v>
      </c>
      <c r="D165" s="14" t="n">
        <f aca="false">D162/D152</f>
        <v>0.0432307213692399</v>
      </c>
      <c r="E165" s="14" t="n">
        <f aca="false">E162/E152</f>
        <v>0.0442537935061639</v>
      </c>
      <c r="F165" s="14" t="n">
        <f aca="false">F162/F152</f>
        <v>0.0492826336773188</v>
      </c>
      <c r="G165" s="14" t="n">
        <f aca="false">G162/G152</f>
        <v>0.0522999377800118</v>
      </c>
      <c r="H165" s="4" t="s">
        <v>413</v>
      </c>
    </row>
    <row r="166" customFormat="false" ht="15" hidden="false" customHeight="false" outlineLevel="0" collapsed="false">
      <c r="A166" s="4" t="s">
        <v>414</v>
      </c>
      <c r="B166" s="0" t="s">
        <v>165</v>
      </c>
      <c r="C166" s="19" t="n">
        <f aca="false">a25_opx</f>
        <v>60.7375054</v>
      </c>
      <c r="D166" s="19" t="n">
        <f aca="false">a26_opx</f>
        <v>71.1893725</v>
      </c>
      <c r="E166" s="19" t="n">
        <f aca="false">D166*(1+MAX(0,phi*E156))</f>
        <v>83.3794423716458</v>
      </c>
      <c r="F166" s="19" t="n">
        <f aca="false">E166*(1+MAX(0,phi*F156))</f>
        <v>83.3794423716458</v>
      </c>
      <c r="G166" s="19" t="n">
        <f aca="false">F166*(1+MAX(0,phi*G156))</f>
        <v>83.8601773129817</v>
      </c>
    </row>
    <row r="167" customFormat="false" ht="15" hidden="false" customHeight="false" outlineLevel="0" collapsed="false">
      <c r="A167" s="4" t="s">
        <v>310</v>
      </c>
      <c r="B167" s="0" t="s">
        <v>165</v>
      </c>
      <c r="C167" s="19" t="n">
        <f aca="false">C166</f>
        <v>60.7375054</v>
      </c>
      <c r="D167" s="19" t="n">
        <f aca="false">D166</f>
        <v>71.1893725</v>
      </c>
      <c r="E167" s="19" t="n">
        <f aca="false">E166+0*E155</f>
        <v>83.3794423716458</v>
      </c>
      <c r="F167" s="19" t="n">
        <f aca="false">F166+0*F155</f>
        <v>83.3794423716458</v>
      </c>
      <c r="G167" s="19" t="n">
        <f aca="false">G166+0*G155</f>
        <v>83.8601773129817</v>
      </c>
    </row>
    <row r="168" customFormat="false" ht="15" hidden="false" customHeight="false" outlineLevel="0" collapsed="false">
      <c r="A168" s="4" t="s">
        <v>313</v>
      </c>
      <c r="B168" s="0" t="s">
        <v>165</v>
      </c>
      <c r="C168" s="19" t="n">
        <f aca="false">C163-C167</f>
        <v>87.4959868</v>
      </c>
      <c r="D168" s="19" t="n">
        <f aca="false">D163-D167</f>
        <v>127.2697375</v>
      </c>
      <c r="E168" s="19" t="n">
        <f aca="false">E163-E167</f>
        <v>194.34338640056</v>
      </c>
      <c r="F168" s="19" t="n">
        <f aca="false">F163-F167</f>
        <v>140.657309261231</v>
      </c>
      <c r="G168" s="19" t="n">
        <f aca="false">G163-G167</f>
        <v>152.122885804926</v>
      </c>
    </row>
    <row r="169" customFormat="false" ht="15" hidden="false" customHeight="false" outlineLevel="0" collapsed="false">
      <c r="A169" s="4" t="s">
        <v>316</v>
      </c>
      <c r="B169" s="0" t="s">
        <v>49</v>
      </c>
      <c r="C169" s="14" t="n">
        <f aca="false">C168/C155</f>
        <v>0.0412</v>
      </c>
      <c r="D169" s="14" t="n">
        <f aca="false">D168/D155</f>
        <v>0.0318276590104571</v>
      </c>
      <c r="E169" s="14" t="n">
        <f aca="false">E168/E155</f>
        <v>0.0340325858237527</v>
      </c>
      <c r="F169" s="14" t="n">
        <f aca="false">F168/F155</f>
        <v>0.0337673694624382</v>
      </c>
      <c r="G169" s="14" t="n">
        <f aca="false">G168/G155</f>
        <v>0.0360009709948716</v>
      </c>
    </row>
    <row r="170" customFormat="false" ht="17.15" hidden="false" customHeight="false" outlineLevel="0" collapsed="false">
      <c r="A170" s="4" t="s">
        <v>199</v>
      </c>
      <c r="B170" s="0" t="s">
        <v>49</v>
      </c>
      <c r="C170" s="15" t="n">
        <f aca="false">a25_ni/a25_oi</f>
        <v>0.856953590013114</v>
      </c>
      <c r="D170" s="15" t="n">
        <f aca="false">a26_ni/a26_oi</f>
        <v>0.869913569398224</v>
      </c>
      <c r="E170" s="15" t="n">
        <f aca="false">nio_f</f>
        <v>0.865</v>
      </c>
      <c r="F170" s="15" t="n">
        <f aca="false">nio_f</f>
        <v>0.865</v>
      </c>
      <c r="G170" s="15" t="n">
        <f aca="false">nio_f</f>
        <v>0.865</v>
      </c>
    </row>
    <row r="171" customFormat="false" ht="15" hidden="false" customHeight="false" outlineLevel="0" collapsed="false">
      <c r="A171" s="4" t="s">
        <v>317</v>
      </c>
      <c r="B171" s="0" t="s">
        <v>165</v>
      </c>
      <c r="C171" s="19" t="n">
        <f aca="false">a25_ni</f>
        <v>74.98</v>
      </c>
      <c r="D171" s="19" t="n">
        <f aca="false">a26_ni</f>
        <v>110.713671625</v>
      </c>
      <c r="E171" s="19" t="n">
        <f aca="false">E168*E170</f>
        <v>168.107029236484</v>
      </c>
      <c r="F171" s="19" t="n">
        <f aca="false">F168*F170</f>
        <v>121.668572510965</v>
      </c>
      <c r="G171" s="19" t="n">
        <f aca="false">G168*G170</f>
        <v>131.586296221261</v>
      </c>
    </row>
    <row r="172" customFormat="false" ht="15" hidden="false" customHeight="false" outlineLevel="0" collapsed="false">
      <c r="A172" s="4" t="s">
        <v>415</v>
      </c>
      <c r="B172" s="4" t="s">
        <v>186</v>
      </c>
      <c r="C172" s="22" t="n">
        <f aca="false">a25_sh</f>
        <v>3.85501285347044</v>
      </c>
      <c r="D172" s="22" t="n">
        <f aca="false">a26_sh</f>
        <v>3.85460170146945</v>
      </c>
      <c r="E172" s="22" t="n">
        <f aca="false">D172*(1+sh_g)</f>
        <v>3.85460170146945</v>
      </c>
      <c r="F172" s="22" t="n">
        <f aca="false">E172*(1+sh_g)</f>
        <v>3.85460170146945</v>
      </c>
      <c r="G172" s="22" t="n">
        <f aca="false">F172*(1+sh_g)</f>
        <v>3.85460170146945</v>
      </c>
    </row>
    <row r="173" customFormat="false" ht="15" hidden="false" customHeight="false" outlineLevel="0" collapsed="false">
      <c r="A173" s="0" t="s">
        <v>323</v>
      </c>
      <c r="B173" s="0" t="s">
        <v>216</v>
      </c>
      <c r="C173" s="21" t="n">
        <f aca="false">C171/C172</f>
        <v>19.45</v>
      </c>
      <c r="D173" s="21" t="n">
        <f aca="false">D171/D172</f>
        <v>28.7224673778341</v>
      </c>
      <c r="E173" s="21" t="n">
        <f aca="false">E171/E172</f>
        <v>43.61203627664</v>
      </c>
      <c r="F173" s="21" t="n">
        <f aca="false">F171/F172</f>
        <v>31.5644992489321</v>
      </c>
      <c r="G173" s="21" t="n">
        <f aca="false">G171/G172</f>
        <v>34.1374560622171</v>
      </c>
    </row>
    <row r="174" customFormat="false" ht="17.15" hidden="false" customHeight="false" outlineLevel="0" collapsed="false">
      <c r="A174" s="0" t="s">
        <v>416</v>
      </c>
      <c r="B174" s="0" t="s">
        <v>49</v>
      </c>
      <c r="D174" s="15" t="n">
        <f aca="false">D173/C173-1</f>
        <v>0.476733541276816</v>
      </c>
      <c r="E174" s="15" t="n">
        <f aca="false">E173/D173-1</f>
        <v>0.518394492469565</v>
      </c>
      <c r="F174" s="15" t="n">
        <f aca="false">F173/E173-1</f>
        <v>-0.276243396462571</v>
      </c>
      <c r="G174" s="15" t="n">
        <f aca="false">G173/F173-1</f>
        <v>0.0815142604669075</v>
      </c>
    </row>
    <row r="177" customFormat="false" ht="17.15" hidden="false" customHeight="false" outlineLevel="0" collapsed="false">
      <c r="A177" s="1" t="s">
        <v>419</v>
      </c>
    </row>
    <row r="178" customFormat="false" ht="17.15" hidden="false" customHeight="false" outlineLevel="0" collapsed="false">
      <c r="A178" s="1" t="s">
        <v>420</v>
      </c>
    </row>
    <row r="179" customFormat="false" ht="17.15" hidden="false" customHeight="false" outlineLevel="0" collapsed="false">
      <c r="A179" s="5" t="s">
        <v>18</v>
      </c>
      <c r="B179" s="5" t="s">
        <v>19</v>
      </c>
      <c r="C179" s="11" t="s">
        <v>296</v>
      </c>
      <c r="D179" s="11" t="s">
        <v>372</v>
      </c>
      <c r="E179" s="11" t="s">
        <v>373</v>
      </c>
      <c r="F179" s="11" t="s">
        <v>374</v>
      </c>
      <c r="G179" s="11" t="s">
        <v>375</v>
      </c>
      <c r="H179" s="11" t="s">
        <v>421</v>
      </c>
      <c r="I179" s="11" t="s">
        <v>422</v>
      </c>
      <c r="J179" s="11" t="s">
        <v>423</v>
      </c>
      <c r="K179" s="5" t="s">
        <v>345</v>
      </c>
    </row>
    <row r="180" customFormat="false" ht="17.15" hidden="false" customHeight="false" outlineLevel="0" collapsed="false">
      <c r="A180" s="4" t="s">
        <v>424</v>
      </c>
      <c r="B180" s="0" t="s">
        <v>165</v>
      </c>
      <c r="C180" s="19" t="n">
        <f aca="false">C77</f>
        <v>2123.689</v>
      </c>
      <c r="D180" s="19" t="n">
        <f aca="false">D77</f>
        <v>3998.715</v>
      </c>
      <c r="E180" s="19" t="n">
        <f aca="false">E77</f>
        <v>5710.50896358629</v>
      </c>
      <c r="F180" s="19" t="n">
        <f aca="false">F77</f>
        <v>6046.24302221704</v>
      </c>
      <c r="G180" s="19" t="n">
        <f aca="false">G77</f>
        <v>6128.38776739279</v>
      </c>
      <c r="H180" s="23" t="n">
        <f aca="false">G180*(1+H181)</f>
        <v>6306.46270294503</v>
      </c>
      <c r="I180" s="23" t="n">
        <f aca="false">H180*(1+I181)</f>
        <v>6587.28124797557</v>
      </c>
      <c r="J180" s="23" t="n">
        <f aca="false">I180*(1+J181)</f>
        <v>6982.51812285411</v>
      </c>
      <c r="K180" s="8" t="s">
        <v>425</v>
      </c>
    </row>
    <row r="181" customFormat="false" ht="15" hidden="false" customHeight="false" outlineLevel="0" collapsed="false">
      <c r="A181" s="4" t="s">
        <v>377</v>
      </c>
      <c r="B181" s="0" t="s">
        <v>49</v>
      </c>
      <c r="C181" s="15"/>
      <c r="D181" s="15" t="n">
        <f aca="false">D180/C180-1</f>
        <v>0.88290987993063</v>
      </c>
      <c r="E181" s="15" t="n">
        <f aca="false">E180/D180-1</f>
        <v>0.428086013528418</v>
      </c>
      <c r="F181" s="15" t="n">
        <f aca="false">F180/E180-1</f>
        <v>0.0587923179477703</v>
      </c>
      <c r="G181" s="15" t="n">
        <f aca="false">G180/F180-1</f>
        <v>0.0135860806245958</v>
      </c>
      <c r="H181" s="24" t="n">
        <f aca="false">$G$181+($C$187-$G$181)*1/3</f>
        <v>0.0290573870830638</v>
      </c>
      <c r="I181" s="24" t="n">
        <f aca="false">$G$181+($C$187-$G$181)*2/3</f>
        <v>0.0445286935415319</v>
      </c>
      <c r="J181" s="24" t="n">
        <f aca="false">$G$181+($C$187-$G$181)*3/3</f>
        <v>0.06</v>
      </c>
    </row>
    <row r="182" customFormat="false" ht="15" hidden="false" customHeight="false" outlineLevel="0" collapsed="false">
      <c r="A182" s="4" t="s">
        <v>426</v>
      </c>
      <c r="B182" s="0" t="s">
        <v>165</v>
      </c>
      <c r="C182" s="19" t="n">
        <f aca="false">C93</f>
        <v>74.98</v>
      </c>
      <c r="D182" s="19" t="n">
        <f aca="false">D93</f>
        <v>110.713671625</v>
      </c>
      <c r="E182" s="19" t="n">
        <f aca="false">E93</f>
        <v>168.107029236484</v>
      </c>
      <c r="F182" s="19" t="n">
        <f aca="false">F93</f>
        <v>200.148393198935</v>
      </c>
      <c r="G182" s="19" t="n">
        <f aca="false">G93</f>
        <v>215.989454293986</v>
      </c>
      <c r="H182" s="23" t="n">
        <f aca="false">H180*H183</f>
        <v>222.265543473266</v>
      </c>
      <c r="I182" s="23" t="n">
        <f aca="false">I180*I183</f>
        <v>232.162737743429</v>
      </c>
      <c r="J182" s="23" t="n">
        <f aca="false">J180*J183</f>
        <v>246.092502008035</v>
      </c>
    </row>
    <row r="183" customFormat="false" ht="15" hidden="false" customHeight="false" outlineLevel="0" collapsed="false">
      <c r="A183" s="4" t="s">
        <v>427</v>
      </c>
      <c r="B183" s="0" t="s">
        <v>49</v>
      </c>
      <c r="C183" s="15" t="n">
        <f aca="false">C182/C180</f>
        <v>0.0353064879085403</v>
      </c>
      <c r="D183" s="15" t="n">
        <f aca="false">D182/D180</f>
        <v>0.0276873124553763</v>
      </c>
      <c r="E183" s="15" t="n">
        <f aca="false">E182/E180</f>
        <v>0.0294381867375461</v>
      </c>
      <c r="F183" s="15" t="n">
        <f aca="false">F182/F180</f>
        <v>0.0331029355689947</v>
      </c>
      <c r="G183" s="15" t="n">
        <f aca="false">G182/G180</f>
        <v>0.0352440906959572</v>
      </c>
      <c r="H183" s="24" t="n">
        <f aca="false">$G$183+($C$188-$G$183)*1/3</f>
        <v>0.0352440906959572</v>
      </c>
      <c r="I183" s="24" t="n">
        <f aca="false">$G$183+($C$188-$G$183)*2/3</f>
        <v>0.0352440906959572</v>
      </c>
      <c r="J183" s="24" t="n">
        <f aca="false">$G$183+($C$188-$G$183)*3/3</f>
        <v>0.0352440906959572</v>
      </c>
    </row>
    <row r="184" customFormat="false" ht="17.15" hidden="false" customHeight="false" outlineLevel="0" collapsed="false">
      <c r="A184" s="4" t="s">
        <v>428</v>
      </c>
      <c r="B184" s="4" t="s">
        <v>186</v>
      </c>
      <c r="C184" s="20" t="n">
        <f aca="false">C94</f>
        <v>3.85501285347044</v>
      </c>
      <c r="D184" s="20" t="n">
        <f aca="false">D94</f>
        <v>3.85460170146945</v>
      </c>
      <c r="E184" s="20" t="n">
        <f aca="false">E94</f>
        <v>3.85460170146945</v>
      </c>
      <c r="F184" s="20" t="n">
        <f aca="false">F94</f>
        <v>3.85460170146945</v>
      </c>
      <c r="G184" s="20" t="n">
        <f aca="false">G94</f>
        <v>3.85460170146945</v>
      </c>
      <c r="H184" s="25" t="n">
        <f aca="false">G184*(1+sh_g)</f>
        <v>3.85460170146945</v>
      </c>
      <c r="I184" s="25" t="n">
        <f aca="false">H184*(1+sh_g)</f>
        <v>3.85460170146945</v>
      </c>
      <c r="J184" s="25" t="n">
        <f aca="false">I184*(1+sh_g)</f>
        <v>3.85460170146945</v>
      </c>
      <c r="K184" s="8" t="s">
        <v>429</v>
      </c>
    </row>
    <row r="185" customFormat="false" ht="17.15" hidden="false" customHeight="false" outlineLevel="0" collapsed="false">
      <c r="A185" s="0" t="s">
        <v>430</v>
      </c>
      <c r="B185" s="0" t="s">
        <v>216</v>
      </c>
      <c r="C185" s="16" t="n">
        <f aca="false">C95</f>
        <v>19.45</v>
      </c>
      <c r="D185" s="16" t="n">
        <f aca="false">D95</f>
        <v>28.7224673778341</v>
      </c>
      <c r="E185" s="16" t="n">
        <f aca="false">E95</f>
        <v>43.61203627664</v>
      </c>
      <c r="F185" s="16" t="n">
        <f aca="false">F95</f>
        <v>51.9245329868023</v>
      </c>
      <c r="G185" s="16" t="n">
        <f aca="false">G95</f>
        <v>56.0341822636685</v>
      </c>
      <c r="H185" s="26" t="n">
        <f aca="false">H182/H184</f>
        <v>57.6623891875869</v>
      </c>
      <c r="I185" s="26" t="n">
        <f aca="false">I182/I184</f>
        <v>60.2300200445935</v>
      </c>
      <c r="J185" s="26" t="n">
        <f aca="false">J182/J184</f>
        <v>63.8438212472691</v>
      </c>
    </row>
    <row r="186" customFormat="false" ht="17.15" hidden="false" customHeight="false" outlineLevel="0" collapsed="false">
      <c r="A186" s="0" t="s">
        <v>381</v>
      </c>
      <c r="B186" s="0" t="s">
        <v>49</v>
      </c>
      <c r="C186" s="15"/>
      <c r="D186" s="15" t="n">
        <f aca="false">D185/C185-1</f>
        <v>0.476733541276816</v>
      </c>
      <c r="E186" s="15" t="n">
        <f aca="false">E185/D185-1</f>
        <v>0.518394492469565</v>
      </c>
      <c r="F186" s="15" t="n">
        <f aca="false">F185/E185-1</f>
        <v>0.190600976699058</v>
      </c>
      <c r="G186" s="15" t="n">
        <f aca="false">G185/F185-1</f>
        <v>0.0791465814032595</v>
      </c>
      <c r="H186" s="24" t="n">
        <f aca="false">H185/G185-1</f>
        <v>0.0290573870830639</v>
      </c>
      <c r="I186" s="24" t="n">
        <f aca="false">I185/H185-1</f>
        <v>0.0445286935415319</v>
      </c>
      <c r="J186" s="24" t="n">
        <f aca="false">J185/I185-1</f>
        <v>0.0600000000000001</v>
      </c>
    </row>
    <row r="187" customFormat="false" ht="17.15" hidden="false" customHeight="false" outlineLevel="0" collapsed="false">
      <c r="A187" s="4" t="s">
        <v>431</v>
      </c>
      <c r="B187" s="0" t="s">
        <v>49</v>
      </c>
      <c r="C187" s="15" t="n">
        <f aca="false">fade_gA</f>
        <v>0.06</v>
      </c>
      <c r="K187" s="8" t="s">
        <v>432</v>
      </c>
    </row>
    <row r="188" customFormat="false" ht="17.15" hidden="false" customHeight="false" outlineLevel="0" collapsed="false">
      <c r="A188" s="4" t="s">
        <v>433</v>
      </c>
      <c r="B188" s="0" t="s">
        <v>49</v>
      </c>
      <c r="C188" s="15" t="n">
        <f aca="false">G183</f>
        <v>0.0352440906959572</v>
      </c>
      <c r="K188" s="4" t="s">
        <v>434</v>
      </c>
    </row>
    <row r="190" customFormat="false" ht="17.15" hidden="false" customHeight="false" outlineLevel="0" collapsed="false">
      <c r="A190" s="1" t="s">
        <v>435</v>
      </c>
    </row>
    <row r="191" customFormat="false" ht="17.15" hidden="false" customHeight="false" outlineLevel="0" collapsed="false">
      <c r="A191" s="5" t="s">
        <v>18</v>
      </c>
      <c r="B191" s="5" t="s">
        <v>19</v>
      </c>
      <c r="C191" s="11" t="s">
        <v>296</v>
      </c>
      <c r="D191" s="11" t="s">
        <v>372</v>
      </c>
      <c r="E191" s="11" t="s">
        <v>373</v>
      </c>
      <c r="F191" s="11" t="s">
        <v>374</v>
      </c>
      <c r="G191" s="11" t="s">
        <v>375</v>
      </c>
      <c r="H191" s="11" t="s">
        <v>421</v>
      </c>
      <c r="I191" s="11" t="s">
        <v>422</v>
      </c>
      <c r="J191" s="11" t="s">
        <v>423</v>
      </c>
      <c r="K191" s="5" t="s">
        <v>345</v>
      </c>
    </row>
    <row r="192" customFormat="false" ht="17.15" hidden="false" customHeight="false" outlineLevel="0" collapsed="false">
      <c r="A192" s="4" t="s">
        <v>424</v>
      </c>
      <c r="B192" s="0" t="s">
        <v>165</v>
      </c>
      <c r="C192" s="19" t="n">
        <f aca="false">C116</f>
        <v>2123.689</v>
      </c>
      <c r="D192" s="19" t="n">
        <f aca="false">D116</f>
        <v>3998.715</v>
      </c>
      <c r="E192" s="19" t="n">
        <f aca="false">E116</f>
        <v>5710.50896358629</v>
      </c>
      <c r="F192" s="19" t="n">
        <f aca="false">F116</f>
        <v>5105.86161642964</v>
      </c>
      <c r="G192" s="19" t="n">
        <f aca="false">G116</f>
        <v>5414.81300925571</v>
      </c>
      <c r="H192" s="23" t="n">
        <f aca="false">G192*(1+H193)</f>
        <v>5705.44103724899</v>
      </c>
      <c r="I192" s="23" t="n">
        <f aca="false">H192*(1+I193)</f>
        <v>5972.66327803759</v>
      </c>
      <c r="J192" s="23" t="n">
        <f aca="false">I192*(1+J193)</f>
        <v>6211.5698091591</v>
      </c>
      <c r="K192" s="8" t="s">
        <v>425</v>
      </c>
    </row>
    <row r="193" customFormat="false" ht="15" hidden="false" customHeight="false" outlineLevel="0" collapsed="false">
      <c r="A193" s="4" t="s">
        <v>377</v>
      </c>
      <c r="B193" s="0" t="s">
        <v>49</v>
      </c>
      <c r="C193" s="15"/>
      <c r="D193" s="15" t="n">
        <f aca="false">D192/C192-1</f>
        <v>0.88290987993063</v>
      </c>
      <c r="E193" s="15" t="n">
        <f aca="false">E192/D192-1</f>
        <v>0.428086013528418</v>
      </c>
      <c r="F193" s="15" t="n">
        <f aca="false">F192/E192-1</f>
        <v>-0.105883267325602</v>
      </c>
      <c r="G193" s="15" t="n">
        <f aca="false">G192/F192-1</f>
        <v>0.0605091590872593</v>
      </c>
      <c r="H193" s="24" t="n">
        <f aca="false">$G$193+($C$199-$G$193)*1/3</f>
        <v>0.0536727727248395</v>
      </c>
      <c r="I193" s="24" t="n">
        <f aca="false">$G$193+($C$199-$G$193)*2/3</f>
        <v>0.0468363863624198</v>
      </c>
      <c r="J193" s="24" t="n">
        <f aca="false">$G$193+($C$199-$G$193)*3/3</f>
        <v>0.04</v>
      </c>
    </row>
    <row r="194" customFormat="false" ht="15" hidden="false" customHeight="false" outlineLevel="0" collapsed="false">
      <c r="A194" s="4" t="s">
        <v>426</v>
      </c>
      <c r="B194" s="0" t="s">
        <v>165</v>
      </c>
      <c r="C194" s="19" t="n">
        <f aca="false">C132</f>
        <v>74.98</v>
      </c>
      <c r="D194" s="19" t="n">
        <f aca="false">D132</f>
        <v>110.713671625</v>
      </c>
      <c r="E194" s="19" t="n">
        <f aca="false">E132</f>
        <v>168.107029236484</v>
      </c>
      <c r="F194" s="19" t="n">
        <f aca="false">F132</f>
        <v>161.756541083666</v>
      </c>
      <c r="G194" s="19" t="n">
        <f aca="false">G132</f>
        <v>184.059363955116</v>
      </c>
      <c r="H194" s="23" t="n">
        <f aca="false">H192*H195</f>
        <v>187.473729019073</v>
      </c>
      <c r="I194" s="23" t="n">
        <f aca="false">I192*I195</f>
        <v>189.486930644068</v>
      </c>
      <c r="J194" s="23" t="n">
        <f aca="false">J192*J195</f>
        <v>190.02832187448</v>
      </c>
    </row>
    <row r="195" customFormat="false" ht="15" hidden="false" customHeight="false" outlineLevel="0" collapsed="false">
      <c r="A195" s="4" t="s">
        <v>427</v>
      </c>
      <c r="B195" s="0" t="s">
        <v>49</v>
      </c>
      <c r="C195" s="15" t="n">
        <f aca="false">C194/C192</f>
        <v>0.0353064879085403</v>
      </c>
      <c r="D195" s="15" t="n">
        <f aca="false">D194/D192</f>
        <v>0.0276873124553763</v>
      </c>
      <c r="E195" s="15" t="n">
        <f aca="false">E194/E192</f>
        <v>0.0294381867375461</v>
      </c>
      <c r="F195" s="15" t="n">
        <f aca="false">F194/F192</f>
        <v>0.0316805572174471</v>
      </c>
      <c r="G195" s="15" t="n">
        <f aca="false">G194/G192</f>
        <v>0.0339918227352446</v>
      </c>
      <c r="H195" s="24" t="n">
        <f aca="false">$G$195+($C$200-$G$195)*1/3</f>
        <v>0.0328587619774031</v>
      </c>
      <c r="I195" s="24" t="n">
        <f aca="false">$G$195+($C$200-$G$195)*2/3</f>
        <v>0.0317257012195616</v>
      </c>
      <c r="J195" s="24" t="n">
        <f aca="false">$G$195+($C$200-$G$195)*3/3</f>
        <v>0.0305926404617201</v>
      </c>
    </row>
    <row r="196" customFormat="false" ht="17.15" hidden="false" customHeight="false" outlineLevel="0" collapsed="false">
      <c r="A196" s="4" t="s">
        <v>428</v>
      </c>
      <c r="B196" s="4" t="s">
        <v>186</v>
      </c>
      <c r="C196" s="20" t="n">
        <f aca="false">C133</f>
        <v>3.85501285347044</v>
      </c>
      <c r="D196" s="20" t="n">
        <f aca="false">D133</f>
        <v>3.85460170146945</v>
      </c>
      <c r="E196" s="20" t="n">
        <f aca="false">E133</f>
        <v>3.85460170146945</v>
      </c>
      <c r="F196" s="20" t="n">
        <f aca="false">F133</f>
        <v>3.85460170146945</v>
      </c>
      <c r="G196" s="20" t="n">
        <f aca="false">G133</f>
        <v>3.85460170146945</v>
      </c>
      <c r="H196" s="25" t="n">
        <f aca="false">G196*(1+sh_g)</f>
        <v>3.85460170146945</v>
      </c>
      <c r="I196" s="25" t="n">
        <f aca="false">H196*(1+sh_g)</f>
        <v>3.85460170146945</v>
      </c>
      <c r="J196" s="25" t="n">
        <f aca="false">I196*(1+sh_g)</f>
        <v>3.85460170146945</v>
      </c>
      <c r="K196" s="8" t="s">
        <v>429</v>
      </c>
    </row>
    <row r="197" customFormat="false" ht="17.15" hidden="false" customHeight="false" outlineLevel="0" collapsed="false">
      <c r="A197" s="0" t="s">
        <v>430</v>
      </c>
      <c r="B197" s="0" t="s">
        <v>216</v>
      </c>
      <c r="C197" s="16" t="n">
        <f aca="false">C134</f>
        <v>19.45</v>
      </c>
      <c r="D197" s="16" t="n">
        <f aca="false">D134</f>
        <v>28.7224673778341</v>
      </c>
      <c r="E197" s="16" t="n">
        <f aca="false">E134</f>
        <v>43.61203627664</v>
      </c>
      <c r="F197" s="16" t="n">
        <f aca="false">F134</f>
        <v>41.9645280138805</v>
      </c>
      <c r="G197" s="16" t="n">
        <f aca="false">G134</f>
        <v>47.7505532893189</v>
      </c>
      <c r="H197" s="26" t="n">
        <f aca="false">H194/H196</f>
        <v>48.6363426207185</v>
      </c>
      <c r="I197" s="26" t="n">
        <f aca="false">I194/I196</f>
        <v>49.158627873752</v>
      </c>
      <c r="J197" s="26" t="n">
        <f aca="false">J194/J196</f>
        <v>49.2990810962485</v>
      </c>
    </row>
    <row r="198" customFormat="false" ht="17.15" hidden="false" customHeight="false" outlineLevel="0" collapsed="false">
      <c r="A198" s="0" t="s">
        <v>381</v>
      </c>
      <c r="B198" s="0" t="s">
        <v>49</v>
      </c>
      <c r="C198" s="15"/>
      <c r="D198" s="15" t="n">
        <f aca="false">D197/C197-1</f>
        <v>0.476733541276816</v>
      </c>
      <c r="E198" s="15" t="n">
        <f aca="false">E197/D197-1</f>
        <v>0.518394492469565</v>
      </c>
      <c r="F198" s="15" t="n">
        <f aca="false">F197/E197-1</f>
        <v>-0.0377764581389647</v>
      </c>
      <c r="G198" s="15" t="n">
        <f aca="false">G197/F197-1</f>
        <v>0.137878955138602</v>
      </c>
      <c r="H198" s="24" t="n">
        <f aca="false">H197/G197-1</f>
        <v>0.0185503469673451</v>
      </c>
      <c r="I198" s="24" t="n">
        <f aca="false">I197/H197-1</f>
        <v>0.0107385799361295</v>
      </c>
      <c r="J198" s="24" t="n">
        <f aca="false">J197/I197-1</f>
        <v>0.00285714285714267</v>
      </c>
    </row>
    <row r="199" customFormat="false" ht="17.15" hidden="false" customHeight="false" outlineLevel="0" collapsed="false">
      <c r="A199" s="4" t="s">
        <v>431</v>
      </c>
      <c r="B199" s="0" t="s">
        <v>49</v>
      </c>
      <c r="C199" s="15" t="n">
        <f aca="false">fade_gB</f>
        <v>0.04</v>
      </c>
      <c r="K199" s="8" t="s">
        <v>436</v>
      </c>
    </row>
    <row r="200" customFormat="false" ht="17.15" hidden="false" customHeight="false" outlineLevel="0" collapsed="false">
      <c r="A200" s="4" t="s">
        <v>433</v>
      </c>
      <c r="B200" s="0" t="s">
        <v>49</v>
      </c>
      <c r="C200" s="15" t="n">
        <f aca="false">G195*(1+nim10_f)/2</f>
        <v>0.0305926404617201</v>
      </c>
      <c r="K200" s="4" t="s">
        <v>437</v>
      </c>
    </row>
    <row r="202" customFormat="false" ht="17.15" hidden="false" customHeight="false" outlineLevel="0" collapsed="false">
      <c r="A202" s="1" t="s">
        <v>438</v>
      </c>
    </row>
    <row r="203" customFormat="false" ht="17.15" hidden="false" customHeight="false" outlineLevel="0" collapsed="false">
      <c r="A203" s="5" t="s">
        <v>18</v>
      </c>
      <c r="B203" s="5" t="s">
        <v>19</v>
      </c>
      <c r="C203" s="11" t="s">
        <v>296</v>
      </c>
      <c r="D203" s="11" t="s">
        <v>372</v>
      </c>
      <c r="E203" s="11" t="s">
        <v>373</v>
      </c>
      <c r="F203" s="11" t="s">
        <v>374</v>
      </c>
      <c r="G203" s="11" t="s">
        <v>375</v>
      </c>
      <c r="H203" s="11" t="s">
        <v>421</v>
      </c>
      <c r="I203" s="11" t="s">
        <v>422</v>
      </c>
      <c r="J203" s="11" t="s">
        <v>423</v>
      </c>
      <c r="K203" s="5" t="s">
        <v>345</v>
      </c>
    </row>
    <row r="204" customFormat="false" ht="17.15" hidden="false" customHeight="false" outlineLevel="0" collapsed="false">
      <c r="A204" s="4" t="s">
        <v>424</v>
      </c>
      <c r="B204" s="0" t="s">
        <v>165</v>
      </c>
      <c r="C204" s="19" t="n">
        <f aca="false">C155</f>
        <v>2123.689</v>
      </c>
      <c r="D204" s="19" t="n">
        <f aca="false">D155</f>
        <v>3998.715</v>
      </c>
      <c r="E204" s="19" t="n">
        <f aca="false">E155</f>
        <v>5710.50896358629</v>
      </c>
      <c r="F204" s="19" t="n">
        <f aca="false">F155</f>
        <v>4165.48021064223</v>
      </c>
      <c r="G204" s="19" t="n">
        <f aca="false">G155</f>
        <v>4225.52174569391</v>
      </c>
      <c r="H204" s="23" t="n">
        <f aca="false">G204*(1+H205)</f>
        <v>4294.2965427383</v>
      </c>
      <c r="I204" s="23" t="n">
        <f aca="false">H204*(1+I205)</f>
        <v>4372.18659765542</v>
      </c>
      <c r="J204" s="23" t="n">
        <f aca="false">I204*(1+J205)</f>
        <v>4459.63032960853</v>
      </c>
      <c r="K204" s="8" t="s">
        <v>425</v>
      </c>
    </row>
    <row r="205" customFormat="false" ht="15" hidden="false" customHeight="false" outlineLevel="0" collapsed="false">
      <c r="A205" s="4" t="s">
        <v>377</v>
      </c>
      <c r="B205" s="0" t="s">
        <v>49</v>
      </c>
      <c r="C205" s="15"/>
      <c r="D205" s="15" t="n">
        <f aca="false">D204/C204-1</f>
        <v>0.88290987993063</v>
      </c>
      <c r="E205" s="15" t="n">
        <f aca="false">E204/D204-1</f>
        <v>0.428086013528418</v>
      </c>
      <c r="F205" s="15" t="n">
        <f aca="false">F204/E204-1</f>
        <v>-0.270558852598974</v>
      </c>
      <c r="G205" s="15" t="n">
        <f aca="false">G204/F204-1</f>
        <v>0.01441407281165</v>
      </c>
      <c r="H205" s="24" t="n">
        <f aca="false">$G$205+($C$211-$G$205)*1/3</f>
        <v>0.0162760485411</v>
      </c>
      <c r="I205" s="24" t="n">
        <f aca="false">$G$205+($C$211-$G$205)*2/3</f>
        <v>0.01813802427055</v>
      </c>
      <c r="J205" s="24" t="n">
        <f aca="false">$G$205+($C$211-$G$205)*3/3</f>
        <v>0.02</v>
      </c>
    </row>
    <row r="206" customFormat="false" ht="15" hidden="false" customHeight="false" outlineLevel="0" collapsed="false">
      <c r="A206" s="4" t="s">
        <v>426</v>
      </c>
      <c r="B206" s="0" t="s">
        <v>165</v>
      </c>
      <c r="C206" s="19" t="n">
        <f aca="false">C171</f>
        <v>74.98</v>
      </c>
      <c r="D206" s="19" t="n">
        <f aca="false">D171</f>
        <v>110.713671625</v>
      </c>
      <c r="E206" s="19" t="n">
        <f aca="false">E171</f>
        <v>168.107029236484</v>
      </c>
      <c r="F206" s="19" t="n">
        <f aca="false">F171</f>
        <v>121.668572510965</v>
      </c>
      <c r="G206" s="19" t="n">
        <f aca="false">G171</f>
        <v>131.586296221261</v>
      </c>
      <c r="H206" s="23" t="n">
        <f aca="false">H204*H207</f>
        <v>124.812801088175</v>
      </c>
      <c r="I206" s="23" t="n">
        <f aca="false">I204*I207</f>
        <v>117.999754510474</v>
      </c>
      <c r="J206" s="23" t="n">
        <f aca="false">J204*J207</f>
        <v>111.101307323708</v>
      </c>
    </row>
    <row r="207" customFormat="false" ht="15" hidden="false" customHeight="false" outlineLevel="0" collapsed="false">
      <c r="A207" s="4" t="s">
        <v>427</v>
      </c>
      <c r="B207" s="0" t="s">
        <v>49</v>
      </c>
      <c r="C207" s="15" t="n">
        <f aca="false">C206/C204</f>
        <v>0.0353064879085403</v>
      </c>
      <c r="D207" s="15" t="n">
        <f aca="false">D206/D204</f>
        <v>0.0276873124553763</v>
      </c>
      <c r="E207" s="15" t="n">
        <f aca="false">E206/E204</f>
        <v>0.0294381867375461</v>
      </c>
      <c r="F207" s="15" t="n">
        <f aca="false">F206/F204</f>
        <v>0.0292087745850091</v>
      </c>
      <c r="G207" s="15" t="n">
        <f aca="false">G206/G204</f>
        <v>0.0311408399105639</v>
      </c>
      <c r="H207" s="24" t="n">
        <f aca="false">$G$207+($C$212-$G$207)*1/3</f>
        <v>0.0290647839165263</v>
      </c>
      <c r="I207" s="24" t="n">
        <f aca="false">$G$207+($C$212-$G$207)*2/3</f>
        <v>0.0269887279224887</v>
      </c>
      <c r="J207" s="24" t="n">
        <f aca="false">$G$207+($C$212-$G$207)*3/3</f>
        <v>0.0249126719284511</v>
      </c>
    </row>
    <row r="208" customFormat="false" ht="17.15" hidden="false" customHeight="false" outlineLevel="0" collapsed="false">
      <c r="A208" s="4" t="s">
        <v>428</v>
      </c>
      <c r="B208" s="4" t="s">
        <v>186</v>
      </c>
      <c r="C208" s="20" t="n">
        <f aca="false">C172</f>
        <v>3.85501285347044</v>
      </c>
      <c r="D208" s="20" t="n">
        <f aca="false">D172</f>
        <v>3.85460170146945</v>
      </c>
      <c r="E208" s="20" t="n">
        <f aca="false">E172</f>
        <v>3.85460170146945</v>
      </c>
      <c r="F208" s="20" t="n">
        <f aca="false">F172</f>
        <v>3.85460170146945</v>
      </c>
      <c r="G208" s="20" t="n">
        <f aca="false">G172</f>
        <v>3.85460170146945</v>
      </c>
      <c r="H208" s="25" t="n">
        <f aca="false">G208*(1+sh_g)</f>
        <v>3.85460170146945</v>
      </c>
      <c r="I208" s="25" t="n">
        <f aca="false">H208*(1+sh_g)</f>
        <v>3.85460170146945</v>
      </c>
      <c r="J208" s="25" t="n">
        <f aca="false">I208*(1+sh_g)</f>
        <v>3.85460170146945</v>
      </c>
      <c r="K208" s="8" t="s">
        <v>429</v>
      </c>
    </row>
    <row r="209" customFormat="false" ht="17.15" hidden="false" customHeight="false" outlineLevel="0" collapsed="false">
      <c r="A209" s="0" t="s">
        <v>430</v>
      </c>
      <c r="B209" s="0" t="s">
        <v>216</v>
      </c>
      <c r="C209" s="16" t="n">
        <f aca="false">C173</f>
        <v>19.45</v>
      </c>
      <c r="D209" s="16" t="n">
        <f aca="false">D173</f>
        <v>28.7224673778341</v>
      </c>
      <c r="E209" s="16" t="n">
        <f aca="false">E173</f>
        <v>43.61203627664</v>
      </c>
      <c r="F209" s="16" t="n">
        <f aca="false">F173</f>
        <v>31.5644992489321</v>
      </c>
      <c r="G209" s="16" t="n">
        <f aca="false">G173</f>
        <v>34.1374560622171</v>
      </c>
      <c r="H209" s="26" t="n">
        <f aca="false">H206/H208</f>
        <v>32.3802070238784</v>
      </c>
      <c r="I209" s="26" t="n">
        <f aca="false">I206/I208</f>
        <v>30.6126971472798</v>
      </c>
      <c r="J209" s="26" t="n">
        <f aca="false">J206/J208</f>
        <v>28.8230317755927</v>
      </c>
    </row>
    <row r="210" customFormat="false" ht="17.15" hidden="false" customHeight="false" outlineLevel="0" collapsed="false">
      <c r="A210" s="0" t="s">
        <v>381</v>
      </c>
      <c r="B210" s="0" t="s">
        <v>49</v>
      </c>
      <c r="C210" s="15"/>
      <c r="D210" s="15" t="n">
        <f aca="false">D209/C209-1</f>
        <v>0.476733541276816</v>
      </c>
      <c r="E210" s="15" t="n">
        <f aca="false">E209/D209-1</f>
        <v>0.518394492469565</v>
      </c>
      <c r="F210" s="15" t="n">
        <f aca="false">F209/E209-1</f>
        <v>-0.276243396462571</v>
      </c>
      <c r="G210" s="15" t="n">
        <f aca="false">G209/F209-1</f>
        <v>0.0815142604669075</v>
      </c>
      <c r="H210" s="24" t="n">
        <f aca="false">H209/G209-1</f>
        <v>-0.0514756880283067</v>
      </c>
      <c r="I210" s="24" t="n">
        <f aca="false">I209/H209-1</f>
        <v>-0.0545861203202036</v>
      </c>
      <c r="J210" s="24" t="n">
        <f aca="false">J209/I209-1</f>
        <v>-0.0584615384615383</v>
      </c>
    </row>
    <row r="211" customFormat="false" ht="17.15" hidden="false" customHeight="false" outlineLevel="0" collapsed="false">
      <c r="A211" s="4" t="s">
        <v>431</v>
      </c>
      <c r="B211" s="0" t="s">
        <v>49</v>
      </c>
      <c r="C211" s="15" t="n">
        <f aca="false">fade_gC</f>
        <v>0.02</v>
      </c>
      <c r="K211" s="8" t="s">
        <v>439</v>
      </c>
    </row>
    <row r="212" customFormat="false" ht="17.15" hidden="false" customHeight="false" outlineLevel="0" collapsed="false">
      <c r="A212" s="4" t="s">
        <v>433</v>
      </c>
      <c r="B212" s="0" t="s">
        <v>49</v>
      </c>
      <c r="C212" s="15" t="n">
        <f aca="false">G207*nim10_f</f>
        <v>0.0249126719284511</v>
      </c>
      <c r="K212" s="4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441</v>
      </c>
    </row>
    <row r="2" customFormat="false" ht="17.15" hidden="false" customHeight="false" outlineLevel="0" collapsed="false">
      <c r="A2" s="4" t="s">
        <v>442</v>
      </c>
    </row>
    <row r="3" customFormat="false" ht="17.15" hidden="false" customHeight="false" outlineLevel="0" collapsed="false">
      <c r="A3" s="4" t="s">
        <v>443</v>
      </c>
    </row>
    <row r="4" customFormat="false" ht="17.15" hidden="false" customHeight="false" outlineLevel="0" collapsed="false">
      <c r="A4" s="6" t="s">
        <v>444</v>
      </c>
    </row>
    <row r="5" customFormat="false" ht="15" hidden="false" customHeight="false" outlineLevel="0" collapsed="false">
      <c r="A5" s="5" t="s">
        <v>18</v>
      </c>
      <c r="B5" s="11" t="s">
        <v>445</v>
      </c>
      <c r="C5" s="11" t="s">
        <v>446</v>
      </c>
      <c r="D5" s="11" t="s">
        <v>447</v>
      </c>
      <c r="E5" s="5" t="s">
        <v>345</v>
      </c>
    </row>
    <row r="6" customFormat="false" ht="17.15" hidden="false" customHeight="false" outlineLevel="0" collapsed="false">
      <c r="A6" s="4" t="s">
        <v>448</v>
      </c>
      <c r="B6" s="27" t="n">
        <f aca="false">px</f>
        <v>322</v>
      </c>
    </row>
    <row r="7" customFormat="false" ht="17.15" hidden="false" customHeight="false" outlineLevel="0" collapsed="false">
      <c r="A7" s="4" t="s">
        <v>449</v>
      </c>
      <c r="B7" s="18" t="n">
        <f aca="false">px/PL!D14</f>
        <v>11.2107360333707</v>
      </c>
      <c r="C7" s="18" t="n">
        <f aca="false">px/PL!D27</f>
        <v>11.2107360333707</v>
      </c>
      <c r="D7" s="18" t="n">
        <f aca="false">px/PL!D40</f>
        <v>11.2107360333707</v>
      </c>
    </row>
    <row r="8" customFormat="false" ht="17.15" hidden="false" customHeight="false" outlineLevel="0" collapsed="false">
      <c r="A8" s="4" t="s">
        <v>450</v>
      </c>
      <c r="B8" s="18" t="n">
        <f aca="false">px/PL!E14</f>
        <v>7.3832828615818</v>
      </c>
      <c r="C8" s="18" t="n">
        <f aca="false">px/PL!E27</f>
        <v>7.3832828615818</v>
      </c>
      <c r="D8" s="18" t="n">
        <f aca="false">px/PL!E40</f>
        <v>7.3832828615818</v>
      </c>
      <c r="E8" s="8" t="s">
        <v>451</v>
      </c>
    </row>
    <row r="9" customFormat="false" ht="17.15" hidden="false" customHeight="false" outlineLevel="0" collapsed="false">
      <c r="A9" s="4" t="s">
        <v>452</v>
      </c>
      <c r="B9" s="18" t="n">
        <f aca="false">px/PL!F14</f>
        <v>6.20130758001893</v>
      </c>
      <c r="C9" s="18" t="n">
        <f aca="false">px/PL!F27</f>
        <v>7.67314718501047</v>
      </c>
      <c r="D9" s="18" t="n">
        <f aca="false">px/PL!F40</f>
        <v>10.2013340196073</v>
      </c>
    </row>
    <row r="10" customFormat="false" ht="17.15" hidden="false" customHeight="false" outlineLevel="0" collapsed="false">
      <c r="A10" s="4" t="s">
        <v>453</v>
      </c>
      <c r="B10" s="18" t="n">
        <f aca="false">px/PL!G14</f>
        <v>5.74649235505626</v>
      </c>
      <c r="C10" s="18" t="n">
        <f aca="false">px/PL!G27</f>
        <v>6.74337736044677</v>
      </c>
      <c r="D10" s="18" t="n">
        <f aca="false">px/PL!G40</f>
        <v>9.43245446916549</v>
      </c>
    </row>
    <row r="11" customFormat="false" ht="17.15" hidden="false" customHeight="false" outlineLevel="0" collapsed="false">
      <c r="A11" s="4" t="s">
        <v>454</v>
      </c>
      <c r="B11" s="16" t="n">
        <f aca="false">0.2*PL!D14+0.8*PL!E14</f>
        <v>40.6341224968788</v>
      </c>
    </row>
    <row r="12" customFormat="false" ht="17.15" hidden="false" customHeight="false" outlineLevel="0" collapsed="false">
      <c r="A12" s="4" t="s">
        <v>455</v>
      </c>
      <c r="B12" s="18" t="n">
        <f aca="false">px/B11</f>
        <v>7.92437439801323</v>
      </c>
      <c r="E12" s="8" t="s">
        <v>456</v>
      </c>
    </row>
    <row r="13" customFormat="false" ht="17.15" hidden="false" customHeight="false" outlineLevel="0" collapsed="false">
      <c r="A13" s="4" t="s">
        <v>457</v>
      </c>
      <c r="B13" s="18" t="n">
        <f aca="false">pe_ttm</f>
        <v>14.31</v>
      </c>
    </row>
    <row r="15" customFormat="false" ht="17.15" hidden="false" customHeight="false" outlineLevel="0" collapsed="false">
      <c r="A15" s="6" t="s">
        <v>458</v>
      </c>
    </row>
    <row r="16" customFormat="false" ht="17.15" hidden="false" customHeight="false" outlineLevel="0" collapsed="false">
      <c r="A16" s="5" t="s">
        <v>459</v>
      </c>
      <c r="B16" s="5" t="s">
        <v>460</v>
      </c>
      <c r="C16" s="11" t="s">
        <v>461</v>
      </c>
      <c r="D16" s="5" t="s">
        <v>462</v>
      </c>
      <c r="E16" s="5" t="s">
        <v>463</v>
      </c>
      <c r="F16" s="5" t="s">
        <v>345</v>
      </c>
    </row>
    <row r="17" customFormat="false" ht="17.15" hidden="false" customHeight="false" outlineLevel="0" collapsed="false">
      <c r="A17" s="0" t="s">
        <v>445</v>
      </c>
      <c r="B17" s="0" t="n">
        <f aca="false">INDEX({2026,2027,2028,2029},MATCH(MAX(PL!D77:G77),PL!D77:G77,0))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12.27</v>
      </c>
      <c r="E17" s="0" t="str">
        <f aca="false">IF(B17=2029,"是：營收到觀測期末仍在增加","否")</f>
        <v>是：營收到觀測期末仍在增加</v>
      </c>
      <c r="F17" s="8" t="s">
        <v>464</v>
      </c>
    </row>
    <row r="18" customFormat="false" ht="15" hidden="false" customHeight="false" outlineLevel="0" collapsed="false">
      <c r="A18" s="0" t="s">
        <v>446</v>
      </c>
      <c r="B18" s="0" t="n">
        <f aca="false">INDEX({2026,2027,2028,2029},MATCH(MAX(PL!D116:G116),PL!D116:G116,0))</f>
        <v>2027</v>
      </c>
      <c r="C18" s="0" t="str">
        <f aca="false">IF(B18=2029,"中段",IF(2027&lt;B18,"中段",IF(2027=B18,"見頂","谷底")))</f>
        <v>見頂</v>
      </c>
      <c r="D18" s="18" t="n">
        <f aca="false">IF(C18="見頂",pe_peak,IF(C18="谷底",pe_trough,pe_mid))</f>
        <v>10.81</v>
      </c>
      <c r="E18" s="0" t="str">
        <f aca="false">IF(B18=2029,"是：營收到觀測期末仍在增加","否")</f>
        <v>否</v>
      </c>
      <c r="F18" s="4" t="s">
        <v>35</v>
      </c>
    </row>
    <row r="19" customFormat="false" ht="15" hidden="false" customHeight="false" outlineLevel="0" collapsed="false">
      <c r="A19" s="0" t="s">
        <v>447</v>
      </c>
      <c r="B19" s="0" t="n">
        <f aca="false">INDEX({2026,2027,2028,2029},MATCH(MAX(PL!D155:G155),PL!D155:G155,0))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10.81</v>
      </c>
      <c r="E19" s="0" t="str">
        <f aca="false">IF(B19=2029,"是：營收到觀測期末仍在增加","否")</f>
        <v>否</v>
      </c>
      <c r="F19" s="4" t="s">
        <v>35</v>
      </c>
    </row>
    <row r="21" customFormat="false" ht="17.15" hidden="false" customHeight="false" outlineLevel="0" collapsed="false">
      <c r="A21" s="6" t="s">
        <v>465</v>
      </c>
    </row>
    <row r="22" customFormat="false" ht="17.15" hidden="false" customHeight="false" outlineLevel="0" collapsed="false">
      <c r="A22" s="5" t="s">
        <v>459</v>
      </c>
      <c r="B22" s="11" t="s">
        <v>466</v>
      </c>
      <c r="C22" s="5" t="s">
        <v>467</v>
      </c>
      <c r="D22" s="5" t="s">
        <v>468</v>
      </c>
      <c r="E22" s="5" t="s">
        <v>469</v>
      </c>
      <c r="F22" s="5" t="s">
        <v>470</v>
      </c>
      <c r="G22" s="5" t="s">
        <v>471</v>
      </c>
    </row>
    <row r="23" customFormat="false" ht="15" hidden="false" customHeight="false" outlineLevel="0" collapsed="false">
      <c r="A23" s="10" t="s">
        <v>445</v>
      </c>
      <c r="B23" s="28" t="n">
        <f aca="false">PL!E14</f>
        <v>43.61203627664</v>
      </c>
      <c r="C23" s="28" t="n">
        <f aca="false">B23</f>
        <v>43.61203627664</v>
      </c>
      <c r="D23" s="29" t="n">
        <f aca="false">D17</f>
        <v>12.27</v>
      </c>
      <c r="E23" s="30" t="n">
        <f aca="false">C23*D23</f>
        <v>535.119685114373</v>
      </c>
      <c r="F23" s="31" t="n">
        <f aca="false">E23/px-1</f>
        <v>0.661862376131592</v>
      </c>
      <c r="G23" s="29" t="n">
        <f aca="false">px/C23</f>
        <v>7.3832828615818</v>
      </c>
    </row>
    <row r="24" customFormat="false" ht="15" hidden="false" customHeight="false" outlineLevel="0" collapsed="false">
      <c r="A24" s="10" t="s">
        <v>446</v>
      </c>
      <c r="B24" s="28" t="n">
        <f aca="false">PL!E27</f>
        <v>43.61203627664</v>
      </c>
      <c r="C24" s="28" t="n">
        <f aca="false">B24</f>
        <v>43.61203627664</v>
      </c>
      <c r="D24" s="29" t="n">
        <f aca="false">D18</f>
        <v>10.81</v>
      </c>
      <c r="E24" s="30" t="n">
        <f aca="false">C24*D24</f>
        <v>471.446112150478</v>
      </c>
      <c r="F24" s="31" t="n">
        <f aca="false">E24/px-1</f>
        <v>0.464118360715771</v>
      </c>
      <c r="G24" s="29" t="n">
        <f aca="false">px/C24</f>
        <v>7.3832828615818</v>
      </c>
    </row>
    <row r="25" customFormat="false" ht="15" hidden="false" customHeight="false" outlineLevel="0" collapsed="false">
      <c r="A25" s="10" t="s">
        <v>447</v>
      </c>
      <c r="B25" s="28" t="n">
        <f aca="false">PL!E40</f>
        <v>43.61203627664</v>
      </c>
      <c r="C25" s="28" t="n">
        <f aca="false">B25</f>
        <v>43.61203627664</v>
      </c>
      <c r="D25" s="29" t="n">
        <f aca="false">D19</f>
        <v>10.81</v>
      </c>
      <c r="E25" s="30" t="n">
        <f aca="false">C25*D25</f>
        <v>471.446112150478</v>
      </c>
      <c r="F25" s="31" t="n">
        <f aca="false">E25/px-1</f>
        <v>0.464118360715771</v>
      </c>
      <c r="G25" s="29" t="n">
        <f aca="false">px/C25</f>
        <v>7.3832828615818</v>
      </c>
    </row>
    <row r="26" customFormat="false" ht="17.15" hidden="false" customHeight="false" outlineLevel="0" collapsed="false">
      <c r="A26" s="6" t="s">
        <v>472</v>
      </c>
    </row>
    <row r="27" customFormat="false" ht="17.15" hidden="false" customHeight="false" outlineLevel="0" collapsed="false">
      <c r="A27" s="11" t="s">
        <v>473</v>
      </c>
      <c r="B27" s="5" t="s">
        <v>474</v>
      </c>
      <c r="C27" s="5" t="s">
        <v>475</v>
      </c>
      <c r="D27" s="5" t="s">
        <v>476</v>
      </c>
      <c r="E27" s="5" t="s">
        <v>477</v>
      </c>
    </row>
    <row r="28" customFormat="false" ht="15" hidden="false" customHeight="false" outlineLevel="0" collapsed="false">
      <c r="A28" s="17" t="n">
        <v>1</v>
      </c>
      <c r="B28" s="18" t="n">
        <f aca="false">px*A28/PL!F14</f>
        <v>6.20130758001893</v>
      </c>
      <c r="C28" s="18" t="n">
        <f aca="false">px*A28/PL!F40</f>
        <v>10.2013340196073</v>
      </c>
      <c r="D28" s="18" t="n">
        <f aca="false">pe_fair_andy</f>
        <v>15</v>
      </c>
      <c r="E28" s="18" t="n">
        <f aca="false">pe_mid</f>
        <v>12.27</v>
      </c>
    </row>
    <row r="29" customFormat="false" ht="15" hidden="false" customHeight="false" outlineLevel="0" collapsed="false">
      <c r="A29" s="17" t="n">
        <v>1.1</v>
      </c>
      <c r="B29" s="18" t="n">
        <f aca="false">px*A29/PL!F14</f>
        <v>6.82143833802082</v>
      </c>
      <c r="C29" s="18" t="n">
        <f aca="false">px*A29/PL!F40</f>
        <v>11.221467421568</v>
      </c>
      <c r="D29" s="18" t="n">
        <f aca="false">pe_fair_andy</f>
        <v>15</v>
      </c>
      <c r="E29" s="18" t="n">
        <f aca="false">pe_mid</f>
        <v>12.27</v>
      </c>
    </row>
    <row r="30" customFormat="false" ht="15" hidden="false" customHeight="false" outlineLevel="0" collapsed="false">
      <c r="A30" s="17" t="n">
        <v>1.21</v>
      </c>
      <c r="B30" s="18" t="n">
        <f aca="false">px*A30/PL!F14</f>
        <v>7.5035821718229</v>
      </c>
      <c r="C30" s="18" t="n">
        <f aca="false">px*A30/PL!F40</f>
        <v>12.3436141637248</v>
      </c>
      <c r="D30" s="18" t="n">
        <f aca="false">pe_fair_andy</f>
        <v>15</v>
      </c>
      <c r="E30" s="18" t="n">
        <f aca="false">pe_mid</f>
        <v>12.27</v>
      </c>
    </row>
    <row r="31" customFormat="false" ht="15" hidden="false" customHeight="false" outlineLevel="0" collapsed="false">
      <c r="A31" s="17" t="n">
        <v>1.5</v>
      </c>
      <c r="B31" s="18" t="n">
        <f aca="false">px*A31/PL!F14</f>
        <v>9.30196137002839</v>
      </c>
      <c r="C31" s="18" t="n">
        <f aca="false">px*A31/PL!F40</f>
        <v>15.3020010294109</v>
      </c>
      <c r="D31" s="18" t="n">
        <f aca="false">pe_fair_andy</f>
        <v>15</v>
      </c>
      <c r="E31" s="18" t="n">
        <f aca="false">pe_mid</f>
        <v>12.27</v>
      </c>
    </row>
    <row r="32" customFormat="false" ht="15" hidden="false" customHeight="false" outlineLevel="0" collapsed="false">
      <c r="A32" s="17" t="n">
        <v>2</v>
      </c>
      <c r="B32" s="18" t="n">
        <f aca="false">px*A32/PL!F14</f>
        <v>12.4026151600379</v>
      </c>
      <c r="C32" s="18" t="n">
        <f aca="false">px*A32/PL!F40</f>
        <v>20.4026680392146</v>
      </c>
      <c r="D32" s="18" t="n">
        <f aca="false">pe_fair_andy</f>
        <v>15</v>
      </c>
      <c r="E32" s="18" t="n">
        <f aca="false">pe_mid</f>
        <v>12.27</v>
      </c>
    </row>
    <row r="33" customFormat="false" ht="17.15" hidden="false" customHeight="false" outlineLevel="0" collapsed="false">
      <c r="A33" s="4" t="s">
        <v>478</v>
      </c>
    </row>
    <row r="35" customFormat="false" ht="17.15" hidden="false" customHeight="false" outlineLevel="0" collapsed="false">
      <c r="A35" s="6" t="s">
        <v>479</v>
      </c>
    </row>
    <row r="36" customFormat="false" ht="15" hidden="false" customHeight="false" outlineLevel="0" collapsed="false">
      <c r="A36" s="5" t="s">
        <v>459</v>
      </c>
      <c r="B36" s="11" t="s">
        <v>466</v>
      </c>
      <c r="C36" s="11" t="s">
        <v>480</v>
      </c>
      <c r="D36" s="5" t="s">
        <v>470</v>
      </c>
      <c r="E36" s="11" t="s">
        <v>481</v>
      </c>
      <c r="F36" s="11" t="s">
        <v>480</v>
      </c>
      <c r="G36" s="5" t="s">
        <v>470</v>
      </c>
    </row>
    <row r="37" customFormat="false" ht="15" hidden="false" customHeight="false" outlineLevel="0" collapsed="false">
      <c r="A37" s="0" t="s">
        <v>445</v>
      </c>
      <c r="B37" s="16" t="n">
        <f aca="false">PL!E14</f>
        <v>43.61203627664</v>
      </c>
      <c r="C37" s="27" t="n">
        <f aca="false">B37*pe_fair_andy</f>
        <v>654.1805441496</v>
      </c>
      <c r="D37" s="32" t="n">
        <f aca="false">C37/px-1</f>
        <v>1.03161659673789</v>
      </c>
      <c r="E37" s="16" t="n">
        <f aca="false">PL!F14</f>
        <v>51.9245329868023</v>
      </c>
      <c r="F37" s="27" t="n">
        <f aca="false">E37*pe_fair_andy</f>
        <v>778.867994802035</v>
      </c>
      <c r="G37" s="32" t="n">
        <f aca="false">F37/px-1</f>
        <v>1.41884470435415</v>
      </c>
    </row>
    <row r="38" customFormat="false" ht="15" hidden="false" customHeight="false" outlineLevel="0" collapsed="false">
      <c r="A38" s="0" t="s">
        <v>446</v>
      </c>
      <c r="B38" s="16" t="n">
        <f aca="false">PL!E27</f>
        <v>43.61203627664</v>
      </c>
      <c r="C38" s="27" t="n">
        <f aca="false">B38*pe_fair_andy</f>
        <v>654.1805441496</v>
      </c>
      <c r="D38" s="32" t="n">
        <f aca="false">C38/px-1</f>
        <v>1.03161659673789</v>
      </c>
      <c r="E38" s="16" t="n">
        <f aca="false">PL!F27</f>
        <v>41.9645280138805</v>
      </c>
      <c r="F38" s="27" t="n">
        <f aca="false">E38*pe_fair_andy</f>
        <v>629.467920208208</v>
      </c>
      <c r="G38" s="32" t="n">
        <f aca="false">F38/px-1</f>
        <v>0.954869317416794</v>
      </c>
    </row>
    <row r="39" customFormat="false" ht="15" hidden="false" customHeight="false" outlineLevel="0" collapsed="false">
      <c r="A39" s="0" t="s">
        <v>447</v>
      </c>
      <c r="B39" s="16" t="n">
        <f aca="false">PL!E40</f>
        <v>43.61203627664</v>
      </c>
      <c r="C39" s="27" t="n">
        <f aca="false">B39*pe_fair_andy</f>
        <v>654.1805441496</v>
      </c>
      <c r="D39" s="32" t="n">
        <f aca="false">C39/px-1</f>
        <v>1.03161659673789</v>
      </c>
      <c r="E39" s="16" t="n">
        <f aca="false">PL!F40</f>
        <v>31.5644992489321</v>
      </c>
      <c r="F39" s="27" t="n">
        <f aca="false">E39*pe_fair_andy</f>
        <v>473.467488733982</v>
      </c>
      <c r="G39" s="32" t="n">
        <f aca="false">F39/px-1</f>
        <v>0.470395927745285</v>
      </c>
    </row>
    <row r="41" customFormat="false" ht="17.15" hidden="false" customHeight="false" outlineLevel="0" collapsed="false">
      <c r="A41" s="1" t="s">
        <v>482</v>
      </c>
    </row>
    <row r="42" customFormat="false" ht="17.15" hidden="false" customHeight="false" outlineLevel="0" collapsed="false">
      <c r="A42" s="33" t="s">
        <v>483</v>
      </c>
      <c r="B42" s="30" t="n">
        <f aca="false">tp_wA*B44+tp_wB*B45+tp_wC*B46</f>
        <v>490.548184039647</v>
      </c>
      <c r="C42" s="10"/>
      <c r="D42" s="10"/>
      <c r="E42" s="34" t="s">
        <v>484</v>
      </c>
    </row>
    <row r="43" customFormat="false" ht="17.15" hidden="false" customHeight="false" outlineLevel="0" collapsed="false">
      <c r="A43" s="34" t="s">
        <v>485</v>
      </c>
      <c r="B43" s="35" t="n">
        <f aca="false">B42/px-1</f>
        <v>0.523441565340518</v>
      </c>
      <c r="C43" s="34"/>
      <c r="D43" s="34"/>
      <c r="E43" s="34" t="s">
        <v>486</v>
      </c>
    </row>
    <row r="44" customFormat="false" ht="17.15" hidden="false" customHeight="false" outlineLevel="0" collapsed="false">
      <c r="A44" s="4" t="s">
        <v>487</v>
      </c>
      <c r="B44" s="27" t="n">
        <f aca="false">E23</f>
        <v>535.119685114373</v>
      </c>
      <c r="E44" s="4" t="s">
        <v>488</v>
      </c>
    </row>
    <row r="45" customFormat="false" ht="17.15" hidden="false" customHeight="false" outlineLevel="0" collapsed="false">
      <c r="A45" s="4" t="s">
        <v>489</v>
      </c>
      <c r="B45" s="27" t="n">
        <f aca="false">E24</f>
        <v>471.446112150478</v>
      </c>
      <c r="E45" s="4" t="s">
        <v>490</v>
      </c>
    </row>
    <row r="46" customFormat="false" ht="17.15" hidden="false" customHeight="false" outlineLevel="0" collapsed="false">
      <c r="A46" s="4" t="s">
        <v>491</v>
      </c>
      <c r="B46" s="27" t="n">
        <f aca="false">E25</f>
        <v>471.446112150478</v>
      </c>
      <c r="E46" s="4" t="s">
        <v>492</v>
      </c>
    </row>
    <row r="47" customFormat="false" ht="17.15" hidden="false" customHeight="false" outlineLevel="0" collapsed="false">
      <c r="A47" s="4" t="s">
        <v>493</v>
      </c>
      <c r="B47" s="32" t="n">
        <f aca="false">tp_wA</f>
        <v>0.3</v>
      </c>
      <c r="C47" s="32" t="n">
        <f aca="false">tp_wB</f>
        <v>0.5</v>
      </c>
      <c r="D47" s="32" t="n">
        <f aca="false">tp_wC</f>
        <v>0.2</v>
      </c>
      <c r="E47" s="8" t="s">
        <v>494</v>
      </c>
    </row>
    <row r="48" customFormat="false" ht="17.15" hidden="false" customHeight="false" outlineLevel="0" collapsed="false">
      <c r="A48" s="4" t="s">
        <v>495</v>
      </c>
      <c r="B48" s="0" t="s">
        <v>496</v>
      </c>
    </row>
    <row r="50" customFormat="false" ht="17.15" hidden="false" customHeight="false" outlineLevel="0" collapsed="false">
      <c r="A50" s="6" t="s">
        <v>497</v>
      </c>
    </row>
    <row r="51" customFormat="false" ht="17.15" hidden="false" customHeight="false" outlineLevel="0" collapsed="false">
      <c r="A51" s="4" t="s">
        <v>498</v>
      </c>
    </row>
    <row r="53" customFormat="false" ht="17.15" hidden="false" customHeight="false" outlineLevel="0" collapsed="false">
      <c r="A53" s="6" t="s">
        <v>499</v>
      </c>
    </row>
    <row r="54" customFormat="false" ht="17.15" hidden="false" customHeight="false" outlineLevel="0" collapsed="false">
      <c r="A54" s="5" t="s">
        <v>500</v>
      </c>
      <c r="B54" s="11" t="s">
        <v>501</v>
      </c>
      <c r="C54" s="11" t="s">
        <v>502</v>
      </c>
      <c r="D54" s="5" t="s">
        <v>503</v>
      </c>
    </row>
    <row r="55" customFormat="false" ht="17.15" hidden="false" customHeight="false" outlineLevel="0" collapsed="false">
      <c r="A55" s="0" t="s">
        <v>504</v>
      </c>
      <c r="B55" s="17" t="n">
        <v>9.26</v>
      </c>
      <c r="C55" s="16" t="n">
        <f aca="false">60.3/3.93</f>
        <v>15.3435114503817</v>
      </c>
      <c r="D55" s="8" t="s">
        <v>505</v>
      </c>
    </row>
    <row r="56" customFormat="false" ht="15" hidden="false" customHeight="false" outlineLevel="0" collapsed="false">
      <c r="A56" s="0" t="s">
        <v>506</v>
      </c>
      <c r="B56" s="17" t="n">
        <v>10.5</v>
      </c>
      <c r="C56" s="16" t="n">
        <f aca="false">61.9/3.73</f>
        <v>16.5951742627346</v>
      </c>
    </row>
    <row r="57" customFormat="false" ht="15" hidden="false" customHeight="false" outlineLevel="0" collapsed="false">
      <c r="A57" s="0" t="s">
        <v>507</v>
      </c>
      <c r="B57" s="17" t="n">
        <v>8.95</v>
      </c>
      <c r="C57" s="16" t="n">
        <f aca="false">52.7/3.92</f>
        <v>13.4438775510204</v>
      </c>
    </row>
    <row r="58" customFormat="false" ht="15" hidden="false" customHeight="false" outlineLevel="0" collapsed="false">
      <c r="A58" s="0" t="s">
        <v>508</v>
      </c>
      <c r="B58" s="17" t="n">
        <v>11.1</v>
      </c>
      <c r="C58" s="16" t="n">
        <f aca="false">64.3/4.14</f>
        <v>15.5314009661836</v>
      </c>
    </row>
    <row r="59" customFormat="false" ht="15" hidden="false" customHeight="false" outlineLevel="0" collapsed="false">
      <c r="A59" s="0" t="s">
        <v>509</v>
      </c>
      <c r="B59" s="17" t="n">
        <v>9.23</v>
      </c>
      <c r="C59" s="16" t="n">
        <f aca="false">80.9/6.57</f>
        <v>12.3135464231355</v>
      </c>
    </row>
    <row r="60" customFormat="false" ht="15" hidden="false" customHeight="false" outlineLevel="0" collapsed="false">
      <c r="A60" s="0" t="s">
        <v>510</v>
      </c>
      <c r="B60" s="17" t="n">
        <v>8.62</v>
      </c>
      <c r="C60" s="16" t="n">
        <f aca="false">94.7/8.73</f>
        <v>10.8476517754868</v>
      </c>
    </row>
    <row r="61" customFormat="false" ht="15" hidden="false" customHeight="false" outlineLevel="0" collapsed="false">
      <c r="A61" s="0" t="s">
        <v>511</v>
      </c>
      <c r="B61" s="17" t="n">
        <v>8.3</v>
      </c>
      <c r="C61" s="16" t="n">
        <f aca="false">72.3/7.51</f>
        <v>9.6271637816245</v>
      </c>
    </row>
    <row r="62" customFormat="false" ht="15" hidden="false" customHeight="false" outlineLevel="0" collapsed="false">
      <c r="A62" s="0" t="s">
        <v>512</v>
      </c>
      <c r="B62" s="17" t="n">
        <v>20.2</v>
      </c>
      <c r="C62" s="16" t="n">
        <f aca="false">224.5/10.29</f>
        <v>21.8172983479106</v>
      </c>
    </row>
    <row r="63" customFormat="false" ht="15" hidden="false" customHeight="false" outlineLevel="0" collapsed="false">
      <c r="A63" s="0" t="s">
        <v>513</v>
      </c>
      <c r="B63" s="17" t="n">
        <v>17.7</v>
      </c>
      <c r="C63" s="16" t="n">
        <f aca="false">287/15.49</f>
        <v>18.5280826339574</v>
      </c>
    </row>
    <row r="64" customFormat="false" ht="15" hidden="false" customHeight="false" outlineLevel="0" collapsed="false">
      <c r="A64" s="0" t="s">
        <v>514</v>
      </c>
      <c r="B64" s="17" t="n">
        <v>13.5</v>
      </c>
      <c r="C64" s="16" t="n">
        <f aca="false">272/19.45</f>
        <v>13.9845758354756</v>
      </c>
    </row>
    <row r="65" customFormat="false" ht="17.15" hidden="false" customHeight="false" outlineLevel="0" collapsed="false">
      <c r="A65" s="0" t="s">
        <v>515</v>
      </c>
      <c r="B65" s="16" t="n">
        <f aca="false">PERCENTILE(B55:B64,0.25)</f>
        <v>9.02</v>
      </c>
      <c r="C65" s="16" t="n">
        <f aca="false">PERCENTILE(C55:C64,0.25)</f>
        <v>12.5961292051067</v>
      </c>
    </row>
    <row r="66" customFormat="false" ht="15" hidden="false" customHeight="false" outlineLevel="0" collapsed="false">
      <c r="A66" s="4" t="s">
        <v>516</v>
      </c>
      <c r="B66" s="16" t="n">
        <f aca="false">MEDIAN(B55:B64)</f>
        <v>9.88</v>
      </c>
      <c r="C66" s="16" t="n">
        <f aca="false">MEDIAN(C55:C64)</f>
        <v>14.6640436429286</v>
      </c>
    </row>
    <row r="67" customFormat="false" ht="17.15" hidden="false" customHeight="false" outlineLevel="0" collapsed="false">
      <c r="A67" s="0" t="s">
        <v>517</v>
      </c>
      <c r="B67" s="16" t="n">
        <f aca="false">PERCENTILE(B55:B64,0.75)</f>
        <v>12.9</v>
      </c>
      <c r="C67" s="16" t="n">
        <f aca="false">PERCENTILE(C55:C64,0.75)</f>
        <v>16.3292309385968</v>
      </c>
    </row>
    <row r="68" customFormat="false" ht="15" hidden="false" customHeight="false" outlineLevel="0" collapsed="false">
      <c r="A68" s="4" t="s">
        <v>518</v>
      </c>
      <c r="B68" s="16" t="n">
        <f aca="false">MIN(B55:B64)</f>
        <v>8.3</v>
      </c>
      <c r="C68" s="16" t="n">
        <f aca="false">MIN(C55:C64)</f>
        <v>9.6271637816245</v>
      </c>
    </row>
    <row r="69" customFormat="false" ht="15" hidden="false" customHeight="false" outlineLevel="0" collapsed="false">
      <c r="A69" s="4" t="s">
        <v>519</v>
      </c>
      <c r="B69" s="16" t="n">
        <f aca="false">MAX(B55:B64)</f>
        <v>20.2</v>
      </c>
      <c r="C69" s="16" t="n">
        <f aca="false">MAX(C55:C64)</f>
        <v>21.8172983479106</v>
      </c>
    </row>
    <row r="70" customFormat="false" ht="17.15" hidden="false" customHeight="false" outlineLevel="0" collapsed="false">
      <c r="A70" s="1" t="s">
        <v>520</v>
      </c>
      <c r="B70" s="16" t="n">
        <f aca="false">ROUND(AVERAGE(B65,C65),2)</f>
        <v>10.81</v>
      </c>
    </row>
    <row r="71" customFormat="false" ht="17.15" hidden="false" customHeight="false" outlineLevel="0" collapsed="false">
      <c r="A71" s="1" t="s">
        <v>521</v>
      </c>
      <c r="B71" s="16" t="n">
        <f aca="false">ROUND(AVERAGE(B66,C66),2)</f>
        <v>12.27</v>
      </c>
    </row>
    <row r="72" customFormat="false" ht="17.15" hidden="false" customHeight="false" outlineLevel="0" collapsed="false">
      <c r="A72" s="1" t="s">
        <v>522</v>
      </c>
      <c r="B72" s="16" t="n">
        <f aca="false">ROUND(AVERAGE(B67,C67),2)</f>
        <v>14.61</v>
      </c>
    </row>
    <row r="73" customFormat="false" ht="17.15" hidden="false" customHeight="false" outlineLevel="0" collapsed="false">
      <c r="A73" s="1" t="s">
        <v>523</v>
      </c>
      <c r="B73" s="16" t="n">
        <f aca="false">ROUND(MIN(B68,C68),2)</f>
        <v>8.3</v>
      </c>
    </row>
    <row r="74" customFormat="false" ht="17.15" hidden="false" customHeight="false" outlineLevel="0" collapsed="false">
      <c r="A74" s="1" t="s">
        <v>524</v>
      </c>
      <c r="B74" s="16" t="n">
        <f aca="false">ROUND(MAX(B69,C69),2)</f>
        <v>21.82</v>
      </c>
    </row>
    <row r="76" customFormat="false" ht="17.15" hidden="false" customHeight="false" outlineLevel="0" collapsed="false">
      <c r="A76" s="6" t="s">
        <v>525</v>
      </c>
    </row>
    <row r="77" customFormat="false" ht="17.15" hidden="false" customHeight="false" outlineLevel="0" collapsed="false">
      <c r="A77" s="5" t="s">
        <v>526</v>
      </c>
      <c r="B77" s="5" t="s">
        <v>527</v>
      </c>
      <c r="C77" s="5" t="s">
        <v>528</v>
      </c>
      <c r="D77" s="5" t="s">
        <v>21</v>
      </c>
      <c r="E77" s="5" t="s">
        <v>529</v>
      </c>
      <c r="F77" s="5" t="s">
        <v>469</v>
      </c>
      <c r="G77" s="5" t="s">
        <v>530</v>
      </c>
      <c r="H77" s="5" t="s">
        <v>531</v>
      </c>
    </row>
    <row r="78" customFormat="false" ht="17.15" hidden="false" customHeight="false" outlineLevel="0" collapsed="false">
      <c r="A78" s="4" t="s">
        <v>532</v>
      </c>
      <c r="B78" s="0" t="s">
        <v>533</v>
      </c>
      <c r="C78" s="16" t="n">
        <f aca="false">B70</f>
        <v>10.81</v>
      </c>
      <c r="D78" s="8" t="s">
        <v>534</v>
      </c>
      <c r="E78" s="21" t="n">
        <f aca="false">C23</f>
        <v>43.61203627664</v>
      </c>
      <c r="F78" s="19" t="n">
        <f aca="false">C78*E78</f>
        <v>471.446112150478</v>
      </c>
      <c r="G78" s="15" t="n">
        <f aca="false">F78/px-1</f>
        <v>0.464118360715771</v>
      </c>
      <c r="H78" s="16" t="n">
        <f aca="false">px/E78</f>
        <v>7.3832828615818</v>
      </c>
    </row>
    <row r="79" customFormat="false" ht="17.15" hidden="false" customHeight="false" outlineLevel="0" collapsed="false">
      <c r="A79" s="4" t="s">
        <v>535</v>
      </c>
      <c r="B79" s="4" t="s">
        <v>536</v>
      </c>
      <c r="C79" s="16" t="n">
        <f aca="false">B71</f>
        <v>12.27</v>
      </c>
      <c r="D79" s="8" t="s">
        <v>534</v>
      </c>
      <c r="E79" s="21" t="n">
        <f aca="false">C23</f>
        <v>43.61203627664</v>
      </c>
      <c r="F79" s="19" t="n">
        <f aca="false">C79*E79</f>
        <v>535.119685114373</v>
      </c>
      <c r="G79" s="15" t="n">
        <f aca="false">F79/px-1</f>
        <v>0.661862376131592</v>
      </c>
      <c r="H79" s="16" t="n">
        <f aca="false">px/E79</f>
        <v>7.3832828615818</v>
      </c>
    </row>
    <row r="80" customFormat="false" ht="17.15" hidden="false" customHeight="false" outlineLevel="0" collapsed="false">
      <c r="A80" s="4" t="s">
        <v>537</v>
      </c>
      <c r="B80" s="0" t="s">
        <v>538</v>
      </c>
      <c r="C80" s="16" t="n">
        <f aca="false">B72</f>
        <v>14.61</v>
      </c>
      <c r="D80" s="8" t="s">
        <v>534</v>
      </c>
      <c r="E80" s="21" t="n">
        <f aca="false">C23</f>
        <v>43.61203627664</v>
      </c>
      <c r="F80" s="19" t="n">
        <f aca="false">C80*E80</f>
        <v>637.17185000171</v>
      </c>
      <c r="G80" s="15" t="n">
        <f aca="false">F80/px-1</f>
        <v>0.978794565222703</v>
      </c>
      <c r="H80" s="16" t="n">
        <f aca="false">px/E80</f>
        <v>7.3832828615818</v>
      </c>
    </row>
    <row r="85" customFormat="false" ht="17.15" hidden="false" customHeight="false" outlineLevel="0" collapsed="false">
      <c r="A85" s="6" t="s">
        <v>539</v>
      </c>
    </row>
    <row r="86" customFormat="false" ht="17.15" hidden="false" customHeight="false" outlineLevel="0" collapsed="false">
      <c r="A86" s="6" t="s">
        <v>540</v>
      </c>
    </row>
    <row r="87" customFormat="false" ht="17.15" hidden="false" customHeight="false" outlineLevel="0" collapsed="false">
      <c r="A87" s="5" t="s">
        <v>18</v>
      </c>
      <c r="B87" s="11" t="s">
        <v>541</v>
      </c>
      <c r="C87" s="11" t="s">
        <v>542</v>
      </c>
      <c r="D87" s="11" t="s">
        <v>543</v>
      </c>
      <c r="E87" s="5" t="s">
        <v>345</v>
      </c>
    </row>
    <row r="88" customFormat="false" ht="17.15" hidden="false" customHeight="false" outlineLevel="0" collapsed="false">
      <c r="A88" s="4" t="s">
        <v>544</v>
      </c>
      <c r="E88" s="0" t="s">
        <v>545</v>
      </c>
    </row>
    <row r="89" customFormat="false" ht="15" hidden="false" customHeight="false" outlineLevel="0" collapsed="false">
      <c r="A89" s="0" t="s">
        <v>546</v>
      </c>
      <c r="B89" s="16" t="n">
        <f aca="false">PL!E185</f>
        <v>43.61203627664</v>
      </c>
      <c r="C89" s="16" t="n">
        <f aca="false">PL!E197</f>
        <v>43.61203627664</v>
      </c>
      <c r="D89" s="16" t="n">
        <f aca="false">PL!E209</f>
        <v>43.61203627664</v>
      </c>
    </row>
    <row r="90" customFormat="false" ht="15" hidden="false" customHeight="false" outlineLevel="0" collapsed="false">
      <c r="A90" s="0" t="s">
        <v>547</v>
      </c>
      <c r="B90" s="16" t="n">
        <f aca="false">PL!F185</f>
        <v>51.9245329868023</v>
      </c>
      <c r="C90" s="16" t="n">
        <f aca="false">PL!F197</f>
        <v>41.9645280138805</v>
      </c>
      <c r="D90" s="16" t="n">
        <f aca="false">PL!F209</f>
        <v>31.5644992489321</v>
      </c>
    </row>
    <row r="91" customFormat="false" ht="15" hidden="false" customHeight="false" outlineLevel="0" collapsed="false">
      <c r="A91" s="0" t="s">
        <v>548</v>
      </c>
      <c r="B91" s="16" t="n">
        <f aca="false">PL!G185</f>
        <v>56.0341822636685</v>
      </c>
      <c r="C91" s="16" t="n">
        <f aca="false">PL!G197</f>
        <v>47.7505532893189</v>
      </c>
      <c r="D91" s="16" t="n">
        <f aca="false">PL!G209</f>
        <v>34.1374560622171</v>
      </c>
    </row>
    <row r="92" customFormat="false" ht="15" hidden="false" customHeight="false" outlineLevel="0" collapsed="false">
      <c r="A92" s="0" t="s">
        <v>549</v>
      </c>
      <c r="B92" s="16" t="n">
        <f aca="false">PL!H185</f>
        <v>57.6623891875869</v>
      </c>
      <c r="C92" s="16" t="n">
        <f aca="false">PL!H197</f>
        <v>48.6363426207185</v>
      </c>
      <c r="D92" s="16" t="n">
        <f aca="false">PL!H209</f>
        <v>32.3802070238784</v>
      </c>
    </row>
    <row r="93" customFormat="false" ht="15" hidden="false" customHeight="false" outlineLevel="0" collapsed="false">
      <c r="A93" s="0" t="s">
        <v>550</v>
      </c>
      <c r="B93" s="16" t="n">
        <f aca="false">PL!I185</f>
        <v>60.2300200445935</v>
      </c>
      <c r="C93" s="16" t="n">
        <f aca="false">PL!I197</f>
        <v>49.158627873752</v>
      </c>
      <c r="D93" s="16" t="n">
        <f aca="false">PL!I209</f>
        <v>30.6126971472798</v>
      </c>
    </row>
    <row r="94" customFormat="false" ht="15" hidden="false" customHeight="false" outlineLevel="0" collapsed="false">
      <c r="A94" s="0" t="s">
        <v>551</v>
      </c>
      <c r="B94" s="16" t="n">
        <f aca="false">PL!J185</f>
        <v>63.8438212472691</v>
      </c>
      <c r="C94" s="16" t="n">
        <f aca="false">PL!J197</f>
        <v>49.2990810962485</v>
      </c>
      <c r="D94" s="16" t="n">
        <f aca="false">PL!J209</f>
        <v>28.8230317755927</v>
      </c>
    </row>
    <row r="95" customFormat="false" ht="17.15" hidden="false" customHeight="false" outlineLevel="0" collapsed="false">
      <c r="A95" s="4" t="s">
        <v>552</v>
      </c>
    </row>
    <row r="96" customFormat="false" ht="17.15" hidden="false" customHeight="false" outlineLevel="0" collapsed="false">
      <c r="A96" s="4" t="s">
        <v>553</v>
      </c>
      <c r="B96" s="15" t="n">
        <f aca="false">MIN(tp_g/tp_roe,0.8)</f>
        <v>0.14729348226341</v>
      </c>
      <c r="E96" s="8" t="s">
        <v>554</v>
      </c>
    </row>
    <row r="97" customFormat="false" ht="15" hidden="false" customHeight="false" outlineLevel="0" collapsed="false">
      <c r="A97" s="0" t="s">
        <v>546</v>
      </c>
      <c r="B97" s="16" t="n">
        <f aca="false">B89*(1-$B$96)</f>
        <v>37.1882675848555</v>
      </c>
      <c r="C97" s="16" t="n">
        <f aca="false">C89*(1-$B$96)</f>
        <v>37.1882675848555</v>
      </c>
      <c r="D97" s="16" t="n">
        <f aca="false">D89*(1-$B$96)</f>
        <v>37.1882675848555</v>
      </c>
    </row>
    <row r="98" customFormat="false" ht="15" hidden="false" customHeight="false" outlineLevel="0" collapsed="false">
      <c r="A98" s="0" t="s">
        <v>547</v>
      </c>
      <c r="B98" s="16" t="n">
        <f aca="false">B90*(1-$B$96)</f>
        <v>44.2763877082749</v>
      </c>
      <c r="C98" s="16" t="n">
        <f aca="false">C90*(1-$B$96)</f>
        <v>35.7834265511756</v>
      </c>
      <c r="D98" s="16" t="n">
        <f aca="false">D90*(1-$B$96)</f>
        <v>26.9152542386561</v>
      </c>
    </row>
    <row r="99" customFormat="false" ht="15" hidden="false" customHeight="false" outlineLevel="0" collapsed="false">
      <c r="A99" s="0" t="s">
        <v>548</v>
      </c>
      <c r="B99" s="16" t="n">
        <f aca="false">B91*(1-$B$96)</f>
        <v>47.7807124322702</v>
      </c>
      <c r="C99" s="16" t="n">
        <f aca="false">C91*(1-$B$96)</f>
        <v>40.7172080153306</v>
      </c>
      <c r="D99" s="16" t="n">
        <f aca="false">D91*(1-$B$96)</f>
        <v>29.109231283199</v>
      </c>
    </row>
    <row r="100" customFormat="false" ht="15" hidden="false" customHeight="false" outlineLevel="0" collapsed="false">
      <c r="A100" s="0" t="s">
        <v>549</v>
      </c>
      <c r="B100" s="16" t="n">
        <f aca="false">B92*(1-$B$96)</f>
        <v>49.1690950885192</v>
      </c>
      <c r="C100" s="16" t="n">
        <f aca="false">C92*(1-$B$96)</f>
        <v>41.4725263515566</v>
      </c>
      <c r="D100" s="16" t="n">
        <f aca="false">D92*(1-$B$96)</f>
        <v>27.6108135749212</v>
      </c>
    </row>
    <row r="101" customFormat="false" ht="15" hidden="false" customHeight="false" outlineLevel="0" collapsed="false">
      <c r="A101" s="0" t="s">
        <v>550</v>
      </c>
      <c r="B101" s="16" t="n">
        <f aca="false">B93*(1-$B$96)</f>
        <v>51.3585306554303</v>
      </c>
      <c r="C101" s="16" t="n">
        <f aca="false">C93*(1-$B$96)</f>
        <v>41.917882390936</v>
      </c>
      <c r="D101" s="16" t="n">
        <f aca="false">D93*(1-$B$96)</f>
        <v>26.1036463829818</v>
      </c>
    </row>
    <row r="102" customFormat="false" ht="15" hidden="false" customHeight="false" outlineLevel="0" collapsed="false">
      <c r="A102" s="0" t="s">
        <v>551</v>
      </c>
      <c r="B102" s="16" t="n">
        <f aca="false">B94*(1-$B$96)</f>
        <v>54.4400424947561</v>
      </c>
      <c r="C102" s="16" t="n">
        <f aca="false">C94*(1-$B$96)</f>
        <v>42.0376477691958</v>
      </c>
      <c r="D102" s="16" t="n">
        <f aca="false">D94*(1-$B$96)</f>
        <v>24.5775870559767</v>
      </c>
    </row>
    <row r="103" customFormat="false" ht="17.15" hidden="false" customHeight="false" outlineLevel="0" collapsed="false">
      <c r="A103" s="0" t="s">
        <v>555</v>
      </c>
      <c r="B103" s="27" t="n">
        <f aca="false">SUMPRODUCT(B97:B102,1/(1+tp_r)^{1;2;3;4;5;6})+B102*(1+tp_g)/(tp_r-tp_g)/(1+tp_r)^6</f>
        <v>735.153742284008</v>
      </c>
      <c r="C103" s="27" t="n">
        <f aca="false">SUMPRODUCT(C97:C102,1/(1+tp_r)^{1;2;3;4;5;6})+C102*(1+tp_g)/(tp_r-tp_g)/(1+tp_r)^6</f>
        <v>583.360568519742</v>
      </c>
      <c r="D103" s="27" t="n">
        <f aca="false">SUMPRODUCT(D97:D102,1/(1+tp_r)^{1;2;3;4;5;6})+D102*(1+tp_g)/(tp_r-tp_g)/(1+tp_r)^6</f>
        <v>367.334389766999</v>
      </c>
      <c r="E103" s="8" t="s">
        <v>556</v>
      </c>
    </row>
    <row r="104" customFormat="false" ht="17.15" hidden="false" customHeight="false" outlineLevel="0" collapsed="false">
      <c r="A104" s="0" t="s">
        <v>557</v>
      </c>
      <c r="B104" s="27" t="n">
        <f aca="false">B103*(1+tp_r)</f>
        <v>808.669116512409</v>
      </c>
      <c r="C104" s="27" t="n">
        <f aca="false">C103*(1+tp_r)</f>
        <v>641.696625371716</v>
      </c>
      <c r="D104" s="27" t="n">
        <f aca="false">D103*(1+tp_r)</f>
        <v>404.067828743699</v>
      </c>
    </row>
    <row r="105" customFormat="false" ht="17.15" hidden="false" customHeight="false" outlineLevel="0" collapsed="false">
      <c r="A105" s="0" t="s">
        <v>558</v>
      </c>
      <c r="B105" s="30" t="n">
        <f aca="false">tp_wA*B104+tp_wB*C104+tp_wC*D104</f>
        <v>644.262613388321</v>
      </c>
      <c r="E105" s="8" t="s">
        <v>559</v>
      </c>
    </row>
    <row r="107" customFormat="false" ht="17.15" hidden="false" customHeight="false" outlineLevel="0" collapsed="false">
      <c r="A107" s="6" t="s">
        <v>560</v>
      </c>
    </row>
    <row r="108" customFormat="false" ht="17.15" hidden="false" customHeight="false" outlineLevel="0" collapsed="false">
      <c r="A108" s="5" t="s">
        <v>561</v>
      </c>
      <c r="B108" s="5" t="s">
        <v>562</v>
      </c>
      <c r="C108" s="5" t="s">
        <v>563</v>
      </c>
      <c r="D108" s="5" t="s">
        <v>564</v>
      </c>
      <c r="E108" s="5" t="s">
        <v>565</v>
      </c>
      <c r="F108" s="5" t="s">
        <v>23</v>
      </c>
    </row>
    <row r="109" customFormat="false" ht="17.15" hidden="false" customHeight="false" outlineLevel="0" collapsed="false">
      <c r="A109" s="4" t="s">
        <v>566</v>
      </c>
      <c r="B109" s="0" t="s">
        <v>567</v>
      </c>
      <c r="C109" s="36" t="n">
        <v>9.93</v>
      </c>
      <c r="D109" s="8" t="s">
        <v>568</v>
      </c>
      <c r="E109" s="8" t="s">
        <v>569</v>
      </c>
      <c r="F109" s="8" t="s">
        <v>570</v>
      </c>
    </row>
    <row r="110" customFormat="false" ht="17.15" hidden="false" customHeight="false" outlineLevel="0" collapsed="false">
      <c r="A110" s="4" t="s">
        <v>571</v>
      </c>
      <c r="B110" s="0" t="s">
        <v>572</v>
      </c>
      <c r="C110" s="36" t="n">
        <v>13.87</v>
      </c>
      <c r="D110" s="8" t="s">
        <v>573</v>
      </c>
      <c r="E110" s="8" t="s">
        <v>569</v>
      </c>
      <c r="F110" s="8" t="s">
        <v>570</v>
      </c>
    </row>
    <row r="111" customFormat="false" ht="17.15" hidden="false" customHeight="false" outlineLevel="0" collapsed="false">
      <c r="A111" s="4" t="s">
        <v>574</v>
      </c>
      <c r="B111" s="0" t="s">
        <v>575</v>
      </c>
      <c r="C111" s="36" t="n">
        <v>11.37</v>
      </c>
      <c r="D111" s="8" t="s">
        <v>576</v>
      </c>
      <c r="E111" s="8" t="s">
        <v>569</v>
      </c>
      <c r="F111" s="8" t="s">
        <v>570</v>
      </c>
    </row>
    <row r="112" customFormat="false" ht="17.15" hidden="false" customHeight="false" outlineLevel="0" collapsed="false">
      <c r="A112" s="4" t="s">
        <v>577</v>
      </c>
      <c r="B112" s="0" t="s">
        <v>578</v>
      </c>
      <c r="C112" s="36" t="n">
        <v>18</v>
      </c>
      <c r="D112" s="8" t="s">
        <v>579</v>
      </c>
      <c r="E112" s="8" t="s">
        <v>569</v>
      </c>
      <c r="F112" s="8" t="s">
        <v>570</v>
      </c>
    </row>
    <row r="113" customFormat="false" ht="17.15" hidden="false" customHeight="false" outlineLevel="0" collapsed="false">
      <c r="A113" s="0" t="s">
        <v>580</v>
      </c>
      <c r="B113" s="0" t="s">
        <v>581</v>
      </c>
      <c r="C113" s="36" t="n">
        <v>7.06</v>
      </c>
      <c r="D113" s="8" t="s">
        <v>582</v>
      </c>
      <c r="E113" s="8" t="s">
        <v>569</v>
      </c>
      <c r="F113" s="8" t="s">
        <v>570</v>
      </c>
    </row>
    <row r="114" customFormat="false" ht="17.15" hidden="false" customHeight="false" outlineLevel="0" collapsed="false">
      <c r="A114" s="4" t="s">
        <v>583</v>
      </c>
      <c r="B114" s="18" t="n">
        <f aca="false">MEDIAN(C109:C113)</f>
        <v>11.37</v>
      </c>
      <c r="E114" s="8" t="s">
        <v>584</v>
      </c>
    </row>
    <row r="115" customFormat="false" ht="17.15" hidden="false" customHeight="false" outlineLevel="0" collapsed="false">
      <c r="A115" s="0" t="s">
        <v>585</v>
      </c>
      <c r="B115" s="16" t="n">
        <f aca="false">tp_wA*(0.166666666666667*B89+0.833333333333333*B90)+tp_wB*(0.166666666666667*C89+0.833333333333333*C90)+tp_wC*(0.166666666666667*D89+0.833333333333333*D90)</f>
        <v>42.9957758400795</v>
      </c>
      <c r="E115" s="4" t="s">
        <v>586</v>
      </c>
    </row>
    <row r="116" customFormat="false" ht="17.15" hidden="false" customHeight="false" outlineLevel="0" collapsed="false">
      <c r="A116" s="0" t="s">
        <v>587</v>
      </c>
      <c r="B116" s="30" t="n">
        <f aca="false">B114*B115</f>
        <v>488.861971301704</v>
      </c>
      <c r="E116" s="4" t="s">
        <v>588</v>
      </c>
    </row>
    <row r="118" customFormat="false" ht="17.15" hidden="false" customHeight="false" outlineLevel="0" collapsed="false">
      <c r="A118" s="6" t="s">
        <v>589</v>
      </c>
    </row>
    <row r="119" customFormat="false" ht="15" hidden="false" customHeight="false" outlineLevel="0" collapsed="false">
      <c r="A119" s="5" t="s">
        <v>18</v>
      </c>
      <c r="B119" s="5" t="s">
        <v>590</v>
      </c>
      <c r="C119" s="5"/>
      <c r="D119" s="5"/>
      <c r="E119" s="5" t="s">
        <v>345</v>
      </c>
    </row>
    <row r="120" customFormat="false" ht="17.15" hidden="false" customHeight="false" outlineLevel="0" collapsed="false">
      <c r="A120" s="1" t="s">
        <v>591</v>
      </c>
      <c r="B120" s="30" t="n">
        <f aca="false">tp_w_dcf*B105+(1-tp_w_dcf)*B116</f>
        <v>566.562292345012</v>
      </c>
      <c r="E120" s="8" t="s">
        <v>592</v>
      </c>
    </row>
    <row r="121" customFormat="false" ht="17.15" hidden="false" customHeight="false" outlineLevel="0" collapsed="false">
      <c r="A121" s="0" t="s">
        <v>593</v>
      </c>
      <c r="B121" s="27" t="n">
        <f aca="false">B116</f>
        <v>488.861971301704</v>
      </c>
      <c r="E121" s="4" t="s">
        <v>594</v>
      </c>
    </row>
    <row r="122" customFormat="false" ht="17.15" hidden="false" customHeight="false" outlineLevel="0" collapsed="false">
      <c r="A122" s="4" t="s">
        <v>595</v>
      </c>
      <c r="B122" s="27" t="n">
        <f aca="false">cons_tp</f>
        <v>427.84</v>
      </c>
      <c r="E122" s="8" t="s">
        <v>288</v>
      </c>
    </row>
    <row r="123" customFormat="false" ht="17.15" hidden="false" customHeight="false" outlineLevel="0" collapsed="false">
      <c r="A123" s="4" t="s">
        <v>596</v>
      </c>
      <c r="B123" s="15" t="n">
        <f aca="false">B120/px-1</f>
        <v>0.75951022467395</v>
      </c>
      <c r="E123" s="4" t="s">
        <v>597</v>
      </c>
    </row>
    <row r="124" customFormat="false" ht="17.15" hidden="false" customHeight="false" outlineLevel="0" collapsed="false">
      <c r="A124" s="4" t="s">
        <v>598</v>
      </c>
      <c r="B124" s="15" t="n">
        <f aca="false">B121/px-1</f>
        <v>0.518204879818955</v>
      </c>
    </row>
    <row r="125" customFormat="false" ht="17.15" hidden="false" customHeight="false" outlineLevel="0" collapsed="false">
      <c r="A125" s="4" t="s">
        <v>599</v>
      </c>
      <c r="B125" s="15" t="n">
        <f aca="false">B115/cons_feps-1</f>
        <v>0.505517723688232</v>
      </c>
      <c r="E125" s="4" t="s">
        <v>600</v>
      </c>
    </row>
    <row r="126" customFormat="false" ht="17.15" hidden="false" customHeight="false" outlineLevel="0" collapsed="false">
      <c r="A126" s="4" t="s">
        <v>601</v>
      </c>
      <c r="B126" s="15" t="n">
        <f aca="false">(cons_tp/cons_feps)/B114-1</f>
        <v>0.317592164486959</v>
      </c>
      <c r="E126" s="0" t="str">
        <f aca="false">"共識目標價 ÷ 共識前瞻 EPS 隱含 "&amp;TEXT(cons_tp/cons_feps,"0.0")&amp;"x，同業中位數 "&amp;TEXT(B114,"0.0")&amp;"x"</f>
        <v>共識目標價 ÷ 共識前瞻 EPS 隱含 15.0x，同業中位數 11.4x</v>
      </c>
    </row>
    <row r="127" customFormat="false" ht="17.15" hidden="false" customHeight="false" outlineLevel="0" collapsed="false">
      <c r="A127" s="4" t="s">
        <v>602</v>
      </c>
      <c r="B127" s="37" t="str">
        <f aca="false">TEXT(D104,"#,##0")&amp;"～"&amp;TEXT(B104,"#,##0")</f>
        <v>404～809</v>
      </c>
      <c r="E127" s="8" t="s">
        <v>603</v>
      </c>
    </row>
    <row r="128" customFormat="false" ht="17.15" hidden="false" customHeight="false" outlineLevel="0" collapsed="false">
      <c r="A128" s="4" t="s">
        <v>604</v>
      </c>
      <c r="B128" s="32" t="n">
        <f aca="false">IF(px/B90&lt;=MIN($B$132:$K$132),0,IF(px/B90&gt;=MAX($B$132:$K$132),1,PERCENTRANK($B$132:$K$132,px/B90)))</f>
        <v>0</v>
      </c>
      <c r="C128" s="32" t="n">
        <f aca="false">IF(px/C90&lt;=MIN($B$132:$K$132),0,IF(px/C90&gt;=MAX($B$132:$K$132),1,PERCENTRANK($B$132:$K$132,px/C90)))</f>
        <v>0</v>
      </c>
      <c r="D128" s="32" t="n">
        <f aca="false">IF(px/D90&lt;=MIN($B$132:$K$132),0,IF(px/D90&gt;=MAX($B$132:$K$132),1,PERCENTRANK($B$132:$K$132,px/D90)))</f>
        <v>0.161</v>
      </c>
      <c r="E128" s="4" t="s">
        <v>605</v>
      </c>
    </row>
    <row r="129" customFormat="false" ht="17.15" hidden="false" customHeight="false" outlineLevel="0" collapsed="false">
      <c r="A129" s="4" t="s">
        <v>606</v>
      </c>
      <c r="B129" s="0" t="s">
        <v>607</v>
      </c>
    </row>
    <row r="131" customFormat="false" ht="17.15" hidden="false" customHeight="false" outlineLevel="0" collapsed="false">
      <c r="A131" s="1" t="s">
        <v>608</v>
      </c>
      <c r="B131" s="8" t="s">
        <v>504</v>
      </c>
      <c r="C131" s="8" t="s">
        <v>506</v>
      </c>
      <c r="D131" s="8" t="s">
        <v>507</v>
      </c>
      <c r="E131" s="8" t="s">
        <v>508</v>
      </c>
      <c r="F131" s="8" t="s">
        <v>509</v>
      </c>
      <c r="G131" s="8" t="s">
        <v>510</v>
      </c>
      <c r="H131" s="8" t="s">
        <v>511</v>
      </c>
      <c r="I131" s="8" t="s">
        <v>512</v>
      </c>
      <c r="J131" s="8" t="s">
        <v>513</v>
      </c>
      <c r="K131" s="8" t="s">
        <v>514</v>
      </c>
    </row>
    <row r="132" customFormat="false" ht="17.15" hidden="false" customHeight="false" outlineLevel="0" collapsed="false">
      <c r="A132" s="4" t="s">
        <v>609</v>
      </c>
      <c r="B132" s="36" t="n">
        <f aca="false">(9.26+60.3/3.93)/2</f>
        <v>12.3017557251908</v>
      </c>
      <c r="C132" s="36" t="n">
        <f aca="false">(10.5+61.9/3.73)/2</f>
        <v>13.5475871313673</v>
      </c>
      <c r="D132" s="36" t="n">
        <f aca="false">(8.95+52.7/3.92)/2</f>
        <v>11.1969387755102</v>
      </c>
      <c r="E132" s="36" t="n">
        <f aca="false">(11.1+64.3/4.14)/2</f>
        <v>13.3157004830918</v>
      </c>
      <c r="F132" s="36" t="n">
        <f aca="false">(9.23+80.9/6.57)/2</f>
        <v>10.7717732115677</v>
      </c>
      <c r="G132" s="36" t="n">
        <f aca="false">(8.62+94.7/8.73)/2</f>
        <v>9.73382588774341</v>
      </c>
      <c r="H132" s="36" t="n">
        <f aca="false">(8.3+72.3/7.51)/2</f>
        <v>8.96358189081225</v>
      </c>
      <c r="I132" s="36" t="n">
        <f aca="false">(20.2+224.5/10.29)/2</f>
        <v>21.0086491739553</v>
      </c>
      <c r="J132" s="36" t="n">
        <f aca="false">(17.7+287/15.49)/2</f>
        <v>18.1140413169787</v>
      </c>
      <c r="K132" s="36" t="n">
        <f aca="false">(13.5+272/19.45)/2</f>
        <v>13.7422879177378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610</v>
      </c>
    </row>
    <row r="3" customFormat="false" ht="17.15" hidden="false" customHeight="false" outlineLevel="0" collapsed="false">
      <c r="A3" s="5" t="s">
        <v>18</v>
      </c>
      <c r="B3" s="5" t="s">
        <v>611</v>
      </c>
      <c r="C3" s="5" t="s">
        <v>612</v>
      </c>
      <c r="D3" s="5" t="s">
        <v>613</v>
      </c>
      <c r="E3" s="5" t="s">
        <v>614</v>
      </c>
      <c r="F3" s="5" t="s">
        <v>615</v>
      </c>
      <c r="G3" s="5" t="s">
        <v>616</v>
      </c>
      <c r="H3" s="5" t="s">
        <v>617</v>
      </c>
      <c r="I3" s="5" t="s">
        <v>618</v>
      </c>
      <c r="J3" s="5" t="s">
        <v>345</v>
      </c>
    </row>
    <row r="4" customFormat="false" ht="17.15" hidden="false" customHeight="false" outlineLevel="0" collapsed="false">
      <c r="A4" s="6" t="s">
        <v>619</v>
      </c>
    </row>
    <row r="5" customFormat="false" ht="17.15" hidden="false" customHeight="false" outlineLevel="0" collapsed="false">
      <c r="A5" s="0" t="s">
        <v>620</v>
      </c>
      <c r="B5" s="19" t="n">
        <f aca="false">b_rev26</f>
        <v>4219.196</v>
      </c>
      <c r="C5" s="19" t="n">
        <f aca="false">PL!D77</f>
        <v>3998.715</v>
      </c>
      <c r="D5" s="15" t="n">
        <f aca="false">C5/B5-1</f>
        <v>-0.0522566384685612</v>
      </c>
      <c r="E5" s="19" t="n">
        <f aca="false">PL!D116</f>
        <v>3998.715</v>
      </c>
      <c r="F5" s="15" t="n">
        <f aca="false">E5/B5-1</f>
        <v>-0.0522566384685612</v>
      </c>
      <c r="G5" s="19" t="n">
        <f aca="false">PL!D155</f>
        <v>3998.715</v>
      </c>
      <c r="H5" s="15" t="n">
        <f aca="false">G5/B5-1</f>
        <v>-0.0522566384685612</v>
      </c>
      <c r="I5" s="4" t="s">
        <v>621</v>
      </c>
      <c r="J5" s="8" t="s">
        <v>622</v>
      </c>
    </row>
    <row r="6" customFormat="false" ht="17.15" hidden="false" customHeight="false" outlineLevel="0" collapsed="false">
      <c r="A6" s="0" t="s">
        <v>623</v>
      </c>
      <c r="B6" s="21" t="n">
        <f aca="false">b_eps26</f>
        <v>27.06</v>
      </c>
      <c r="C6" s="21" t="n">
        <f aca="false">PL!D95</f>
        <v>28.7224673778341</v>
      </c>
      <c r="D6" s="15" t="n">
        <f aca="false">C6/B6-1</f>
        <v>0.0614363406442746</v>
      </c>
      <c r="E6" s="21" t="n">
        <f aca="false">PL!D134</f>
        <v>28.7224673778341</v>
      </c>
      <c r="F6" s="15" t="n">
        <f aca="false">E6/B6-1</f>
        <v>0.0614363406442746</v>
      </c>
      <c r="G6" s="21" t="n">
        <f aca="false">PL!D173</f>
        <v>28.7224673778341</v>
      </c>
      <c r="H6" s="15" t="n">
        <f aca="false">G6/B6-1</f>
        <v>0.0614363406442746</v>
      </c>
      <c r="I6" s="4" t="s">
        <v>621</v>
      </c>
    </row>
    <row r="7" customFormat="false" ht="17.15" hidden="false" customHeight="false" outlineLevel="0" collapsed="false">
      <c r="A7" s="0" t="s">
        <v>624</v>
      </c>
      <c r="B7" s="19" t="n">
        <f aca="false">b_rev27a</f>
        <v>5220.407</v>
      </c>
      <c r="C7" s="19" t="n">
        <f aca="false">PL!E77</f>
        <v>5710.50896358629</v>
      </c>
      <c r="D7" s="15" t="n">
        <f aca="false">C7/B7-1</f>
        <v>0.0938819451407307</v>
      </c>
      <c r="E7" s="19" t="n">
        <f aca="false">PL!E116</f>
        <v>5710.50896358629</v>
      </c>
      <c r="F7" s="15" t="n">
        <f aca="false">E7/B7-1</f>
        <v>0.0938819451407307</v>
      </c>
      <c r="G7" s="19" t="n">
        <f aca="false">PL!E155</f>
        <v>5710.50896358629</v>
      </c>
      <c r="H7" s="15" t="n">
        <f aca="false">G7/B7-1</f>
        <v>0.0938819451407307</v>
      </c>
      <c r="I7" s="4" t="s">
        <v>621</v>
      </c>
    </row>
    <row r="8" customFormat="false" ht="17.15" hidden="false" customHeight="false" outlineLevel="0" collapsed="false">
      <c r="A8" s="0" t="s">
        <v>625</v>
      </c>
      <c r="B8" s="19" t="n">
        <f aca="false">b_rev27b</f>
        <v>5300</v>
      </c>
      <c r="C8" s="19" t="n">
        <f aca="false">PL!E77</f>
        <v>5710.50896358629</v>
      </c>
      <c r="D8" s="15" t="n">
        <f aca="false">C8/B8-1</f>
        <v>0.0774545214313749</v>
      </c>
      <c r="E8" s="19" t="n">
        <f aca="false">PL!E116</f>
        <v>5710.50896358629</v>
      </c>
      <c r="F8" s="15" t="n">
        <f aca="false">E8/B8-1</f>
        <v>0.0774545214313749</v>
      </c>
      <c r="G8" s="19" t="n">
        <f aca="false">PL!E155</f>
        <v>5710.50896358629</v>
      </c>
      <c r="H8" s="15" t="n">
        <f aca="false">G8/B8-1</f>
        <v>0.0774545214313749</v>
      </c>
      <c r="I8" s="4" t="s">
        <v>626</v>
      </c>
    </row>
    <row r="9" customFormat="false" ht="17.15" hidden="false" customHeight="false" outlineLevel="0" collapsed="false">
      <c r="A9" s="0" t="s">
        <v>627</v>
      </c>
      <c r="B9" s="21" t="n">
        <f aca="false">b_eps27a</f>
        <v>31.75</v>
      </c>
      <c r="C9" s="21" t="n">
        <f aca="false">PL!E95</f>
        <v>43.61203627664</v>
      </c>
      <c r="D9" s="15" t="n">
        <f aca="false">C9/B9-1</f>
        <v>0.373607441783937</v>
      </c>
      <c r="E9" s="21" t="n">
        <f aca="false">PL!E134</f>
        <v>43.61203627664</v>
      </c>
      <c r="F9" s="15" t="n">
        <f aca="false">E9/B9-1</f>
        <v>0.373607441783937</v>
      </c>
      <c r="G9" s="21" t="n">
        <f aca="false">PL!E173</f>
        <v>43.61203627664</v>
      </c>
      <c r="H9" s="15" t="n">
        <f aca="false">G9/B9-1</f>
        <v>0.373607441783937</v>
      </c>
      <c r="I9" s="4" t="s">
        <v>621</v>
      </c>
    </row>
    <row r="10" customFormat="false" ht="17.15" hidden="false" customHeight="false" outlineLevel="0" collapsed="false">
      <c r="A10" s="0" t="s">
        <v>628</v>
      </c>
      <c r="B10" s="21" t="n">
        <f aca="false">b_eps27b</f>
        <v>32.09</v>
      </c>
      <c r="C10" s="21" t="n">
        <f aca="false">PL!E95</f>
        <v>43.61203627664</v>
      </c>
      <c r="D10" s="15" t="n">
        <f aca="false">C10/B10-1</f>
        <v>0.359053794846993</v>
      </c>
      <c r="E10" s="21" t="n">
        <f aca="false">PL!E134</f>
        <v>43.61203627664</v>
      </c>
      <c r="F10" s="15" t="n">
        <f aca="false">E10/B10-1</f>
        <v>0.359053794846993</v>
      </c>
      <c r="G10" s="21" t="n">
        <f aca="false">PL!E173</f>
        <v>43.61203627664</v>
      </c>
      <c r="H10" s="15" t="n">
        <f aca="false">G10/B10-1</f>
        <v>0.359053794846993</v>
      </c>
      <c r="I10" s="4" t="s">
        <v>626</v>
      </c>
      <c r="J10" s="4" t="s">
        <v>629</v>
      </c>
    </row>
    <row r="11" customFormat="false" ht="17.15" hidden="false" customHeight="false" outlineLevel="0" collapsed="false">
      <c r="A11" s="0" t="s">
        <v>630</v>
      </c>
      <c r="B11" s="14" t="n">
        <f aca="false">b_gm27</f>
        <v>0.047</v>
      </c>
      <c r="C11" s="14" t="n">
        <f aca="false">PL!E86</f>
        <v>0.0486336385325961</v>
      </c>
      <c r="D11" s="15" t="n">
        <f aca="false">C11-B11</f>
        <v>0.00163363853259608</v>
      </c>
      <c r="E11" s="14" t="n">
        <f aca="false">PL!E125</f>
        <v>0.0486336385325961</v>
      </c>
      <c r="F11" s="15" t="n">
        <f aca="false">E11-B11</f>
        <v>0.00163363853259608</v>
      </c>
      <c r="G11" s="14" t="n">
        <f aca="false">PL!E164</f>
        <v>0.0486336385325961</v>
      </c>
      <c r="H11" s="15" t="n">
        <f aca="false">G11-B11</f>
        <v>0.00163363853259608</v>
      </c>
      <c r="I11" s="4" t="s">
        <v>621</v>
      </c>
      <c r="J11" s="4" t="s">
        <v>631</v>
      </c>
    </row>
    <row r="12" customFormat="false" ht="17.15" hidden="false" customHeight="false" outlineLevel="0" collapsed="false">
      <c r="A12" s="0" t="s">
        <v>632</v>
      </c>
      <c r="C12" s="15" t="n">
        <f aca="false">PL!E78</f>
        <v>0.428086013528418</v>
      </c>
      <c r="E12" s="15" t="n">
        <f aca="false">PL!E117</f>
        <v>0.428086013528418</v>
      </c>
      <c r="G12" s="15" t="n">
        <f aca="false">PL!E156</f>
        <v>0.428086013528418</v>
      </c>
      <c r="I12" s="8" t="s">
        <v>108</v>
      </c>
    </row>
    <row r="13" customFormat="false" ht="17.15" hidden="false" customHeight="false" outlineLevel="0" collapsed="false">
      <c r="A13" s="6" t="s">
        <v>633</v>
      </c>
    </row>
    <row r="14" customFormat="false" ht="17.15" hidden="false" customHeight="false" outlineLevel="0" collapsed="false">
      <c r="A14" s="0" t="s">
        <v>634</v>
      </c>
      <c r="B14" s="15" t="n">
        <f aca="false">rk_sh</f>
        <v>0.337792642140468</v>
      </c>
      <c r="C14" s="15" t="n">
        <f aca="false">PL!D69</f>
        <v>0.133896123975753</v>
      </c>
      <c r="D14" s="15" t="n">
        <f aca="false">C14-B14</f>
        <v>-0.203896518164716</v>
      </c>
      <c r="E14" s="15" t="n">
        <f aca="false">PL!D108</f>
        <v>0.133896123975753</v>
      </c>
      <c r="F14" s="15" t="n">
        <f aca="false">E14-B14</f>
        <v>-0.203896518164716</v>
      </c>
      <c r="G14" s="15" t="n">
        <f aca="false">PL!D147</f>
        <v>0.133896123975753</v>
      </c>
      <c r="H14" s="15" t="n">
        <f aca="false">G14-B14</f>
        <v>-0.203896518164716</v>
      </c>
      <c r="I14" s="4" t="s">
        <v>635</v>
      </c>
      <c r="J14" s="4" t="s">
        <v>636</v>
      </c>
    </row>
    <row r="15" customFormat="false" ht="17.15" hidden="false" customHeight="false" outlineLevel="0" collapsed="false">
      <c r="A15" s="0" t="s">
        <v>637</v>
      </c>
      <c r="C15" s="16" t="n">
        <f aca="false">PL!D80</f>
        <v>3.63138338873399</v>
      </c>
      <c r="E15" s="16" t="n">
        <f aca="false">PL!D119</f>
        <v>3.63138338873399</v>
      </c>
      <c r="G15" s="16" t="n">
        <f aca="false">PL!D158</f>
        <v>3.63138338873399</v>
      </c>
      <c r="I15" s="8" t="s">
        <v>108</v>
      </c>
      <c r="J15" s="4" t="s">
        <v>638</v>
      </c>
    </row>
    <row r="16" customFormat="false" ht="17.15" hidden="false" customHeight="false" outlineLevel="0" collapsed="false">
      <c r="A16" s="0" t="s">
        <v>639</v>
      </c>
      <c r="C16" s="19" t="n">
        <f aca="false">PL!D81</f>
        <v>18.4522679153094</v>
      </c>
      <c r="E16" s="19" t="n">
        <f aca="false">PL!D120</f>
        <v>18.4522679153094</v>
      </c>
      <c r="G16" s="19" t="n">
        <f aca="false">PL!D159</f>
        <v>18.4522679153094</v>
      </c>
      <c r="I16" s="8" t="s">
        <v>108</v>
      </c>
      <c r="J16" s="4" t="s">
        <v>640</v>
      </c>
    </row>
    <row r="17" customFormat="false" ht="17.15" hidden="false" customHeight="false" outlineLevel="0" collapsed="false">
      <c r="A17" s="0" t="s">
        <v>641</v>
      </c>
      <c r="C17" s="15" t="n">
        <f aca="false">PL!E79</f>
        <v>0.769201576881461</v>
      </c>
      <c r="E17" s="15" t="n">
        <f aca="false">PL!E118</f>
        <v>0.769201576881461</v>
      </c>
      <c r="G17" s="15" t="n">
        <f aca="false">PL!E157</f>
        <v>0.769201576881461</v>
      </c>
      <c r="I17" s="8" t="s">
        <v>108</v>
      </c>
    </row>
    <row r="18" customFormat="false" ht="17.15" hidden="false" customHeight="false" outlineLevel="0" collapsed="false">
      <c r="A18" s="6" t="s">
        <v>642</v>
      </c>
    </row>
    <row r="19" customFormat="false" ht="17.15" hidden="false" customHeight="false" outlineLevel="0" collapsed="false">
      <c r="A19" s="4" t="s">
        <v>643</v>
      </c>
      <c r="C19" s="14" t="n">
        <f aca="false">PL!D83</f>
        <v>0.0632307213692399</v>
      </c>
      <c r="E19" s="14" t="n">
        <f aca="false">PL!D122</f>
        <v>0.0632307213692399</v>
      </c>
      <c r="G19" s="14" t="n">
        <f aca="false">PL!D161</f>
        <v>0.0632307213692399</v>
      </c>
      <c r="I19" s="8" t="s">
        <v>644</v>
      </c>
      <c r="J19" s="8" t="s">
        <v>645</v>
      </c>
    </row>
    <row r="20" customFormat="false" ht="17.15" hidden="false" customHeight="false" outlineLevel="0" collapsed="false">
      <c r="A20" s="0" t="s">
        <v>646</v>
      </c>
      <c r="B20" s="14" t="n">
        <f aca="false">a26_gp/a26_rev</f>
        <v>0.0496307213692399</v>
      </c>
      <c r="C20" s="14" t="n">
        <f aca="false">PL!E86</f>
        <v>0.0486336385325961</v>
      </c>
      <c r="D20" s="15" t="n">
        <f aca="false">C20-B20</f>
        <v>-0.000997082836643792</v>
      </c>
      <c r="E20" s="14" t="n">
        <f aca="false">PL!E125</f>
        <v>0.0486336385325961</v>
      </c>
      <c r="F20" s="15" t="n">
        <f aca="false">E20-B20</f>
        <v>-0.000997082836643792</v>
      </c>
      <c r="G20" s="14" t="n">
        <f aca="false">PL!E164</f>
        <v>0.0486336385325961</v>
      </c>
      <c r="H20" s="15" t="n">
        <f aca="false">G20-B20</f>
        <v>-0.000997082836643792</v>
      </c>
      <c r="I20" s="4" t="s">
        <v>647</v>
      </c>
      <c r="J20" s="4" t="s">
        <v>648</v>
      </c>
    </row>
    <row r="21" customFormat="false" ht="17.15" hidden="false" customHeight="false" outlineLevel="0" collapsed="false">
      <c r="A21" s="0" t="s">
        <v>649</v>
      </c>
      <c r="C21" s="16" t="n">
        <f aca="false">Q!E13</f>
        <v>7.60984179346408</v>
      </c>
      <c r="E21" s="16" t="n">
        <f aca="false">Q!E13</f>
        <v>7.60984179346408</v>
      </c>
      <c r="G21" s="16" t="n">
        <f aca="false">Q!E13</f>
        <v>7.60984179346408</v>
      </c>
      <c r="I21" s="8" t="s">
        <v>108</v>
      </c>
    </row>
    <row r="22" customFormat="false" ht="17.15" hidden="false" customHeight="false" outlineLevel="0" collapsed="false">
      <c r="A22" s="6" t="s">
        <v>650</v>
      </c>
    </row>
    <row r="23" customFormat="false" ht="17.15" hidden="false" customHeight="false" outlineLevel="0" collapsed="false">
      <c r="A23" s="0" t="s">
        <v>651</v>
      </c>
      <c r="J23" s="4" t="s">
        <v>652</v>
      </c>
    </row>
    <row r="25" customFormat="false" ht="17.15" hidden="false" customHeight="false" outlineLevel="0" collapsed="false">
      <c r="A25" s="6" t="s">
        <v>653</v>
      </c>
    </row>
    <row r="26" customFormat="false" ht="17.15" hidden="false" customHeight="false" outlineLevel="0" collapsed="false">
      <c r="A26" s="0" t="s">
        <v>654</v>
      </c>
      <c r="B26" s="16" t="n">
        <f aca="false">cons_feps</f>
        <v>28.5587975243148</v>
      </c>
      <c r="C26" s="16" t="n">
        <f aca="false">Val!B115</f>
        <v>42.9957758400795</v>
      </c>
      <c r="D26" s="15" t="n">
        <f aca="false">C26/B26-1</f>
        <v>0.505517723688232</v>
      </c>
      <c r="I26" s="8" t="s">
        <v>292</v>
      </c>
      <c r="J26" s="4" t="s">
        <v>655</v>
      </c>
    </row>
    <row r="27" customFormat="false" ht="17.15" hidden="false" customHeight="false" outlineLevel="0" collapsed="false">
      <c r="A27" s="4" t="s">
        <v>656</v>
      </c>
      <c r="B27" s="16" t="n">
        <f aca="false">cons_tp</f>
        <v>427.84</v>
      </c>
      <c r="C27" s="16" t="n">
        <f aca="false">Val!B120</f>
        <v>566.562292345012</v>
      </c>
      <c r="D27" s="15" t="n">
        <f aca="false">C27/B27-1</f>
        <v>0.324238716214033</v>
      </c>
      <c r="I27" s="8" t="s">
        <v>288</v>
      </c>
      <c r="J27" s="4" t="s">
        <v>655</v>
      </c>
    </row>
    <row r="28" customFormat="false" ht="17.15" hidden="false" customHeight="false" outlineLevel="0" collapsed="false">
      <c r="A28" s="0" t="s">
        <v>657</v>
      </c>
      <c r="B28" s="16" t="n">
        <f aca="false">cons_tp</f>
        <v>427.84</v>
      </c>
      <c r="C28" s="16" t="n">
        <f aca="false">Val!B116</f>
        <v>488.861971301704</v>
      </c>
      <c r="D28" s="15" t="n">
        <f aca="false">C28/B28-1</f>
        <v>0.14262801818835</v>
      </c>
      <c r="I28" s="4" t="s">
        <v>35</v>
      </c>
      <c r="J28" s="4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658</v>
      </c>
    </row>
    <row r="3" customFormat="false" ht="17.15" hidden="false" customHeight="false" outlineLevel="0" collapsed="false">
      <c r="A3" s="5" t="s">
        <v>659</v>
      </c>
      <c r="B3" s="5" t="s">
        <v>660</v>
      </c>
      <c r="C3" s="11" t="s">
        <v>661</v>
      </c>
      <c r="D3" s="11" t="s">
        <v>662</v>
      </c>
      <c r="E3" s="11" t="s">
        <v>663</v>
      </c>
      <c r="F3" s="11" t="s">
        <v>466</v>
      </c>
      <c r="G3" s="11" t="s">
        <v>664</v>
      </c>
      <c r="H3" s="11" t="s">
        <v>665</v>
      </c>
      <c r="I3" s="11" t="s">
        <v>666</v>
      </c>
      <c r="J3" s="11" t="s">
        <v>667</v>
      </c>
      <c r="K3" s="11" t="s">
        <v>481</v>
      </c>
      <c r="L3" s="11" t="s">
        <v>668</v>
      </c>
    </row>
    <row r="4" customFormat="false" ht="17.15" hidden="false" customHeight="false" outlineLevel="0" collapsed="false">
      <c r="A4" s="4" t="s">
        <v>669</v>
      </c>
      <c r="B4" s="0" t="s">
        <v>670</v>
      </c>
      <c r="C4" s="19" t="n">
        <f aca="false">PL!E77</f>
        <v>5710.50896358629</v>
      </c>
      <c r="D4" s="19" t="n">
        <f aca="false">PL!E74</f>
        <v>4392.53249958629</v>
      </c>
      <c r="E4" s="14" t="n">
        <f aca="false">PL!E86</f>
        <v>0.0486336385325961</v>
      </c>
      <c r="F4" s="16" t="n">
        <f aca="false">PL!E95</f>
        <v>43.61203627664</v>
      </c>
      <c r="G4" s="15" t="n">
        <f aca="false">F4/F$4-1</f>
        <v>0</v>
      </c>
      <c r="H4" s="19" t="n">
        <f aca="false">PL!F77</f>
        <v>6046.24302221704</v>
      </c>
      <c r="I4" s="19" t="n">
        <f aca="false">PL!F74</f>
        <v>4701.90702893704</v>
      </c>
      <c r="J4" s="14" t="n">
        <f aca="false">PL!F86</f>
        <v>0.0523838845289261</v>
      </c>
      <c r="K4" s="16" t="n">
        <f aca="false">PL!F95</f>
        <v>51.9245329868023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671</v>
      </c>
      <c r="B5" s="4" t="s">
        <v>672</v>
      </c>
      <c r="C5" s="19" t="n">
        <f aca="false">E57</f>
        <v>5051.62908864834</v>
      </c>
      <c r="D5" s="19" t="n">
        <f aca="false">E54</f>
        <v>3733.65262464834</v>
      </c>
      <c r="E5" s="14" t="n">
        <f aca="false">E66</f>
        <v>0.0492048981584756</v>
      </c>
      <c r="F5" s="16" t="n">
        <f aca="false">E75</f>
        <v>38.1217140638485</v>
      </c>
      <c r="G5" s="15" t="n">
        <f aca="false">F5/F$4-1</f>
        <v>-0.125890068007035</v>
      </c>
      <c r="H5" s="19" t="n">
        <f aca="false">F57</f>
        <v>5056.3678582303</v>
      </c>
      <c r="I5" s="19" t="n">
        <f aca="false">F54</f>
        <v>3712.0318649503</v>
      </c>
      <c r="J5" s="14" t="n">
        <f aca="false">F66</f>
        <v>0.0529910102921955</v>
      </c>
      <c r="K5" s="16" t="n">
        <f aca="false">F75</f>
        <v>42.4634575768041</v>
      </c>
      <c r="L5" s="15" t="n">
        <f aca="false">K5/K$4-1</f>
        <v>-0.182208194581219</v>
      </c>
    </row>
    <row r="6" customFormat="false" ht="17.15" hidden="false" customHeight="false" outlineLevel="0" collapsed="false">
      <c r="A6" s="4" t="s">
        <v>673</v>
      </c>
      <c r="B6" s="4" t="s">
        <v>674</v>
      </c>
      <c r="C6" s="19" t="n">
        <f aca="false">E96</f>
        <v>6149.76221354492</v>
      </c>
      <c r="D6" s="19" t="n">
        <f aca="false">E93</f>
        <v>4831.78574954492</v>
      </c>
      <c r="E6" s="14" t="n">
        <f aca="false">E105</f>
        <v>0.0483208034837973</v>
      </c>
      <c r="F6" s="16" t="n">
        <f aca="false">E114</f>
        <v>47.2722510851677</v>
      </c>
      <c r="G6" s="15" t="n">
        <f aca="false">F6/F$4-1</f>
        <v>0.08392671200469</v>
      </c>
      <c r="H6" s="19" t="n">
        <f aca="false">F96</f>
        <v>6788.64939520711</v>
      </c>
      <c r="I6" s="19" t="n">
        <f aca="false">F93</f>
        <v>5444.31340192711</v>
      </c>
      <c r="J6" s="14" t="n">
        <f aca="false">F105</f>
        <v>0.0520447318842042</v>
      </c>
      <c r="K6" s="16" t="n">
        <f aca="false">F114</f>
        <v>59.0664482683204</v>
      </c>
      <c r="L6" s="15" t="n">
        <f aca="false">K6/K$4-1</f>
        <v>0.137544140904133</v>
      </c>
    </row>
    <row r="7" customFormat="false" ht="17.15" hidden="false" customHeight="false" outlineLevel="0" collapsed="false">
      <c r="A7" s="4" t="s">
        <v>675</v>
      </c>
      <c r="B7" s="4" t="s">
        <v>676</v>
      </c>
      <c r="C7" s="19" t="n">
        <f aca="false">E135</f>
        <v>6198.56813020699</v>
      </c>
      <c r="D7" s="19" t="n">
        <f aca="false">E132</f>
        <v>4880.59166620699</v>
      </c>
      <c r="E7" s="14" t="n">
        <f aca="false">E144</f>
        <v>0.0451211183182184</v>
      </c>
      <c r="F7" s="16" t="n">
        <f aca="false">E153</f>
        <v>43.272714363568</v>
      </c>
      <c r="G7" s="15" t="n">
        <f aca="false">F7/F$4-1</f>
        <v>-0.00778046479920314</v>
      </c>
      <c r="H7" s="19" t="n">
        <f aca="false">F135</f>
        <v>7221.71977945131</v>
      </c>
      <c r="I7" s="19" t="n">
        <f aca="false">F132</f>
        <v>5877.38378617131</v>
      </c>
      <c r="J7" s="14" t="n">
        <f aca="false">F144</f>
        <v>0.0445122123145711</v>
      </c>
      <c r="K7" s="16" t="n">
        <f aca="false">F153</f>
        <v>51.3589533415677</v>
      </c>
      <c r="L7" s="15" t="n">
        <f aca="false">K7/K$4-1</f>
        <v>-0.0108923395686272</v>
      </c>
    </row>
    <row r="8" customFormat="false" ht="17.15" hidden="false" customHeight="false" outlineLevel="0" collapsed="false">
      <c r="A8" s="4" t="s">
        <v>677</v>
      </c>
      <c r="B8" s="4" t="s">
        <v>678</v>
      </c>
      <c r="C8" s="19" t="n">
        <f aca="false">E174</f>
        <v>4978.42021365524</v>
      </c>
      <c r="D8" s="19" t="n">
        <f aca="false">E171</f>
        <v>3660.44374965524</v>
      </c>
      <c r="E8" s="14" t="n">
        <f aca="false">E183</f>
        <v>0.0551937303658937</v>
      </c>
      <c r="F8" s="16" t="n">
        <f aca="false">E192</f>
        <v>44.1210191462479</v>
      </c>
      <c r="G8" s="15" t="n">
        <f aca="false">F8/F$4-1</f>
        <v>0.0116706971988045</v>
      </c>
      <c r="H8" s="19" t="n">
        <f aca="false">F174</f>
        <v>4870.76626498278</v>
      </c>
      <c r="I8" s="19" t="n">
        <f aca="false">F171</f>
        <v>3526.43027170278</v>
      </c>
      <c r="J8" s="14" t="n">
        <f aca="false">F183</f>
        <v>0.0640549456792944</v>
      </c>
      <c r="K8" s="16" t="n">
        <f aca="false">F192</f>
        <v>52.4732463118242</v>
      </c>
      <c r="L8" s="15" t="n">
        <f aca="false">K8/K$4-1</f>
        <v>0.0105675158438365</v>
      </c>
    </row>
    <row r="9" customFormat="false" ht="17.15" hidden="false" customHeight="false" outlineLevel="0" collapsed="false">
      <c r="A9" s="4" t="s">
        <v>679</v>
      </c>
      <c r="B9" s="4" t="s">
        <v>680</v>
      </c>
      <c r="C9" s="19" t="n">
        <f aca="false">E213</f>
        <v>5710.50896358629</v>
      </c>
      <c r="D9" s="19" t="n">
        <f aca="false">E210</f>
        <v>4392.53249958629</v>
      </c>
      <c r="E9" s="14" t="n">
        <f aca="false">E222</f>
        <v>0.0479459599922339</v>
      </c>
      <c r="F9" s="16" t="n">
        <f aca="false">E231</f>
        <v>42.7307908254639</v>
      </c>
      <c r="G9" s="15" t="n">
        <f aca="false">F9/F$4-1</f>
        <v>-0.0202064734053272</v>
      </c>
      <c r="H9" s="19" t="n">
        <f aca="false">F213</f>
        <v>6046.24302221704</v>
      </c>
      <c r="I9" s="19" t="n">
        <f aca="false">F210</f>
        <v>4701.90702893704</v>
      </c>
      <c r="J9" s="14" t="n">
        <f aca="false">F222</f>
        <v>0.0508195981539809</v>
      </c>
      <c r="K9" s="16" t="n">
        <f aca="false">F231</f>
        <v>49.8020781368128</v>
      </c>
      <c r="L9" s="15" t="n">
        <f aca="false">K9/K$4-1</f>
        <v>-0.0408757619549306</v>
      </c>
    </row>
    <row r="10" customFormat="false" ht="17.15" hidden="false" customHeight="false" outlineLevel="0" collapsed="false">
      <c r="A10" s="4" t="s">
        <v>681</v>
      </c>
      <c r="B10" s="4" t="s">
        <v>682</v>
      </c>
      <c r="C10" s="19" t="n">
        <f aca="false">E252</f>
        <v>5710.50896358629</v>
      </c>
      <c r="D10" s="19" t="n">
        <f aca="false">E249</f>
        <v>4392.53249958629</v>
      </c>
      <c r="E10" s="14" t="n">
        <f aca="false">E261</f>
        <v>0.0489774778027772</v>
      </c>
      <c r="F10" s="16" t="n">
        <f aca="false">E270</f>
        <v>44.052659002228</v>
      </c>
      <c r="G10" s="15" t="n">
        <f aca="false">F10/F$4-1</f>
        <v>0.0101032367026634</v>
      </c>
      <c r="H10" s="19" t="n">
        <f aca="false">F252</f>
        <v>6046.24302221704</v>
      </c>
      <c r="I10" s="19" t="n">
        <f aca="false">F249</f>
        <v>4701.90702893704</v>
      </c>
      <c r="J10" s="14" t="n">
        <f aca="false">F261</f>
        <v>0.0531660277163988</v>
      </c>
      <c r="K10" s="16" t="n">
        <f aca="false">F270</f>
        <v>52.9857604117971</v>
      </c>
      <c r="L10" s="15" t="n">
        <f aca="false">K10/K$4-1</f>
        <v>0.0204378809774655</v>
      </c>
    </row>
    <row r="11" customFormat="false" ht="17.15" hidden="false" customHeight="false" outlineLevel="0" collapsed="false">
      <c r="A11" s="4" t="s">
        <v>683</v>
      </c>
      <c r="B11" s="0" t="s">
        <v>684</v>
      </c>
      <c r="C11" s="19" t="n">
        <f aca="false">E291</f>
        <v>5710.50896358629</v>
      </c>
      <c r="D11" s="19" t="n">
        <f aca="false">E288</f>
        <v>4392.53249958629</v>
      </c>
      <c r="E11" s="14" t="n">
        <f aca="false">E300</f>
        <v>0.0486336385325961</v>
      </c>
      <c r="F11" s="16" t="n">
        <f aca="false">E309</f>
        <v>43.61203627664</v>
      </c>
      <c r="G11" s="15" t="n">
        <f aca="false">F11/F$4-1</f>
        <v>0</v>
      </c>
      <c r="H11" s="19" t="n">
        <f aca="false">F291</f>
        <v>5340.95696787649</v>
      </c>
      <c r="I11" s="19" t="n">
        <f aca="false">F288</f>
        <v>3996.62097459649</v>
      </c>
      <c r="J11" s="14" t="n">
        <f aca="false">F300</f>
        <v>0.0527934120704895</v>
      </c>
      <c r="K11" s="16" t="n">
        <f aca="false">F309</f>
        <v>44.5645352051176</v>
      </c>
      <c r="L11" s="15" t="n">
        <f aca="false">K11/K$4-1</f>
        <v>-0.141744130535664</v>
      </c>
    </row>
    <row r="12" customFormat="false" ht="17.15" hidden="false" customHeight="false" outlineLevel="0" collapsed="false">
      <c r="A12" s="4" t="s">
        <v>685</v>
      </c>
      <c r="B12" s="0" t="s">
        <v>686</v>
      </c>
      <c r="C12" s="19" t="n">
        <f aca="false">E330</f>
        <v>5710.50896358629</v>
      </c>
      <c r="D12" s="19" t="n">
        <f aca="false">E327</f>
        <v>4392.53249958629</v>
      </c>
      <c r="E12" s="14" t="n">
        <f aca="false">E339</f>
        <v>0.0486336385325961</v>
      </c>
      <c r="F12" s="16" t="n">
        <f aca="false">E348</f>
        <v>43.61203627664</v>
      </c>
      <c r="G12" s="15" t="n">
        <f aca="false">F12/F$4-1</f>
        <v>0</v>
      </c>
      <c r="H12" s="19" t="n">
        <f aca="false">F330</f>
        <v>6986.62442800445</v>
      </c>
      <c r="I12" s="19" t="n">
        <f aca="false">F327</f>
        <v>5642.28843472445</v>
      </c>
      <c r="J12" s="14" t="n">
        <f aca="false">F339</f>
        <v>0.0519664642617304</v>
      </c>
      <c r="K12" s="16" t="n">
        <f aca="false">F348</f>
        <v>61.0920678135026</v>
      </c>
      <c r="L12" s="15" t="n">
        <f aca="false">K12/K$4-1</f>
        <v>0.17655497891585</v>
      </c>
    </row>
    <row r="13" customFormat="false" ht="17.15" hidden="false" customHeight="false" outlineLevel="0" collapsed="false">
      <c r="A13" s="0" t="s">
        <v>687</v>
      </c>
      <c r="B13" s="0" t="s">
        <v>688</v>
      </c>
      <c r="C13" s="19" t="n">
        <f aca="false">E369</f>
        <v>4832.00246366903</v>
      </c>
      <c r="D13" s="19" t="n">
        <f aca="false">E366</f>
        <v>3514.02599966903</v>
      </c>
      <c r="E13" s="14" t="n">
        <f aca="false">E378</f>
        <v>0.0494299382764976</v>
      </c>
      <c r="F13" s="16" t="n">
        <f aca="false">E387</f>
        <v>36.2916066595847</v>
      </c>
      <c r="G13" s="15" t="n">
        <f aca="false">F13/F$4-1</f>
        <v>-0.16785342400938</v>
      </c>
      <c r="H13" s="19" t="n">
        <f aca="false">F369</f>
        <v>5105.86161642964</v>
      </c>
      <c r="I13" s="19" t="n">
        <f aca="false">F366</f>
        <v>3761.52562314964</v>
      </c>
      <c r="J13" s="14" t="n">
        <f aca="false">F378</f>
        <v>0.0529550630791143</v>
      </c>
      <c r="K13" s="16" t="n">
        <f aca="false">F387</f>
        <v>42.9760700398282</v>
      </c>
      <c r="L13" s="15" t="n">
        <f aca="false">K13/K$4-1</f>
        <v>-0.172335935101209</v>
      </c>
    </row>
    <row r="14" customFormat="false" ht="17.15" hidden="false" customHeight="false" outlineLevel="0" collapsed="false">
      <c r="A14" s="0" t="s">
        <v>689</v>
      </c>
      <c r="B14" s="0" t="s">
        <v>686</v>
      </c>
      <c r="C14" s="19" t="n">
        <f aca="false">E408</f>
        <v>6589.01546350355</v>
      </c>
      <c r="D14" s="19" t="n">
        <f aca="false">E405</f>
        <v>5271.03899950355</v>
      </c>
      <c r="E14" s="14" t="n">
        <f aca="false">E417</f>
        <v>0.0480496784029434</v>
      </c>
      <c r="F14" s="16" t="n">
        <f aca="false">E426</f>
        <v>50.9324658936953</v>
      </c>
      <c r="G14" s="15" t="n">
        <f aca="false">F14/F$4-1</f>
        <v>0.16785342400938</v>
      </c>
      <c r="H14" s="19" t="n">
        <f aca="false">F408</f>
        <v>6986.62442800445</v>
      </c>
      <c r="I14" s="19" t="n">
        <f aca="false">F405</f>
        <v>5642.28843472445</v>
      </c>
      <c r="J14" s="14" t="n">
        <f aca="false">F417</f>
        <v>0.0519664642617304</v>
      </c>
      <c r="K14" s="16" t="n">
        <f aca="false">F426</f>
        <v>60.8751595174091</v>
      </c>
      <c r="L14" s="15" t="n">
        <f aca="false">K14/K$4-1</f>
        <v>0.17237760295084</v>
      </c>
    </row>
    <row r="15" customFormat="false" ht="17.15" hidden="false" customHeight="false" outlineLevel="0" collapsed="false">
      <c r="A15" s="4" t="s">
        <v>690</v>
      </c>
      <c r="B15" s="0" t="s">
        <v>691</v>
      </c>
      <c r="C15" s="19" t="n">
        <f aca="false">E447</f>
        <v>5608.14185958629</v>
      </c>
      <c r="D15" s="19" t="n">
        <f aca="false">E444</f>
        <v>4392.53249958629</v>
      </c>
      <c r="E15" s="14" t="n">
        <f aca="false">E456</f>
        <v>0.0483671935791252</v>
      </c>
      <c r="F15" s="16" t="n">
        <f aca="false">E465</f>
        <v>42.3230942426171</v>
      </c>
      <c r="G15" s="15" t="n">
        <f aca="false">F15/F$4-1</f>
        <v>-0.0295547317682401</v>
      </c>
      <c r="H15" s="19" t="n">
        <f aca="false">F447</f>
        <v>5856.73592093704</v>
      </c>
      <c r="I15" s="19" t="n">
        <f aca="false">F444</f>
        <v>4701.90702893704</v>
      </c>
      <c r="J15" s="14" t="n">
        <f aca="false">F456</f>
        <v>0.0520329121382611</v>
      </c>
      <c r="K15" s="16" t="n">
        <f aca="false">F465</f>
        <v>49.5102865044814</v>
      </c>
      <c r="L15" s="15" t="n">
        <f aca="false">K15/K$4-1</f>
        <v>-0.046495295064754</v>
      </c>
    </row>
    <row r="16" customFormat="false" ht="17.15" hidden="false" customHeight="false" outlineLevel="0" collapsed="false">
      <c r="A16" s="4" t="s">
        <v>692</v>
      </c>
      <c r="B16" s="0" t="s">
        <v>693</v>
      </c>
      <c r="C16" s="19" t="n">
        <f aca="false">E486</f>
        <v>5774.48840358629</v>
      </c>
      <c r="D16" s="19" t="n">
        <f aca="false">E483</f>
        <v>4392.53249958629</v>
      </c>
      <c r="E16" s="14" t="n">
        <f aca="false">E495</f>
        <v>0.0487953694289543</v>
      </c>
      <c r="F16" s="16" t="n">
        <f aca="false">E504</f>
        <v>44.4176250479043</v>
      </c>
      <c r="G16" s="15" t="n">
        <f aca="false">F16/F$4-1</f>
        <v>0.0184717073551501</v>
      </c>
      <c r="H16" s="19" t="n">
        <f aca="false">F486</f>
        <v>6166.78028717704</v>
      </c>
      <c r="I16" s="19" t="n">
        <f aca="false">F483</f>
        <v>4701.90702893704</v>
      </c>
      <c r="J16" s="14" t="n">
        <f aca="false">F495</f>
        <v>0.0525958992246528</v>
      </c>
      <c r="K16" s="16" t="n">
        <f aca="false">F504</f>
        <v>53.4614364288283</v>
      </c>
      <c r="L16" s="15" t="n">
        <f aca="false">K16/K$4-1</f>
        <v>0.0295987918161276</v>
      </c>
    </row>
    <row r="17" customFormat="false" ht="17.15" hidden="false" customHeight="false" outlineLevel="0" collapsed="false">
      <c r="A17" s="0" t="s">
        <v>694</v>
      </c>
      <c r="B17" s="0" t="s">
        <v>695</v>
      </c>
      <c r="C17" s="19" t="n">
        <f aca="false">E525</f>
        <v>5710.50896358629</v>
      </c>
      <c r="D17" s="19" t="n">
        <f aca="false">E522</f>
        <v>4392.53249958629</v>
      </c>
      <c r="E17" s="14" t="n">
        <f aca="false">E534</f>
        <v>0.0469263981224711</v>
      </c>
      <c r="F17" s="16" t="n">
        <f aca="false">E543</f>
        <v>41.4242439330047</v>
      </c>
      <c r="G17" s="15" t="n">
        <f aca="false">F17/F$4-1</f>
        <v>-0.0501648748927406</v>
      </c>
      <c r="H17" s="19" t="n">
        <f aca="false">F525</f>
        <v>6046.24302221704</v>
      </c>
      <c r="I17" s="19" t="n">
        <f aca="false">F522</f>
        <v>4701.90702893704</v>
      </c>
      <c r="J17" s="14" t="n">
        <f aca="false">F534</f>
        <v>0.0500791498122617</v>
      </c>
      <c r="K17" s="16" t="n">
        <f aca="false">F543</f>
        <v>48.7974231073886</v>
      </c>
      <c r="L17" s="15" t="n">
        <f aca="false">K17/K$4-1</f>
        <v>-0.0602241310520515</v>
      </c>
    </row>
    <row r="18" customFormat="false" ht="17.15" hidden="false" customHeight="false" outlineLevel="0" collapsed="false">
      <c r="A18" s="0" t="s">
        <v>696</v>
      </c>
      <c r="B18" s="4" t="s">
        <v>697</v>
      </c>
      <c r="C18" s="19" t="n">
        <f aca="false">E564</f>
        <v>5710.50896358629</v>
      </c>
      <c r="D18" s="19" t="n">
        <f aca="false">E561</f>
        <v>4392.53249958629</v>
      </c>
      <c r="E18" s="14" t="n">
        <f aca="false">E573</f>
        <v>0.0503408789427211</v>
      </c>
      <c r="F18" s="16" t="n">
        <f aca="false">E582</f>
        <v>45.7998286202753</v>
      </c>
      <c r="G18" s="15" t="n">
        <f aca="false">F18/F$4-1</f>
        <v>0.0501648748927404</v>
      </c>
      <c r="H18" s="19" t="n">
        <f aca="false">F564</f>
        <v>6046.24302221704</v>
      </c>
      <c r="I18" s="19" t="n">
        <f aca="false">F561</f>
        <v>4701.90702893704</v>
      </c>
      <c r="J18" s="14" t="n">
        <f aca="false">F573</f>
        <v>0.0546886192455906</v>
      </c>
      <c r="K18" s="16" t="n">
        <f aca="false">F582</f>
        <v>55.0516428662161</v>
      </c>
      <c r="L18" s="15" t="n">
        <f aca="false">K18/K$4-1</f>
        <v>0.0602241310520513</v>
      </c>
    </row>
    <row r="19" customFormat="false" ht="17.15" hidden="false" customHeight="false" outlineLevel="0" collapsed="false">
      <c r="A19" s="0" t="s">
        <v>698</v>
      </c>
      <c r="B19" s="0" t="s">
        <v>699</v>
      </c>
      <c r="C19" s="19" t="n">
        <f aca="false">E603</f>
        <v>5710.50896358629</v>
      </c>
      <c r="D19" s="19" t="n">
        <f aca="false">E600</f>
        <v>4392.53249958629</v>
      </c>
      <c r="E19" s="14" t="n">
        <f aca="false">E612</f>
        <v>0.0460952733288873</v>
      </c>
      <c r="F19" s="16" t="n">
        <f aca="false">E621</f>
        <v>40.3591751534559</v>
      </c>
      <c r="G19" s="15" t="n">
        <f aca="false">F19/F$4-1</f>
        <v>-0.0745863160928899</v>
      </c>
      <c r="H19" s="19" t="n">
        <f aca="false">F603</f>
        <v>6046.24302221704</v>
      </c>
      <c r="I19" s="19" t="n">
        <f aca="false">F600</f>
        <v>4701.90702893704</v>
      </c>
      <c r="J19" s="14" t="n">
        <f aca="false">F612</f>
        <v>0.0495259927326735</v>
      </c>
      <c r="K19" s="16" t="n">
        <f aca="false">F621</f>
        <v>48.0468885855885</v>
      </c>
      <c r="L19" s="15" t="n">
        <f aca="false">K19/K$4-1</f>
        <v>-0.0746784646517551</v>
      </c>
    </row>
    <row r="20" customFormat="false" ht="17.15" hidden="false" customHeight="false" outlineLevel="0" collapsed="false">
      <c r="A20" s="0" t="s">
        <v>700</v>
      </c>
      <c r="B20" s="0" t="s">
        <v>701</v>
      </c>
      <c r="C20" s="19" t="n">
        <f aca="false">E642</f>
        <v>5710.50896358629</v>
      </c>
      <c r="D20" s="19" t="n">
        <f aca="false">E639</f>
        <v>4392.53249958629</v>
      </c>
      <c r="E20" s="14" t="n">
        <f aca="false">E651</f>
        <v>0.0511720037363049</v>
      </c>
      <c r="F20" s="16" t="n">
        <f aca="false">E660</f>
        <v>46.8648973998241</v>
      </c>
      <c r="G20" s="15" t="n">
        <f aca="false">F20/F$4-1</f>
        <v>0.0745863160928899</v>
      </c>
      <c r="H20" s="19" t="n">
        <f aca="false">F642</f>
        <v>6046.24302221704</v>
      </c>
      <c r="I20" s="19" t="n">
        <f aca="false">F639</f>
        <v>4701.90702893704</v>
      </c>
      <c r="J20" s="14" t="n">
        <f aca="false">F651</f>
        <v>0.0552417763251787</v>
      </c>
      <c r="K20" s="16" t="n">
        <f aca="false">F660</f>
        <v>55.8021773880161</v>
      </c>
      <c r="L20" s="15" t="n">
        <f aca="false">K20/K$4-1</f>
        <v>0.0746784646517553</v>
      </c>
    </row>
    <row r="21" customFormat="false" ht="17.15" hidden="false" customHeight="false" outlineLevel="0" collapsed="false">
      <c r="A21" s="4" t="s">
        <v>702</v>
      </c>
      <c r="B21" s="4" t="s">
        <v>703</v>
      </c>
      <c r="C21" s="19" t="n">
        <f aca="false">E681</f>
        <v>5710.50896358629</v>
      </c>
      <c r="D21" s="19" t="n">
        <f aca="false">E678</f>
        <v>4392.53249958629</v>
      </c>
      <c r="E21" s="14" t="n">
        <f aca="false">E690</f>
        <v>0.0486336385325961</v>
      </c>
      <c r="F21" s="16" t="n">
        <f aca="false">E699</f>
        <v>41.0490787333903</v>
      </c>
      <c r="G21" s="15" t="n">
        <f aca="false">F21/F$4-1</f>
        <v>-0.0587672065342775</v>
      </c>
      <c r="H21" s="19" t="n">
        <f aca="false">F681</f>
        <v>6046.24302221704</v>
      </c>
      <c r="I21" s="19" t="n">
        <f aca="false">F678</f>
        <v>4701.90702893704</v>
      </c>
      <c r="J21" s="14" t="n">
        <f aca="false">F690</f>
        <v>0.0523838845289261</v>
      </c>
      <c r="K21" s="16" t="n">
        <f aca="false">F699</f>
        <v>49.2108932287832</v>
      </c>
      <c r="L21" s="15" t="n">
        <f aca="false">K21/K$4-1</f>
        <v>-0.052261226089579</v>
      </c>
    </row>
    <row r="22" customFormat="false" ht="17.15" hidden="false" customHeight="false" outlineLevel="0" collapsed="false">
      <c r="A22" s="4" t="s">
        <v>704</v>
      </c>
      <c r="B22" s="0" t="s">
        <v>705</v>
      </c>
      <c r="C22" s="19" t="n">
        <f aca="false">E720</f>
        <v>5710.50896358629</v>
      </c>
      <c r="D22" s="19" t="n">
        <f aca="false">E717</f>
        <v>4392.53249958629</v>
      </c>
      <c r="E22" s="14" t="n">
        <f aca="false">E729</f>
        <v>0.0486336385325961</v>
      </c>
      <c r="F22" s="16" t="n">
        <f aca="false">E738</f>
        <v>37.8139042861041</v>
      </c>
      <c r="G22" s="15" t="n">
        <f aca="false">F22/F$4-1</f>
        <v>-0.132947976878613</v>
      </c>
      <c r="H22" s="19" t="n">
        <f aca="false">F720</f>
        <v>6046.24302221704</v>
      </c>
      <c r="I22" s="19" t="n">
        <f aca="false">F717</f>
        <v>4701.90702893704</v>
      </c>
      <c r="J22" s="14" t="n">
        <f aca="false">F729</f>
        <v>0.0523838845289261</v>
      </c>
      <c r="K22" s="16" t="n">
        <f aca="false">F738</f>
        <v>45.0212713758402</v>
      </c>
      <c r="L22" s="15" t="n">
        <f aca="false">K22/K$4-1</f>
        <v>-0.132947976878613</v>
      </c>
    </row>
    <row r="23" customFormat="false" ht="17.15" hidden="false" customHeight="false" outlineLevel="0" collapsed="false">
      <c r="A23" s="4" t="s">
        <v>706</v>
      </c>
      <c r="B23" s="0" t="s">
        <v>707</v>
      </c>
      <c r="C23" s="19" t="n">
        <f aca="false">PL!E116</f>
        <v>5710.50896358629</v>
      </c>
      <c r="D23" s="19" t="n">
        <f aca="false">PL!E113</f>
        <v>4392.53249958629</v>
      </c>
      <c r="E23" s="14" t="n">
        <f aca="false">PL!E125</f>
        <v>0.0486336385325961</v>
      </c>
      <c r="F23" s="16" t="n">
        <f aca="false">PL!E134</f>
        <v>43.61203627664</v>
      </c>
      <c r="G23" s="15" t="n">
        <f aca="false">F23/F$4-1</f>
        <v>0</v>
      </c>
      <c r="H23" s="19" t="n">
        <f aca="false">PL!F116</f>
        <v>5105.86161642964</v>
      </c>
      <c r="I23" s="19" t="n">
        <f aca="false">PL!F113</f>
        <v>3761.52562314964</v>
      </c>
      <c r="J23" s="14" t="n">
        <f aca="false">PL!F125</f>
        <v>0.0529550630791143</v>
      </c>
      <c r="K23" s="16" t="n">
        <f aca="false">PL!F134</f>
        <v>41.9645280138805</v>
      </c>
      <c r="L23" s="15" t="n">
        <f aca="false">K23/K$4-1</f>
        <v>-0.191816938930454</v>
      </c>
    </row>
    <row r="24" customFormat="false" ht="17.15" hidden="false" customHeight="false" outlineLevel="0" collapsed="false">
      <c r="A24" s="4" t="s">
        <v>708</v>
      </c>
      <c r="B24" s="0" t="s">
        <v>709</v>
      </c>
      <c r="C24" s="19" t="n">
        <f aca="false">PL!E155</f>
        <v>5710.50896358629</v>
      </c>
      <c r="D24" s="19" t="n">
        <f aca="false">PL!E152</f>
        <v>4392.53249958629</v>
      </c>
      <c r="E24" s="14" t="n">
        <f aca="false">PL!E164</f>
        <v>0.0486336385325961</v>
      </c>
      <c r="F24" s="16" t="n">
        <f aca="false">PL!E173</f>
        <v>43.61203627664</v>
      </c>
      <c r="G24" s="15" t="n">
        <f aca="false">F24/F$4-1</f>
        <v>0</v>
      </c>
      <c r="H24" s="19" t="n">
        <f aca="false">PL!F155</f>
        <v>4165.48021064223</v>
      </c>
      <c r="I24" s="19" t="n">
        <f aca="false">PL!F152</f>
        <v>2821.14421736223</v>
      </c>
      <c r="J24" s="14" t="n">
        <f aca="false">PL!F164</f>
        <v>0.0537841353946405</v>
      </c>
      <c r="K24" s="16" t="n">
        <f aca="false">PL!F173</f>
        <v>31.5644992489321</v>
      </c>
      <c r="L24" s="15" t="n">
        <f aca="false">K24/K$4-1</f>
        <v>-0.392108172509614</v>
      </c>
    </row>
    <row r="26" customFormat="false" ht="17.15" hidden="false" customHeight="false" outlineLevel="0" collapsed="false">
      <c r="A26" s="4" t="s">
        <v>710</v>
      </c>
    </row>
    <row r="40" customFormat="false" ht="17.15" hidden="false" customHeight="false" outlineLevel="0" collapsed="false">
      <c r="A40" s="1" t="s">
        <v>711</v>
      </c>
    </row>
    <row r="41" customFormat="false" ht="17.15" hidden="false" customHeight="false" outlineLevel="0" collapsed="false">
      <c r="A41" s="5" t="s">
        <v>18</v>
      </c>
      <c r="B41" s="5" t="s">
        <v>19</v>
      </c>
      <c r="C41" s="11" t="s">
        <v>296</v>
      </c>
      <c r="D41" s="11" t="s">
        <v>372</v>
      </c>
      <c r="E41" s="11" t="s">
        <v>373</v>
      </c>
      <c r="F41" s="11" t="s">
        <v>374</v>
      </c>
      <c r="G41" s="11" t="s">
        <v>375</v>
      </c>
      <c r="H41" s="5" t="s">
        <v>345</v>
      </c>
    </row>
    <row r="42" customFormat="false" ht="17.15" hidden="false" customHeight="false" outlineLevel="0" collapsed="false">
      <c r="A42" s="6" t="s">
        <v>389</v>
      </c>
    </row>
    <row r="43" customFormat="false" ht="17.15" hidden="false" customHeight="false" outlineLevel="0" collapsed="false">
      <c r="A43" s="0" t="s">
        <v>390</v>
      </c>
      <c r="B43" s="0" t="s">
        <v>29</v>
      </c>
      <c r="D43" s="21" t="n">
        <f aca="false">itc_26*1</f>
        <v>781.872916666667</v>
      </c>
      <c r="E43" s="21" t="n">
        <f aca="false">itc_27*1*1</f>
        <v>1565.35</v>
      </c>
      <c r="F43" s="21" t="n">
        <f aca="false">itc_28*um28_A*1</f>
        <v>1984.26388888889</v>
      </c>
      <c r="G43" s="21" t="n">
        <f aca="false">itc_29*um29_A*1</f>
        <v>2260.39027777778</v>
      </c>
    </row>
    <row r="44" customFormat="false" ht="17.15" hidden="false" customHeight="false" outlineLevel="0" collapsed="false">
      <c r="A44" s="4" t="s">
        <v>391</v>
      </c>
      <c r="B44" s="0" t="s">
        <v>29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392</v>
      </c>
      <c r="B45" s="0" t="s">
        <v>347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349</v>
      </c>
      <c r="B46" s="0" t="s">
        <v>350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393</v>
      </c>
    </row>
    <row r="47" customFormat="false" ht="17.15" hidden="false" customHeight="false" outlineLevel="0" collapsed="false">
      <c r="A47" s="0" t="s">
        <v>394</v>
      </c>
      <c r="B47" s="0" t="s">
        <v>29</v>
      </c>
      <c r="D47" s="19" t="n">
        <f aca="false">D45*D46</f>
        <v>634.616531285011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395</v>
      </c>
      <c r="B48" s="0" t="s">
        <v>165</v>
      </c>
      <c r="D48" s="19" t="n">
        <f aca="false">D47*fx</f>
        <v>20307.7290011204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396</v>
      </c>
      <c r="B49" s="0" t="s">
        <v>49</v>
      </c>
      <c r="D49" s="15" t="n">
        <f aca="false">a26_ai/D48</f>
        <v>0.133896123975753</v>
      </c>
      <c r="H49" s="8" t="s">
        <v>397</v>
      </c>
    </row>
    <row r="50" customFormat="false" ht="17.15" hidden="false" customHeight="false" outlineLevel="0" collapsed="false">
      <c r="A50" s="4" t="s">
        <v>398</v>
      </c>
      <c r="B50" s="0" t="s">
        <v>69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354</v>
      </c>
      <c r="B51" s="0" t="s">
        <v>49</v>
      </c>
      <c r="D51" s="15" t="n">
        <f aca="false">$D$49*D50</f>
        <v>0.133896123975753</v>
      </c>
      <c r="E51" s="15" t="n">
        <f aca="false">$D$49*E50</f>
        <v>0.11381170537939</v>
      </c>
      <c r="F51" s="15" t="n">
        <f aca="false">$D$49*F50</f>
        <v>0.100422092981815</v>
      </c>
      <c r="G51" s="15" t="n">
        <f aca="false">$D$49*G50</f>
        <v>0.0937272867830269</v>
      </c>
    </row>
    <row r="52" customFormat="false" ht="17.15" hidden="false" customHeight="false" outlineLevel="0" collapsed="false">
      <c r="A52" s="0" t="s">
        <v>399</v>
      </c>
      <c r="B52" s="0" t="s">
        <v>165</v>
      </c>
      <c r="D52" s="19" t="n">
        <f aca="false">D48*D51</f>
        <v>2719.1262</v>
      </c>
      <c r="E52" s="19" t="n">
        <f aca="false">E48*E51</f>
        <v>4148.50291627594</v>
      </c>
      <c r="F52" s="19" t="n">
        <f aca="false">F48*F51</f>
        <v>4640.03983118787</v>
      </c>
      <c r="G52" s="19" t="n">
        <f aca="false">G48*G51</f>
        <v>4933.35635255264</v>
      </c>
    </row>
    <row r="53" customFormat="false" ht="17.15" hidden="false" customHeight="false" outlineLevel="0" collapsed="false">
      <c r="A53" s="4" t="s">
        <v>358</v>
      </c>
      <c r="B53" s="0" t="s">
        <v>49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400</v>
      </c>
    </row>
    <row r="54" customFormat="false" ht="17.15" hidden="false" customHeight="false" outlineLevel="0" collapsed="false">
      <c r="A54" s="0" t="s">
        <v>401</v>
      </c>
      <c r="B54" s="0" t="s">
        <v>165</v>
      </c>
      <c r="C54" s="19" t="n">
        <f aca="false">a25_ai</f>
        <v>905.033</v>
      </c>
      <c r="D54" s="19" t="n">
        <f aca="false">D52*(1-D53)</f>
        <v>2719.1262</v>
      </c>
      <c r="E54" s="19" t="n">
        <f aca="false">E52*(1-E53)</f>
        <v>3733.65262464834</v>
      </c>
      <c r="F54" s="19" t="n">
        <f aca="false">F52*(1-F53)</f>
        <v>3712.0318649503</v>
      </c>
      <c r="G54" s="19" t="n">
        <f aca="false">G52*(1-G53)</f>
        <v>3700.01726441448</v>
      </c>
    </row>
    <row r="55" customFormat="false" ht="17.15" hidden="false" customHeight="false" outlineLevel="0" collapsed="false">
      <c r="A55" s="6" t="s">
        <v>402</v>
      </c>
    </row>
    <row r="56" customFormat="false" ht="17.15" hidden="false" customHeight="false" outlineLevel="0" collapsed="false">
      <c r="A56" s="4" t="s">
        <v>331</v>
      </c>
      <c r="B56" s="0" t="s">
        <v>165</v>
      </c>
      <c r="C56" s="19" t="n">
        <f aca="false">a25_nai</f>
        <v>1218.656</v>
      </c>
      <c r="D56" s="19" t="n">
        <f aca="false">a26_nai</f>
        <v>1279.5888</v>
      </c>
      <c r="E56" s="19" t="n">
        <f aca="false">D56*(1+g_nai27)</f>
        <v>1317.976464</v>
      </c>
      <c r="F56" s="19" t="n">
        <f aca="false">E56*(1+g_nai28)</f>
        <v>1344.33599328</v>
      </c>
      <c r="G56" s="19" t="n">
        <f aca="false">F56*(1+g_nai29)</f>
        <v>1371.2227131456</v>
      </c>
    </row>
    <row r="57" customFormat="false" ht="15" hidden="false" customHeight="false" outlineLevel="0" collapsed="false">
      <c r="A57" s="4" t="s">
        <v>302</v>
      </c>
      <c r="B57" s="0" t="s">
        <v>165</v>
      </c>
      <c r="C57" s="19" t="n">
        <f aca="false">C54+C56</f>
        <v>2123.689</v>
      </c>
      <c r="D57" s="19" t="n">
        <f aca="false">D54+D56</f>
        <v>3998.715</v>
      </c>
      <c r="E57" s="19" t="n">
        <f aca="false">E54+E56</f>
        <v>5051.62908864834</v>
      </c>
      <c r="F57" s="19" t="n">
        <f aca="false">F54+F56</f>
        <v>5056.3678582303</v>
      </c>
      <c r="G57" s="19" t="n">
        <f aca="false">G54+G56</f>
        <v>5071.23997756008</v>
      </c>
    </row>
    <row r="58" customFormat="false" ht="15" hidden="false" customHeight="false" outlineLevel="0" collapsed="false">
      <c r="A58" s="4" t="s">
        <v>403</v>
      </c>
      <c r="B58" s="0" t="s">
        <v>49</v>
      </c>
      <c r="D58" s="15" t="n">
        <f aca="false">D57/C57-1</f>
        <v>0.88290987993063</v>
      </c>
      <c r="E58" s="15" t="n">
        <f aca="false">E57/D57-1</f>
        <v>0.263313111499155</v>
      </c>
      <c r="F58" s="15" t="n">
        <f aca="false">F57/E57-1</f>
        <v>0.000938067601321535</v>
      </c>
      <c r="G58" s="15" t="n">
        <f aca="false">G57/F57-1</f>
        <v>0.00294126530085648</v>
      </c>
    </row>
    <row r="59" customFormat="false" ht="17.15" hidden="false" customHeight="false" outlineLevel="0" collapsed="false">
      <c r="A59" s="0" t="s">
        <v>404</v>
      </c>
      <c r="B59" s="0" t="s">
        <v>49</v>
      </c>
      <c r="C59" s="15" t="n">
        <f aca="false">C54/C57</f>
        <v>0.426160798497332</v>
      </c>
      <c r="D59" s="15" t="n">
        <f aca="false">D54/D57</f>
        <v>0.68</v>
      </c>
      <c r="E59" s="15" t="n">
        <f aca="false">E54/E57</f>
        <v>0.73909872619871</v>
      </c>
      <c r="F59" s="15" t="n">
        <f aca="false">F54/F57</f>
        <v>0.734130104657672</v>
      </c>
      <c r="G59" s="15" t="n">
        <f aca="false">G54/G57</f>
        <v>0.729608001354072</v>
      </c>
    </row>
    <row r="60" customFormat="false" ht="17.15" hidden="false" customHeight="false" outlineLevel="0" collapsed="false">
      <c r="A60" s="4" t="s">
        <v>364</v>
      </c>
      <c r="B60" s="0" t="s">
        <v>350</v>
      </c>
      <c r="D60" s="16" t="n">
        <f aca="false">D54/fx/D45</f>
        <v>3.63138338873399</v>
      </c>
      <c r="E60" s="16" t="n">
        <f aca="false">E54/fx/E45</f>
        <v>2.80157755844852</v>
      </c>
      <c r="F60" s="16" t="n">
        <f aca="false">F54/fx/F45</f>
        <v>2.19731573211649</v>
      </c>
      <c r="G60" s="16" t="n">
        <f aca="false">G54/fx/G45</f>
        <v>1.92265126560193</v>
      </c>
    </row>
    <row r="61" customFormat="false" ht="17.15" hidden="false" customHeight="false" outlineLevel="0" collapsed="false">
      <c r="A61" s="4" t="s">
        <v>405</v>
      </c>
      <c r="B61" s="4" t="s">
        <v>362</v>
      </c>
      <c r="D61" s="19" t="n">
        <f aca="false">D52/fx/(odm_gb*(1-vr26)+odm_vr*vr26)</f>
        <v>18.4522679153094</v>
      </c>
      <c r="E61" s="19" t="n">
        <f aca="false">E52/fx/odm_vr</f>
        <v>19.206032019796</v>
      </c>
      <c r="F61" s="19" t="n">
        <f aca="false">F52/fx/odm_vr</f>
        <v>21.481665885129</v>
      </c>
      <c r="G61" s="19" t="n">
        <f aca="false">G52/fx/odm_vr</f>
        <v>22.8396127432992</v>
      </c>
      <c r="H61" s="4" t="s">
        <v>406</v>
      </c>
    </row>
    <row r="62" customFormat="false" ht="17.15" hidden="false" customHeight="false" outlineLevel="0" collapsed="false">
      <c r="A62" s="6" t="s">
        <v>407</v>
      </c>
    </row>
    <row r="63" customFormat="false" ht="17.15" hidden="false" customHeight="false" outlineLevel="0" collapsed="false">
      <c r="A63" s="4" t="s">
        <v>408</v>
      </c>
      <c r="B63" s="0" t="s">
        <v>49</v>
      </c>
      <c r="D63" s="14" t="n">
        <f aca="false">a26_gp/D57-d_ai*D59</f>
        <v>0.0632307213692399</v>
      </c>
      <c r="H63" s="8" t="s">
        <v>409</v>
      </c>
    </row>
    <row r="64" customFormat="false" ht="17.15" hidden="false" customHeight="false" outlineLevel="0" collapsed="false">
      <c r="A64" s="0" t="s">
        <v>410</v>
      </c>
      <c r="B64" s="0" t="s">
        <v>165</v>
      </c>
      <c r="D64" s="21" t="n">
        <f aca="false">($D$63+d_ai)*D52*(1-D53*(1-keep))</f>
        <v>117.54978712</v>
      </c>
      <c r="E64" s="21" t="n">
        <f aca="false">($D$63+d_ai+vrd)*E52*(1-E53*(1-keep))</f>
        <v>165.228292274935</v>
      </c>
      <c r="F64" s="21" t="n">
        <f aca="false">($D$63+d_ai+vrd)*F52*(1-F53*(1-keep))</f>
        <v>182.93870659888</v>
      </c>
      <c r="G64" s="21" t="n">
        <f aca="false">($D$63+d_ai+vrd)*G52*(1-G53*(1-keep))</f>
        <v>193.510672713847</v>
      </c>
      <c r="H64" s="4" t="s">
        <v>411</v>
      </c>
    </row>
    <row r="65" customFormat="false" ht="15" hidden="false" customHeight="false" outlineLevel="0" collapsed="false">
      <c r="A65" s="4" t="s">
        <v>306</v>
      </c>
      <c r="B65" s="0" t="s">
        <v>165</v>
      </c>
      <c r="C65" s="19" t="n">
        <f aca="false">a25_gp</f>
        <v>148.2334922</v>
      </c>
      <c r="D65" s="19" t="n">
        <f aca="false">a26_gp</f>
        <v>198.45911</v>
      </c>
      <c r="E65" s="19" t="n">
        <f aca="false">$D$63*E56+E64</f>
        <v>248.564894841335</v>
      </c>
      <c r="F65" s="19" t="n">
        <f aca="false">$D$63*F56+F64</f>
        <v>267.942041216608</v>
      </c>
      <c r="G65" s="19" t="n">
        <f aca="false">$D$63*G56+G64</f>
        <v>280.214074023929</v>
      </c>
    </row>
    <row r="66" customFormat="false" ht="15" hidden="false" customHeight="false" outlineLevel="0" collapsed="false">
      <c r="A66" s="4" t="s">
        <v>309</v>
      </c>
      <c r="B66" s="0" t="s">
        <v>49</v>
      </c>
      <c r="C66" s="14" t="n">
        <f aca="false">C65/C57</f>
        <v>0.0698</v>
      </c>
      <c r="D66" s="14" t="n">
        <f aca="false">D65/D57</f>
        <v>0.0496307213692399</v>
      </c>
      <c r="E66" s="14" t="n">
        <f aca="false">E65/E57</f>
        <v>0.0492048981584756</v>
      </c>
      <c r="F66" s="14" t="n">
        <f aca="false">F65/F57</f>
        <v>0.0529910102921955</v>
      </c>
      <c r="G66" s="14" t="n">
        <f aca="false">G65/G57</f>
        <v>0.0552555342014693</v>
      </c>
    </row>
    <row r="67" customFormat="false" ht="17.15" hidden="false" customHeight="false" outlineLevel="0" collapsed="false">
      <c r="A67" s="0" t="s">
        <v>412</v>
      </c>
      <c r="B67" s="0" t="s">
        <v>49</v>
      </c>
      <c r="D67" s="14" t="n">
        <f aca="false">D64/D54</f>
        <v>0.0432307213692399</v>
      </c>
      <c r="E67" s="14" t="n">
        <f aca="false">E64/E54</f>
        <v>0.0442537935061639</v>
      </c>
      <c r="F67" s="14" t="n">
        <f aca="false">F64/F54</f>
        <v>0.0492826336773188</v>
      </c>
      <c r="G67" s="14" t="n">
        <f aca="false">G64/G54</f>
        <v>0.0522999377800118</v>
      </c>
      <c r="H67" s="4" t="s">
        <v>413</v>
      </c>
    </row>
    <row r="68" customFormat="false" ht="15" hidden="false" customHeight="false" outlineLevel="0" collapsed="false">
      <c r="A68" s="4" t="s">
        <v>414</v>
      </c>
      <c r="B68" s="0" t="s">
        <v>165</v>
      </c>
      <c r="C68" s="19" t="n">
        <f aca="false">a25_opx</f>
        <v>60.7375054</v>
      </c>
      <c r="D68" s="19" t="n">
        <f aca="false">a26_opx</f>
        <v>71.1893725</v>
      </c>
      <c r="E68" s="19" t="n">
        <f aca="false">D68*(1+MAX(0,phi*E58))</f>
        <v>78.687410571459</v>
      </c>
      <c r="F68" s="19" t="n">
        <f aca="false">E68*(1+MAX(0,phi*F58))</f>
        <v>78.7169362156545</v>
      </c>
      <c r="G68" s="19" t="n">
        <f aca="false">F68*(1+MAX(0,phi*G58))</f>
        <v>78.8095471728869</v>
      </c>
    </row>
    <row r="69" customFormat="false" ht="15" hidden="false" customHeight="false" outlineLevel="0" collapsed="false">
      <c r="A69" s="4" t="s">
        <v>310</v>
      </c>
      <c r="B69" s="0" t="s">
        <v>165</v>
      </c>
      <c r="C69" s="19" t="n">
        <f aca="false">C68</f>
        <v>60.7375054</v>
      </c>
      <c r="D69" s="19" t="n">
        <f aca="false">D68</f>
        <v>71.1893725</v>
      </c>
      <c r="E69" s="19" t="n">
        <f aca="false">E68+0*E57</f>
        <v>78.687410571459</v>
      </c>
      <c r="F69" s="19" t="n">
        <f aca="false">F68+0*F57</f>
        <v>78.7169362156545</v>
      </c>
      <c r="G69" s="19" t="n">
        <f aca="false">G68+0*G57</f>
        <v>78.8095471728869</v>
      </c>
    </row>
    <row r="70" customFormat="false" ht="15" hidden="false" customHeight="false" outlineLevel="0" collapsed="false">
      <c r="A70" s="4" t="s">
        <v>313</v>
      </c>
      <c r="B70" s="0" t="s">
        <v>165</v>
      </c>
      <c r="C70" s="19" t="n">
        <f aca="false">C65-C69</f>
        <v>87.4959868</v>
      </c>
      <c r="D70" s="19" t="n">
        <f aca="false">D65-D69</f>
        <v>127.2697375</v>
      </c>
      <c r="E70" s="19" t="n">
        <f aca="false">E65-E69</f>
        <v>169.877484269876</v>
      </c>
      <c r="F70" s="19" t="n">
        <f aca="false">F65-F69</f>
        <v>189.225105000954</v>
      </c>
      <c r="G70" s="19" t="n">
        <f aca="false">G65-G69</f>
        <v>201.404526851042</v>
      </c>
    </row>
    <row r="71" customFormat="false" ht="15" hidden="false" customHeight="false" outlineLevel="0" collapsed="false">
      <c r="A71" s="4" t="s">
        <v>316</v>
      </c>
      <c r="B71" s="0" t="s">
        <v>49</v>
      </c>
      <c r="C71" s="14" t="n">
        <f aca="false">C70/C57</f>
        <v>0.0412</v>
      </c>
      <c r="D71" s="14" t="n">
        <f aca="false">D70/D57</f>
        <v>0.0318276590104571</v>
      </c>
      <c r="E71" s="14" t="n">
        <f aca="false">E70/E57</f>
        <v>0.0336282575954779</v>
      </c>
      <c r="F71" s="14" t="n">
        <f aca="false">F70/F57</f>
        <v>0.0374231286778216</v>
      </c>
      <c r="G71" s="14" t="n">
        <f aca="false">G70/G57</f>
        <v>0.0397150455790389</v>
      </c>
    </row>
    <row r="72" customFormat="false" ht="17.15" hidden="false" customHeight="false" outlineLevel="0" collapsed="false">
      <c r="A72" s="4" t="s">
        <v>199</v>
      </c>
      <c r="B72" s="0" t="s">
        <v>49</v>
      </c>
      <c r="C72" s="15" t="n">
        <f aca="false">a25_ni/a25_oi</f>
        <v>0.856953590013114</v>
      </c>
      <c r="D72" s="15" t="n">
        <f aca="false">a26_ni/a26_oi</f>
        <v>0.869913569398224</v>
      </c>
      <c r="E72" s="15" t="n">
        <f aca="false">nio_f</f>
        <v>0.865</v>
      </c>
      <c r="F72" s="15" t="n">
        <f aca="false">nio_f</f>
        <v>0.865</v>
      </c>
      <c r="G72" s="15" t="n">
        <f aca="false">nio_f</f>
        <v>0.865</v>
      </c>
    </row>
    <row r="73" customFormat="false" ht="15" hidden="false" customHeight="false" outlineLevel="0" collapsed="false">
      <c r="A73" s="4" t="s">
        <v>317</v>
      </c>
      <c r="B73" s="0" t="s">
        <v>165</v>
      </c>
      <c r="C73" s="19" t="n">
        <f aca="false">a25_ni</f>
        <v>74.98</v>
      </c>
      <c r="D73" s="19" t="n">
        <f aca="false">a26_ni</f>
        <v>110.713671625</v>
      </c>
      <c r="E73" s="19" t="n">
        <f aca="false">E70*E72</f>
        <v>146.944023893442</v>
      </c>
      <c r="F73" s="19" t="n">
        <f aca="false">F70*F72</f>
        <v>163.679715825825</v>
      </c>
      <c r="G73" s="19" t="n">
        <f aca="false">G70*G72</f>
        <v>174.214915726152</v>
      </c>
    </row>
    <row r="74" customFormat="false" ht="15" hidden="false" customHeight="false" outlineLevel="0" collapsed="false">
      <c r="A74" s="4" t="s">
        <v>415</v>
      </c>
      <c r="B74" s="4" t="s">
        <v>186</v>
      </c>
      <c r="C74" s="22" t="n">
        <f aca="false">a25_sh</f>
        <v>3.85501285347044</v>
      </c>
      <c r="D74" s="22" t="n">
        <f aca="false">a26_sh</f>
        <v>3.85460170146945</v>
      </c>
      <c r="E74" s="22" t="n">
        <f aca="false">D74*(1+sh_g)</f>
        <v>3.85460170146945</v>
      </c>
      <c r="F74" s="22" t="n">
        <f aca="false">E74*(1+sh_g)</f>
        <v>3.85460170146945</v>
      </c>
      <c r="G74" s="22" t="n">
        <f aca="false">F74*(1+sh_g)</f>
        <v>3.85460170146945</v>
      </c>
    </row>
    <row r="75" customFormat="false" ht="15" hidden="false" customHeight="false" outlineLevel="0" collapsed="false">
      <c r="A75" s="0" t="s">
        <v>323</v>
      </c>
      <c r="B75" s="0" t="s">
        <v>216</v>
      </c>
      <c r="C75" s="21" t="n">
        <f aca="false">C73/C74</f>
        <v>19.45</v>
      </c>
      <c r="D75" s="21" t="n">
        <f aca="false">D73/D74</f>
        <v>28.7224673778341</v>
      </c>
      <c r="E75" s="21" t="n">
        <f aca="false">E73/E74</f>
        <v>38.1217140638485</v>
      </c>
      <c r="F75" s="21" t="n">
        <f aca="false">F73/F74</f>
        <v>42.4634575768041</v>
      </c>
      <c r="G75" s="21" t="n">
        <f aca="false">G73/G74</f>
        <v>45.1966063470935</v>
      </c>
    </row>
    <row r="76" customFormat="false" ht="17.15" hidden="false" customHeight="false" outlineLevel="0" collapsed="false">
      <c r="A76" s="0" t="s">
        <v>416</v>
      </c>
      <c r="B76" s="0" t="s">
        <v>49</v>
      </c>
      <c r="D76" s="15" t="n">
        <f aca="false">D75/C75-1</f>
        <v>0.476733541276816</v>
      </c>
      <c r="E76" s="15" t="n">
        <f aca="false">E75/D75-1</f>
        <v>0.327243706551064</v>
      </c>
      <c r="F76" s="15" t="n">
        <f aca="false">F75/E75-1</f>
        <v>0.113891613207207</v>
      </c>
      <c r="G76" s="15" t="n">
        <f aca="false">G75/F75-1</f>
        <v>0.0643647250190578</v>
      </c>
    </row>
    <row r="79" customFormat="false" ht="17.15" hidden="false" customHeight="false" outlineLevel="0" collapsed="false">
      <c r="A79" s="1" t="s">
        <v>712</v>
      </c>
    </row>
    <row r="80" customFormat="false" ht="17.15" hidden="false" customHeight="false" outlineLevel="0" collapsed="false">
      <c r="A80" s="5" t="s">
        <v>18</v>
      </c>
      <c r="B80" s="5" t="s">
        <v>19</v>
      </c>
      <c r="C80" s="11" t="s">
        <v>296</v>
      </c>
      <c r="D80" s="11" t="s">
        <v>372</v>
      </c>
      <c r="E80" s="11" t="s">
        <v>373</v>
      </c>
      <c r="F80" s="11" t="s">
        <v>374</v>
      </c>
      <c r="G80" s="11" t="s">
        <v>375</v>
      </c>
      <c r="H80" s="5" t="s">
        <v>345</v>
      </c>
    </row>
    <row r="81" customFormat="false" ht="17.15" hidden="false" customHeight="false" outlineLevel="0" collapsed="false">
      <c r="A81" s="6" t="s">
        <v>389</v>
      </c>
    </row>
    <row r="82" customFormat="false" ht="17.15" hidden="false" customHeight="false" outlineLevel="0" collapsed="false">
      <c r="A82" s="0" t="s">
        <v>390</v>
      </c>
      <c r="B82" s="0" t="s">
        <v>29</v>
      </c>
      <c r="D82" s="21" t="n">
        <f aca="false">itc_26*1</f>
        <v>781.872916666667</v>
      </c>
      <c r="E82" s="21" t="n">
        <f aca="false">itc_27*1*1</f>
        <v>1565.35</v>
      </c>
      <c r="F82" s="21" t="n">
        <f aca="false">itc_28*um28_A*1</f>
        <v>1984.26388888889</v>
      </c>
      <c r="G82" s="21" t="n">
        <f aca="false">itc_29*um29_A*1</f>
        <v>2260.39027777778</v>
      </c>
    </row>
    <row r="83" customFormat="false" ht="17.15" hidden="false" customHeight="false" outlineLevel="0" collapsed="false">
      <c r="A83" s="4" t="s">
        <v>391</v>
      </c>
      <c r="B83" s="0" t="s">
        <v>29</v>
      </c>
      <c r="D83" s="21" t="n">
        <f aca="false">itpg_gb*(1-vr26)+itpg_vr*vr26</f>
        <v>33.41403216</v>
      </c>
      <c r="E83" s="21" t="n">
        <f aca="false">itpg_vr</f>
        <v>37.586352</v>
      </c>
      <c r="F83" s="21" t="n">
        <f aca="false">itpg_vr</f>
        <v>37.586352</v>
      </c>
      <c r="G83" s="21" t="n">
        <f aca="false">itpg_vr</f>
        <v>37.586352</v>
      </c>
    </row>
    <row r="84" customFormat="false" ht="17.15" hidden="false" customHeight="false" outlineLevel="0" collapsed="false">
      <c r="A84" s="4" t="s">
        <v>392</v>
      </c>
      <c r="B84" s="0" t="s">
        <v>347</v>
      </c>
      <c r="D84" s="18" t="n">
        <f aca="false">D82/D83</f>
        <v>23.3995380420639</v>
      </c>
      <c r="E84" s="18" t="n">
        <f aca="false">E82/E83</f>
        <v>41.6467658260637</v>
      </c>
      <c r="F84" s="18" t="n">
        <f aca="false">F82/F83</f>
        <v>52.792138191248</v>
      </c>
      <c r="G84" s="18" t="n">
        <f aca="false">G82/G83</f>
        <v>60.1385917361116</v>
      </c>
    </row>
    <row r="85" customFormat="false" ht="17.15" hidden="false" customHeight="false" outlineLevel="0" collapsed="false">
      <c r="A85" s="4" t="s">
        <v>349</v>
      </c>
      <c r="B85" s="0" t="s">
        <v>350</v>
      </c>
      <c r="D85" s="16" t="n">
        <f aca="false">(racks_gb*odm_gb*(1-vr26)+racks_vr*odm_vr*vr26)/1000</f>
        <v>27.1209</v>
      </c>
      <c r="E85" s="16" t="n">
        <f aca="false">racks_vr*odm_vr/1000</f>
        <v>27.351</v>
      </c>
      <c r="F85" s="16" t="n">
        <f aca="false">$E85*vpg_28</f>
        <v>27.351</v>
      </c>
      <c r="G85" s="16" t="n">
        <f aca="false">$E85*vpg_29</f>
        <v>27.351</v>
      </c>
      <c r="H85" s="4" t="s">
        <v>393</v>
      </c>
    </row>
    <row r="86" customFormat="false" ht="17.15" hidden="false" customHeight="false" outlineLevel="0" collapsed="false">
      <c r="A86" s="0" t="s">
        <v>394</v>
      </c>
      <c r="B86" s="0" t="s">
        <v>29</v>
      </c>
      <c r="D86" s="19" t="n">
        <f aca="false">D84*D85</f>
        <v>634.616531285011</v>
      </c>
      <c r="E86" s="19" t="n">
        <f aca="false">E84*E85</f>
        <v>1139.08069210867</v>
      </c>
      <c r="F86" s="19" t="n">
        <f aca="false">F84*F85</f>
        <v>1443.91777166882</v>
      </c>
      <c r="G86" s="19" t="n">
        <f aca="false">G84*G85</f>
        <v>1644.85062257439</v>
      </c>
    </row>
    <row r="87" customFormat="false" ht="17.15" hidden="false" customHeight="false" outlineLevel="0" collapsed="false">
      <c r="A87" s="0" t="s">
        <v>395</v>
      </c>
      <c r="B87" s="0" t="s">
        <v>165</v>
      </c>
      <c r="D87" s="19" t="n">
        <f aca="false">D86*fx</f>
        <v>20307.7290011204</v>
      </c>
      <c r="E87" s="19" t="n">
        <f aca="false">E86*fx</f>
        <v>36450.5821474774</v>
      </c>
      <c r="F87" s="19" t="n">
        <f aca="false">F86*fx</f>
        <v>46205.3686934024</v>
      </c>
      <c r="G87" s="19" t="n">
        <f aca="false">G86*fx</f>
        <v>52635.2199223804</v>
      </c>
    </row>
    <row r="88" customFormat="false" ht="17.15" hidden="false" customHeight="false" outlineLevel="0" collapsed="false">
      <c r="A88" s="4" t="s">
        <v>396</v>
      </c>
      <c r="B88" s="0" t="s">
        <v>49</v>
      </c>
      <c r="D88" s="15" t="n">
        <f aca="false">a26_ai/D87</f>
        <v>0.133896123975753</v>
      </c>
      <c r="H88" s="8" t="s">
        <v>397</v>
      </c>
    </row>
    <row r="89" customFormat="false" ht="17.15" hidden="false" customHeight="false" outlineLevel="0" collapsed="false">
      <c r="A89" s="4" t="s">
        <v>398</v>
      </c>
      <c r="B89" s="0" t="s">
        <v>69</v>
      </c>
      <c r="D89" s="16" t="n">
        <f aca="false">1</f>
        <v>1</v>
      </c>
      <c r="E89" s="16" t="n">
        <f aca="false">RHI_27</f>
        <v>1.1</v>
      </c>
      <c r="F89" s="16" t="n">
        <f aca="false">RHI_28</f>
        <v>1.1</v>
      </c>
      <c r="G89" s="16" t="n">
        <f aca="false">RHI_29</f>
        <v>1.1</v>
      </c>
    </row>
    <row r="90" customFormat="false" ht="15" hidden="false" customHeight="false" outlineLevel="0" collapsed="false">
      <c r="A90" s="4" t="s">
        <v>354</v>
      </c>
      <c r="B90" s="0" t="s">
        <v>49</v>
      </c>
      <c r="D90" s="15" t="n">
        <f aca="false">$D$88*D89</f>
        <v>0.133896123975753</v>
      </c>
      <c r="E90" s="15" t="n">
        <f aca="false">$D$88*E89</f>
        <v>0.147285736373328</v>
      </c>
      <c r="F90" s="15" t="n">
        <f aca="false">$D$88*F89</f>
        <v>0.147285736373328</v>
      </c>
      <c r="G90" s="15" t="n">
        <f aca="false">$D$88*G89</f>
        <v>0.147285736373328</v>
      </c>
    </row>
    <row r="91" customFormat="false" ht="17.15" hidden="false" customHeight="false" outlineLevel="0" collapsed="false">
      <c r="A91" s="0" t="s">
        <v>399</v>
      </c>
      <c r="B91" s="0" t="s">
        <v>165</v>
      </c>
      <c r="D91" s="19" t="n">
        <f aca="false">D87*D90</f>
        <v>2719.1262</v>
      </c>
      <c r="E91" s="19" t="n">
        <f aca="false">E87*E90</f>
        <v>5368.65083282768</v>
      </c>
      <c r="F91" s="19" t="n">
        <f aca="false">F87*F90</f>
        <v>6805.39175240888</v>
      </c>
      <c r="G91" s="19" t="n">
        <f aca="false">G87*G90</f>
        <v>7752.41712543986</v>
      </c>
    </row>
    <row r="92" customFormat="false" ht="17.15" hidden="false" customHeight="false" outlineLevel="0" collapsed="false">
      <c r="A92" s="4" t="s">
        <v>358</v>
      </c>
      <c r="B92" s="0" t="s">
        <v>49</v>
      </c>
      <c r="D92" s="15" t="n">
        <f aca="false">0</f>
        <v>0</v>
      </c>
      <c r="E92" s="15" t="n">
        <f aca="false">cs_27</f>
        <v>0.1</v>
      </c>
      <c r="F92" s="15" t="n">
        <f aca="false">cs_28</f>
        <v>0.2</v>
      </c>
      <c r="G92" s="15" t="n">
        <f aca="false">cs_29</f>
        <v>0.25</v>
      </c>
      <c r="H92" s="8" t="s">
        <v>400</v>
      </c>
    </row>
    <row r="93" customFormat="false" ht="17.15" hidden="false" customHeight="false" outlineLevel="0" collapsed="false">
      <c r="A93" s="0" t="s">
        <v>401</v>
      </c>
      <c r="B93" s="0" t="s">
        <v>165</v>
      </c>
      <c r="C93" s="19" t="n">
        <f aca="false">a25_ai</f>
        <v>905.033</v>
      </c>
      <c r="D93" s="19" t="n">
        <f aca="false">D91*(1-D92)</f>
        <v>2719.1262</v>
      </c>
      <c r="E93" s="19" t="n">
        <f aca="false">E91*(1-E92)</f>
        <v>4831.78574954492</v>
      </c>
      <c r="F93" s="19" t="n">
        <f aca="false">F91*(1-F92)</f>
        <v>5444.31340192711</v>
      </c>
      <c r="G93" s="19" t="n">
        <f aca="false">G91*(1-G92)</f>
        <v>5814.31284407989</v>
      </c>
    </row>
    <row r="94" customFormat="false" ht="17.15" hidden="false" customHeight="false" outlineLevel="0" collapsed="false">
      <c r="A94" s="6" t="s">
        <v>402</v>
      </c>
    </row>
    <row r="95" customFormat="false" ht="17.15" hidden="false" customHeight="false" outlineLevel="0" collapsed="false">
      <c r="A95" s="4" t="s">
        <v>331</v>
      </c>
      <c r="B95" s="0" t="s">
        <v>165</v>
      </c>
      <c r="C95" s="19" t="n">
        <f aca="false">a25_nai</f>
        <v>1218.656</v>
      </c>
      <c r="D95" s="19" t="n">
        <f aca="false">a26_nai</f>
        <v>1279.5888</v>
      </c>
      <c r="E95" s="19" t="n">
        <f aca="false">D95*(1+g_nai27)</f>
        <v>1317.976464</v>
      </c>
      <c r="F95" s="19" t="n">
        <f aca="false">E95*(1+g_nai28)</f>
        <v>1344.33599328</v>
      </c>
      <c r="G95" s="19" t="n">
        <f aca="false">F95*(1+g_nai29)</f>
        <v>1371.2227131456</v>
      </c>
    </row>
    <row r="96" customFormat="false" ht="15" hidden="false" customHeight="false" outlineLevel="0" collapsed="false">
      <c r="A96" s="4" t="s">
        <v>302</v>
      </c>
      <c r="B96" s="0" t="s">
        <v>165</v>
      </c>
      <c r="C96" s="19" t="n">
        <f aca="false">C93+C95</f>
        <v>2123.689</v>
      </c>
      <c r="D96" s="19" t="n">
        <f aca="false">D93+D95</f>
        <v>3998.715</v>
      </c>
      <c r="E96" s="19" t="n">
        <f aca="false">E93+E95</f>
        <v>6149.76221354492</v>
      </c>
      <c r="F96" s="19" t="n">
        <f aca="false">F93+F95</f>
        <v>6788.64939520711</v>
      </c>
      <c r="G96" s="19" t="n">
        <f aca="false">G93+G95</f>
        <v>7185.53555722549</v>
      </c>
    </row>
    <row r="97" customFormat="false" ht="15" hidden="false" customHeight="false" outlineLevel="0" collapsed="false">
      <c r="A97" s="4" t="s">
        <v>403</v>
      </c>
      <c r="B97" s="0" t="s">
        <v>49</v>
      </c>
      <c r="D97" s="15" t="n">
        <f aca="false">D96/C96-1</f>
        <v>0.88290987993063</v>
      </c>
      <c r="E97" s="15" t="n">
        <f aca="false">E96/D96-1</f>
        <v>0.53793461488126</v>
      </c>
      <c r="F97" s="15" t="n">
        <f aca="false">F96/E96-1</f>
        <v>0.103888111357384</v>
      </c>
      <c r="G97" s="15" t="n">
        <f aca="false">G96/F96-1</f>
        <v>0.0584631992187716</v>
      </c>
    </row>
    <row r="98" customFormat="false" ht="17.15" hidden="false" customHeight="false" outlineLevel="0" collapsed="false">
      <c r="A98" s="0" t="s">
        <v>404</v>
      </c>
      <c r="B98" s="0" t="s">
        <v>49</v>
      </c>
      <c r="C98" s="15" t="n">
        <f aca="false">C93/C96</f>
        <v>0.426160798497332</v>
      </c>
      <c r="D98" s="15" t="n">
        <f aca="false">D93/D96</f>
        <v>0.68</v>
      </c>
      <c r="E98" s="15" t="n">
        <f aca="false">E93/E96</f>
        <v>0.785686597589555</v>
      </c>
      <c r="F98" s="15" t="n">
        <f aca="false">F93/F96</f>
        <v>0.801972982397777</v>
      </c>
      <c r="G98" s="15" t="n">
        <f aca="false">G93/G96</f>
        <v>0.809169031003298</v>
      </c>
    </row>
    <row r="99" customFormat="false" ht="17.15" hidden="false" customHeight="false" outlineLevel="0" collapsed="false">
      <c r="A99" s="4" t="s">
        <v>364</v>
      </c>
      <c r="B99" s="0" t="s">
        <v>350</v>
      </c>
      <c r="D99" s="16" t="n">
        <f aca="false">D93/fx/D84</f>
        <v>3.63138338873399</v>
      </c>
      <c r="E99" s="16" t="n">
        <f aca="false">E93/fx/E84</f>
        <v>3.6255709579922</v>
      </c>
      <c r="F99" s="16" t="n">
        <f aca="false">F93/fx/F84</f>
        <v>3.22272974043751</v>
      </c>
      <c r="G99" s="16" t="n">
        <f aca="false">G93/fx/G84</f>
        <v>3.02130913166017</v>
      </c>
    </row>
    <row r="100" customFormat="false" ht="17.15" hidden="false" customHeight="false" outlineLevel="0" collapsed="false">
      <c r="A100" s="4" t="s">
        <v>405</v>
      </c>
      <c r="B100" s="4" t="s">
        <v>362</v>
      </c>
      <c r="D100" s="19" t="n">
        <f aca="false">D91/fx/(odm_gb*(1-vr26)+odm_vr*vr26)</f>
        <v>18.4522679153094</v>
      </c>
      <c r="E100" s="19" t="n">
        <f aca="false">E91/fx/odm_vr</f>
        <v>24.8548649667948</v>
      </c>
      <c r="F100" s="19" t="n">
        <f aca="false">F91/fx/odm_vr</f>
        <v>31.5064432981893</v>
      </c>
      <c r="G100" s="19" t="n">
        <f aca="false">G91/fx/odm_vr</f>
        <v>35.8908200251845</v>
      </c>
      <c r="H100" s="4" t="s">
        <v>406</v>
      </c>
    </row>
    <row r="101" customFormat="false" ht="17.15" hidden="false" customHeight="false" outlineLevel="0" collapsed="false">
      <c r="A101" s="6" t="s">
        <v>407</v>
      </c>
    </row>
    <row r="102" customFormat="false" ht="17.15" hidden="false" customHeight="false" outlineLevel="0" collapsed="false">
      <c r="A102" s="4" t="s">
        <v>408</v>
      </c>
      <c r="B102" s="0" t="s">
        <v>49</v>
      </c>
      <c r="D102" s="14" t="n">
        <f aca="false">a26_gp/D96-d_ai*D98</f>
        <v>0.0632307213692399</v>
      </c>
      <c r="H102" s="8" t="s">
        <v>409</v>
      </c>
    </row>
    <row r="103" customFormat="false" ht="17.15" hidden="false" customHeight="false" outlineLevel="0" collapsed="false">
      <c r="A103" s="0" t="s">
        <v>410</v>
      </c>
      <c r="B103" s="0" t="s">
        <v>165</v>
      </c>
      <c r="D103" s="21" t="n">
        <f aca="false">($D$102+d_ai)*D91*(1-D92*(1-keep))</f>
        <v>117.54978712</v>
      </c>
      <c r="E103" s="21" t="n">
        <f aca="false">($D$102+d_ai+vrd)*E91*(1-E92*(1-keep))</f>
        <v>213.824848826386</v>
      </c>
      <c r="F103" s="21" t="n">
        <f aca="false">($D$102+d_ai+vrd)*F91*(1-F92*(1-keep))</f>
        <v>268.310103011691</v>
      </c>
      <c r="G103" s="21" t="n">
        <f aca="false">($D$102+d_ai+vrd)*G91*(1-G92*(1-keep))</f>
        <v>304.088199978902</v>
      </c>
      <c r="H103" s="4" t="s">
        <v>411</v>
      </c>
    </row>
    <row r="104" customFormat="false" ht="15" hidden="false" customHeight="false" outlineLevel="0" collapsed="false">
      <c r="A104" s="4" t="s">
        <v>306</v>
      </c>
      <c r="B104" s="0" t="s">
        <v>165</v>
      </c>
      <c r="C104" s="19" t="n">
        <f aca="false">a25_gp</f>
        <v>148.2334922</v>
      </c>
      <c r="D104" s="19" t="n">
        <f aca="false">a26_gp</f>
        <v>198.45911</v>
      </c>
      <c r="E104" s="19" t="n">
        <f aca="false">$D$102*E95+E103</f>
        <v>297.161451392786</v>
      </c>
      <c r="F104" s="19" t="n">
        <f aca="false">$D$102*F95+F103</f>
        <v>353.313437629419</v>
      </c>
      <c r="G104" s="19" t="n">
        <f aca="false">$D$102*G95+G103</f>
        <v>390.791601288985</v>
      </c>
    </row>
    <row r="105" customFormat="false" ht="15" hidden="false" customHeight="false" outlineLevel="0" collapsed="false">
      <c r="A105" s="4" t="s">
        <v>309</v>
      </c>
      <c r="B105" s="0" t="s">
        <v>49</v>
      </c>
      <c r="C105" s="14" t="n">
        <f aca="false">C104/C96</f>
        <v>0.0698</v>
      </c>
      <c r="D105" s="14" t="n">
        <f aca="false">D104/D96</f>
        <v>0.0496307213692399</v>
      </c>
      <c r="E105" s="14" t="n">
        <f aca="false">E104/E96</f>
        <v>0.0483208034837973</v>
      </c>
      <c r="F105" s="14" t="n">
        <f aca="false">F104/F96</f>
        <v>0.0520447318842042</v>
      </c>
      <c r="G105" s="14" t="n">
        <f aca="false">G104/G96</f>
        <v>0.0543858698042375</v>
      </c>
    </row>
    <row r="106" customFormat="false" ht="17.15" hidden="false" customHeight="false" outlineLevel="0" collapsed="false">
      <c r="A106" s="0" t="s">
        <v>412</v>
      </c>
      <c r="B106" s="0" t="s">
        <v>49</v>
      </c>
      <c r="D106" s="14" t="n">
        <f aca="false">D103/D93</f>
        <v>0.0432307213692399</v>
      </c>
      <c r="E106" s="14" t="n">
        <f aca="false">E103/E93</f>
        <v>0.0442537935061639</v>
      </c>
      <c r="F106" s="14" t="n">
        <f aca="false">F103/F93</f>
        <v>0.0492826336773188</v>
      </c>
      <c r="G106" s="14" t="n">
        <f aca="false">G103/G93</f>
        <v>0.0522999377800118</v>
      </c>
      <c r="H106" s="4" t="s">
        <v>413</v>
      </c>
    </row>
    <row r="107" customFormat="false" ht="15" hidden="false" customHeight="false" outlineLevel="0" collapsed="false">
      <c r="A107" s="4" t="s">
        <v>414</v>
      </c>
      <c r="B107" s="0" t="s">
        <v>165</v>
      </c>
      <c r="C107" s="19" t="n">
        <f aca="false">a25_opx</f>
        <v>60.7375054</v>
      </c>
      <c r="D107" s="19" t="n">
        <f aca="false">a26_opx</f>
        <v>71.1893725</v>
      </c>
      <c r="E107" s="19" t="n">
        <f aca="false">D107*(1+MAX(0,phi*E97))</f>
        <v>86.5074635717704</v>
      </c>
      <c r="F107" s="19" t="n">
        <f aca="false">E107*(1+MAX(0,phi*F97))</f>
        <v>90.102302375286</v>
      </c>
      <c r="G107" s="19" t="n">
        <f aca="false">F107*(1+MAX(0,phi*G97))</f>
        <v>92.2093699168205</v>
      </c>
    </row>
    <row r="108" customFormat="false" ht="15" hidden="false" customHeight="false" outlineLevel="0" collapsed="false">
      <c r="A108" s="4" t="s">
        <v>310</v>
      </c>
      <c r="B108" s="0" t="s">
        <v>165</v>
      </c>
      <c r="C108" s="19" t="n">
        <f aca="false">C107</f>
        <v>60.7375054</v>
      </c>
      <c r="D108" s="19" t="n">
        <f aca="false">D107</f>
        <v>71.1893725</v>
      </c>
      <c r="E108" s="19" t="n">
        <f aca="false">E107+0*E96</f>
        <v>86.5074635717704</v>
      </c>
      <c r="F108" s="19" t="n">
        <f aca="false">F107+0*F96</f>
        <v>90.102302375286</v>
      </c>
      <c r="G108" s="19" t="n">
        <f aca="false">G107+0*G96</f>
        <v>92.2093699168205</v>
      </c>
    </row>
    <row r="109" customFormat="false" ht="15" hidden="false" customHeight="false" outlineLevel="0" collapsed="false">
      <c r="A109" s="4" t="s">
        <v>313</v>
      </c>
      <c r="B109" s="0" t="s">
        <v>165</v>
      </c>
      <c r="C109" s="19" t="n">
        <f aca="false">C104-C108</f>
        <v>87.4959868</v>
      </c>
      <c r="D109" s="19" t="n">
        <f aca="false">D104-D108</f>
        <v>127.2697375</v>
      </c>
      <c r="E109" s="19" t="n">
        <f aca="false">E104-E108</f>
        <v>210.653987821015</v>
      </c>
      <c r="F109" s="19" t="n">
        <f aca="false">F104-F108</f>
        <v>263.211135254133</v>
      </c>
      <c r="G109" s="19" t="n">
        <f aca="false">G104-G108</f>
        <v>298.582231372164</v>
      </c>
    </row>
    <row r="110" customFormat="false" ht="15" hidden="false" customHeight="false" outlineLevel="0" collapsed="false">
      <c r="A110" s="4" t="s">
        <v>316</v>
      </c>
      <c r="B110" s="0" t="s">
        <v>49</v>
      </c>
      <c r="C110" s="14" t="n">
        <f aca="false">C109/C96</f>
        <v>0.0412</v>
      </c>
      <c r="D110" s="14" t="n">
        <f aca="false">D109/D96</f>
        <v>0.0318276590104571</v>
      </c>
      <c r="E110" s="14" t="n">
        <f aca="false">E109/E96</f>
        <v>0.0342540053592719</v>
      </c>
      <c r="F110" s="14" t="n">
        <f aca="false">F109/F96</f>
        <v>0.0387722387666631</v>
      </c>
      <c r="G110" s="14" t="n">
        <f aca="false">G109/G96</f>
        <v>0.0415532327401708</v>
      </c>
    </row>
    <row r="111" customFormat="false" ht="17.15" hidden="false" customHeight="false" outlineLevel="0" collapsed="false">
      <c r="A111" s="4" t="s">
        <v>199</v>
      </c>
      <c r="B111" s="0" t="s">
        <v>49</v>
      </c>
      <c r="C111" s="15" t="n">
        <f aca="false">a25_ni/a25_oi</f>
        <v>0.856953590013114</v>
      </c>
      <c r="D111" s="15" t="n">
        <f aca="false">a26_ni/a26_oi</f>
        <v>0.869913569398224</v>
      </c>
      <c r="E111" s="15" t="n">
        <f aca="false">nio_f</f>
        <v>0.865</v>
      </c>
      <c r="F111" s="15" t="n">
        <f aca="false">nio_f</f>
        <v>0.865</v>
      </c>
      <c r="G111" s="15" t="n">
        <f aca="false">nio_f</f>
        <v>0.865</v>
      </c>
    </row>
    <row r="112" customFormat="false" ht="15" hidden="false" customHeight="false" outlineLevel="0" collapsed="false">
      <c r="A112" s="4" t="s">
        <v>317</v>
      </c>
      <c r="B112" s="0" t="s">
        <v>165</v>
      </c>
      <c r="C112" s="19" t="n">
        <f aca="false">a25_ni</f>
        <v>74.98</v>
      </c>
      <c r="D112" s="19" t="n">
        <f aca="false">a26_ni</f>
        <v>110.713671625</v>
      </c>
      <c r="E112" s="19" t="n">
        <f aca="false">E109*E111</f>
        <v>182.215699465178</v>
      </c>
      <c r="F112" s="19" t="n">
        <f aca="false">F109*F111</f>
        <v>227.677631994825</v>
      </c>
      <c r="G112" s="19" t="n">
        <f aca="false">G109*G111</f>
        <v>258.273630136922</v>
      </c>
    </row>
    <row r="113" customFormat="false" ht="15" hidden="false" customHeight="false" outlineLevel="0" collapsed="false">
      <c r="A113" s="4" t="s">
        <v>415</v>
      </c>
      <c r="B113" s="4" t="s">
        <v>186</v>
      </c>
      <c r="C113" s="22" t="n">
        <f aca="false">a25_sh</f>
        <v>3.85501285347044</v>
      </c>
      <c r="D113" s="22" t="n">
        <f aca="false">a26_sh</f>
        <v>3.85460170146945</v>
      </c>
      <c r="E113" s="22" t="n">
        <f aca="false">D113*(1+sh_g)</f>
        <v>3.85460170146945</v>
      </c>
      <c r="F113" s="22" t="n">
        <f aca="false">E113*(1+sh_g)</f>
        <v>3.85460170146945</v>
      </c>
      <c r="G113" s="22" t="n">
        <f aca="false">F113*(1+sh_g)</f>
        <v>3.85460170146945</v>
      </c>
    </row>
    <row r="114" customFormat="false" ht="15" hidden="false" customHeight="false" outlineLevel="0" collapsed="false">
      <c r="A114" s="0" t="s">
        <v>323</v>
      </c>
      <c r="B114" s="0" t="s">
        <v>216</v>
      </c>
      <c r="C114" s="21" t="n">
        <f aca="false">C112/C113</f>
        <v>19.45</v>
      </c>
      <c r="D114" s="21" t="n">
        <f aca="false">D112/D113</f>
        <v>28.7224673778341</v>
      </c>
      <c r="E114" s="21" t="n">
        <f aca="false">E112/E113</f>
        <v>47.2722510851677</v>
      </c>
      <c r="F114" s="21" t="n">
        <f aca="false">F112/F113</f>
        <v>59.0664482683204</v>
      </c>
      <c r="G114" s="21" t="n">
        <f aca="false">G112/G113</f>
        <v>67.0039734685072</v>
      </c>
    </row>
    <row r="115" customFormat="false" ht="17.15" hidden="false" customHeight="false" outlineLevel="0" collapsed="false">
      <c r="A115" s="0" t="s">
        <v>416</v>
      </c>
      <c r="B115" s="0" t="s">
        <v>49</v>
      </c>
      <c r="D115" s="15" t="n">
        <f aca="false">D114/C114-1</f>
        <v>0.476733541276816</v>
      </c>
      <c r="E115" s="15" t="n">
        <f aca="false">E114/D114-1</f>
        <v>0.645828349748566</v>
      </c>
      <c r="F115" s="15" t="n">
        <f aca="false">F114/E114-1</f>
        <v>0.249495145934637</v>
      </c>
      <c r="G115" s="15" t="n">
        <f aca="false">G114/F114-1</f>
        <v>0.134382977695377</v>
      </c>
    </row>
    <row r="118" customFormat="false" ht="17.15" hidden="false" customHeight="false" outlineLevel="0" collapsed="false">
      <c r="A118" s="1" t="s">
        <v>713</v>
      </c>
    </row>
    <row r="119" customFormat="false" ht="17.15" hidden="false" customHeight="false" outlineLevel="0" collapsed="false">
      <c r="A119" s="5" t="s">
        <v>18</v>
      </c>
      <c r="B119" s="5" t="s">
        <v>19</v>
      </c>
      <c r="C119" s="11" t="s">
        <v>296</v>
      </c>
      <c r="D119" s="11" t="s">
        <v>372</v>
      </c>
      <c r="E119" s="11" t="s">
        <v>373</v>
      </c>
      <c r="F119" s="11" t="s">
        <v>374</v>
      </c>
      <c r="G119" s="11" t="s">
        <v>375</v>
      </c>
      <c r="H119" s="5" t="s">
        <v>345</v>
      </c>
    </row>
    <row r="120" customFormat="false" ht="17.15" hidden="false" customHeight="false" outlineLevel="0" collapsed="false">
      <c r="A120" s="6" t="s">
        <v>389</v>
      </c>
    </row>
    <row r="121" customFormat="false" ht="17.15" hidden="false" customHeight="false" outlineLevel="0" collapsed="false">
      <c r="A121" s="0" t="s">
        <v>390</v>
      </c>
      <c r="B121" s="0" t="s">
        <v>29</v>
      </c>
      <c r="D121" s="21" t="n">
        <f aca="false">itc_26*1</f>
        <v>781.872916666667</v>
      </c>
      <c r="E121" s="21" t="n">
        <f aca="false">itc_27*1*1</f>
        <v>1565.35</v>
      </c>
      <c r="F121" s="21" t="n">
        <f aca="false">itc_28*um28_A*1</f>
        <v>1984.26388888889</v>
      </c>
      <c r="G121" s="21" t="n">
        <f aca="false">itc_29*um29_A*1</f>
        <v>2260.39027777778</v>
      </c>
    </row>
    <row r="122" customFormat="false" ht="17.15" hidden="false" customHeight="false" outlineLevel="0" collapsed="false">
      <c r="A122" s="4" t="s">
        <v>391</v>
      </c>
      <c r="B122" s="0" t="s">
        <v>29</v>
      </c>
      <c r="D122" s="21" t="n">
        <f aca="false">itpg_gb*(1-vr26)+itpg_vr*vr26</f>
        <v>33.41403216</v>
      </c>
      <c r="E122" s="21" t="n">
        <f aca="false">itpg_vr</f>
        <v>37.586352</v>
      </c>
      <c r="F122" s="21" t="n">
        <f aca="false">itpg_vr</f>
        <v>37.586352</v>
      </c>
      <c r="G122" s="21" t="n">
        <f aca="false">itpg_vr</f>
        <v>37.586352</v>
      </c>
    </row>
    <row r="123" customFormat="false" ht="17.15" hidden="false" customHeight="false" outlineLevel="0" collapsed="false">
      <c r="A123" s="4" t="s">
        <v>392</v>
      </c>
      <c r="B123" s="0" t="s">
        <v>347</v>
      </c>
      <c r="D123" s="18" t="n">
        <f aca="false">D121/D122</f>
        <v>23.3995380420639</v>
      </c>
      <c r="E123" s="18" t="n">
        <f aca="false">E121/E122</f>
        <v>41.6467658260637</v>
      </c>
      <c r="F123" s="18" t="n">
        <f aca="false">F121/F122</f>
        <v>52.792138191248</v>
      </c>
      <c r="G123" s="18" t="n">
        <f aca="false">G121/G122</f>
        <v>60.1385917361116</v>
      </c>
    </row>
    <row r="124" customFormat="false" ht="17.15" hidden="false" customHeight="false" outlineLevel="0" collapsed="false">
      <c r="A124" s="4" t="s">
        <v>349</v>
      </c>
      <c r="B124" s="0" t="s">
        <v>350</v>
      </c>
      <c r="D124" s="16" t="n">
        <f aca="false">(racks_gb*odm_gb*(1-vr26)+racks_vr*odm_vr*vr26)/1000</f>
        <v>27.1209</v>
      </c>
      <c r="E124" s="16" t="n">
        <f aca="false">racks_vr*odm_vr/1000</f>
        <v>27.351</v>
      </c>
      <c r="F124" s="16" t="n">
        <f aca="false">$E124*vpg_28</f>
        <v>27.351</v>
      </c>
      <c r="G124" s="16" t="n">
        <f aca="false">$E124*vpg_29</f>
        <v>27.351</v>
      </c>
      <c r="H124" s="4" t="s">
        <v>393</v>
      </c>
    </row>
    <row r="125" customFormat="false" ht="17.15" hidden="false" customHeight="false" outlineLevel="0" collapsed="false">
      <c r="A125" s="0" t="s">
        <v>394</v>
      </c>
      <c r="B125" s="0" t="s">
        <v>29</v>
      </c>
      <c r="D125" s="19" t="n">
        <f aca="false">D123*D124</f>
        <v>634.616531285011</v>
      </c>
      <c r="E125" s="19" t="n">
        <f aca="false">E123*E124</f>
        <v>1139.08069210867</v>
      </c>
      <c r="F125" s="19" t="n">
        <f aca="false">F123*F124</f>
        <v>1443.91777166882</v>
      </c>
      <c r="G125" s="19" t="n">
        <f aca="false">G123*G124</f>
        <v>1644.85062257439</v>
      </c>
    </row>
    <row r="126" customFormat="false" ht="17.15" hidden="false" customHeight="false" outlineLevel="0" collapsed="false">
      <c r="A126" s="0" t="s">
        <v>395</v>
      </c>
      <c r="B126" s="0" t="s">
        <v>165</v>
      </c>
      <c r="D126" s="19" t="n">
        <f aca="false">D125*fx</f>
        <v>20307.7290011204</v>
      </c>
      <c r="E126" s="19" t="n">
        <f aca="false">E125*fx</f>
        <v>36450.5821474774</v>
      </c>
      <c r="F126" s="19" t="n">
        <f aca="false">F125*fx</f>
        <v>46205.3686934024</v>
      </c>
      <c r="G126" s="19" t="n">
        <f aca="false">G125*fx</f>
        <v>52635.2199223804</v>
      </c>
    </row>
    <row r="127" customFormat="false" ht="17.15" hidden="false" customHeight="false" outlineLevel="0" collapsed="false">
      <c r="A127" s="4" t="s">
        <v>396</v>
      </c>
      <c r="B127" s="0" t="s">
        <v>49</v>
      </c>
      <c r="D127" s="15" t="n">
        <f aca="false">a26_ai/D126</f>
        <v>0.133896123975753</v>
      </c>
      <c r="H127" s="8" t="s">
        <v>397</v>
      </c>
    </row>
    <row r="128" customFormat="false" ht="17.15" hidden="false" customHeight="false" outlineLevel="0" collapsed="false">
      <c r="A128" s="4" t="s">
        <v>398</v>
      </c>
      <c r="B128" s="0" t="s">
        <v>69</v>
      </c>
      <c r="D128" s="16" t="n">
        <f aca="false">1</f>
        <v>1</v>
      </c>
      <c r="E128" s="16" t="n">
        <f aca="false">rel_27</f>
        <v>1</v>
      </c>
      <c r="F128" s="16" t="n">
        <f aca="false">rel_28</f>
        <v>0.95</v>
      </c>
      <c r="G128" s="16" t="n">
        <f aca="false">rel_29</f>
        <v>0.9</v>
      </c>
    </row>
    <row r="129" customFormat="false" ht="15" hidden="false" customHeight="false" outlineLevel="0" collapsed="false">
      <c r="A129" s="4" t="s">
        <v>354</v>
      </c>
      <c r="B129" s="0" t="s">
        <v>49</v>
      </c>
      <c r="D129" s="15" t="n">
        <f aca="false">$D$127*D128</f>
        <v>0.133896123975753</v>
      </c>
      <c r="E129" s="15" t="n">
        <f aca="false">$D$127*E128</f>
        <v>0.133896123975753</v>
      </c>
      <c r="F129" s="15" t="n">
        <f aca="false">$D$127*F128</f>
        <v>0.127201317776965</v>
      </c>
      <c r="G129" s="15" t="n">
        <f aca="false">$D$127*G128</f>
        <v>0.120506511578177</v>
      </c>
    </row>
    <row r="130" customFormat="false" ht="17.15" hidden="false" customHeight="false" outlineLevel="0" collapsed="false">
      <c r="A130" s="0" t="s">
        <v>399</v>
      </c>
      <c r="B130" s="0" t="s">
        <v>165</v>
      </c>
      <c r="D130" s="19" t="n">
        <f aca="false">D126*D129</f>
        <v>2719.1262</v>
      </c>
      <c r="E130" s="19" t="n">
        <f aca="false">E126*E129</f>
        <v>4880.59166620699</v>
      </c>
      <c r="F130" s="19" t="n">
        <f aca="false">F126*F129</f>
        <v>5877.38378617131</v>
      </c>
      <c r="G130" s="19" t="n">
        <f aca="false">G126*G129</f>
        <v>6342.88673899625</v>
      </c>
    </row>
    <row r="131" customFormat="false" ht="17.15" hidden="false" customHeight="false" outlineLevel="0" collapsed="false">
      <c r="A131" s="4" t="s">
        <v>358</v>
      </c>
      <c r="B131" s="0" t="s">
        <v>49</v>
      </c>
      <c r="D131" s="15" t="n">
        <f aca="false">0</f>
        <v>0</v>
      </c>
      <c r="E131" s="15" t="n">
        <f aca="false">CSLO_27</f>
        <v>0</v>
      </c>
      <c r="F131" s="15" t="n">
        <f aca="false">CSLO_28</f>
        <v>0</v>
      </c>
      <c r="G131" s="15" t="n">
        <f aca="false">CSLO_29</f>
        <v>0</v>
      </c>
      <c r="H131" s="8" t="s">
        <v>400</v>
      </c>
    </row>
    <row r="132" customFormat="false" ht="17.15" hidden="false" customHeight="false" outlineLevel="0" collapsed="false">
      <c r="A132" s="0" t="s">
        <v>401</v>
      </c>
      <c r="B132" s="0" t="s">
        <v>165</v>
      </c>
      <c r="C132" s="19" t="n">
        <f aca="false">a25_ai</f>
        <v>905.033</v>
      </c>
      <c r="D132" s="19" t="n">
        <f aca="false">D130*(1-D131)</f>
        <v>2719.1262</v>
      </c>
      <c r="E132" s="19" t="n">
        <f aca="false">E130*(1-E131)</f>
        <v>4880.59166620699</v>
      </c>
      <c r="F132" s="19" t="n">
        <f aca="false">F130*(1-F131)</f>
        <v>5877.38378617131</v>
      </c>
      <c r="G132" s="19" t="n">
        <f aca="false">G130*(1-G131)</f>
        <v>6342.88673899625</v>
      </c>
    </row>
    <row r="133" customFormat="false" ht="17.15" hidden="false" customHeight="false" outlineLevel="0" collapsed="false">
      <c r="A133" s="6" t="s">
        <v>402</v>
      </c>
    </row>
    <row r="134" customFormat="false" ht="17.15" hidden="false" customHeight="false" outlineLevel="0" collapsed="false">
      <c r="A134" s="4" t="s">
        <v>331</v>
      </c>
      <c r="B134" s="0" t="s">
        <v>165</v>
      </c>
      <c r="C134" s="19" t="n">
        <f aca="false">a25_nai</f>
        <v>1218.656</v>
      </c>
      <c r="D134" s="19" t="n">
        <f aca="false">a26_nai</f>
        <v>1279.5888</v>
      </c>
      <c r="E134" s="19" t="n">
        <f aca="false">D134*(1+g_nai27)</f>
        <v>1317.976464</v>
      </c>
      <c r="F134" s="19" t="n">
        <f aca="false">E134*(1+g_nai28)</f>
        <v>1344.33599328</v>
      </c>
      <c r="G134" s="19" t="n">
        <f aca="false">F134*(1+g_nai29)</f>
        <v>1371.2227131456</v>
      </c>
    </row>
    <row r="135" customFormat="false" ht="15" hidden="false" customHeight="false" outlineLevel="0" collapsed="false">
      <c r="A135" s="4" t="s">
        <v>302</v>
      </c>
      <c r="B135" s="0" t="s">
        <v>165</v>
      </c>
      <c r="C135" s="19" t="n">
        <f aca="false">C132+C134</f>
        <v>2123.689</v>
      </c>
      <c r="D135" s="19" t="n">
        <f aca="false">D132+D134</f>
        <v>3998.715</v>
      </c>
      <c r="E135" s="19" t="n">
        <f aca="false">E132+E134</f>
        <v>6198.56813020699</v>
      </c>
      <c r="F135" s="19" t="n">
        <f aca="false">F132+F134</f>
        <v>7221.71977945131</v>
      </c>
      <c r="G135" s="19" t="n">
        <f aca="false">G132+G134</f>
        <v>7714.10945214185</v>
      </c>
    </row>
    <row r="136" customFormat="false" ht="15" hidden="false" customHeight="false" outlineLevel="0" collapsed="false">
      <c r="A136" s="4" t="s">
        <v>403</v>
      </c>
      <c r="B136" s="0" t="s">
        <v>49</v>
      </c>
      <c r="D136" s="15" t="n">
        <f aca="false">D135/C135-1</f>
        <v>0.88290987993063</v>
      </c>
      <c r="E136" s="15" t="n">
        <f aca="false">E135/D135-1</f>
        <v>0.550140015031575</v>
      </c>
      <c r="F136" s="15" t="n">
        <f aca="false">F135/E135-1</f>
        <v>0.165062580220467</v>
      </c>
      <c r="G136" s="15" t="n">
        <f aca="false">G135/F135-1</f>
        <v>0.0681817749411418</v>
      </c>
    </row>
    <row r="137" customFormat="false" ht="17.15" hidden="false" customHeight="false" outlineLevel="0" collapsed="false">
      <c r="A137" s="0" t="s">
        <v>404</v>
      </c>
      <c r="B137" s="0" t="s">
        <v>49</v>
      </c>
      <c r="C137" s="15" t="n">
        <f aca="false">C132/C135</f>
        <v>0.426160798497332</v>
      </c>
      <c r="D137" s="15" t="n">
        <f aca="false">D132/D135</f>
        <v>0.68</v>
      </c>
      <c r="E137" s="15" t="n">
        <f aca="false">E132/E135</f>
        <v>0.787374045696584</v>
      </c>
      <c r="F137" s="15" t="n">
        <f aca="false">F132/F135</f>
        <v>0.813848219768209</v>
      </c>
      <c r="G137" s="15" t="n">
        <f aca="false">G132/G135</f>
        <v>0.822244846063874</v>
      </c>
    </row>
    <row r="138" customFormat="false" ht="17.15" hidden="false" customHeight="false" outlineLevel="0" collapsed="false">
      <c r="A138" s="4" t="s">
        <v>364</v>
      </c>
      <c r="B138" s="0" t="s">
        <v>350</v>
      </c>
      <c r="D138" s="16" t="n">
        <f aca="false">D132/fx/D123</f>
        <v>3.63138338873399</v>
      </c>
      <c r="E138" s="16" t="n">
        <f aca="false">E132/fx/E123</f>
        <v>3.66219288686081</v>
      </c>
      <c r="F138" s="16" t="n">
        <f aca="false">F132/fx/F123</f>
        <v>3.47908324251777</v>
      </c>
      <c r="G138" s="16" t="n">
        <f aca="false">G132/fx/G123</f>
        <v>3.29597359817473</v>
      </c>
    </row>
    <row r="139" customFormat="false" ht="17.15" hidden="false" customHeight="false" outlineLevel="0" collapsed="false">
      <c r="A139" s="4" t="s">
        <v>405</v>
      </c>
      <c r="B139" s="4" t="s">
        <v>362</v>
      </c>
      <c r="D139" s="19" t="n">
        <f aca="false">D130/fx/(odm_gb*(1-vr26)+odm_vr*vr26)</f>
        <v>18.4522679153094</v>
      </c>
      <c r="E139" s="19" t="n">
        <f aca="false">E130/fx/odm_vr</f>
        <v>22.5953317879953</v>
      </c>
      <c r="F139" s="19" t="n">
        <f aca="false">F130/fx/odm_vr</f>
        <v>27.2101101211634</v>
      </c>
      <c r="G139" s="19" t="n">
        <f aca="false">G130/fx/odm_vr</f>
        <v>29.3652163842419</v>
      </c>
      <c r="H139" s="4" t="s">
        <v>406</v>
      </c>
    </row>
    <row r="140" customFormat="false" ht="17.15" hidden="false" customHeight="false" outlineLevel="0" collapsed="false">
      <c r="A140" s="6" t="s">
        <v>407</v>
      </c>
    </row>
    <row r="141" customFormat="false" ht="17.15" hidden="false" customHeight="false" outlineLevel="0" collapsed="false">
      <c r="A141" s="4" t="s">
        <v>408</v>
      </c>
      <c r="B141" s="0" t="s">
        <v>49</v>
      </c>
      <c r="D141" s="14" t="n">
        <f aca="false">a26_gp/D135-d_ai*D137</f>
        <v>0.0632307213692399</v>
      </c>
      <c r="H141" s="8" t="s">
        <v>409</v>
      </c>
    </row>
    <row r="142" customFormat="false" ht="17.15" hidden="false" customHeight="false" outlineLevel="0" collapsed="false">
      <c r="A142" s="0" t="s">
        <v>410</v>
      </c>
      <c r="B142" s="0" t="s">
        <v>165</v>
      </c>
      <c r="D142" s="21" t="n">
        <f aca="false">($D$141+d_ai)*D130*(1-D131*(1-keep))</f>
        <v>117.54978712</v>
      </c>
      <c r="E142" s="21" t="n">
        <f aca="false">($D$141+d_ai+vrd)*E130*(1-E131*(1-keep))</f>
        <v>196.349723440207</v>
      </c>
      <c r="F142" s="21" t="n">
        <f aca="false">($D$141+d_ai+vrd)*F130*(1-F131*(1-keep))</f>
        <v>236.451389481546</v>
      </c>
      <c r="G142" s="21" t="n">
        <f aca="false">($D$141+d_ai+vrd)*G130*(1-G131*(1-keep))</f>
        <v>255.178909073205</v>
      </c>
      <c r="H142" s="4" t="s">
        <v>411</v>
      </c>
    </row>
    <row r="143" customFormat="false" ht="15" hidden="false" customHeight="false" outlineLevel="0" collapsed="false">
      <c r="A143" s="4" t="s">
        <v>306</v>
      </c>
      <c r="B143" s="0" t="s">
        <v>165</v>
      </c>
      <c r="C143" s="19" t="n">
        <f aca="false">a25_gp</f>
        <v>148.2334922</v>
      </c>
      <c r="D143" s="19" t="n">
        <f aca="false">a26_gp</f>
        <v>198.45911</v>
      </c>
      <c r="E143" s="19" t="n">
        <f aca="false">$D$141*E134+E142</f>
        <v>279.686326006607</v>
      </c>
      <c r="F143" s="19" t="n">
        <f aca="false">$D$141*F134+F142</f>
        <v>321.454724099274</v>
      </c>
      <c r="G143" s="19" t="n">
        <f aca="false">$D$141*G134+G142</f>
        <v>341.882310383287</v>
      </c>
    </row>
    <row r="144" customFormat="false" ht="15" hidden="false" customHeight="false" outlineLevel="0" collapsed="false">
      <c r="A144" s="4" t="s">
        <v>309</v>
      </c>
      <c r="B144" s="0" t="s">
        <v>49</v>
      </c>
      <c r="C144" s="14" t="n">
        <f aca="false">C143/C135</f>
        <v>0.0698</v>
      </c>
      <c r="D144" s="14" t="n">
        <f aca="false">D143/D135</f>
        <v>0.0496307213692399</v>
      </c>
      <c r="E144" s="14" t="n">
        <f aca="false">E143/E135</f>
        <v>0.0451211183182184</v>
      </c>
      <c r="F144" s="14" t="n">
        <f aca="false">F143/F135</f>
        <v>0.0445122123145711</v>
      </c>
      <c r="G144" s="14" t="n">
        <f aca="false">G143/G135</f>
        <v>0.0443190899097708</v>
      </c>
    </row>
    <row r="145" customFormat="false" ht="17.15" hidden="false" customHeight="false" outlineLevel="0" collapsed="false">
      <c r="A145" s="0" t="s">
        <v>412</v>
      </c>
      <c r="B145" s="0" t="s">
        <v>49</v>
      </c>
      <c r="D145" s="14" t="n">
        <f aca="false">D142/D132</f>
        <v>0.0432307213692399</v>
      </c>
      <c r="E145" s="14" t="n">
        <f aca="false">E142/E132</f>
        <v>0.0402307213692399</v>
      </c>
      <c r="F145" s="14" t="n">
        <f aca="false">F142/F132</f>
        <v>0.0402307213692399</v>
      </c>
      <c r="G145" s="14" t="n">
        <f aca="false">G142/G132</f>
        <v>0.0402307213692399</v>
      </c>
      <c r="H145" s="4" t="s">
        <v>413</v>
      </c>
    </row>
    <row r="146" customFormat="false" ht="15" hidden="false" customHeight="false" outlineLevel="0" collapsed="false">
      <c r="A146" s="4" t="s">
        <v>414</v>
      </c>
      <c r="B146" s="0" t="s">
        <v>165</v>
      </c>
      <c r="C146" s="19" t="n">
        <f aca="false">a25_opx</f>
        <v>60.7375054</v>
      </c>
      <c r="D146" s="19" t="n">
        <f aca="false">a26_opx</f>
        <v>71.1893725</v>
      </c>
      <c r="E146" s="19" t="n">
        <f aca="false">D146*(1+MAX(0,phi*E136))</f>
        <v>86.8550214828954</v>
      </c>
      <c r="F146" s="19" t="n">
        <f aca="false">E146*(1+MAX(0,phi*F136))</f>
        <v>92.5896270633237</v>
      </c>
      <c r="G146" s="19" t="n">
        <f aca="false">F146*(1+MAX(0,phi*G136))</f>
        <v>95.11479710905</v>
      </c>
    </row>
    <row r="147" customFormat="false" ht="15" hidden="false" customHeight="false" outlineLevel="0" collapsed="false">
      <c r="A147" s="4" t="s">
        <v>310</v>
      </c>
      <c r="B147" s="0" t="s">
        <v>165</v>
      </c>
      <c r="C147" s="19" t="n">
        <f aca="false">C146</f>
        <v>60.7375054</v>
      </c>
      <c r="D147" s="19" t="n">
        <f aca="false">D146</f>
        <v>71.1893725</v>
      </c>
      <c r="E147" s="19" t="n">
        <f aca="false">E146+0*E135</f>
        <v>86.8550214828954</v>
      </c>
      <c r="F147" s="19" t="n">
        <f aca="false">F146+0*F135</f>
        <v>92.5896270633237</v>
      </c>
      <c r="G147" s="19" t="n">
        <f aca="false">G146+0*G135</f>
        <v>95.11479710905</v>
      </c>
    </row>
    <row r="148" customFormat="false" ht="15" hidden="false" customHeight="false" outlineLevel="0" collapsed="false">
      <c r="A148" s="4" t="s">
        <v>313</v>
      </c>
      <c r="B148" s="0" t="s">
        <v>165</v>
      </c>
      <c r="C148" s="19" t="n">
        <f aca="false">C143-C147</f>
        <v>87.4959868</v>
      </c>
      <c r="D148" s="19" t="n">
        <f aca="false">D143-D147</f>
        <v>127.2697375</v>
      </c>
      <c r="E148" s="19" t="n">
        <f aca="false">E143-E147</f>
        <v>192.831304523712</v>
      </c>
      <c r="F148" s="19" t="n">
        <f aca="false">F143-F147</f>
        <v>228.86509703595</v>
      </c>
      <c r="G148" s="19" t="n">
        <f aca="false">G143-G147</f>
        <v>246.767513274237</v>
      </c>
    </row>
    <row r="149" customFormat="false" ht="15" hidden="false" customHeight="false" outlineLevel="0" collapsed="false">
      <c r="A149" s="4" t="s">
        <v>316</v>
      </c>
      <c r="B149" s="0" t="s">
        <v>49</v>
      </c>
      <c r="C149" s="14" t="n">
        <f aca="false">C148/C135</f>
        <v>0.0412</v>
      </c>
      <c r="D149" s="14" t="n">
        <f aca="false">D148/D135</f>
        <v>0.0318276590104571</v>
      </c>
      <c r="E149" s="14" t="n">
        <f aca="false">E148/E135</f>
        <v>0.0311090078342452</v>
      </c>
      <c r="F149" s="14" t="n">
        <f aca="false">F148/F135</f>
        <v>0.0316912181620732</v>
      </c>
      <c r="G149" s="14" t="n">
        <f aca="false">G148/G135</f>
        <v>0.0319891122630781</v>
      </c>
    </row>
    <row r="150" customFormat="false" ht="17.15" hidden="false" customHeight="false" outlineLevel="0" collapsed="false">
      <c r="A150" s="4" t="s">
        <v>199</v>
      </c>
      <c r="B150" s="0" t="s">
        <v>49</v>
      </c>
      <c r="C150" s="15" t="n">
        <f aca="false">a25_ni/a25_oi</f>
        <v>0.856953590013114</v>
      </c>
      <c r="D150" s="15" t="n">
        <f aca="false">a26_ni/a26_oi</f>
        <v>0.869913569398224</v>
      </c>
      <c r="E150" s="15" t="n">
        <f aca="false">nio_f</f>
        <v>0.865</v>
      </c>
      <c r="F150" s="15" t="n">
        <f aca="false">nio_f</f>
        <v>0.865</v>
      </c>
      <c r="G150" s="15" t="n">
        <f aca="false">nio_f</f>
        <v>0.865</v>
      </c>
    </row>
    <row r="151" customFormat="false" ht="15" hidden="false" customHeight="false" outlineLevel="0" collapsed="false">
      <c r="A151" s="4" t="s">
        <v>317</v>
      </c>
      <c r="B151" s="0" t="s">
        <v>165</v>
      </c>
      <c r="C151" s="19" t="n">
        <f aca="false">a25_ni</f>
        <v>74.98</v>
      </c>
      <c r="D151" s="19" t="n">
        <f aca="false">a26_ni</f>
        <v>110.713671625</v>
      </c>
      <c r="E151" s="19" t="n">
        <f aca="false">E148*E150</f>
        <v>166.799078413011</v>
      </c>
      <c r="F151" s="19" t="n">
        <f aca="false">F148*F150</f>
        <v>197.968308936097</v>
      </c>
      <c r="G151" s="19" t="n">
        <f aca="false">G148*G150</f>
        <v>213.453898982215</v>
      </c>
    </row>
    <row r="152" customFormat="false" ht="15" hidden="false" customHeight="false" outlineLevel="0" collapsed="false">
      <c r="A152" s="4" t="s">
        <v>415</v>
      </c>
      <c r="B152" s="4" t="s">
        <v>186</v>
      </c>
      <c r="C152" s="22" t="n">
        <f aca="false">a25_sh</f>
        <v>3.85501285347044</v>
      </c>
      <c r="D152" s="22" t="n">
        <f aca="false">a26_sh</f>
        <v>3.85460170146945</v>
      </c>
      <c r="E152" s="22" t="n">
        <f aca="false">D152*(1+sh_g)</f>
        <v>3.85460170146945</v>
      </c>
      <c r="F152" s="22" t="n">
        <f aca="false">E152*(1+sh_g)</f>
        <v>3.85460170146945</v>
      </c>
      <c r="G152" s="22" t="n">
        <f aca="false">F152*(1+sh_g)</f>
        <v>3.85460170146945</v>
      </c>
    </row>
    <row r="153" customFormat="false" ht="15" hidden="false" customHeight="false" outlineLevel="0" collapsed="false">
      <c r="A153" s="0" t="s">
        <v>323</v>
      </c>
      <c r="B153" s="0" t="s">
        <v>216</v>
      </c>
      <c r="C153" s="21" t="n">
        <f aca="false">C151/C152</f>
        <v>19.45</v>
      </c>
      <c r="D153" s="21" t="n">
        <f aca="false">D151/D152</f>
        <v>28.7224673778341</v>
      </c>
      <c r="E153" s="21" t="n">
        <f aca="false">E151/E152</f>
        <v>43.272714363568</v>
      </c>
      <c r="F153" s="21" t="n">
        <f aca="false">F151/F152</f>
        <v>51.3589533415677</v>
      </c>
      <c r="G153" s="21" t="n">
        <f aca="false">G151/G152</f>
        <v>55.3763827014454</v>
      </c>
    </row>
    <row r="154" customFormat="false" ht="17.15" hidden="false" customHeight="false" outlineLevel="0" collapsed="false">
      <c r="A154" s="0" t="s">
        <v>416</v>
      </c>
      <c r="B154" s="0" t="s">
        <v>49</v>
      </c>
      <c r="D154" s="15" t="n">
        <f aca="false">D153/C153-1</f>
        <v>0.476733541276816</v>
      </c>
      <c r="E154" s="15" t="n">
        <f aca="false">E153/D153-1</f>
        <v>0.506580677569602</v>
      </c>
      <c r="F154" s="15" t="n">
        <f aca="false">F153/E153-1</f>
        <v>0.186866922884957</v>
      </c>
      <c r="G154" s="15" t="n">
        <f aca="false">G153/F153-1</f>
        <v>0.0782225707202295</v>
      </c>
    </row>
    <row r="157" customFormat="false" ht="17.15" hidden="false" customHeight="false" outlineLevel="0" collapsed="false">
      <c r="A157" s="1" t="s">
        <v>714</v>
      </c>
    </row>
    <row r="158" customFormat="false" ht="17.15" hidden="false" customHeight="false" outlineLevel="0" collapsed="false">
      <c r="A158" s="5" t="s">
        <v>18</v>
      </c>
      <c r="B158" s="5" t="s">
        <v>19</v>
      </c>
      <c r="C158" s="11" t="s">
        <v>296</v>
      </c>
      <c r="D158" s="11" t="s">
        <v>372</v>
      </c>
      <c r="E158" s="11" t="s">
        <v>373</v>
      </c>
      <c r="F158" s="11" t="s">
        <v>374</v>
      </c>
      <c r="G158" s="11" t="s">
        <v>375</v>
      </c>
      <c r="H158" s="5" t="s">
        <v>345</v>
      </c>
    </row>
    <row r="159" customFormat="false" ht="17.15" hidden="false" customHeight="false" outlineLevel="0" collapsed="false">
      <c r="A159" s="6" t="s">
        <v>389</v>
      </c>
    </row>
    <row r="160" customFormat="false" ht="17.15" hidden="false" customHeight="false" outlineLevel="0" collapsed="false">
      <c r="A160" s="0" t="s">
        <v>390</v>
      </c>
      <c r="B160" s="0" t="s">
        <v>29</v>
      </c>
      <c r="D160" s="21" t="n">
        <f aca="false">itc_26*1</f>
        <v>781.872916666667</v>
      </c>
      <c r="E160" s="21" t="n">
        <f aca="false">itc_27*1*1</f>
        <v>1565.35</v>
      </c>
      <c r="F160" s="21" t="n">
        <f aca="false">itc_28*um28_A*1</f>
        <v>1984.26388888889</v>
      </c>
      <c r="G160" s="21" t="n">
        <f aca="false">itc_29*um29_A*1</f>
        <v>2260.39027777778</v>
      </c>
    </row>
    <row r="161" customFormat="false" ht="17.15" hidden="false" customHeight="false" outlineLevel="0" collapsed="false">
      <c r="A161" s="4" t="s">
        <v>391</v>
      </c>
      <c r="B161" s="0" t="s">
        <v>29</v>
      </c>
      <c r="D161" s="21" t="n">
        <f aca="false">itpg_gb*(1-vr26)+itpg_vr*vr26</f>
        <v>33.41403216</v>
      </c>
      <c r="E161" s="21" t="n">
        <f aca="false">itpg_vr</f>
        <v>37.586352</v>
      </c>
      <c r="F161" s="21" t="n">
        <f aca="false">itpg_vr</f>
        <v>37.586352</v>
      </c>
      <c r="G161" s="21" t="n">
        <f aca="false">itpg_vr</f>
        <v>37.586352</v>
      </c>
    </row>
    <row r="162" customFormat="false" ht="17.15" hidden="false" customHeight="false" outlineLevel="0" collapsed="false">
      <c r="A162" s="4" t="s">
        <v>392</v>
      </c>
      <c r="B162" s="0" t="s">
        <v>347</v>
      </c>
      <c r="D162" s="18" t="n">
        <f aca="false">D160/D161</f>
        <v>23.3995380420639</v>
      </c>
      <c r="E162" s="18" t="n">
        <f aca="false">E160/E161</f>
        <v>41.6467658260637</v>
      </c>
      <c r="F162" s="18" t="n">
        <f aca="false">F160/F161</f>
        <v>52.792138191248</v>
      </c>
      <c r="G162" s="18" t="n">
        <f aca="false">G160/G161</f>
        <v>60.1385917361116</v>
      </c>
    </row>
    <row r="163" customFormat="false" ht="17.15" hidden="false" customHeight="false" outlineLevel="0" collapsed="false">
      <c r="A163" s="4" t="s">
        <v>349</v>
      </c>
      <c r="B163" s="0" t="s">
        <v>350</v>
      </c>
      <c r="D163" s="16" t="n">
        <f aca="false">(racks_gb*odm_gb*(1-vr26)+racks_vr*odm_vr*vr26)/1000</f>
        <v>27.1209</v>
      </c>
      <c r="E163" s="16" t="n">
        <f aca="false">racks_vr*odm_vr/1000</f>
        <v>27.351</v>
      </c>
      <c r="F163" s="16" t="n">
        <f aca="false">$E163*vpg_28</f>
        <v>27.351</v>
      </c>
      <c r="G163" s="16" t="n">
        <f aca="false">$E163*vpg_29</f>
        <v>27.351</v>
      </c>
      <c r="H163" s="4" t="s">
        <v>393</v>
      </c>
    </row>
    <row r="164" customFormat="false" ht="17.15" hidden="false" customHeight="false" outlineLevel="0" collapsed="false">
      <c r="A164" s="0" t="s">
        <v>394</v>
      </c>
      <c r="B164" s="0" t="s">
        <v>29</v>
      </c>
      <c r="D164" s="19" t="n">
        <f aca="false">D162*D163</f>
        <v>634.616531285011</v>
      </c>
      <c r="E164" s="19" t="n">
        <f aca="false">E162*E163</f>
        <v>1139.08069210867</v>
      </c>
      <c r="F164" s="19" t="n">
        <f aca="false">F162*F163</f>
        <v>1443.91777166882</v>
      </c>
      <c r="G164" s="19" t="n">
        <f aca="false">G162*G163</f>
        <v>1644.85062257439</v>
      </c>
    </row>
    <row r="165" customFormat="false" ht="17.15" hidden="false" customHeight="false" outlineLevel="0" collapsed="false">
      <c r="A165" s="0" t="s">
        <v>395</v>
      </c>
      <c r="B165" s="0" t="s">
        <v>165</v>
      </c>
      <c r="D165" s="19" t="n">
        <f aca="false">D164*fx</f>
        <v>20307.7290011204</v>
      </c>
      <c r="E165" s="19" t="n">
        <f aca="false">E164*fx</f>
        <v>36450.5821474774</v>
      </c>
      <c r="F165" s="19" t="n">
        <f aca="false">F164*fx</f>
        <v>46205.3686934024</v>
      </c>
      <c r="G165" s="19" t="n">
        <f aca="false">G164*fx</f>
        <v>52635.2199223804</v>
      </c>
    </row>
    <row r="166" customFormat="false" ht="17.15" hidden="false" customHeight="false" outlineLevel="0" collapsed="false">
      <c r="A166" s="4" t="s">
        <v>396</v>
      </c>
      <c r="B166" s="0" t="s">
        <v>49</v>
      </c>
      <c r="D166" s="15" t="n">
        <f aca="false">a26_ai/D165</f>
        <v>0.133896123975753</v>
      </c>
      <c r="H166" s="8" t="s">
        <v>397</v>
      </c>
    </row>
    <row r="167" customFormat="false" ht="17.15" hidden="false" customHeight="false" outlineLevel="0" collapsed="false">
      <c r="A167" s="4" t="s">
        <v>398</v>
      </c>
      <c r="B167" s="0" t="s">
        <v>69</v>
      </c>
      <c r="D167" s="16" t="n">
        <f aca="false">1</f>
        <v>1</v>
      </c>
      <c r="E167" s="16" t="n">
        <f aca="false">rel_27</f>
        <v>1</v>
      </c>
      <c r="F167" s="16" t="n">
        <f aca="false">rel_28</f>
        <v>0.95</v>
      </c>
      <c r="G167" s="16" t="n">
        <f aca="false">rel_29</f>
        <v>0.9</v>
      </c>
    </row>
    <row r="168" customFormat="false" ht="15" hidden="false" customHeight="false" outlineLevel="0" collapsed="false">
      <c r="A168" s="4" t="s">
        <v>354</v>
      </c>
      <c r="B168" s="0" t="s">
        <v>49</v>
      </c>
      <c r="D168" s="15" t="n">
        <f aca="false">$D$166*D167</f>
        <v>0.133896123975753</v>
      </c>
      <c r="E168" s="15" t="n">
        <f aca="false">$D$166*E167</f>
        <v>0.133896123975753</v>
      </c>
      <c r="F168" s="15" t="n">
        <f aca="false">$D$166*F167</f>
        <v>0.127201317776965</v>
      </c>
      <c r="G168" s="15" t="n">
        <f aca="false">$D$166*G167</f>
        <v>0.120506511578177</v>
      </c>
    </row>
    <row r="169" customFormat="false" ht="17.15" hidden="false" customHeight="false" outlineLevel="0" collapsed="false">
      <c r="A169" s="0" t="s">
        <v>399</v>
      </c>
      <c r="B169" s="0" t="s">
        <v>165</v>
      </c>
      <c r="D169" s="19" t="n">
        <f aca="false">D165*D168</f>
        <v>2719.1262</v>
      </c>
      <c r="E169" s="19" t="n">
        <f aca="false">E165*E168</f>
        <v>4880.59166620699</v>
      </c>
      <c r="F169" s="19" t="n">
        <f aca="false">F165*F168</f>
        <v>5877.38378617131</v>
      </c>
      <c r="G169" s="19" t="n">
        <f aca="false">G165*G168</f>
        <v>6342.88673899625</v>
      </c>
    </row>
    <row r="170" customFormat="false" ht="17.15" hidden="false" customHeight="false" outlineLevel="0" collapsed="false">
      <c r="A170" s="4" t="s">
        <v>358</v>
      </c>
      <c r="B170" s="0" t="s">
        <v>49</v>
      </c>
      <c r="D170" s="15" t="n">
        <f aca="false">0</f>
        <v>0</v>
      </c>
      <c r="E170" s="15" t="n">
        <f aca="false">CSHI_27</f>
        <v>0.25</v>
      </c>
      <c r="F170" s="15" t="n">
        <f aca="false">CSHI_28</f>
        <v>0.4</v>
      </c>
      <c r="G170" s="15" t="n">
        <f aca="false">CSHI_29</f>
        <v>0.5</v>
      </c>
      <c r="H170" s="8" t="s">
        <v>400</v>
      </c>
    </row>
    <row r="171" customFormat="false" ht="17.15" hidden="false" customHeight="false" outlineLevel="0" collapsed="false">
      <c r="A171" s="0" t="s">
        <v>401</v>
      </c>
      <c r="B171" s="0" t="s">
        <v>165</v>
      </c>
      <c r="C171" s="19" t="n">
        <f aca="false">a25_ai</f>
        <v>905.033</v>
      </c>
      <c r="D171" s="19" t="n">
        <f aca="false">D169*(1-D170)</f>
        <v>2719.1262</v>
      </c>
      <c r="E171" s="19" t="n">
        <f aca="false">E169*(1-E170)</f>
        <v>3660.44374965524</v>
      </c>
      <c r="F171" s="19" t="n">
        <f aca="false">F169*(1-F170)</f>
        <v>3526.43027170278</v>
      </c>
      <c r="G171" s="19" t="n">
        <f aca="false">G169*(1-G170)</f>
        <v>3171.44336949812</v>
      </c>
    </row>
    <row r="172" customFormat="false" ht="17.15" hidden="false" customHeight="false" outlineLevel="0" collapsed="false">
      <c r="A172" s="6" t="s">
        <v>402</v>
      </c>
    </row>
    <row r="173" customFormat="false" ht="17.15" hidden="false" customHeight="false" outlineLevel="0" collapsed="false">
      <c r="A173" s="4" t="s">
        <v>331</v>
      </c>
      <c r="B173" s="0" t="s">
        <v>165</v>
      </c>
      <c r="C173" s="19" t="n">
        <f aca="false">a25_nai</f>
        <v>1218.656</v>
      </c>
      <c r="D173" s="19" t="n">
        <f aca="false">a26_nai</f>
        <v>1279.5888</v>
      </c>
      <c r="E173" s="19" t="n">
        <f aca="false">D173*(1+g_nai27)</f>
        <v>1317.976464</v>
      </c>
      <c r="F173" s="19" t="n">
        <f aca="false">E173*(1+g_nai28)</f>
        <v>1344.33599328</v>
      </c>
      <c r="G173" s="19" t="n">
        <f aca="false">F173*(1+g_nai29)</f>
        <v>1371.2227131456</v>
      </c>
    </row>
    <row r="174" customFormat="false" ht="15" hidden="false" customHeight="false" outlineLevel="0" collapsed="false">
      <c r="A174" s="4" t="s">
        <v>302</v>
      </c>
      <c r="B174" s="0" t="s">
        <v>165</v>
      </c>
      <c r="C174" s="19" t="n">
        <f aca="false">C171+C173</f>
        <v>2123.689</v>
      </c>
      <c r="D174" s="19" t="n">
        <f aca="false">D171+D173</f>
        <v>3998.715</v>
      </c>
      <c r="E174" s="19" t="n">
        <f aca="false">E171+E173</f>
        <v>4978.42021365524</v>
      </c>
      <c r="F174" s="19" t="n">
        <f aca="false">F171+F173</f>
        <v>4870.76626498278</v>
      </c>
      <c r="G174" s="19" t="n">
        <f aca="false">G171+G173</f>
        <v>4542.66608264372</v>
      </c>
    </row>
    <row r="175" customFormat="false" ht="15" hidden="false" customHeight="false" outlineLevel="0" collapsed="false">
      <c r="A175" s="4" t="s">
        <v>403</v>
      </c>
      <c r="B175" s="0" t="s">
        <v>49</v>
      </c>
      <c r="D175" s="15" t="n">
        <f aca="false">D174/C174-1</f>
        <v>0.88290987993063</v>
      </c>
      <c r="E175" s="15" t="n">
        <f aca="false">E174/D174-1</f>
        <v>0.245005011273681</v>
      </c>
      <c r="F175" s="15" t="n">
        <f aca="false">F174/E174-1</f>
        <v>-0.0216241185059416</v>
      </c>
      <c r="G175" s="15" t="n">
        <f aca="false">G174/F174-1</f>
        <v>-0.0673611018245439</v>
      </c>
    </row>
    <row r="176" customFormat="false" ht="17.15" hidden="false" customHeight="false" outlineLevel="0" collapsed="false">
      <c r="A176" s="0" t="s">
        <v>404</v>
      </c>
      <c r="B176" s="0" t="s">
        <v>49</v>
      </c>
      <c r="C176" s="15" t="n">
        <f aca="false">C171/C174</f>
        <v>0.426160798497332</v>
      </c>
      <c r="D176" s="15" t="n">
        <f aca="false">D171/D174</f>
        <v>0.68</v>
      </c>
      <c r="E176" s="15" t="n">
        <f aca="false">E171/E174</f>
        <v>0.735262109778331</v>
      </c>
      <c r="F176" s="15" t="n">
        <f aca="false">F171/F174</f>
        <v>0.723999075269782</v>
      </c>
      <c r="G176" s="15" t="n">
        <f aca="false">G171/G174</f>
        <v>0.698145827098174</v>
      </c>
    </row>
    <row r="177" customFormat="false" ht="17.15" hidden="false" customHeight="false" outlineLevel="0" collapsed="false">
      <c r="A177" s="4" t="s">
        <v>364</v>
      </c>
      <c r="B177" s="0" t="s">
        <v>350</v>
      </c>
      <c r="D177" s="16" t="n">
        <f aca="false">D171/fx/D162</f>
        <v>3.63138338873399</v>
      </c>
      <c r="E177" s="16" t="n">
        <f aca="false">E171/fx/E162</f>
        <v>2.74664466514561</v>
      </c>
      <c r="F177" s="16" t="n">
        <f aca="false">F171/fx/F162</f>
        <v>2.08744994551066</v>
      </c>
      <c r="G177" s="16" t="n">
        <f aca="false">G171/fx/G162</f>
        <v>1.64798679908737</v>
      </c>
    </row>
    <row r="178" customFormat="false" ht="17.15" hidden="false" customHeight="false" outlineLevel="0" collapsed="false">
      <c r="A178" s="4" t="s">
        <v>405</v>
      </c>
      <c r="B178" s="4" t="s">
        <v>362</v>
      </c>
      <c r="D178" s="19" t="n">
        <f aca="false">D169/fx/(odm_gb*(1-vr26)+odm_vr*vr26)</f>
        <v>18.4522679153094</v>
      </c>
      <c r="E178" s="19" t="n">
        <f aca="false">E169/fx/odm_vr</f>
        <v>22.5953317879953</v>
      </c>
      <c r="F178" s="19" t="n">
        <f aca="false">F169/fx/odm_vr</f>
        <v>27.2101101211634</v>
      </c>
      <c r="G178" s="19" t="n">
        <f aca="false">G169/fx/odm_vr</f>
        <v>29.3652163842419</v>
      </c>
      <c r="H178" s="4" t="s">
        <v>406</v>
      </c>
    </row>
    <row r="179" customFormat="false" ht="17.15" hidden="false" customHeight="false" outlineLevel="0" collapsed="false">
      <c r="A179" s="6" t="s">
        <v>407</v>
      </c>
    </row>
    <row r="180" customFormat="false" ht="17.15" hidden="false" customHeight="false" outlineLevel="0" collapsed="false">
      <c r="A180" s="4" t="s">
        <v>408</v>
      </c>
      <c r="B180" s="0" t="s">
        <v>49</v>
      </c>
      <c r="D180" s="14" t="n">
        <f aca="false">a26_gp/D174-d_ai*D176</f>
        <v>0.0632307213692399</v>
      </c>
      <c r="H180" s="8" t="s">
        <v>409</v>
      </c>
    </row>
    <row r="181" customFormat="false" ht="17.15" hidden="false" customHeight="false" outlineLevel="0" collapsed="false">
      <c r="A181" s="0" t="s">
        <v>410</v>
      </c>
      <c r="B181" s="0" t="s">
        <v>165</v>
      </c>
      <c r="D181" s="21" t="n">
        <f aca="false">($D$180+d_ai)*D169*(1-D170*(1-keep))</f>
        <v>117.54978712</v>
      </c>
      <c r="E181" s="21" t="n">
        <f aca="false">($D$180+d_ai+vrd)*E169*(1-E170*(1-keep))</f>
        <v>191.440980354202</v>
      </c>
      <c r="F181" s="21" t="n">
        <f aca="false">($D$180+d_ai+vrd)*F169*(1-F170*(1-keep))</f>
        <v>226.993333902284</v>
      </c>
      <c r="G181" s="21" t="n">
        <f aca="false">($D$180+d_ai+vrd)*G169*(1-G170*(1-keep))</f>
        <v>242.419963619544</v>
      </c>
      <c r="H181" s="4" t="s">
        <v>411</v>
      </c>
    </row>
    <row r="182" customFormat="false" ht="15" hidden="false" customHeight="false" outlineLevel="0" collapsed="false">
      <c r="A182" s="4" t="s">
        <v>306</v>
      </c>
      <c r="B182" s="0" t="s">
        <v>165</v>
      </c>
      <c r="C182" s="19" t="n">
        <f aca="false">a25_gp</f>
        <v>148.2334922</v>
      </c>
      <c r="D182" s="19" t="n">
        <f aca="false">a26_gp</f>
        <v>198.45911</v>
      </c>
      <c r="E182" s="19" t="n">
        <f aca="false">$D$180*E173+E181</f>
        <v>274.777582920602</v>
      </c>
      <c r="F182" s="19" t="n">
        <f aca="false">$D$180*F173+F181</f>
        <v>311.996668520012</v>
      </c>
      <c r="G182" s="19" t="n">
        <f aca="false">$D$180*G173+G181</f>
        <v>329.123364929627</v>
      </c>
    </row>
    <row r="183" customFormat="false" ht="15" hidden="false" customHeight="false" outlineLevel="0" collapsed="false">
      <c r="A183" s="4" t="s">
        <v>309</v>
      </c>
      <c r="B183" s="0" t="s">
        <v>49</v>
      </c>
      <c r="C183" s="14" t="n">
        <f aca="false">C182/C174</f>
        <v>0.0698</v>
      </c>
      <c r="D183" s="14" t="n">
        <f aca="false">D182/D174</f>
        <v>0.0496307213692399</v>
      </c>
      <c r="E183" s="14" t="n">
        <f aca="false">E182/E174</f>
        <v>0.0551937303658937</v>
      </c>
      <c r="F183" s="14" t="n">
        <f aca="false">F182/F174</f>
        <v>0.0640549456792944</v>
      </c>
      <c r="G183" s="14" t="n">
        <f aca="false">G182/G174</f>
        <v>0.0724515865665576</v>
      </c>
    </row>
    <row r="184" customFormat="false" ht="17.15" hidden="false" customHeight="false" outlineLevel="0" collapsed="false">
      <c r="A184" s="0" t="s">
        <v>412</v>
      </c>
      <c r="B184" s="0" t="s">
        <v>49</v>
      </c>
      <c r="D184" s="14" t="n">
        <f aca="false">D181/D171</f>
        <v>0.0432307213692399</v>
      </c>
      <c r="E184" s="14" t="n">
        <f aca="false">E181/E171</f>
        <v>0.0522999377800118</v>
      </c>
      <c r="F184" s="14" t="n">
        <f aca="false">F181/F171</f>
        <v>0.0643691541907838</v>
      </c>
      <c r="G184" s="14" t="n">
        <f aca="false">G181/G171</f>
        <v>0.0764383706015558</v>
      </c>
      <c r="H184" s="4" t="s">
        <v>413</v>
      </c>
    </row>
    <row r="185" customFormat="false" ht="15" hidden="false" customHeight="false" outlineLevel="0" collapsed="false">
      <c r="A185" s="4" t="s">
        <v>414</v>
      </c>
      <c r="B185" s="0" t="s">
        <v>165</v>
      </c>
      <c r="C185" s="19" t="n">
        <f aca="false">a25_opx</f>
        <v>60.7375054</v>
      </c>
      <c r="D185" s="19" t="n">
        <f aca="false">a26_opx</f>
        <v>71.1893725</v>
      </c>
      <c r="E185" s="19" t="n">
        <f aca="false">D185*(1+MAX(0,phi*E175))</f>
        <v>78.1660737047715</v>
      </c>
      <c r="F185" s="19" t="n">
        <f aca="false">E185*(1+MAX(0,phi*F175))</f>
        <v>78.1660737047715</v>
      </c>
      <c r="G185" s="19" t="n">
        <f aca="false">F185*(1+MAX(0,phi*G175))</f>
        <v>78.1660737047715</v>
      </c>
    </row>
    <row r="186" customFormat="false" ht="15" hidden="false" customHeight="false" outlineLevel="0" collapsed="false">
      <c r="A186" s="4" t="s">
        <v>310</v>
      </c>
      <c r="B186" s="0" t="s">
        <v>165</v>
      </c>
      <c r="C186" s="19" t="n">
        <f aca="false">C185</f>
        <v>60.7375054</v>
      </c>
      <c r="D186" s="19" t="n">
        <f aca="false">D185</f>
        <v>71.1893725</v>
      </c>
      <c r="E186" s="19" t="n">
        <f aca="false">E185+0*E174</f>
        <v>78.1660737047715</v>
      </c>
      <c r="F186" s="19" t="n">
        <f aca="false">F185+0*F174</f>
        <v>78.1660737047715</v>
      </c>
      <c r="G186" s="19" t="n">
        <f aca="false">G185+0*G174</f>
        <v>78.1660737047715</v>
      </c>
    </row>
    <row r="187" customFormat="false" ht="15" hidden="false" customHeight="false" outlineLevel="0" collapsed="false">
      <c r="A187" s="4" t="s">
        <v>313</v>
      </c>
      <c r="B187" s="0" t="s">
        <v>165</v>
      </c>
      <c r="C187" s="19" t="n">
        <f aca="false">C182-C186</f>
        <v>87.4959868</v>
      </c>
      <c r="D187" s="19" t="n">
        <f aca="false">D182-D186</f>
        <v>127.2697375</v>
      </c>
      <c r="E187" s="19" t="n">
        <f aca="false">E182-E186</f>
        <v>196.611509215831</v>
      </c>
      <c r="F187" s="19" t="n">
        <f aca="false">F182-F186</f>
        <v>233.830594815241</v>
      </c>
      <c r="G187" s="19" t="n">
        <f aca="false">G182-G186</f>
        <v>250.957291224855</v>
      </c>
    </row>
    <row r="188" customFormat="false" ht="15" hidden="false" customHeight="false" outlineLevel="0" collapsed="false">
      <c r="A188" s="4" t="s">
        <v>316</v>
      </c>
      <c r="B188" s="0" t="s">
        <v>49</v>
      </c>
      <c r="C188" s="14" t="n">
        <f aca="false">C187/C174</f>
        <v>0.0412</v>
      </c>
      <c r="D188" s="14" t="n">
        <f aca="false">D187/D174</f>
        <v>0.0318276590104571</v>
      </c>
      <c r="E188" s="14" t="n">
        <f aca="false">E187/E174</f>
        <v>0.0394927508683473</v>
      </c>
      <c r="F188" s="14" t="n">
        <f aca="false">F187/F174</f>
        <v>0.0480069422538934</v>
      </c>
      <c r="G188" s="14" t="n">
        <f aca="false">G187/G174</f>
        <v>0.0552444944574936</v>
      </c>
    </row>
    <row r="189" customFormat="false" ht="17.15" hidden="false" customHeight="false" outlineLevel="0" collapsed="false">
      <c r="A189" s="4" t="s">
        <v>199</v>
      </c>
      <c r="B189" s="0" t="s">
        <v>49</v>
      </c>
      <c r="C189" s="15" t="n">
        <f aca="false">a25_ni/a25_oi</f>
        <v>0.856953590013114</v>
      </c>
      <c r="D189" s="15" t="n">
        <f aca="false">a26_ni/a26_oi</f>
        <v>0.869913569398224</v>
      </c>
      <c r="E189" s="15" t="n">
        <f aca="false">nio_f</f>
        <v>0.865</v>
      </c>
      <c r="F189" s="15" t="n">
        <f aca="false">nio_f</f>
        <v>0.865</v>
      </c>
      <c r="G189" s="15" t="n">
        <f aca="false">nio_f</f>
        <v>0.865</v>
      </c>
    </row>
    <row r="190" customFormat="false" ht="15" hidden="false" customHeight="false" outlineLevel="0" collapsed="false">
      <c r="A190" s="4" t="s">
        <v>317</v>
      </c>
      <c r="B190" s="0" t="s">
        <v>165</v>
      </c>
      <c r="C190" s="19" t="n">
        <f aca="false">a25_ni</f>
        <v>74.98</v>
      </c>
      <c r="D190" s="19" t="n">
        <f aca="false">a26_ni</f>
        <v>110.713671625</v>
      </c>
      <c r="E190" s="19" t="n">
        <f aca="false">E187*E189</f>
        <v>170.068955471694</v>
      </c>
      <c r="F190" s="19" t="n">
        <f aca="false">F187*F189</f>
        <v>202.263464515183</v>
      </c>
      <c r="G190" s="19" t="n">
        <f aca="false">G187*G189</f>
        <v>217.0780569095</v>
      </c>
    </row>
    <row r="191" customFormat="false" ht="15" hidden="false" customHeight="false" outlineLevel="0" collapsed="false">
      <c r="A191" s="4" t="s">
        <v>415</v>
      </c>
      <c r="B191" s="4" t="s">
        <v>186</v>
      </c>
      <c r="C191" s="22" t="n">
        <f aca="false">a25_sh</f>
        <v>3.85501285347044</v>
      </c>
      <c r="D191" s="22" t="n">
        <f aca="false">a26_sh</f>
        <v>3.85460170146945</v>
      </c>
      <c r="E191" s="22" t="n">
        <f aca="false">D191*(1+sh_g)</f>
        <v>3.85460170146945</v>
      </c>
      <c r="F191" s="22" t="n">
        <f aca="false">E191*(1+sh_g)</f>
        <v>3.85460170146945</v>
      </c>
      <c r="G191" s="22" t="n">
        <f aca="false">F191*(1+sh_g)</f>
        <v>3.85460170146945</v>
      </c>
    </row>
    <row r="192" customFormat="false" ht="15" hidden="false" customHeight="false" outlineLevel="0" collapsed="false">
      <c r="A192" s="0" t="s">
        <v>323</v>
      </c>
      <c r="B192" s="0" t="s">
        <v>216</v>
      </c>
      <c r="C192" s="21" t="n">
        <f aca="false">C190/C191</f>
        <v>19.45</v>
      </c>
      <c r="D192" s="21" t="n">
        <f aca="false">D190/D191</f>
        <v>28.7224673778341</v>
      </c>
      <c r="E192" s="21" t="n">
        <f aca="false">E190/E191</f>
        <v>44.1210191462479</v>
      </c>
      <c r="F192" s="21" t="n">
        <f aca="false">F190/F191</f>
        <v>52.4732463118242</v>
      </c>
      <c r="G192" s="21" t="n">
        <f aca="false">G190/G191</f>
        <v>56.3165986324204</v>
      </c>
    </row>
    <row r="193" customFormat="false" ht="17.15" hidden="false" customHeight="false" outlineLevel="0" collapsed="false">
      <c r="A193" s="0" t="s">
        <v>416</v>
      </c>
      <c r="B193" s="0" t="s">
        <v>49</v>
      </c>
      <c r="D193" s="15" t="n">
        <f aca="false">D192/C192-1</f>
        <v>0.476733541276816</v>
      </c>
      <c r="E193" s="15" t="n">
        <f aca="false">E192/D192-1</f>
        <v>0.53611521481951</v>
      </c>
      <c r="F193" s="15" t="n">
        <f aca="false">F192/E192-1</f>
        <v>0.189302679928836</v>
      </c>
      <c r="G193" s="15" t="n">
        <f aca="false">G192/F192-1</f>
        <v>0.0732440355940052</v>
      </c>
    </row>
    <row r="196" customFormat="false" ht="17.15" hidden="false" customHeight="false" outlineLevel="0" collapsed="false">
      <c r="A196" s="1" t="s">
        <v>715</v>
      </c>
    </row>
    <row r="197" customFormat="false" ht="17.15" hidden="false" customHeight="false" outlineLevel="0" collapsed="false">
      <c r="A197" s="5" t="s">
        <v>18</v>
      </c>
      <c r="B197" s="5" t="s">
        <v>19</v>
      </c>
      <c r="C197" s="11" t="s">
        <v>296</v>
      </c>
      <c r="D197" s="11" t="s">
        <v>372</v>
      </c>
      <c r="E197" s="11" t="s">
        <v>373</v>
      </c>
      <c r="F197" s="11" t="s">
        <v>374</v>
      </c>
      <c r="G197" s="11" t="s">
        <v>375</v>
      </c>
      <c r="H197" s="5" t="s">
        <v>345</v>
      </c>
    </row>
    <row r="198" customFormat="false" ht="17.15" hidden="false" customHeight="false" outlineLevel="0" collapsed="false">
      <c r="A198" s="6" t="s">
        <v>389</v>
      </c>
    </row>
    <row r="199" customFormat="false" ht="17.15" hidden="false" customHeight="false" outlineLevel="0" collapsed="false">
      <c r="A199" s="0" t="s">
        <v>390</v>
      </c>
      <c r="B199" s="0" t="s">
        <v>29</v>
      </c>
      <c r="D199" s="21" t="n">
        <f aca="false">itc_26*1</f>
        <v>781.872916666667</v>
      </c>
      <c r="E199" s="21" t="n">
        <f aca="false">itc_27*1*1</f>
        <v>1565.35</v>
      </c>
      <c r="F199" s="21" t="n">
        <f aca="false">itc_28*um28_A*1</f>
        <v>1984.26388888889</v>
      </c>
      <c r="G199" s="21" t="n">
        <f aca="false">itc_29*um29_A*1</f>
        <v>2260.39027777778</v>
      </c>
    </row>
    <row r="200" customFormat="false" ht="17.15" hidden="false" customHeight="false" outlineLevel="0" collapsed="false">
      <c r="A200" s="4" t="s">
        <v>391</v>
      </c>
      <c r="B200" s="0" t="s">
        <v>29</v>
      </c>
      <c r="D200" s="21" t="n">
        <f aca="false">itpg_gb*(1-vr26)+itpg_vr*vr26</f>
        <v>33.41403216</v>
      </c>
      <c r="E200" s="21" t="n">
        <f aca="false">itpg_vr</f>
        <v>37.586352</v>
      </c>
      <c r="F200" s="21" t="n">
        <f aca="false">itpg_vr</f>
        <v>37.586352</v>
      </c>
      <c r="G200" s="21" t="n">
        <f aca="false">itpg_vr</f>
        <v>37.586352</v>
      </c>
    </row>
    <row r="201" customFormat="false" ht="17.15" hidden="false" customHeight="false" outlineLevel="0" collapsed="false">
      <c r="A201" s="4" t="s">
        <v>392</v>
      </c>
      <c r="B201" s="0" t="s">
        <v>347</v>
      </c>
      <c r="D201" s="18" t="n">
        <f aca="false">D199/D200</f>
        <v>23.3995380420639</v>
      </c>
      <c r="E201" s="18" t="n">
        <f aca="false">E199/E200</f>
        <v>41.6467658260637</v>
      </c>
      <c r="F201" s="18" t="n">
        <f aca="false">F199/F200</f>
        <v>52.792138191248</v>
      </c>
      <c r="G201" s="18" t="n">
        <f aca="false">G199/G200</f>
        <v>60.1385917361116</v>
      </c>
    </row>
    <row r="202" customFormat="false" ht="17.15" hidden="false" customHeight="false" outlineLevel="0" collapsed="false">
      <c r="A202" s="4" t="s">
        <v>349</v>
      </c>
      <c r="B202" s="0" t="s">
        <v>350</v>
      </c>
      <c r="D202" s="16" t="n">
        <f aca="false">(racks_gb*odm_gb*(1-vr26)+racks_vr*odm_vr*vr26)/1000</f>
        <v>27.1209</v>
      </c>
      <c r="E202" s="16" t="n">
        <f aca="false">racks_vr*odm_vr/1000</f>
        <v>27.351</v>
      </c>
      <c r="F202" s="16" t="n">
        <f aca="false">$E202*vpg_28</f>
        <v>27.351</v>
      </c>
      <c r="G202" s="16" t="n">
        <f aca="false">$E202*vpg_29</f>
        <v>27.351</v>
      </c>
      <c r="H202" s="4" t="s">
        <v>393</v>
      </c>
    </row>
    <row r="203" customFormat="false" ht="17.15" hidden="false" customHeight="false" outlineLevel="0" collapsed="false">
      <c r="A203" s="0" t="s">
        <v>394</v>
      </c>
      <c r="B203" s="0" t="s">
        <v>29</v>
      </c>
      <c r="D203" s="19" t="n">
        <f aca="false">D201*D202</f>
        <v>634.616531285011</v>
      </c>
      <c r="E203" s="19" t="n">
        <f aca="false">E201*E202</f>
        <v>1139.08069210867</v>
      </c>
      <c r="F203" s="19" t="n">
        <f aca="false">F201*F202</f>
        <v>1443.91777166882</v>
      </c>
      <c r="G203" s="19" t="n">
        <f aca="false">G201*G202</f>
        <v>1644.85062257439</v>
      </c>
    </row>
    <row r="204" customFormat="false" ht="17.15" hidden="false" customHeight="false" outlineLevel="0" collapsed="false">
      <c r="A204" s="0" t="s">
        <v>395</v>
      </c>
      <c r="B204" s="0" t="s">
        <v>165</v>
      </c>
      <c r="D204" s="19" t="n">
        <f aca="false">D203*fx</f>
        <v>20307.7290011204</v>
      </c>
      <c r="E204" s="19" t="n">
        <f aca="false">E203*fx</f>
        <v>36450.5821474774</v>
      </c>
      <c r="F204" s="19" t="n">
        <f aca="false">F203*fx</f>
        <v>46205.3686934024</v>
      </c>
      <c r="G204" s="19" t="n">
        <f aca="false">G203*fx</f>
        <v>52635.2199223804</v>
      </c>
    </row>
    <row r="205" customFormat="false" ht="17.15" hidden="false" customHeight="false" outlineLevel="0" collapsed="false">
      <c r="A205" s="4" t="s">
        <v>396</v>
      </c>
      <c r="B205" s="0" t="s">
        <v>49</v>
      </c>
      <c r="D205" s="15" t="n">
        <f aca="false">a26_ai/D204</f>
        <v>0.133896123975753</v>
      </c>
      <c r="H205" s="8" t="s">
        <v>397</v>
      </c>
    </row>
    <row r="206" customFormat="false" ht="17.15" hidden="false" customHeight="false" outlineLevel="0" collapsed="false">
      <c r="A206" s="4" t="s">
        <v>398</v>
      </c>
      <c r="B206" s="0" t="s">
        <v>69</v>
      </c>
      <c r="D206" s="16" t="n">
        <f aca="false">1</f>
        <v>1</v>
      </c>
      <c r="E206" s="16" t="n">
        <f aca="false">rel_27</f>
        <v>1</v>
      </c>
      <c r="F206" s="16" t="n">
        <f aca="false">rel_28</f>
        <v>0.95</v>
      </c>
      <c r="G206" s="16" t="n">
        <f aca="false">rel_29</f>
        <v>0.9</v>
      </c>
    </row>
    <row r="207" customFormat="false" ht="15" hidden="false" customHeight="false" outlineLevel="0" collapsed="false">
      <c r="A207" s="4" t="s">
        <v>354</v>
      </c>
      <c r="B207" s="0" t="s">
        <v>49</v>
      </c>
      <c r="D207" s="15" t="n">
        <f aca="false">$D$205*D206</f>
        <v>0.133896123975753</v>
      </c>
      <c r="E207" s="15" t="n">
        <f aca="false">$D$205*E206</f>
        <v>0.133896123975753</v>
      </c>
      <c r="F207" s="15" t="n">
        <f aca="false">$D$205*F206</f>
        <v>0.127201317776965</v>
      </c>
      <c r="G207" s="15" t="n">
        <f aca="false">$D$205*G206</f>
        <v>0.120506511578177</v>
      </c>
    </row>
    <row r="208" customFormat="false" ht="17.15" hidden="false" customHeight="false" outlineLevel="0" collapsed="false">
      <c r="A208" s="0" t="s">
        <v>399</v>
      </c>
      <c r="B208" s="0" t="s">
        <v>165</v>
      </c>
      <c r="D208" s="19" t="n">
        <f aca="false">D204*D207</f>
        <v>2719.1262</v>
      </c>
      <c r="E208" s="19" t="n">
        <f aca="false">E204*E207</f>
        <v>4880.59166620699</v>
      </c>
      <c r="F208" s="19" t="n">
        <f aca="false">F204*F207</f>
        <v>5877.38378617131</v>
      </c>
      <c r="G208" s="19" t="n">
        <f aca="false">G204*G207</f>
        <v>6342.88673899625</v>
      </c>
    </row>
    <row r="209" customFormat="false" ht="17.15" hidden="false" customHeight="false" outlineLevel="0" collapsed="false">
      <c r="A209" s="4" t="s">
        <v>358</v>
      </c>
      <c r="B209" s="0" t="s">
        <v>49</v>
      </c>
      <c r="D209" s="15" t="n">
        <f aca="false">0</f>
        <v>0</v>
      </c>
      <c r="E209" s="15" t="n">
        <f aca="false">cs_27</f>
        <v>0.1</v>
      </c>
      <c r="F209" s="15" t="n">
        <f aca="false">cs_28</f>
        <v>0.2</v>
      </c>
      <c r="G209" s="15" t="n">
        <f aca="false">cs_29</f>
        <v>0.25</v>
      </c>
      <c r="H209" s="8" t="s">
        <v>400</v>
      </c>
    </row>
    <row r="210" customFormat="false" ht="17.15" hidden="false" customHeight="false" outlineLevel="0" collapsed="false">
      <c r="A210" s="0" t="s">
        <v>401</v>
      </c>
      <c r="B210" s="0" t="s">
        <v>165</v>
      </c>
      <c r="C210" s="19" t="n">
        <f aca="false">a25_ai</f>
        <v>905.033</v>
      </c>
      <c r="D210" s="19" t="n">
        <f aca="false">D208*(1-D209)</f>
        <v>2719.1262</v>
      </c>
      <c r="E210" s="19" t="n">
        <f aca="false">E208*(1-E209)</f>
        <v>4392.53249958629</v>
      </c>
      <c r="F210" s="19" t="n">
        <f aca="false">F208*(1-F209)</f>
        <v>4701.90702893704</v>
      </c>
      <c r="G210" s="19" t="n">
        <f aca="false">G208*(1-G209)</f>
        <v>4757.16505424718</v>
      </c>
    </row>
    <row r="211" customFormat="false" ht="17.15" hidden="false" customHeight="false" outlineLevel="0" collapsed="false">
      <c r="A211" s="6" t="s">
        <v>402</v>
      </c>
    </row>
    <row r="212" customFormat="false" ht="17.15" hidden="false" customHeight="false" outlineLevel="0" collapsed="false">
      <c r="A212" s="4" t="s">
        <v>331</v>
      </c>
      <c r="B212" s="0" t="s">
        <v>165</v>
      </c>
      <c r="C212" s="19" t="n">
        <f aca="false">a25_nai</f>
        <v>1218.656</v>
      </c>
      <c r="D212" s="19" t="n">
        <f aca="false">a26_nai</f>
        <v>1279.5888</v>
      </c>
      <c r="E212" s="19" t="n">
        <f aca="false">D212*(1+g_nai27)</f>
        <v>1317.976464</v>
      </c>
      <c r="F212" s="19" t="n">
        <f aca="false">E212*(1+g_nai28)</f>
        <v>1344.33599328</v>
      </c>
      <c r="G212" s="19" t="n">
        <f aca="false">F212*(1+g_nai29)</f>
        <v>1371.2227131456</v>
      </c>
    </row>
    <row r="213" customFormat="false" ht="15" hidden="false" customHeight="false" outlineLevel="0" collapsed="false">
      <c r="A213" s="4" t="s">
        <v>302</v>
      </c>
      <c r="B213" s="0" t="s">
        <v>165</v>
      </c>
      <c r="C213" s="19" t="n">
        <f aca="false">C210+C212</f>
        <v>2123.689</v>
      </c>
      <c r="D213" s="19" t="n">
        <f aca="false">D210+D212</f>
        <v>3998.715</v>
      </c>
      <c r="E213" s="19" t="n">
        <f aca="false">E210+E212</f>
        <v>5710.50896358629</v>
      </c>
      <c r="F213" s="19" t="n">
        <f aca="false">F210+F212</f>
        <v>6046.24302221704</v>
      </c>
      <c r="G213" s="19" t="n">
        <f aca="false">G210+G212</f>
        <v>6128.38776739279</v>
      </c>
    </row>
    <row r="214" customFormat="false" ht="15" hidden="false" customHeight="false" outlineLevel="0" collapsed="false">
      <c r="A214" s="4" t="s">
        <v>403</v>
      </c>
      <c r="B214" s="0" t="s">
        <v>49</v>
      </c>
      <c r="D214" s="15" t="n">
        <f aca="false">D213/C213-1</f>
        <v>0.88290987993063</v>
      </c>
      <c r="E214" s="15" t="n">
        <f aca="false">E213/D213-1</f>
        <v>0.428086013528418</v>
      </c>
      <c r="F214" s="15" t="n">
        <f aca="false">F213/E213-1</f>
        <v>0.0587923179477703</v>
      </c>
      <c r="G214" s="15" t="n">
        <f aca="false">G213/F213-1</f>
        <v>0.0135860806245958</v>
      </c>
    </row>
    <row r="215" customFormat="false" ht="17.15" hidden="false" customHeight="false" outlineLevel="0" collapsed="false">
      <c r="A215" s="0" t="s">
        <v>404</v>
      </c>
      <c r="B215" s="0" t="s">
        <v>49</v>
      </c>
      <c r="C215" s="15" t="n">
        <f aca="false">C210/C213</f>
        <v>0.426160798497332</v>
      </c>
      <c r="D215" s="15" t="n">
        <f aca="false">D210/D213</f>
        <v>0.68</v>
      </c>
      <c r="E215" s="15" t="n">
        <f aca="false">E210/E213</f>
        <v>0.769201576881461</v>
      </c>
      <c r="F215" s="15" t="n">
        <f aca="false">F210/F213</f>
        <v>0.777657631633361</v>
      </c>
      <c r="G215" s="15" t="n">
        <f aca="false">G210/G213</f>
        <v>0.776250660827723</v>
      </c>
    </row>
    <row r="216" customFormat="false" ht="17.15" hidden="false" customHeight="false" outlineLevel="0" collapsed="false">
      <c r="A216" s="4" t="s">
        <v>364</v>
      </c>
      <c r="B216" s="0" t="s">
        <v>350</v>
      </c>
      <c r="D216" s="16" t="n">
        <f aca="false">D210/fx/D201</f>
        <v>3.63138338873399</v>
      </c>
      <c r="E216" s="16" t="n">
        <f aca="false">E210/fx/E201</f>
        <v>3.29597359817473</v>
      </c>
      <c r="F216" s="16" t="n">
        <f aca="false">F210/fx/F201</f>
        <v>2.78326659401422</v>
      </c>
      <c r="G216" s="16" t="n">
        <f aca="false">G210/fx/G201</f>
        <v>2.47198019863105</v>
      </c>
    </row>
    <row r="217" customFormat="false" ht="17.15" hidden="false" customHeight="false" outlineLevel="0" collapsed="false">
      <c r="A217" s="4" t="s">
        <v>405</v>
      </c>
      <c r="B217" s="4" t="s">
        <v>362</v>
      </c>
      <c r="D217" s="19" t="n">
        <f aca="false">D208/fx/(odm_gb*(1-vr26)+odm_vr*vr26)</f>
        <v>18.4522679153094</v>
      </c>
      <c r="E217" s="19" t="n">
        <f aca="false">E208/fx/odm_vr</f>
        <v>22.5953317879953</v>
      </c>
      <c r="F217" s="19" t="n">
        <f aca="false">F208/fx/odm_vr</f>
        <v>27.2101101211634</v>
      </c>
      <c r="G217" s="19" t="n">
        <f aca="false">G208/fx/odm_vr</f>
        <v>29.3652163842419</v>
      </c>
      <c r="H217" s="4" t="s">
        <v>406</v>
      </c>
    </row>
    <row r="218" customFormat="false" ht="17.15" hidden="false" customHeight="false" outlineLevel="0" collapsed="false">
      <c r="A218" s="6" t="s">
        <v>407</v>
      </c>
    </row>
    <row r="219" customFormat="false" ht="17.15" hidden="false" customHeight="false" outlineLevel="0" collapsed="false">
      <c r="A219" s="4" t="s">
        <v>408</v>
      </c>
      <c r="B219" s="0" t="s">
        <v>49</v>
      </c>
      <c r="D219" s="14" t="n">
        <f aca="false">a26_gp/D213-d_ai*D215</f>
        <v>0.0632307213692399</v>
      </c>
      <c r="H219" s="8" t="s">
        <v>409</v>
      </c>
    </row>
    <row r="220" customFormat="false" ht="17.15" hidden="false" customHeight="false" outlineLevel="0" collapsed="false">
      <c r="A220" s="0" t="s">
        <v>410</v>
      </c>
      <c r="B220" s="0" t="s">
        <v>165</v>
      </c>
      <c r="D220" s="21" t="n">
        <f aca="false">($D$219+d_ai)*D208*(1-D209*(1-keep_lo))</f>
        <v>117.54978712</v>
      </c>
      <c r="E220" s="21" t="n">
        <f aca="false">($D$219+d_ai+vrd)*E208*(1-E209*(1-keep_lo))</f>
        <v>190.459231737001</v>
      </c>
      <c r="F220" s="21" t="n">
        <f aca="false">($D$219+d_ai+vrd)*F208*(1-F209*(1-keep_lo))</f>
        <v>222.264306112653</v>
      </c>
      <c r="G220" s="21" t="n">
        <f aca="false">($D$219+d_ai+vrd)*G208*(1-G209*(1-keep_lo))</f>
        <v>236.040490892714</v>
      </c>
      <c r="H220" s="4" t="s">
        <v>411</v>
      </c>
    </row>
    <row r="221" customFormat="false" ht="15" hidden="false" customHeight="false" outlineLevel="0" collapsed="false">
      <c r="A221" s="4" t="s">
        <v>306</v>
      </c>
      <c r="B221" s="0" t="s">
        <v>165</v>
      </c>
      <c r="C221" s="19" t="n">
        <f aca="false">a25_gp</f>
        <v>148.2334922</v>
      </c>
      <c r="D221" s="19" t="n">
        <f aca="false">a26_gp</f>
        <v>198.45911</v>
      </c>
      <c r="E221" s="19" t="n">
        <f aca="false">$D$219*E212+E220</f>
        <v>273.795834303401</v>
      </c>
      <c r="F221" s="19" t="n">
        <f aca="false">$D$219*F212+F220</f>
        <v>307.267640730381</v>
      </c>
      <c r="G221" s="19" t="n">
        <f aca="false">$D$219*G212+G220</f>
        <v>322.743892202797</v>
      </c>
    </row>
    <row r="222" customFormat="false" ht="15" hidden="false" customHeight="false" outlineLevel="0" collapsed="false">
      <c r="A222" s="4" t="s">
        <v>309</v>
      </c>
      <c r="B222" s="0" t="s">
        <v>49</v>
      </c>
      <c r="C222" s="14" t="n">
        <f aca="false">C221/C213</f>
        <v>0.0698</v>
      </c>
      <c r="D222" s="14" t="n">
        <f aca="false">D221/D213</f>
        <v>0.0496307213692399</v>
      </c>
      <c r="E222" s="14" t="n">
        <f aca="false">E221/E213</f>
        <v>0.0479459599922339</v>
      </c>
      <c r="F222" s="14" t="n">
        <f aca="false">F221/F213</f>
        <v>0.0508195981539809</v>
      </c>
      <c r="G222" s="14" t="n">
        <f aca="false">G221/G213</f>
        <v>0.0526637517815069</v>
      </c>
    </row>
    <row r="223" customFormat="false" ht="17.15" hidden="false" customHeight="false" outlineLevel="0" collapsed="false">
      <c r="A223" s="0" t="s">
        <v>412</v>
      </c>
      <c r="B223" s="0" t="s">
        <v>49</v>
      </c>
      <c r="D223" s="14" t="n">
        <f aca="false">D220/D210</f>
        <v>0.0432307213692399</v>
      </c>
      <c r="E223" s="14" t="n">
        <f aca="false">E220/E210</f>
        <v>0.0433597774757363</v>
      </c>
      <c r="F223" s="14" t="n">
        <f aca="false">F220/F210</f>
        <v>0.0472710976088568</v>
      </c>
      <c r="G223" s="14" t="n">
        <f aca="false">G220/G210</f>
        <v>0.0496178896887292</v>
      </c>
      <c r="H223" s="4" t="s">
        <v>413</v>
      </c>
    </row>
    <row r="224" customFormat="false" ht="15" hidden="false" customHeight="false" outlineLevel="0" collapsed="false">
      <c r="A224" s="4" t="s">
        <v>414</v>
      </c>
      <c r="B224" s="0" t="s">
        <v>165</v>
      </c>
      <c r="C224" s="19" t="n">
        <f aca="false">a25_opx</f>
        <v>60.7375054</v>
      </c>
      <c r="D224" s="19" t="n">
        <f aca="false">a26_opx</f>
        <v>71.1893725</v>
      </c>
      <c r="E224" s="19" t="n">
        <f aca="false">D224*(1+MAX(0,phi*E214))</f>
        <v>83.3794423716458</v>
      </c>
      <c r="F224" s="19" t="n">
        <f aca="false">E224*(1+MAX(0,phi*F214))</f>
        <v>85.3402706461345</v>
      </c>
      <c r="G224" s="19" t="n">
        <f aca="false">F224*(1+MAX(0,phi*G214))</f>
        <v>85.8040465651437</v>
      </c>
    </row>
    <row r="225" customFormat="false" ht="15" hidden="false" customHeight="false" outlineLevel="0" collapsed="false">
      <c r="A225" s="4" t="s">
        <v>310</v>
      </c>
      <c r="B225" s="0" t="s">
        <v>165</v>
      </c>
      <c r="C225" s="19" t="n">
        <f aca="false">C224</f>
        <v>60.7375054</v>
      </c>
      <c r="D225" s="19" t="n">
        <f aca="false">D224</f>
        <v>71.1893725</v>
      </c>
      <c r="E225" s="19" t="n">
        <f aca="false">E224+0*E213</f>
        <v>83.3794423716458</v>
      </c>
      <c r="F225" s="19" t="n">
        <f aca="false">F224+0*F213</f>
        <v>85.3402706461345</v>
      </c>
      <c r="G225" s="19" t="n">
        <f aca="false">G224+0*G213</f>
        <v>85.8040465651437</v>
      </c>
    </row>
    <row r="226" customFormat="false" ht="15" hidden="false" customHeight="false" outlineLevel="0" collapsed="false">
      <c r="A226" s="4" t="s">
        <v>313</v>
      </c>
      <c r="B226" s="0" t="s">
        <v>165</v>
      </c>
      <c r="C226" s="19" t="n">
        <f aca="false">C221-C225</f>
        <v>87.4959868</v>
      </c>
      <c r="D226" s="19" t="n">
        <f aca="false">D221-D225</f>
        <v>127.2697375</v>
      </c>
      <c r="E226" s="19" t="n">
        <f aca="false">E221-E225</f>
        <v>190.416391931755</v>
      </c>
      <c r="F226" s="19" t="n">
        <f aca="false">F221-F225</f>
        <v>221.927370084247</v>
      </c>
      <c r="G226" s="19" t="n">
        <f aca="false">G221-G225</f>
        <v>236.939845637653</v>
      </c>
    </row>
    <row r="227" customFormat="false" ht="15" hidden="false" customHeight="false" outlineLevel="0" collapsed="false">
      <c r="A227" s="4" t="s">
        <v>316</v>
      </c>
      <c r="B227" s="0" t="s">
        <v>49</v>
      </c>
      <c r="C227" s="14" t="n">
        <f aca="false">C226/C213</f>
        <v>0.0412</v>
      </c>
      <c r="D227" s="14" t="n">
        <f aca="false">D226/D213</f>
        <v>0.0318276590104571</v>
      </c>
      <c r="E227" s="14" t="n">
        <f aca="false">E226/E213</f>
        <v>0.0333449072833905</v>
      </c>
      <c r="F227" s="14" t="n">
        <f aca="false">F226/F213</f>
        <v>0.0367050033001932</v>
      </c>
      <c r="G227" s="14" t="n">
        <f aca="false">G226/G213</f>
        <v>0.0386626719181079</v>
      </c>
    </row>
    <row r="228" customFormat="false" ht="17.15" hidden="false" customHeight="false" outlineLevel="0" collapsed="false">
      <c r="A228" s="4" t="s">
        <v>199</v>
      </c>
      <c r="B228" s="0" t="s">
        <v>49</v>
      </c>
      <c r="C228" s="15" t="n">
        <f aca="false">a25_ni/a25_oi</f>
        <v>0.856953590013114</v>
      </c>
      <c r="D228" s="15" t="n">
        <f aca="false">a26_ni/a26_oi</f>
        <v>0.869913569398224</v>
      </c>
      <c r="E228" s="15" t="n">
        <f aca="false">nio_f</f>
        <v>0.865</v>
      </c>
      <c r="F228" s="15" t="n">
        <f aca="false">nio_f</f>
        <v>0.865</v>
      </c>
      <c r="G228" s="15" t="n">
        <f aca="false">nio_f</f>
        <v>0.865</v>
      </c>
    </row>
    <row r="229" customFormat="false" ht="15" hidden="false" customHeight="false" outlineLevel="0" collapsed="false">
      <c r="A229" s="4" t="s">
        <v>317</v>
      </c>
      <c r="B229" s="0" t="s">
        <v>165</v>
      </c>
      <c r="C229" s="19" t="n">
        <f aca="false">a25_ni</f>
        <v>74.98</v>
      </c>
      <c r="D229" s="19" t="n">
        <f aca="false">a26_ni</f>
        <v>110.713671625</v>
      </c>
      <c r="E229" s="19" t="n">
        <f aca="false">E226*E228</f>
        <v>164.710179020968</v>
      </c>
      <c r="F229" s="19" t="n">
        <f aca="false">F226*F228</f>
        <v>191.967175122873</v>
      </c>
      <c r="G229" s="19" t="n">
        <f aca="false">G226*G228</f>
        <v>204.95296647657</v>
      </c>
    </row>
    <row r="230" customFormat="false" ht="15" hidden="false" customHeight="false" outlineLevel="0" collapsed="false">
      <c r="A230" s="4" t="s">
        <v>415</v>
      </c>
      <c r="B230" s="4" t="s">
        <v>186</v>
      </c>
      <c r="C230" s="22" t="n">
        <f aca="false">a25_sh</f>
        <v>3.85501285347044</v>
      </c>
      <c r="D230" s="22" t="n">
        <f aca="false">a26_sh</f>
        <v>3.85460170146945</v>
      </c>
      <c r="E230" s="22" t="n">
        <f aca="false">D230*(1+sh_g)</f>
        <v>3.85460170146945</v>
      </c>
      <c r="F230" s="22" t="n">
        <f aca="false">E230*(1+sh_g)</f>
        <v>3.85460170146945</v>
      </c>
      <c r="G230" s="22" t="n">
        <f aca="false">F230*(1+sh_g)</f>
        <v>3.85460170146945</v>
      </c>
    </row>
    <row r="231" customFormat="false" ht="15" hidden="false" customHeight="false" outlineLevel="0" collapsed="false">
      <c r="A231" s="0" t="s">
        <v>323</v>
      </c>
      <c r="B231" s="0" t="s">
        <v>216</v>
      </c>
      <c r="C231" s="21" t="n">
        <f aca="false">C229/C230</f>
        <v>19.45</v>
      </c>
      <c r="D231" s="21" t="n">
        <f aca="false">D229/D230</f>
        <v>28.7224673778341</v>
      </c>
      <c r="E231" s="21" t="n">
        <f aca="false">E229/E230</f>
        <v>42.7307908254639</v>
      </c>
      <c r="F231" s="21" t="n">
        <f aca="false">F229/F230</f>
        <v>49.8020781368128</v>
      </c>
      <c r="G231" s="21" t="n">
        <f aca="false">G229/G230</f>
        <v>53.1709842805387</v>
      </c>
    </row>
    <row r="232" customFormat="false" ht="17.15" hidden="false" customHeight="false" outlineLevel="0" collapsed="false">
      <c r="A232" s="0" t="s">
        <v>416</v>
      </c>
      <c r="B232" s="0" t="s">
        <v>49</v>
      </c>
      <c r="D232" s="15" t="n">
        <f aca="false">D231/C231-1</f>
        <v>0.476733541276816</v>
      </c>
      <c r="E232" s="15" t="n">
        <f aca="false">E231/D231-1</f>
        <v>0.487713094538683</v>
      </c>
      <c r="F232" s="15" t="n">
        <f aca="false">F231/E231-1</f>
        <v>0.165484587922371</v>
      </c>
      <c r="G232" s="15" t="n">
        <f aca="false">G231/F231-1</f>
        <v>0.0676458949056507</v>
      </c>
    </row>
    <row r="235" customFormat="false" ht="17.15" hidden="false" customHeight="false" outlineLevel="0" collapsed="false">
      <c r="A235" s="1" t="s">
        <v>716</v>
      </c>
    </row>
    <row r="236" customFormat="false" ht="17.15" hidden="false" customHeight="false" outlineLevel="0" collapsed="false">
      <c r="A236" s="5" t="s">
        <v>18</v>
      </c>
      <c r="B236" s="5" t="s">
        <v>19</v>
      </c>
      <c r="C236" s="11" t="s">
        <v>296</v>
      </c>
      <c r="D236" s="11" t="s">
        <v>372</v>
      </c>
      <c r="E236" s="11" t="s">
        <v>373</v>
      </c>
      <c r="F236" s="11" t="s">
        <v>374</v>
      </c>
      <c r="G236" s="11" t="s">
        <v>375</v>
      </c>
      <c r="H236" s="5" t="s">
        <v>345</v>
      </c>
    </row>
    <row r="237" customFormat="false" ht="17.15" hidden="false" customHeight="false" outlineLevel="0" collapsed="false">
      <c r="A237" s="6" t="s">
        <v>389</v>
      </c>
    </row>
    <row r="238" customFormat="false" ht="17.15" hidden="false" customHeight="false" outlineLevel="0" collapsed="false">
      <c r="A238" s="0" t="s">
        <v>390</v>
      </c>
      <c r="B238" s="0" t="s">
        <v>29</v>
      </c>
      <c r="D238" s="21" t="n">
        <f aca="false">itc_26*1</f>
        <v>781.872916666667</v>
      </c>
      <c r="E238" s="21" t="n">
        <f aca="false">itc_27*1*1</f>
        <v>1565.35</v>
      </c>
      <c r="F238" s="21" t="n">
        <f aca="false">itc_28*um28_A*1</f>
        <v>1984.26388888889</v>
      </c>
      <c r="G238" s="21" t="n">
        <f aca="false">itc_29*um29_A*1</f>
        <v>2260.39027777778</v>
      </c>
    </row>
    <row r="239" customFormat="false" ht="17.15" hidden="false" customHeight="false" outlineLevel="0" collapsed="false">
      <c r="A239" s="4" t="s">
        <v>391</v>
      </c>
      <c r="B239" s="0" t="s">
        <v>29</v>
      </c>
      <c r="D239" s="21" t="n">
        <f aca="false">itpg_gb*(1-vr26)+itpg_vr*vr26</f>
        <v>33.41403216</v>
      </c>
      <c r="E239" s="21" t="n">
        <f aca="false">itpg_vr</f>
        <v>37.586352</v>
      </c>
      <c r="F239" s="21" t="n">
        <f aca="false">itpg_vr</f>
        <v>37.586352</v>
      </c>
      <c r="G239" s="21" t="n">
        <f aca="false">itpg_vr</f>
        <v>37.586352</v>
      </c>
    </row>
    <row r="240" customFormat="false" ht="17.15" hidden="false" customHeight="false" outlineLevel="0" collapsed="false">
      <c r="A240" s="4" t="s">
        <v>392</v>
      </c>
      <c r="B240" s="0" t="s">
        <v>347</v>
      </c>
      <c r="D240" s="18" t="n">
        <f aca="false">D238/D239</f>
        <v>23.3995380420639</v>
      </c>
      <c r="E240" s="18" t="n">
        <f aca="false">E238/E239</f>
        <v>41.6467658260637</v>
      </c>
      <c r="F240" s="18" t="n">
        <f aca="false">F238/F239</f>
        <v>52.792138191248</v>
      </c>
      <c r="G240" s="18" t="n">
        <f aca="false">G238/G239</f>
        <v>60.1385917361116</v>
      </c>
    </row>
    <row r="241" customFormat="false" ht="17.15" hidden="false" customHeight="false" outlineLevel="0" collapsed="false">
      <c r="A241" s="4" t="s">
        <v>349</v>
      </c>
      <c r="B241" s="0" t="s">
        <v>350</v>
      </c>
      <c r="D241" s="16" t="n">
        <f aca="false">(racks_gb*odm_gb*(1-vr26)+racks_vr*odm_vr*vr26)/1000</f>
        <v>27.1209</v>
      </c>
      <c r="E241" s="16" t="n">
        <f aca="false">racks_vr*odm_vr/1000</f>
        <v>27.351</v>
      </c>
      <c r="F241" s="16" t="n">
        <f aca="false">$E241*vpg_28</f>
        <v>27.351</v>
      </c>
      <c r="G241" s="16" t="n">
        <f aca="false">$E241*vpg_29</f>
        <v>27.351</v>
      </c>
      <c r="H241" s="4" t="s">
        <v>393</v>
      </c>
    </row>
    <row r="242" customFormat="false" ht="17.15" hidden="false" customHeight="false" outlineLevel="0" collapsed="false">
      <c r="A242" s="0" t="s">
        <v>394</v>
      </c>
      <c r="B242" s="0" t="s">
        <v>29</v>
      </c>
      <c r="D242" s="19" t="n">
        <f aca="false">D240*D241</f>
        <v>634.616531285011</v>
      </c>
      <c r="E242" s="19" t="n">
        <f aca="false">E240*E241</f>
        <v>1139.08069210867</v>
      </c>
      <c r="F242" s="19" t="n">
        <f aca="false">F240*F241</f>
        <v>1443.91777166882</v>
      </c>
      <c r="G242" s="19" t="n">
        <f aca="false">G240*G241</f>
        <v>1644.85062257439</v>
      </c>
    </row>
    <row r="243" customFormat="false" ht="17.15" hidden="false" customHeight="false" outlineLevel="0" collapsed="false">
      <c r="A243" s="0" t="s">
        <v>395</v>
      </c>
      <c r="B243" s="0" t="s">
        <v>165</v>
      </c>
      <c r="D243" s="19" t="n">
        <f aca="false">D242*fx</f>
        <v>20307.7290011204</v>
      </c>
      <c r="E243" s="19" t="n">
        <f aca="false">E242*fx</f>
        <v>36450.5821474774</v>
      </c>
      <c r="F243" s="19" t="n">
        <f aca="false">F242*fx</f>
        <v>46205.3686934024</v>
      </c>
      <c r="G243" s="19" t="n">
        <f aca="false">G242*fx</f>
        <v>52635.2199223804</v>
      </c>
    </row>
    <row r="244" customFormat="false" ht="17.15" hidden="false" customHeight="false" outlineLevel="0" collapsed="false">
      <c r="A244" s="4" t="s">
        <v>396</v>
      </c>
      <c r="B244" s="0" t="s">
        <v>49</v>
      </c>
      <c r="D244" s="15" t="n">
        <f aca="false">a26_ai/D243</f>
        <v>0.133896123975753</v>
      </c>
      <c r="H244" s="8" t="s">
        <v>397</v>
      </c>
    </row>
    <row r="245" customFormat="false" ht="17.15" hidden="false" customHeight="false" outlineLevel="0" collapsed="false">
      <c r="A245" s="4" t="s">
        <v>398</v>
      </c>
      <c r="B245" s="0" t="s">
        <v>69</v>
      </c>
      <c r="D245" s="16" t="n">
        <f aca="false">1</f>
        <v>1</v>
      </c>
      <c r="E245" s="16" t="n">
        <f aca="false">rel_27</f>
        <v>1</v>
      </c>
      <c r="F245" s="16" t="n">
        <f aca="false">rel_28</f>
        <v>0.95</v>
      </c>
      <c r="G245" s="16" t="n">
        <f aca="false">rel_29</f>
        <v>0.9</v>
      </c>
    </row>
    <row r="246" customFormat="false" ht="15" hidden="false" customHeight="false" outlineLevel="0" collapsed="false">
      <c r="A246" s="4" t="s">
        <v>354</v>
      </c>
      <c r="B246" s="0" t="s">
        <v>49</v>
      </c>
      <c r="D246" s="15" t="n">
        <f aca="false">$D$244*D245</f>
        <v>0.133896123975753</v>
      </c>
      <c r="E246" s="15" t="n">
        <f aca="false">$D$244*E245</f>
        <v>0.133896123975753</v>
      </c>
      <c r="F246" s="15" t="n">
        <f aca="false">$D$244*F245</f>
        <v>0.127201317776965</v>
      </c>
      <c r="G246" s="15" t="n">
        <f aca="false">$D$244*G245</f>
        <v>0.120506511578177</v>
      </c>
    </row>
    <row r="247" customFormat="false" ht="17.15" hidden="false" customHeight="false" outlineLevel="0" collapsed="false">
      <c r="A247" s="0" t="s">
        <v>399</v>
      </c>
      <c r="B247" s="0" t="s">
        <v>165</v>
      </c>
      <c r="D247" s="19" t="n">
        <f aca="false">D243*D246</f>
        <v>2719.1262</v>
      </c>
      <c r="E247" s="19" t="n">
        <f aca="false">E243*E246</f>
        <v>4880.59166620699</v>
      </c>
      <c r="F247" s="19" t="n">
        <f aca="false">F243*F246</f>
        <v>5877.38378617131</v>
      </c>
      <c r="G247" s="19" t="n">
        <f aca="false">G243*G246</f>
        <v>6342.88673899625</v>
      </c>
    </row>
    <row r="248" customFormat="false" ht="17.15" hidden="false" customHeight="false" outlineLevel="0" collapsed="false">
      <c r="A248" s="4" t="s">
        <v>358</v>
      </c>
      <c r="B248" s="0" t="s">
        <v>49</v>
      </c>
      <c r="D248" s="15" t="n">
        <f aca="false">0</f>
        <v>0</v>
      </c>
      <c r="E248" s="15" t="n">
        <f aca="false">cs_27</f>
        <v>0.1</v>
      </c>
      <c r="F248" s="15" t="n">
        <f aca="false">cs_28</f>
        <v>0.2</v>
      </c>
      <c r="G248" s="15" t="n">
        <f aca="false">cs_29</f>
        <v>0.25</v>
      </c>
      <c r="H248" s="8" t="s">
        <v>400</v>
      </c>
    </row>
    <row r="249" customFormat="false" ht="17.15" hidden="false" customHeight="false" outlineLevel="0" collapsed="false">
      <c r="A249" s="0" t="s">
        <v>401</v>
      </c>
      <c r="B249" s="0" t="s">
        <v>165</v>
      </c>
      <c r="C249" s="19" t="n">
        <f aca="false">a25_ai</f>
        <v>905.033</v>
      </c>
      <c r="D249" s="19" t="n">
        <f aca="false">D247*(1-D248)</f>
        <v>2719.1262</v>
      </c>
      <c r="E249" s="19" t="n">
        <f aca="false">E247*(1-E248)</f>
        <v>4392.53249958629</v>
      </c>
      <c r="F249" s="19" t="n">
        <f aca="false">F247*(1-F248)</f>
        <v>4701.90702893704</v>
      </c>
      <c r="G249" s="19" t="n">
        <f aca="false">G247*(1-G248)</f>
        <v>4757.16505424718</v>
      </c>
    </row>
    <row r="250" customFormat="false" ht="17.15" hidden="false" customHeight="false" outlineLevel="0" collapsed="false">
      <c r="A250" s="6" t="s">
        <v>402</v>
      </c>
    </row>
    <row r="251" customFormat="false" ht="17.15" hidden="false" customHeight="false" outlineLevel="0" collapsed="false">
      <c r="A251" s="4" t="s">
        <v>331</v>
      </c>
      <c r="B251" s="0" t="s">
        <v>165</v>
      </c>
      <c r="C251" s="19" t="n">
        <f aca="false">a25_nai</f>
        <v>1218.656</v>
      </c>
      <c r="D251" s="19" t="n">
        <f aca="false">a26_nai</f>
        <v>1279.5888</v>
      </c>
      <c r="E251" s="19" t="n">
        <f aca="false">D251*(1+g_nai27)</f>
        <v>1317.976464</v>
      </c>
      <c r="F251" s="19" t="n">
        <f aca="false">E251*(1+g_nai28)</f>
        <v>1344.33599328</v>
      </c>
      <c r="G251" s="19" t="n">
        <f aca="false">F251*(1+g_nai29)</f>
        <v>1371.2227131456</v>
      </c>
    </row>
    <row r="252" customFormat="false" ht="15" hidden="false" customHeight="false" outlineLevel="0" collapsed="false">
      <c r="A252" s="4" t="s">
        <v>302</v>
      </c>
      <c r="B252" s="0" t="s">
        <v>165</v>
      </c>
      <c r="C252" s="19" t="n">
        <f aca="false">C249+C251</f>
        <v>2123.689</v>
      </c>
      <c r="D252" s="19" t="n">
        <f aca="false">D249+D251</f>
        <v>3998.715</v>
      </c>
      <c r="E252" s="19" t="n">
        <f aca="false">E249+E251</f>
        <v>5710.50896358629</v>
      </c>
      <c r="F252" s="19" t="n">
        <f aca="false">F249+F251</f>
        <v>6046.24302221704</v>
      </c>
      <c r="G252" s="19" t="n">
        <f aca="false">G249+G251</f>
        <v>6128.38776739279</v>
      </c>
    </row>
    <row r="253" customFormat="false" ht="15" hidden="false" customHeight="false" outlineLevel="0" collapsed="false">
      <c r="A253" s="4" t="s">
        <v>403</v>
      </c>
      <c r="B253" s="0" t="s">
        <v>49</v>
      </c>
      <c r="D253" s="15" t="n">
        <f aca="false">D252/C252-1</f>
        <v>0.88290987993063</v>
      </c>
      <c r="E253" s="15" t="n">
        <f aca="false">E252/D252-1</f>
        <v>0.428086013528418</v>
      </c>
      <c r="F253" s="15" t="n">
        <f aca="false">F252/E252-1</f>
        <v>0.0587923179477703</v>
      </c>
      <c r="G253" s="15" t="n">
        <f aca="false">G252/F252-1</f>
        <v>0.0135860806245958</v>
      </c>
    </row>
    <row r="254" customFormat="false" ht="17.15" hidden="false" customHeight="false" outlineLevel="0" collapsed="false">
      <c r="A254" s="0" t="s">
        <v>404</v>
      </c>
      <c r="B254" s="0" t="s">
        <v>49</v>
      </c>
      <c r="C254" s="15" t="n">
        <f aca="false">C249/C252</f>
        <v>0.426160798497332</v>
      </c>
      <c r="D254" s="15" t="n">
        <f aca="false">D249/D252</f>
        <v>0.68</v>
      </c>
      <c r="E254" s="15" t="n">
        <f aca="false">E249/E252</f>
        <v>0.769201576881461</v>
      </c>
      <c r="F254" s="15" t="n">
        <f aca="false">F249/F252</f>
        <v>0.777657631633361</v>
      </c>
      <c r="G254" s="15" t="n">
        <f aca="false">G249/G252</f>
        <v>0.776250660827723</v>
      </c>
    </row>
    <row r="255" customFormat="false" ht="17.15" hidden="false" customHeight="false" outlineLevel="0" collapsed="false">
      <c r="A255" s="4" t="s">
        <v>364</v>
      </c>
      <c r="B255" s="0" t="s">
        <v>350</v>
      </c>
      <c r="D255" s="16" t="n">
        <f aca="false">D249/fx/D240</f>
        <v>3.63138338873399</v>
      </c>
      <c r="E255" s="16" t="n">
        <f aca="false">E249/fx/E240</f>
        <v>3.29597359817473</v>
      </c>
      <c r="F255" s="16" t="n">
        <f aca="false">F249/fx/F240</f>
        <v>2.78326659401422</v>
      </c>
      <c r="G255" s="16" t="n">
        <f aca="false">G249/fx/G240</f>
        <v>2.47198019863105</v>
      </c>
    </row>
    <row r="256" customFormat="false" ht="17.15" hidden="false" customHeight="false" outlineLevel="0" collapsed="false">
      <c r="A256" s="4" t="s">
        <v>405</v>
      </c>
      <c r="B256" s="4" t="s">
        <v>362</v>
      </c>
      <c r="D256" s="19" t="n">
        <f aca="false">D247/fx/(odm_gb*(1-vr26)+odm_vr*vr26)</f>
        <v>18.4522679153094</v>
      </c>
      <c r="E256" s="19" t="n">
        <f aca="false">E247/fx/odm_vr</f>
        <v>22.5953317879953</v>
      </c>
      <c r="F256" s="19" t="n">
        <f aca="false">F247/fx/odm_vr</f>
        <v>27.2101101211634</v>
      </c>
      <c r="G256" s="19" t="n">
        <f aca="false">G247/fx/odm_vr</f>
        <v>29.3652163842419</v>
      </c>
      <c r="H256" s="4" t="s">
        <v>406</v>
      </c>
    </row>
    <row r="257" customFormat="false" ht="17.15" hidden="false" customHeight="false" outlineLevel="0" collapsed="false">
      <c r="A257" s="6" t="s">
        <v>407</v>
      </c>
    </row>
    <row r="258" customFormat="false" ht="17.15" hidden="false" customHeight="false" outlineLevel="0" collapsed="false">
      <c r="A258" s="4" t="s">
        <v>408</v>
      </c>
      <c r="B258" s="0" t="s">
        <v>49</v>
      </c>
      <c r="D258" s="14" t="n">
        <f aca="false">a26_gp/D252-d_ai*D254</f>
        <v>0.0632307213692399</v>
      </c>
      <c r="H258" s="8" t="s">
        <v>409</v>
      </c>
    </row>
    <row r="259" customFormat="false" ht="17.15" hidden="false" customHeight="false" outlineLevel="0" collapsed="false">
      <c r="A259" s="0" t="s">
        <v>410</v>
      </c>
      <c r="B259" s="0" t="s">
        <v>165</v>
      </c>
      <c r="D259" s="21" t="n">
        <f aca="false">($D$258+d_ai)*D247*(1-D248*(1-keep_hi))</f>
        <v>117.54978712</v>
      </c>
      <c r="E259" s="21" t="n">
        <f aca="false">($D$258+d_ai+vrd)*E247*(1-E248*(1-keep_hi))</f>
        <v>196.349723440207</v>
      </c>
      <c r="F259" s="21" t="n">
        <f aca="false">($D$258+d_ai+vrd)*F247*(1-F248*(1-keep_hi))</f>
        <v>236.451389481546</v>
      </c>
      <c r="G259" s="21" t="n">
        <f aca="false">($D$258+d_ai+vrd)*G247*(1-G248*(1-keep_hi))</f>
        <v>255.178909073205</v>
      </c>
      <c r="H259" s="4" t="s">
        <v>411</v>
      </c>
    </row>
    <row r="260" customFormat="false" ht="15" hidden="false" customHeight="false" outlineLevel="0" collapsed="false">
      <c r="A260" s="4" t="s">
        <v>306</v>
      </c>
      <c r="B260" s="0" t="s">
        <v>165</v>
      </c>
      <c r="C260" s="19" t="n">
        <f aca="false">a25_gp</f>
        <v>148.2334922</v>
      </c>
      <c r="D260" s="19" t="n">
        <f aca="false">a26_gp</f>
        <v>198.45911</v>
      </c>
      <c r="E260" s="19" t="n">
        <f aca="false">$D$258*E251+E259</f>
        <v>279.686326006607</v>
      </c>
      <c r="F260" s="19" t="n">
        <f aca="false">$D$258*F251+F259</f>
        <v>321.454724099274</v>
      </c>
      <c r="G260" s="19" t="n">
        <f aca="false">$D$258*G251+G259</f>
        <v>341.882310383287</v>
      </c>
    </row>
    <row r="261" customFormat="false" ht="15" hidden="false" customHeight="false" outlineLevel="0" collapsed="false">
      <c r="A261" s="4" t="s">
        <v>309</v>
      </c>
      <c r="B261" s="0" t="s">
        <v>49</v>
      </c>
      <c r="C261" s="14" t="n">
        <f aca="false">C260/C252</f>
        <v>0.0698</v>
      </c>
      <c r="D261" s="14" t="n">
        <f aca="false">D260/D252</f>
        <v>0.0496307213692399</v>
      </c>
      <c r="E261" s="14" t="n">
        <f aca="false">E260/E252</f>
        <v>0.0489774778027772</v>
      </c>
      <c r="F261" s="14" t="n">
        <f aca="false">F260/F252</f>
        <v>0.0531660277163988</v>
      </c>
      <c r="G261" s="14" t="n">
        <f aca="false">G260/G252</f>
        <v>0.0557866641863517</v>
      </c>
    </row>
    <row r="262" customFormat="false" ht="17.15" hidden="false" customHeight="false" outlineLevel="0" collapsed="false">
      <c r="A262" s="0" t="s">
        <v>412</v>
      </c>
      <c r="B262" s="0" t="s">
        <v>49</v>
      </c>
      <c r="D262" s="14" t="n">
        <f aca="false">D259/D249</f>
        <v>0.0432307213692399</v>
      </c>
      <c r="E262" s="14" t="n">
        <f aca="false">E259/E249</f>
        <v>0.0447008015213776</v>
      </c>
      <c r="F262" s="14" t="n">
        <f aca="false">F259/F249</f>
        <v>0.0502884017115498</v>
      </c>
      <c r="G262" s="14" t="n">
        <f aca="false">G259/G249</f>
        <v>0.0536409618256532</v>
      </c>
      <c r="H262" s="4" t="s">
        <v>413</v>
      </c>
    </row>
    <row r="263" customFormat="false" ht="15" hidden="false" customHeight="false" outlineLevel="0" collapsed="false">
      <c r="A263" s="4" t="s">
        <v>414</v>
      </c>
      <c r="B263" s="0" t="s">
        <v>165</v>
      </c>
      <c r="C263" s="19" t="n">
        <f aca="false">a25_opx</f>
        <v>60.7375054</v>
      </c>
      <c r="D263" s="19" t="n">
        <f aca="false">a26_opx</f>
        <v>71.1893725</v>
      </c>
      <c r="E263" s="19" t="n">
        <f aca="false">D263*(1+MAX(0,phi*E253))</f>
        <v>83.3794423716458</v>
      </c>
      <c r="F263" s="19" t="n">
        <f aca="false">E263*(1+MAX(0,phi*F253))</f>
        <v>85.3402706461345</v>
      </c>
      <c r="G263" s="19" t="n">
        <f aca="false">F263*(1+MAX(0,phi*G253))</f>
        <v>85.8040465651437</v>
      </c>
    </row>
    <row r="264" customFormat="false" ht="15" hidden="false" customHeight="false" outlineLevel="0" collapsed="false">
      <c r="A264" s="4" t="s">
        <v>310</v>
      </c>
      <c r="B264" s="0" t="s">
        <v>165</v>
      </c>
      <c r="C264" s="19" t="n">
        <f aca="false">C263</f>
        <v>60.7375054</v>
      </c>
      <c r="D264" s="19" t="n">
        <f aca="false">D263</f>
        <v>71.1893725</v>
      </c>
      <c r="E264" s="19" t="n">
        <f aca="false">E263+0*E252</f>
        <v>83.3794423716458</v>
      </c>
      <c r="F264" s="19" t="n">
        <f aca="false">F263+0*F252</f>
        <v>85.3402706461345</v>
      </c>
      <c r="G264" s="19" t="n">
        <f aca="false">G263+0*G252</f>
        <v>85.8040465651437</v>
      </c>
    </row>
    <row r="265" customFormat="false" ht="15" hidden="false" customHeight="false" outlineLevel="0" collapsed="false">
      <c r="A265" s="4" t="s">
        <v>313</v>
      </c>
      <c r="B265" s="0" t="s">
        <v>165</v>
      </c>
      <c r="C265" s="19" t="n">
        <f aca="false">C260-C264</f>
        <v>87.4959868</v>
      </c>
      <c r="D265" s="19" t="n">
        <f aca="false">D260-D264</f>
        <v>127.2697375</v>
      </c>
      <c r="E265" s="19" t="n">
        <f aca="false">E260-E264</f>
        <v>196.306883634962</v>
      </c>
      <c r="F265" s="19" t="n">
        <f aca="false">F260-F264</f>
        <v>236.114453453139</v>
      </c>
      <c r="G265" s="19" t="n">
        <f aca="false">G260-G264</f>
        <v>256.078263818143</v>
      </c>
    </row>
    <row r="266" customFormat="false" ht="15" hidden="false" customHeight="false" outlineLevel="0" collapsed="false">
      <c r="A266" s="4" t="s">
        <v>316</v>
      </c>
      <c r="B266" s="0" t="s">
        <v>49</v>
      </c>
      <c r="C266" s="14" t="n">
        <f aca="false">C265/C252</f>
        <v>0.0412</v>
      </c>
      <c r="D266" s="14" t="n">
        <f aca="false">D265/D252</f>
        <v>0.0318276590104571</v>
      </c>
      <c r="E266" s="14" t="n">
        <f aca="false">E265/E252</f>
        <v>0.0343764250939338</v>
      </c>
      <c r="F266" s="14" t="n">
        <f aca="false">F265/F252</f>
        <v>0.0390514328626111</v>
      </c>
      <c r="G266" s="14" t="n">
        <f aca="false">G265/G252</f>
        <v>0.0417855843229528</v>
      </c>
    </row>
    <row r="267" customFormat="false" ht="17.15" hidden="false" customHeight="false" outlineLevel="0" collapsed="false">
      <c r="A267" s="4" t="s">
        <v>199</v>
      </c>
      <c r="B267" s="0" t="s">
        <v>49</v>
      </c>
      <c r="C267" s="15" t="n">
        <f aca="false">a25_ni/a25_oi</f>
        <v>0.856953590013114</v>
      </c>
      <c r="D267" s="15" t="n">
        <f aca="false">a26_ni/a26_oi</f>
        <v>0.869913569398224</v>
      </c>
      <c r="E267" s="15" t="n">
        <f aca="false">nio_f</f>
        <v>0.865</v>
      </c>
      <c r="F267" s="15" t="n">
        <f aca="false">nio_f</f>
        <v>0.865</v>
      </c>
      <c r="G267" s="15" t="n">
        <f aca="false">nio_f</f>
        <v>0.865</v>
      </c>
    </row>
    <row r="268" customFormat="false" ht="15" hidden="false" customHeight="false" outlineLevel="0" collapsed="false">
      <c r="A268" s="4" t="s">
        <v>317</v>
      </c>
      <c r="B268" s="0" t="s">
        <v>165</v>
      </c>
      <c r="C268" s="19" t="n">
        <f aca="false">a25_ni</f>
        <v>74.98</v>
      </c>
      <c r="D268" s="19" t="n">
        <f aca="false">a26_ni</f>
        <v>110.713671625</v>
      </c>
      <c r="E268" s="19" t="n">
        <f aca="false">E265*E267</f>
        <v>169.805454344242</v>
      </c>
      <c r="F268" s="19" t="n">
        <f aca="false">F265*F267</f>
        <v>204.239002236966</v>
      </c>
      <c r="G268" s="19" t="n">
        <f aca="false">G265*G267</f>
        <v>221.507698202694</v>
      </c>
    </row>
    <row r="269" customFormat="false" ht="15" hidden="false" customHeight="false" outlineLevel="0" collapsed="false">
      <c r="A269" s="4" t="s">
        <v>415</v>
      </c>
      <c r="B269" s="4" t="s">
        <v>186</v>
      </c>
      <c r="C269" s="22" t="n">
        <f aca="false">a25_sh</f>
        <v>3.85501285347044</v>
      </c>
      <c r="D269" s="22" t="n">
        <f aca="false">a26_sh</f>
        <v>3.85460170146945</v>
      </c>
      <c r="E269" s="22" t="n">
        <f aca="false">D269*(1+sh_g)</f>
        <v>3.85460170146945</v>
      </c>
      <c r="F269" s="22" t="n">
        <f aca="false">E269*(1+sh_g)</f>
        <v>3.85460170146945</v>
      </c>
      <c r="G269" s="22" t="n">
        <f aca="false">F269*(1+sh_g)</f>
        <v>3.85460170146945</v>
      </c>
    </row>
    <row r="270" customFormat="false" ht="15" hidden="false" customHeight="false" outlineLevel="0" collapsed="false">
      <c r="A270" s="0" t="s">
        <v>323</v>
      </c>
      <c r="B270" s="0" t="s">
        <v>216</v>
      </c>
      <c r="C270" s="21" t="n">
        <f aca="false">C268/C269</f>
        <v>19.45</v>
      </c>
      <c r="D270" s="21" t="n">
        <f aca="false">D268/D269</f>
        <v>28.7224673778341</v>
      </c>
      <c r="E270" s="21" t="n">
        <f aca="false">E268/E269</f>
        <v>44.052659002228</v>
      </c>
      <c r="F270" s="21" t="n">
        <f aca="false">F268/F269</f>
        <v>52.9857604117971</v>
      </c>
      <c r="G270" s="21" t="n">
        <f aca="false">G268/G269</f>
        <v>57.4657812552334</v>
      </c>
    </row>
    <row r="271" customFormat="false" ht="17.15" hidden="false" customHeight="false" outlineLevel="0" collapsed="false">
      <c r="A271" s="0" t="s">
        <v>416</v>
      </c>
      <c r="B271" s="0" t="s">
        <v>49</v>
      </c>
      <c r="D271" s="15" t="n">
        <f aca="false">D270/C270-1</f>
        <v>0.476733541276816</v>
      </c>
      <c r="E271" s="15" t="n">
        <f aca="false">E270/D270-1</f>
        <v>0.533735191435006</v>
      </c>
      <c r="F271" s="15" t="n">
        <f aca="false">F270/E270-1</f>
        <v>0.20278234303898</v>
      </c>
      <c r="G271" s="15" t="n">
        <f aca="false">G270/F270-1</f>
        <v>0.084551411711719</v>
      </c>
    </row>
    <row r="274" customFormat="false" ht="17.15" hidden="false" customHeight="false" outlineLevel="0" collapsed="false">
      <c r="A274" s="1" t="s">
        <v>717</v>
      </c>
    </row>
    <row r="275" customFormat="false" ht="17.15" hidden="false" customHeight="false" outlineLevel="0" collapsed="false">
      <c r="A275" s="5" t="s">
        <v>18</v>
      </c>
      <c r="B275" s="5" t="s">
        <v>19</v>
      </c>
      <c r="C275" s="11" t="s">
        <v>296</v>
      </c>
      <c r="D275" s="11" t="s">
        <v>372</v>
      </c>
      <c r="E275" s="11" t="s">
        <v>373</v>
      </c>
      <c r="F275" s="11" t="s">
        <v>374</v>
      </c>
      <c r="G275" s="11" t="s">
        <v>375</v>
      </c>
      <c r="H275" s="5" t="s">
        <v>345</v>
      </c>
    </row>
    <row r="276" customFormat="false" ht="17.15" hidden="false" customHeight="false" outlineLevel="0" collapsed="false">
      <c r="A276" s="6" t="s">
        <v>389</v>
      </c>
    </row>
    <row r="277" customFormat="false" ht="17.15" hidden="false" customHeight="false" outlineLevel="0" collapsed="false">
      <c r="A277" s="0" t="s">
        <v>390</v>
      </c>
      <c r="B277" s="0" t="s">
        <v>29</v>
      </c>
      <c r="D277" s="21" t="n">
        <f aca="false">itc_26*1</f>
        <v>781.872916666667</v>
      </c>
      <c r="E277" s="21" t="n">
        <f aca="false">itc_27*1*1</f>
        <v>1565.35</v>
      </c>
      <c r="F277" s="21" t="n">
        <f aca="false">itc_28*um28_A*1</f>
        <v>1984.26388888889</v>
      </c>
      <c r="G277" s="21" t="n">
        <f aca="false">itc_29*um29_A*1</f>
        <v>2260.39027777778</v>
      </c>
    </row>
    <row r="278" customFormat="false" ht="17.15" hidden="false" customHeight="false" outlineLevel="0" collapsed="false">
      <c r="A278" s="4" t="s">
        <v>391</v>
      </c>
      <c r="B278" s="0" t="s">
        <v>29</v>
      </c>
      <c r="D278" s="21" t="n">
        <f aca="false">itpg_gb*(1-vr26)+itpg_vr*vr26</f>
        <v>33.41403216</v>
      </c>
      <c r="E278" s="21" t="n">
        <f aca="false">itpg_vr</f>
        <v>37.586352</v>
      </c>
      <c r="F278" s="21" t="n">
        <f aca="false">itpg_vr</f>
        <v>37.586352</v>
      </c>
      <c r="G278" s="21" t="n">
        <f aca="false">itpg_vr</f>
        <v>37.586352</v>
      </c>
    </row>
    <row r="279" customFormat="false" ht="17.15" hidden="false" customHeight="false" outlineLevel="0" collapsed="false">
      <c r="A279" s="4" t="s">
        <v>392</v>
      </c>
      <c r="B279" s="0" t="s">
        <v>347</v>
      </c>
      <c r="D279" s="18" t="n">
        <f aca="false">D277/D278</f>
        <v>23.3995380420639</v>
      </c>
      <c r="E279" s="18" t="n">
        <f aca="false">E277/E278</f>
        <v>41.6467658260637</v>
      </c>
      <c r="F279" s="18" t="n">
        <f aca="false">F277/F278</f>
        <v>52.792138191248</v>
      </c>
      <c r="G279" s="18" t="n">
        <f aca="false">G277/G278</f>
        <v>60.1385917361116</v>
      </c>
    </row>
    <row r="280" customFormat="false" ht="17.15" hidden="false" customHeight="false" outlineLevel="0" collapsed="false">
      <c r="A280" s="4" t="s">
        <v>349</v>
      </c>
      <c r="B280" s="0" t="s">
        <v>350</v>
      </c>
      <c r="D280" s="16" t="n">
        <f aca="false">(racks_gb*odm_gb*(1-vr26)+racks_vr*odm_vr*vr26)/1000</f>
        <v>27.1209</v>
      </c>
      <c r="E280" s="16" t="n">
        <f aca="false">racks_vr*odm_vr/1000</f>
        <v>27.351</v>
      </c>
      <c r="F280" s="16" t="n">
        <f aca="false">$E280*VPLO_28</f>
        <v>23.24835</v>
      </c>
      <c r="G280" s="16" t="n">
        <f aca="false">$E280*VPLO_29</f>
        <v>23.24835</v>
      </c>
      <c r="H280" s="4" t="s">
        <v>393</v>
      </c>
    </row>
    <row r="281" customFormat="false" ht="17.15" hidden="false" customHeight="false" outlineLevel="0" collapsed="false">
      <c r="A281" s="0" t="s">
        <v>394</v>
      </c>
      <c r="B281" s="0" t="s">
        <v>29</v>
      </c>
      <c r="D281" s="19" t="n">
        <f aca="false">D279*D280</f>
        <v>634.616531285011</v>
      </c>
      <c r="E281" s="19" t="n">
        <f aca="false">E279*E280</f>
        <v>1139.08069210867</v>
      </c>
      <c r="F281" s="19" t="n">
        <f aca="false">F279*F280</f>
        <v>1227.3301059185</v>
      </c>
      <c r="G281" s="19" t="n">
        <f aca="false">G279*G280</f>
        <v>1398.12302918823</v>
      </c>
    </row>
    <row r="282" customFormat="false" ht="17.15" hidden="false" customHeight="false" outlineLevel="0" collapsed="false">
      <c r="A282" s="0" t="s">
        <v>395</v>
      </c>
      <c r="B282" s="0" t="s">
        <v>165</v>
      </c>
      <c r="D282" s="19" t="n">
        <f aca="false">D281*fx</f>
        <v>20307.7290011204</v>
      </c>
      <c r="E282" s="19" t="n">
        <f aca="false">E281*fx</f>
        <v>36450.5821474774</v>
      </c>
      <c r="F282" s="19" t="n">
        <f aca="false">F281*fx</f>
        <v>39274.563389392</v>
      </c>
      <c r="G282" s="19" t="n">
        <f aca="false">G281*fx</f>
        <v>44739.9369340233</v>
      </c>
    </row>
    <row r="283" customFormat="false" ht="17.15" hidden="false" customHeight="false" outlineLevel="0" collapsed="false">
      <c r="A283" s="4" t="s">
        <v>396</v>
      </c>
      <c r="B283" s="0" t="s">
        <v>49</v>
      </c>
      <c r="D283" s="15" t="n">
        <f aca="false">a26_ai/D282</f>
        <v>0.133896123975753</v>
      </c>
      <c r="H283" s="8" t="s">
        <v>397</v>
      </c>
    </row>
    <row r="284" customFormat="false" ht="17.15" hidden="false" customHeight="false" outlineLevel="0" collapsed="false">
      <c r="A284" s="4" t="s">
        <v>398</v>
      </c>
      <c r="B284" s="0" t="s">
        <v>69</v>
      </c>
      <c r="D284" s="16" t="n">
        <f aca="false">1</f>
        <v>1</v>
      </c>
      <c r="E284" s="16" t="n">
        <f aca="false">rel_27</f>
        <v>1</v>
      </c>
      <c r="F284" s="16" t="n">
        <f aca="false">rel_28</f>
        <v>0.95</v>
      </c>
      <c r="G284" s="16" t="n">
        <f aca="false">rel_29</f>
        <v>0.9</v>
      </c>
    </row>
    <row r="285" customFormat="false" ht="15" hidden="false" customHeight="false" outlineLevel="0" collapsed="false">
      <c r="A285" s="4" t="s">
        <v>354</v>
      </c>
      <c r="B285" s="0" t="s">
        <v>49</v>
      </c>
      <c r="D285" s="15" t="n">
        <f aca="false">$D$283*D284</f>
        <v>0.133896123975753</v>
      </c>
      <c r="E285" s="15" t="n">
        <f aca="false">$D$283*E284</f>
        <v>0.133896123975753</v>
      </c>
      <c r="F285" s="15" t="n">
        <f aca="false">$D$283*F284</f>
        <v>0.127201317776965</v>
      </c>
      <c r="G285" s="15" t="n">
        <f aca="false">$D$283*G284</f>
        <v>0.120506511578177</v>
      </c>
    </row>
    <row r="286" customFormat="false" ht="17.15" hidden="false" customHeight="false" outlineLevel="0" collapsed="false">
      <c r="A286" s="0" t="s">
        <v>399</v>
      </c>
      <c r="B286" s="0" t="s">
        <v>165</v>
      </c>
      <c r="D286" s="19" t="n">
        <f aca="false">D282*D285</f>
        <v>2719.1262</v>
      </c>
      <c r="E286" s="19" t="n">
        <f aca="false">E282*E285</f>
        <v>4880.59166620699</v>
      </c>
      <c r="F286" s="19" t="n">
        <f aca="false">F282*F285</f>
        <v>4995.77621824561</v>
      </c>
      <c r="G286" s="19" t="n">
        <f aca="false">G282*G285</f>
        <v>5391.45372814681</v>
      </c>
    </row>
    <row r="287" customFormat="false" ht="17.15" hidden="false" customHeight="false" outlineLevel="0" collapsed="false">
      <c r="A287" s="4" t="s">
        <v>358</v>
      </c>
      <c r="B287" s="0" t="s">
        <v>49</v>
      </c>
      <c r="D287" s="15" t="n">
        <f aca="false">0</f>
        <v>0</v>
      </c>
      <c r="E287" s="15" t="n">
        <f aca="false">cs_27</f>
        <v>0.1</v>
      </c>
      <c r="F287" s="15" t="n">
        <f aca="false">cs_28</f>
        <v>0.2</v>
      </c>
      <c r="G287" s="15" t="n">
        <f aca="false">cs_29</f>
        <v>0.25</v>
      </c>
      <c r="H287" s="8" t="s">
        <v>400</v>
      </c>
    </row>
    <row r="288" customFormat="false" ht="17.15" hidden="false" customHeight="false" outlineLevel="0" collapsed="false">
      <c r="A288" s="0" t="s">
        <v>401</v>
      </c>
      <c r="B288" s="0" t="s">
        <v>165</v>
      </c>
      <c r="C288" s="19" t="n">
        <f aca="false">a25_ai</f>
        <v>905.033</v>
      </c>
      <c r="D288" s="19" t="n">
        <f aca="false">D286*(1-D287)</f>
        <v>2719.1262</v>
      </c>
      <c r="E288" s="19" t="n">
        <f aca="false">E286*(1-E287)</f>
        <v>4392.53249958629</v>
      </c>
      <c r="F288" s="19" t="n">
        <f aca="false">F286*(1-F287)</f>
        <v>3996.62097459649</v>
      </c>
      <c r="G288" s="19" t="n">
        <f aca="false">G286*(1-G287)</f>
        <v>4043.59029611011</v>
      </c>
    </row>
    <row r="289" customFormat="false" ht="17.15" hidden="false" customHeight="false" outlineLevel="0" collapsed="false">
      <c r="A289" s="6" t="s">
        <v>402</v>
      </c>
    </row>
    <row r="290" customFormat="false" ht="17.15" hidden="false" customHeight="false" outlineLevel="0" collapsed="false">
      <c r="A290" s="4" t="s">
        <v>331</v>
      </c>
      <c r="B290" s="0" t="s">
        <v>165</v>
      </c>
      <c r="C290" s="19" t="n">
        <f aca="false">a25_nai</f>
        <v>1218.656</v>
      </c>
      <c r="D290" s="19" t="n">
        <f aca="false">a26_nai</f>
        <v>1279.5888</v>
      </c>
      <c r="E290" s="19" t="n">
        <f aca="false">D290*(1+g_nai27)</f>
        <v>1317.976464</v>
      </c>
      <c r="F290" s="19" t="n">
        <f aca="false">E290*(1+g_nai28)</f>
        <v>1344.33599328</v>
      </c>
      <c r="G290" s="19" t="n">
        <f aca="false">F290*(1+g_nai29)</f>
        <v>1371.2227131456</v>
      </c>
    </row>
    <row r="291" customFormat="false" ht="15" hidden="false" customHeight="false" outlineLevel="0" collapsed="false">
      <c r="A291" s="4" t="s">
        <v>302</v>
      </c>
      <c r="B291" s="0" t="s">
        <v>165</v>
      </c>
      <c r="C291" s="19" t="n">
        <f aca="false">C288+C290</f>
        <v>2123.689</v>
      </c>
      <c r="D291" s="19" t="n">
        <f aca="false">D288+D290</f>
        <v>3998.715</v>
      </c>
      <c r="E291" s="19" t="n">
        <f aca="false">E288+E290</f>
        <v>5710.50896358629</v>
      </c>
      <c r="F291" s="19" t="n">
        <f aca="false">F288+F290</f>
        <v>5340.95696787649</v>
      </c>
      <c r="G291" s="19" t="n">
        <f aca="false">G288+G290</f>
        <v>5414.81300925571</v>
      </c>
    </row>
    <row r="292" customFormat="false" ht="15" hidden="false" customHeight="false" outlineLevel="0" collapsed="false">
      <c r="A292" s="4" t="s">
        <v>403</v>
      </c>
      <c r="B292" s="0" t="s">
        <v>49</v>
      </c>
      <c r="D292" s="15" t="n">
        <f aca="false">D291/C291-1</f>
        <v>0.88290987993063</v>
      </c>
      <c r="E292" s="15" t="n">
        <f aca="false">E291/D291-1</f>
        <v>0.428086013528418</v>
      </c>
      <c r="F292" s="15" t="n">
        <f aca="false">F291/E291-1</f>
        <v>-0.0647143710072587</v>
      </c>
      <c r="G292" s="15" t="n">
        <f aca="false">G291/F291-1</f>
        <v>0.0138282412353126</v>
      </c>
    </row>
    <row r="293" customFormat="false" ht="17.15" hidden="false" customHeight="false" outlineLevel="0" collapsed="false">
      <c r="A293" s="0" t="s">
        <v>404</v>
      </c>
      <c r="B293" s="0" t="s">
        <v>49</v>
      </c>
      <c r="C293" s="15" t="n">
        <f aca="false">C288/C291</f>
        <v>0.426160798497332</v>
      </c>
      <c r="D293" s="15" t="n">
        <f aca="false">D288/D291</f>
        <v>0.68</v>
      </c>
      <c r="E293" s="15" t="n">
        <f aca="false">E288/E291</f>
        <v>0.769201576881461</v>
      </c>
      <c r="F293" s="15" t="n">
        <f aca="false">F288/F291</f>
        <v>0.748296793745842</v>
      </c>
      <c r="G293" s="15" t="n">
        <f aca="false">G288/G291</f>
        <v>0.746764530778491</v>
      </c>
    </row>
    <row r="294" customFormat="false" ht="17.15" hidden="false" customHeight="false" outlineLevel="0" collapsed="false">
      <c r="A294" s="4" t="s">
        <v>364</v>
      </c>
      <c r="B294" s="0" t="s">
        <v>350</v>
      </c>
      <c r="D294" s="16" t="n">
        <f aca="false">D288/fx/D279</f>
        <v>3.63138338873399</v>
      </c>
      <c r="E294" s="16" t="n">
        <f aca="false">E288/fx/E279</f>
        <v>3.29597359817473</v>
      </c>
      <c r="F294" s="16" t="n">
        <f aca="false">F288/fx/F279</f>
        <v>2.36577660491208</v>
      </c>
      <c r="G294" s="16" t="n">
        <f aca="false">G288/fx/G279</f>
        <v>2.10118316883639</v>
      </c>
    </row>
    <row r="295" customFormat="false" ht="17.15" hidden="false" customHeight="false" outlineLevel="0" collapsed="false">
      <c r="A295" s="4" t="s">
        <v>405</v>
      </c>
      <c r="B295" s="4" t="s">
        <v>362</v>
      </c>
      <c r="D295" s="19" t="n">
        <f aca="false">D286/fx/(odm_gb*(1-vr26)+odm_vr*vr26)</f>
        <v>18.4522679153094</v>
      </c>
      <c r="E295" s="19" t="n">
        <f aca="false">E286/fx/odm_vr</f>
        <v>22.5953317879953</v>
      </c>
      <c r="F295" s="19" t="n">
        <f aca="false">F286/fx/odm_vr</f>
        <v>23.1285936029889</v>
      </c>
      <c r="G295" s="19" t="n">
        <f aca="false">G286/fx/odm_vr</f>
        <v>24.9604339266056</v>
      </c>
      <c r="H295" s="4" t="s">
        <v>406</v>
      </c>
    </row>
    <row r="296" customFormat="false" ht="17.15" hidden="false" customHeight="false" outlineLevel="0" collapsed="false">
      <c r="A296" s="6" t="s">
        <v>407</v>
      </c>
    </row>
    <row r="297" customFormat="false" ht="17.15" hidden="false" customHeight="false" outlineLevel="0" collapsed="false">
      <c r="A297" s="4" t="s">
        <v>408</v>
      </c>
      <c r="B297" s="0" t="s">
        <v>49</v>
      </c>
      <c r="D297" s="14" t="n">
        <f aca="false">a26_gp/D291-d_ai*D293</f>
        <v>0.0632307213692399</v>
      </c>
      <c r="H297" s="8" t="s">
        <v>409</v>
      </c>
    </row>
    <row r="298" customFormat="false" ht="17.15" hidden="false" customHeight="false" outlineLevel="0" collapsed="false">
      <c r="A298" s="0" t="s">
        <v>410</v>
      </c>
      <c r="B298" s="0" t="s">
        <v>165</v>
      </c>
      <c r="D298" s="21" t="n">
        <f aca="false">($D$297+d_ai)*D286*(1-D287*(1-keep))</f>
        <v>117.54978712</v>
      </c>
      <c r="E298" s="21" t="n">
        <f aca="false">($D$297+d_ai+vrd)*E286*(1-E287*(1-keep))</f>
        <v>194.386226205805</v>
      </c>
      <c r="F298" s="21" t="n">
        <f aca="false">($D$297+d_ai+vrd)*F286*(1-F287*(1-keep))</f>
        <v>196.964007438128</v>
      </c>
      <c r="G298" s="21" t="n">
        <f aca="false">($D$297+d_ai+vrd)*G286*(1-G287*(1-keep))</f>
        <v>211.479520894418</v>
      </c>
      <c r="H298" s="4" t="s">
        <v>411</v>
      </c>
    </row>
    <row r="299" customFormat="false" ht="15" hidden="false" customHeight="false" outlineLevel="0" collapsed="false">
      <c r="A299" s="4" t="s">
        <v>306</v>
      </c>
      <c r="B299" s="0" t="s">
        <v>165</v>
      </c>
      <c r="C299" s="19" t="n">
        <f aca="false">a25_gp</f>
        <v>148.2334922</v>
      </c>
      <c r="D299" s="19" t="n">
        <f aca="false">a26_gp</f>
        <v>198.45911</v>
      </c>
      <c r="E299" s="19" t="n">
        <f aca="false">$D$297*E290+E298</f>
        <v>277.722828772205</v>
      </c>
      <c r="F299" s="19" t="n">
        <f aca="false">$D$297*F290+F298</f>
        <v>281.967342055856</v>
      </c>
      <c r="G299" s="19" t="n">
        <f aca="false">$D$297*G290+G298</f>
        <v>298.182922204501</v>
      </c>
    </row>
    <row r="300" customFormat="false" ht="15" hidden="false" customHeight="false" outlineLevel="0" collapsed="false">
      <c r="A300" s="4" t="s">
        <v>309</v>
      </c>
      <c r="B300" s="0" t="s">
        <v>49</v>
      </c>
      <c r="C300" s="14" t="n">
        <f aca="false">C299/C291</f>
        <v>0.0698</v>
      </c>
      <c r="D300" s="14" t="n">
        <f aca="false">D299/D291</f>
        <v>0.0496307213692399</v>
      </c>
      <c r="E300" s="14" t="n">
        <f aca="false">E299/E291</f>
        <v>0.0486336385325961</v>
      </c>
      <c r="F300" s="14" t="n">
        <f aca="false">F299/F291</f>
        <v>0.0527934120704895</v>
      </c>
      <c r="G300" s="14" t="n">
        <f aca="false">G299/G291</f>
        <v>0.0550679998911888</v>
      </c>
    </row>
    <row r="301" customFormat="false" ht="17.15" hidden="false" customHeight="false" outlineLevel="0" collapsed="false">
      <c r="A301" s="0" t="s">
        <v>412</v>
      </c>
      <c r="B301" s="0" t="s">
        <v>49</v>
      </c>
      <c r="D301" s="14" t="n">
        <f aca="false">D298/D288</f>
        <v>0.0432307213692399</v>
      </c>
      <c r="E301" s="14" t="n">
        <f aca="false">E298/E288</f>
        <v>0.0442537935061639</v>
      </c>
      <c r="F301" s="14" t="n">
        <f aca="false">F298/F288</f>
        <v>0.0492826336773188</v>
      </c>
      <c r="G301" s="14" t="n">
        <f aca="false">G298/G288</f>
        <v>0.0522999377800118</v>
      </c>
      <c r="H301" s="4" t="s">
        <v>413</v>
      </c>
    </row>
    <row r="302" customFormat="false" ht="15" hidden="false" customHeight="false" outlineLevel="0" collapsed="false">
      <c r="A302" s="4" t="s">
        <v>414</v>
      </c>
      <c r="B302" s="0" t="s">
        <v>165</v>
      </c>
      <c r="C302" s="19" t="n">
        <f aca="false">a25_opx</f>
        <v>60.7375054</v>
      </c>
      <c r="D302" s="19" t="n">
        <f aca="false">a26_opx</f>
        <v>71.1893725</v>
      </c>
      <c r="E302" s="19" t="n">
        <f aca="false">D302*(1+MAX(0,phi*E292))</f>
        <v>83.3794423716458</v>
      </c>
      <c r="F302" s="19" t="n">
        <f aca="false">E302*(1+MAX(0,phi*F292))</f>
        <v>83.3794423716458</v>
      </c>
      <c r="G302" s="19" t="n">
        <f aca="false">F302*(1+MAX(0,phi*G292))</f>
        <v>83.8406387889182</v>
      </c>
    </row>
    <row r="303" customFormat="false" ht="15" hidden="false" customHeight="false" outlineLevel="0" collapsed="false">
      <c r="A303" s="4" t="s">
        <v>310</v>
      </c>
      <c r="B303" s="0" t="s">
        <v>165</v>
      </c>
      <c r="C303" s="19" t="n">
        <f aca="false">C302</f>
        <v>60.7375054</v>
      </c>
      <c r="D303" s="19" t="n">
        <f aca="false">D302</f>
        <v>71.1893725</v>
      </c>
      <c r="E303" s="19" t="n">
        <f aca="false">E302+0*E291</f>
        <v>83.3794423716458</v>
      </c>
      <c r="F303" s="19" t="n">
        <f aca="false">F302+0*F291</f>
        <v>83.3794423716458</v>
      </c>
      <c r="G303" s="19" t="n">
        <f aca="false">G302+0*G291</f>
        <v>83.8406387889182</v>
      </c>
    </row>
    <row r="304" customFormat="false" ht="15" hidden="false" customHeight="false" outlineLevel="0" collapsed="false">
      <c r="A304" s="4" t="s">
        <v>313</v>
      </c>
      <c r="B304" s="0" t="s">
        <v>165</v>
      </c>
      <c r="C304" s="19" t="n">
        <f aca="false">C299-C303</f>
        <v>87.4959868</v>
      </c>
      <c r="D304" s="19" t="n">
        <f aca="false">D299-D303</f>
        <v>127.2697375</v>
      </c>
      <c r="E304" s="19" t="n">
        <f aca="false">E299-E303</f>
        <v>194.34338640056</v>
      </c>
      <c r="F304" s="19" t="n">
        <f aca="false">F299-F303</f>
        <v>198.58789968421</v>
      </c>
      <c r="G304" s="19" t="n">
        <f aca="false">G299-G303</f>
        <v>214.342283415583</v>
      </c>
    </row>
    <row r="305" customFormat="false" ht="15" hidden="false" customHeight="false" outlineLevel="0" collapsed="false">
      <c r="A305" s="4" t="s">
        <v>316</v>
      </c>
      <c r="B305" s="0" t="s">
        <v>49</v>
      </c>
      <c r="C305" s="14" t="n">
        <f aca="false">C304/C291</f>
        <v>0.0412</v>
      </c>
      <c r="D305" s="14" t="n">
        <f aca="false">D304/D291</f>
        <v>0.0318276590104571</v>
      </c>
      <c r="E305" s="14" t="n">
        <f aca="false">E304/E291</f>
        <v>0.0340325858237527</v>
      </c>
      <c r="F305" s="14" t="n">
        <f aca="false">F304/F291</f>
        <v>0.037182081952472</v>
      </c>
      <c r="G305" s="14" t="n">
        <f aca="false">G304/G291</f>
        <v>0.0395844294252083</v>
      </c>
    </row>
    <row r="306" customFormat="false" ht="17.15" hidden="false" customHeight="false" outlineLevel="0" collapsed="false">
      <c r="A306" s="4" t="s">
        <v>199</v>
      </c>
      <c r="B306" s="0" t="s">
        <v>49</v>
      </c>
      <c r="C306" s="15" t="n">
        <f aca="false">a25_ni/a25_oi</f>
        <v>0.856953590013114</v>
      </c>
      <c r="D306" s="15" t="n">
        <f aca="false">a26_ni/a26_oi</f>
        <v>0.869913569398224</v>
      </c>
      <c r="E306" s="15" t="n">
        <f aca="false">nio_f</f>
        <v>0.865</v>
      </c>
      <c r="F306" s="15" t="n">
        <f aca="false">nio_f</f>
        <v>0.865</v>
      </c>
      <c r="G306" s="15" t="n">
        <f aca="false">nio_f</f>
        <v>0.865</v>
      </c>
    </row>
    <row r="307" customFormat="false" ht="15" hidden="false" customHeight="false" outlineLevel="0" collapsed="false">
      <c r="A307" s="4" t="s">
        <v>317</v>
      </c>
      <c r="B307" s="0" t="s">
        <v>165</v>
      </c>
      <c r="C307" s="19" t="n">
        <f aca="false">a25_ni</f>
        <v>74.98</v>
      </c>
      <c r="D307" s="19" t="n">
        <f aca="false">a26_ni</f>
        <v>110.713671625</v>
      </c>
      <c r="E307" s="19" t="n">
        <f aca="false">E304*E306</f>
        <v>168.107029236484</v>
      </c>
      <c r="F307" s="19" t="n">
        <f aca="false">F304*F306</f>
        <v>171.778533226842</v>
      </c>
      <c r="G307" s="19" t="n">
        <f aca="false">G304*G306</f>
        <v>185.406075154479</v>
      </c>
    </row>
    <row r="308" customFormat="false" ht="15" hidden="false" customHeight="false" outlineLevel="0" collapsed="false">
      <c r="A308" s="4" t="s">
        <v>415</v>
      </c>
      <c r="B308" s="4" t="s">
        <v>186</v>
      </c>
      <c r="C308" s="22" t="n">
        <f aca="false">a25_sh</f>
        <v>3.85501285347044</v>
      </c>
      <c r="D308" s="22" t="n">
        <f aca="false">a26_sh</f>
        <v>3.85460170146945</v>
      </c>
      <c r="E308" s="22" t="n">
        <f aca="false">D308*(1+sh_g)</f>
        <v>3.85460170146945</v>
      </c>
      <c r="F308" s="22" t="n">
        <f aca="false">E308*(1+sh_g)</f>
        <v>3.85460170146945</v>
      </c>
      <c r="G308" s="22" t="n">
        <f aca="false">F308*(1+sh_g)</f>
        <v>3.85460170146945</v>
      </c>
    </row>
    <row r="309" customFormat="false" ht="15" hidden="false" customHeight="false" outlineLevel="0" collapsed="false">
      <c r="A309" s="0" t="s">
        <v>323</v>
      </c>
      <c r="B309" s="0" t="s">
        <v>216</v>
      </c>
      <c r="C309" s="21" t="n">
        <f aca="false">C307/C308</f>
        <v>19.45</v>
      </c>
      <c r="D309" s="21" t="n">
        <f aca="false">D307/D308</f>
        <v>28.7224673778341</v>
      </c>
      <c r="E309" s="21" t="n">
        <f aca="false">E307/E308</f>
        <v>43.61203627664</v>
      </c>
      <c r="F309" s="21" t="n">
        <f aca="false">F307/F308</f>
        <v>44.5645352051176</v>
      </c>
      <c r="G309" s="21" t="n">
        <f aca="false">G307/G308</f>
        <v>48.0999308135516</v>
      </c>
    </row>
    <row r="310" customFormat="false" ht="17.15" hidden="false" customHeight="false" outlineLevel="0" collapsed="false">
      <c r="A310" s="0" t="s">
        <v>416</v>
      </c>
      <c r="B310" s="0" t="s">
        <v>49</v>
      </c>
      <c r="D310" s="15" t="n">
        <f aca="false">D309/C309-1</f>
        <v>0.476733541276816</v>
      </c>
      <c r="E310" s="15" t="n">
        <f aca="false">E309/D309-1</f>
        <v>0.518394492469565</v>
      </c>
      <c r="F310" s="15" t="n">
        <f aca="false">F309/E309-1</f>
        <v>0.0218402764419372</v>
      </c>
      <c r="G310" s="15" t="n">
        <f aca="false">G309/F309-1</f>
        <v>0.0793320426693918</v>
      </c>
    </row>
    <row r="313" customFormat="false" ht="17.15" hidden="false" customHeight="false" outlineLevel="0" collapsed="false">
      <c r="A313" s="1" t="s">
        <v>718</v>
      </c>
    </row>
    <row r="314" customFormat="false" ht="17.15" hidden="false" customHeight="false" outlineLevel="0" collapsed="false">
      <c r="A314" s="5" t="s">
        <v>18</v>
      </c>
      <c r="B314" s="5" t="s">
        <v>19</v>
      </c>
      <c r="C314" s="11" t="s">
        <v>296</v>
      </c>
      <c r="D314" s="11" t="s">
        <v>372</v>
      </c>
      <c r="E314" s="11" t="s">
        <v>373</v>
      </c>
      <c r="F314" s="11" t="s">
        <v>374</v>
      </c>
      <c r="G314" s="11" t="s">
        <v>375</v>
      </c>
      <c r="H314" s="5" t="s">
        <v>345</v>
      </c>
    </row>
    <row r="315" customFormat="false" ht="17.15" hidden="false" customHeight="false" outlineLevel="0" collapsed="false">
      <c r="A315" s="6" t="s">
        <v>389</v>
      </c>
    </row>
    <row r="316" customFormat="false" ht="17.15" hidden="false" customHeight="false" outlineLevel="0" collapsed="false">
      <c r="A316" s="0" t="s">
        <v>390</v>
      </c>
      <c r="B316" s="0" t="s">
        <v>29</v>
      </c>
      <c r="D316" s="21" t="n">
        <f aca="false">itc_26*1</f>
        <v>781.872916666667</v>
      </c>
      <c r="E316" s="21" t="n">
        <f aca="false">itc_27*1*1</f>
        <v>1565.35</v>
      </c>
      <c r="F316" s="21" t="n">
        <f aca="false">itc_28*um28_A*1</f>
        <v>1984.26388888889</v>
      </c>
      <c r="G316" s="21" t="n">
        <f aca="false">itc_29*um29_A*1</f>
        <v>2260.39027777778</v>
      </c>
    </row>
    <row r="317" customFormat="false" ht="17.15" hidden="false" customHeight="false" outlineLevel="0" collapsed="false">
      <c r="A317" s="4" t="s">
        <v>391</v>
      </c>
      <c r="B317" s="0" t="s">
        <v>29</v>
      </c>
      <c r="D317" s="21" t="n">
        <f aca="false">itpg_gb*(1-vr26)+itpg_vr*vr26</f>
        <v>33.41403216</v>
      </c>
      <c r="E317" s="21" t="n">
        <f aca="false">itpg_vr</f>
        <v>37.586352</v>
      </c>
      <c r="F317" s="21" t="n">
        <f aca="false">itpg_vr</f>
        <v>37.586352</v>
      </c>
      <c r="G317" s="21" t="n">
        <f aca="false">itpg_vr</f>
        <v>37.586352</v>
      </c>
    </row>
    <row r="318" customFormat="false" ht="17.15" hidden="false" customHeight="false" outlineLevel="0" collapsed="false">
      <c r="A318" s="4" t="s">
        <v>392</v>
      </c>
      <c r="B318" s="0" t="s">
        <v>347</v>
      </c>
      <c r="D318" s="18" t="n">
        <f aca="false">D316/D317</f>
        <v>23.3995380420639</v>
      </c>
      <c r="E318" s="18" t="n">
        <f aca="false">E316/E317</f>
        <v>41.6467658260637</v>
      </c>
      <c r="F318" s="18" t="n">
        <f aca="false">F316/F317</f>
        <v>52.792138191248</v>
      </c>
      <c r="G318" s="18" t="n">
        <f aca="false">G316/G317</f>
        <v>60.1385917361116</v>
      </c>
    </row>
    <row r="319" customFormat="false" ht="17.15" hidden="false" customHeight="false" outlineLevel="0" collapsed="false">
      <c r="A319" s="4" t="s">
        <v>349</v>
      </c>
      <c r="B319" s="0" t="s">
        <v>350</v>
      </c>
      <c r="D319" s="16" t="n">
        <f aca="false">(racks_gb*odm_gb*(1-vr26)+racks_vr*odm_vr*vr26)/1000</f>
        <v>27.1209</v>
      </c>
      <c r="E319" s="16" t="n">
        <f aca="false">racks_vr*odm_vr/1000</f>
        <v>27.351</v>
      </c>
      <c r="F319" s="16" t="n">
        <f aca="false">$E319*VPHI_28</f>
        <v>32.8212</v>
      </c>
      <c r="G319" s="16" t="n">
        <f aca="false">$E319*VPHI_29</f>
        <v>32.8212</v>
      </c>
      <c r="H319" s="4" t="s">
        <v>393</v>
      </c>
    </row>
    <row r="320" customFormat="false" ht="17.15" hidden="false" customHeight="false" outlineLevel="0" collapsed="false">
      <c r="A320" s="0" t="s">
        <v>394</v>
      </c>
      <c r="B320" s="0" t="s">
        <v>29</v>
      </c>
      <c r="D320" s="19" t="n">
        <f aca="false">D318*D319</f>
        <v>634.616531285011</v>
      </c>
      <c r="E320" s="19" t="n">
        <f aca="false">E318*E319</f>
        <v>1139.08069210867</v>
      </c>
      <c r="F320" s="19" t="n">
        <f aca="false">F318*F319</f>
        <v>1732.70132600259</v>
      </c>
      <c r="G320" s="19" t="n">
        <f aca="false">G318*G319</f>
        <v>1973.82074708926</v>
      </c>
    </row>
    <row r="321" customFormat="false" ht="17.15" hidden="false" customHeight="false" outlineLevel="0" collapsed="false">
      <c r="A321" s="0" t="s">
        <v>395</v>
      </c>
      <c r="B321" s="0" t="s">
        <v>165</v>
      </c>
      <c r="D321" s="19" t="n">
        <f aca="false">D320*fx</f>
        <v>20307.7290011204</v>
      </c>
      <c r="E321" s="19" t="n">
        <f aca="false">E320*fx</f>
        <v>36450.5821474774</v>
      </c>
      <c r="F321" s="19" t="n">
        <f aca="false">F320*fx</f>
        <v>55446.4424320828</v>
      </c>
      <c r="G321" s="19" t="n">
        <f aca="false">G320*fx</f>
        <v>63162.2639068565</v>
      </c>
    </row>
    <row r="322" customFormat="false" ht="17.15" hidden="false" customHeight="false" outlineLevel="0" collapsed="false">
      <c r="A322" s="4" t="s">
        <v>396</v>
      </c>
      <c r="B322" s="0" t="s">
        <v>49</v>
      </c>
      <c r="D322" s="15" t="n">
        <f aca="false">a26_ai/D321</f>
        <v>0.133896123975753</v>
      </c>
      <c r="H322" s="8" t="s">
        <v>397</v>
      </c>
    </row>
    <row r="323" customFormat="false" ht="17.15" hidden="false" customHeight="false" outlineLevel="0" collapsed="false">
      <c r="A323" s="4" t="s">
        <v>398</v>
      </c>
      <c r="B323" s="0" t="s">
        <v>69</v>
      </c>
      <c r="D323" s="16" t="n">
        <f aca="false">1</f>
        <v>1</v>
      </c>
      <c r="E323" s="16" t="n">
        <f aca="false">rel_27</f>
        <v>1</v>
      </c>
      <c r="F323" s="16" t="n">
        <f aca="false">rel_28</f>
        <v>0.95</v>
      </c>
      <c r="G323" s="16" t="n">
        <f aca="false">rel_29</f>
        <v>0.9</v>
      </c>
    </row>
    <row r="324" customFormat="false" ht="15" hidden="false" customHeight="false" outlineLevel="0" collapsed="false">
      <c r="A324" s="4" t="s">
        <v>354</v>
      </c>
      <c r="B324" s="0" t="s">
        <v>49</v>
      </c>
      <c r="D324" s="15" t="n">
        <f aca="false">$D$322*D323</f>
        <v>0.133896123975753</v>
      </c>
      <c r="E324" s="15" t="n">
        <f aca="false">$D$322*E323</f>
        <v>0.133896123975753</v>
      </c>
      <c r="F324" s="15" t="n">
        <f aca="false">$D$322*F323</f>
        <v>0.127201317776965</v>
      </c>
      <c r="G324" s="15" t="n">
        <f aca="false">$D$322*G323</f>
        <v>0.120506511578177</v>
      </c>
    </row>
    <row r="325" customFormat="false" ht="17.15" hidden="false" customHeight="false" outlineLevel="0" collapsed="false">
      <c r="A325" s="0" t="s">
        <v>399</v>
      </c>
      <c r="B325" s="0" t="s">
        <v>165</v>
      </c>
      <c r="D325" s="19" t="n">
        <f aca="false">D321*D324</f>
        <v>2719.1262</v>
      </c>
      <c r="E325" s="19" t="n">
        <f aca="false">E321*E324</f>
        <v>4880.59166620699</v>
      </c>
      <c r="F325" s="19" t="n">
        <f aca="false">F321*F324</f>
        <v>7052.86054340557</v>
      </c>
      <c r="G325" s="19" t="n">
        <f aca="false">G321*G324</f>
        <v>7611.4640867955</v>
      </c>
    </row>
    <row r="326" customFormat="false" ht="17.15" hidden="false" customHeight="false" outlineLevel="0" collapsed="false">
      <c r="A326" s="4" t="s">
        <v>358</v>
      </c>
      <c r="B326" s="0" t="s">
        <v>49</v>
      </c>
      <c r="D326" s="15" t="n">
        <f aca="false">0</f>
        <v>0</v>
      </c>
      <c r="E326" s="15" t="n">
        <f aca="false">cs_27</f>
        <v>0.1</v>
      </c>
      <c r="F326" s="15" t="n">
        <f aca="false">cs_28</f>
        <v>0.2</v>
      </c>
      <c r="G326" s="15" t="n">
        <f aca="false">cs_29</f>
        <v>0.25</v>
      </c>
      <c r="H326" s="8" t="s">
        <v>400</v>
      </c>
    </row>
    <row r="327" customFormat="false" ht="17.15" hidden="false" customHeight="false" outlineLevel="0" collapsed="false">
      <c r="A327" s="0" t="s">
        <v>401</v>
      </c>
      <c r="B327" s="0" t="s">
        <v>165</v>
      </c>
      <c r="C327" s="19" t="n">
        <f aca="false">a25_ai</f>
        <v>905.033</v>
      </c>
      <c r="D327" s="19" t="n">
        <f aca="false">D325*(1-D326)</f>
        <v>2719.1262</v>
      </c>
      <c r="E327" s="19" t="n">
        <f aca="false">E325*(1-E326)</f>
        <v>4392.53249958629</v>
      </c>
      <c r="F327" s="19" t="n">
        <f aca="false">F325*(1-F326)</f>
        <v>5642.28843472445</v>
      </c>
      <c r="G327" s="19" t="n">
        <f aca="false">G325*(1-G326)</f>
        <v>5708.59806509662</v>
      </c>
    </row>
    <row r="328" customFormat="false" ht="17.15" hidden="false" customHeight="false" outlineLevel="0" collapsed="false">
      <c r="A328" s="6" t="s">
        <v>402</v>
      </c>
    </row>
    <row r="329" customFormat="false" ht="17.15" hidden="false" customHeight="false" outlineLevel="0" collapsed="false">
      <c r="A329" s="4" t="s">
        <v>331</v>
      </c>
      <c r="B329" s="0" t="s">
        <v>165</v>
      </c>
      <c r="C329" s="19" t="n">
        <f aca="false">a25_nai</f>
        <v>1218.656</v>
      </c>
      <c r="D329" s="19" t="n">
        <f aca="false">a26_nai</f>
        <v>1279.5888</v>
      </c>
      <c r="E329" s="19" t="n">
        <f aca="false">D329*(1+g_nai27)</f>
        <v>1317.976464</v>
      </c>
      <c r="F329" s="19" t="n">
        <f aca="false">E329*(1+g_nai28)</f>
        <v>1344.33599328</v>
      </c>
      <c r="G329" s="19" t="n">
        <f aca="false">F329*(1+g_nai29)</f>
        <v>1371.2227131456</v>
      </c>
    </row>
    <row r="330" customFormat="false" ht="15" hidden="false" customHeight="false" outlineLevel="0" collapsed="false">
      <c r="A330" s="4" t="s">
        <v>302</v>
      </c>
      <c r="B330" s="0" t="s">
        <v>165</v>
      </c>
      <c r="C330" s="19" t="n">
        <f aca="false">C327+C329</f>
        <v>2123.689</v>
      </c>
      <c r="D330" s="19" t="n">
        <f aca="false">D327+D329</f>
        <v>3998.715</v>
      </c>
      <c r="E330" s="19" t="n">
        <f aca="false">E327+E329</f>
        <v>5710.50896358629</v>
      </c>
      <c r="F330" s="19" t="n">
        <f aca="false">F327+F329</f>
        <v>6986.62442800445</v>
      </c>
      <c r="G330" s="19" t="n">
        <f aca="false">G327+G329</f>
        <v>7079.82077824222</v>
      </c>
    </row>
    <row r="331" customFormat="false" ht="15" hidden="false" customHeight="false" outlineLevel="0" collapsed="false">
      <c r="A331" s="4" t="s">
        <v>403</v>
      </c>
      <c r="B331" s="0" t="s">
        <v>49</v>
      </c>
      <c r="D331" s="15" t="n">
        <f aca="false">D330/C330-1</f>
        <v>0.88290987993063</v>
      </c>
      <c r="E331" s="15" t="n">
        <f aca="false">E330/D330-1</f>
        <v>0.428086013528418</v>
      </c>
      <c r="F331" s="15" t="n">
        <f aca="false">F330/E330-1</f>
        <v>0.223467903221142</v>
      </c>
      <c r="G331" s="15" t="n">
        <f aca="false">G330/F330-1</f>
        <v>0.0133392529107776</v>
      </c>
    </row>
    <row r="332" customFormat="false" ht="17.15" hidden="false" customHeight="false" outlineLevel="0" collapsed="false">
      <c r="A332" s="0" t="s">
        <v>404</v>
      </c>
      <c r="B332" s="0" t="s">
        <v>49</v>
      </c>
      <c r="C332" s="15" t="n">
        <f aca="false">C327/C330</f>
        <v>0.426160798497332</v>
      </c>
      <c r="D332" s="15" t="n">
        <f aca="false">D327/D330</f>
        <v>0.68</v>
      </c>
      <c r="E332" s="15" t="n">
        <f aca="false">E327/E330</f>
        <v>0.769201576881461</v>
      </c>
      <c r="F332" s="15" t="n">
        <f aca="false">F327/F330</f>
        <v>0.807584333874953</v>
      </c>
      <c r="G332" s="15" t="n">
        <f aca="false">G327/G330</f>
        <v>0.806319572755336</v>
      </c>
    </row>
    <row r="333" customFormat="false" ht="17.15" hidden="false" customHeight="false" outlineLevel="0" collapsed="false">
      <c r="A333" s="4" t="s">
        <v>364</v>
      </c>
      <c r="B333" s="0" t="s">
        <v>350</v>
      </c>
      <c r="D333" s="16" t="n">
        <f aca="false">D327/fx/D318</f>
        <v>3.63138338873399</v>
      </c>
      <c r="E333" s="16" t="n">
        <f aca="false">E327/fx/E318</f>
        <v>3.29597359817473</v>
      </c>
      <c r="F333" s="16" t="n">
        <f aca="false">F327/fx/F318</f>
        <v>3.33991991281706</v>
      </c>
      <c r="G333" s="16" t="n">
        <f aca="false">G327/fx/G318</f>
        <v>2.96637623835726</v>
      </c>
    </row>
    <row r="334" customFormat="false" ht="17.15" hidden="false" customHeight="false" outlineLevel="0" collapsed="false">
      <c r="A334" s="4" t="s">
        <v>405</v>
      </c>
      <c r="B334" s="4" t="s">
        <v>362</v>
      </c>
      <c r="D334" s="19" t="n">
        <f aca="false">D325/fx/(odm_gb*(1-vr26)+odm_vr*vr26)</f>
        <v>18.4522679153094</v>
      </c>
      <c r="E334" s="19" t="n">
        <f aca="false">E325/fx/odm_vr</f>
        <v>22.5953317879953</v>
      </c>
      <c r="F334" s="19" t="n">
        <f aca="false">F325/fx/odm_vr</f>
        <v>32.6521321453961</v>
      </c>
      <c r="G334" s="19" t="n">
        <f aca="false">G325/fx/odm_vr</f>
        <v>35.2382596610903</v>
      </c>
      <c r="H334" s="4" t="s">
        <v>406</v>
      </c>
    </row>
    <row r="335" customFormat="false" ht="17.15" hidden="false" customHeight="false" outlineLevel="0" collapsed="false">
      <c r="A335" s="6" t="s">
        <v>407</v>
      </c>
    </row>
    <row r="336" customFormat="false" ht="17.15" hidden="false" customHeight="false" outlineLevel="0" collapsed="false">
      <c r="A336" s="4" t="s">
        <v>408</v>
      </c>
      <c r="B336" s="0" t="s">
        <v>49</v>
      </c>
      <c r="D336" s="14" t="n">
        <f aca="false">a26_gp/D330-d_ai*D332</f>
        <v>0.0632307213692399</v>
      </c>
      <c r="H336" s="8" t="s">
        <v>409</v>
      </c>
    </row>
    <row r="337" customFormat="false" ht="17.15" hidden="false" customHeight="false" outlineLevel="0" collapsed="false">
      <c r="A337" s="0" t="s">
        <v>410</v>
      </c>
      <c r="B337" s="0" t="s">
        <v>165</v>
      </c>
      <c r="D337" s="21" t="n">
        <f aca="false">($D$336+d_ai)*D325*(1-D326*(1-keep))</f>
        <v>117.54978712</v>
      </c>
      <c r="E337" s="21" t="n">
        <f aca="false">($D$336+d_ai+vrd)*E325*(1-E326*(1-keep))</f>
        <v>194.386226205805</v>
      </c>
      <c r="F337" s="21" t="n">
        <f aca="false">($D$336+d_ai+vrd)*F325*(1-F326*(1-keep))</f>
        <v>278.066834030298</v>
      </c>
      <c r="G337" s="21" t="n">
        <f aca="false">($D$336+d_ai+vrd)*G325*(1-G326*(1-keep))</f>
        <v>298.559323615649</v>
      </c>
      <c r="H337" s="4" t="s">
        <v>411</v>
      </c>
    </row>
    <row r="338" customFormat="false" ht="15" hidden="false" customHeight="false" outlineLevel="0" collapsed="false">
      <c r="A338" s="4" t="s">
        <v>306</v>
      </c>
      <c r="B338" s="0" t="s">
        <v>165</v>
      </c>
      <c r="C338" s="19" t="n">
        <f aca="false">a25_gp</f>
        <v>148.2334922</v>
      </c>
      <c r="D338" s="19" t="n">
        <f aca="false">a26_gp</f>
        <v>198.45911</v>
      </c>
      <c r="E338" s="19" t="n">
        <f aca="false">$D$336*E329+E337</f>
        <v>277.722828772205</v>
      </c>
      <c r="F338" s="19" t="n">
        <f aca="false">$D$336*F329+F337</f>
        <v>363.070168648026</v>
      </c>
      <c r="G338" s="19" t="n">
        <f aca="false">$D$336*G329+G337</f>
        <v>385.262724925732</v>
      </c>
    </row>
    <row r="339" customFormat="false" ht="15" hidden="false" customHeight="false" outlineLevel="0" collapsed="false">
      <c r="A339" s="4" t="s">
        <v>309</v>
      </c>
      <c r="B339" s="0" t="s">
        <v>49</v>
      </c>
      <c r="C339" s="14" t="n">
        <f aca="false">C338/C330</f>
        <v>0.0698</v>
      </c>
      <c r="D339" s="14" t="n">
        <f aca="false">D338/D330</f>
        <v>0.0496307213692399</v>
      </c>
      <c r="E339" s="14" t="n">
        <f aca="false">E338/E330</f>
        <v>0.0486336385325961</v>
      </c>
      <c r="F339" s="14" t="n">
        <f aca="false">F338/F330</f>
        <v>0.0519664642617304</v>
      </c>
      <c r="G339" s="14" t="n">
        <f aca="false">G338/G330</f>
        <v>0.0544170166156925</v>
      </c>
    </row>
    <row r="340" customFormat="false" ht="17.15" hidden="false" customHeight="false" outlineLevel="0" collapsed="false">
      <c r="A340" s="0" t="s">
        <v>412</v>
      </c>
      <c r="B340" s="0" t="s">
        <v>49</v>
      </c>
      <c r="D340" s="14" t="n">
        <f aca="false">D337/D327</f>
        <v>0.0432307213692399</v>
      </c>
      <c r="E340" s="14" t="n">
        <f aca="false">E337/E327</f>
        <v>0.0442537935061639</v>
      </c>
      <c r="F340" s="14" t="n">
        <f aca="false">F337/F327</f>
        <v>0.0492826336773188</v>
      </c>
      <c r="G340" s="14" t="n">
        <f aca="false">G337/G327</f>
        <v>0.0522999377800118</v>
      </c>
      <c r="H340" s="4" t="s">
        <v>413</v>
      </c>
    </row>
    <row r="341" customFormat="false" ht="15" hidden="false" customHeight="false" outlineLevel="0" collapsed="false">
      <c r="A341" s="4" t="s">
        <v>414</v>
      </c>
      <c r="B341" s="0" t="s">
        <v>165</v>
      </c>
      <c r="C341" s="19" t="n">
        <f aca="false">a25_opx</f>
        <v>60.7375054</v>
      </c>
      <c r="D341" s="19" t="n">
        <f aca="false">a26_opx</f>
        <v>71.1893725</v>
      </c>
      <c r="E341" s="19" t="n">
        <f aca="false">D341*(1+MAX(0,phi*E331))</f>
        <v>83.3794423716458</v>
      </c>
      <c r="F341" s="19" t="n">
        <f aca="false">E341*(1+MAX(0,phi*F331))</f>
        <v>90.8324940350617</v>
      </c>
      <c r="G341" s="19" t="n">
        <f aca="false">F341*(1+MAX(0,phi*G331))</f>
        <v>91.3171490792419</v>
      </c>
    </row>
    <row r="342" customFormat="false" ht="15" hidden="false" customHeight="false" outlineLevel="0" collapsed="false">
      <c r="A342" s="4" t="s">
        <v>310</v>
      </c>
      <c r="B342" s="0" t="s">
        <v>165</v>
      </c>
      <c r="C342" s="19" t="n">
        <f aca="false">C341</f>
        <v>60.7375054</v>
      </c>
      <c r="D342" s="19" t="n">
        <f aca="false">D341</f>
        <v>71.1893725</v>
      </c>
      <c r="E342" s="19" t="n">
        <f aca="false">E341+0*E330</f>
        <v>83.3794423716458</v>
      </c>
      <c r="F342" s="19" t="n">
        <f aca="false">F341+0*F330</f>
        <v>90.8324940350617</v>
      </c>
      <c r="G342" s="19" t="n">
        <f aca="false">G341+0*G330</f>
        <v>91.3171490792419</v>
      </c>
    </row>
    <row r="343" customFormat="false" ht="15" hidden="false" customHeight="false" outlineLevel="0" collapsed="false">
      <c r="A343" s="4" t="s">
        <v>313</v>
      </c>
      <c r="B343" s="0" t="s">
        <v>165</v>
      </c>
      <c r="C343" s="19" t="n">
        <f aca="false">C338-C342</f>
        <v>87.4959868</v>
      </c>
      <c r="D343" s="19" t="n">
        <f aca="false">D338-D342</f>
        <v>127.2697375</v>
      </c>
      <c r="E343" s="19" t="n">
        <f aca="false">E338-E342</f>
        <v>194.34338640056</v>
      </c>
      <c r="F343" s="19" t="n">
        <f aca="false">F338-F342</f>
        <v>272.237674612964</v>
      </c>
      <c r="G343" s="19" t="n">
        <f aca="false">G338-G342</f>
        <v>293.94557584649</v>
      </c>
    </row>
    <row r="344" customFormat="false" ht="15" hidden="false" customHeight="false" outlineLevel="0" collapsed="false">
      <c r="A344" s="4" t="s">
        <v>316</v>
      </c>
      <c r="B344" s="0" t="s">
        <v>49</v>
      </c>
      <c r="C344" s="14" t="n">
        <f aca="false">C343/C330</f>
        <v>0.0412</v>
      </c>
      <c r="D344" s="14" t="n">
        <f aca="false">D343/D330</f>
        <v>0.0318276590104571</v>
      </c>
      <c r="E344" s="14" t="n">
        <f aca="false">E343/E330</f>
        <v>0.0340325858237527</v>
      </c>
      <c r="F344" s="14" t="n">
        <f aca="false">F343/F330</f>
        <v>0.0389655515933782</v>
      </c>
      <c r="G344" s="14" t="n">
        <f aca="false">G343/G330</f>
        <v>0.0415187877000851</v>
      </c>
    </row>
    <row r="345" customFormat="false" ht="17.15" hidden="false" customHeight="false" outlineLevel="0" collapsed="false">
      <c r="A345" s="4" t="s">
        <v>199</v>
      </c>
      <c r="B345" s="0" t="s">
        <v>49</v>
      </c>
      <c r="C345" s="15" t="n">
        <f aca="false">a25_ni/a25_oi</f>
        <v>0.856953590013114</v>
      </c>
      <c r="D345" s="15" t="n">
        <f aca="false">a26_ni/a26_oi</f>
        <v>0.869913569398224</v>
      </c>
      <c r="E345" s="15" t="n">
        <f aca="false">nio_f</f>
        <v>0.865</v>
      </c>
      <c r="F345" s="15" t="n">
        <f aca="false">nio_f</f>
        <v>0.865</v>
      </c>
      <c r="G345" s="15" t="n">
        <f aca="false">nio_f</f>
        <v>0.865</v>
      </c>
    </row>
    <row r="346" customFormat="false" ht="15" hidden="false" customHeight="false" outlineLevel="0" collapsed="false">
      <c r="A346" s="4" t="s">
        <v>317</v>
      </c>
      <c r="B346" s="0" t="s">
        <v>165</v>
      </c>
      <c r="C346" s="19" t="n">
        <f aca="false">a25_ni</f>
        <v>74.98</v>
      </c>
      <c r="D346" s="19" t="n">
        <f aca="false">a26_ni</f>
        <v>110.713671625</v>
      </c>
      <c r="E346" s="19" t="n">
        <f aca="false">E343*E345</f>
        <v>168.107029236484</v>
      </c>
      <c r="F346" s="19" t="n">
        <f aca="false">F343*F345</f>
        <v>235.485588540214</v>
      </c>
      <c r="G346" s="19" t="n">
        <f aca="false">G343*G345</f>
        <v>254.262923107214</v>
      </c>
    </row>
    <row r="347" customFormat="false" ht="15" hidden="false" customHeight="false" outlineLevel="0" collapsed="false">
      <c r="A347" s="4" t="s">
        <v>415</v>
      </c>
      <c r="B347" s="4" t="s">
        <v>186</v>
      </c>
      <c r="C347" s="22" t="n">
        <f aca="false">a25_sh</f>
        <v>3.85501285347044</v>
      </c>
      <c r="D347" s="22" t="n">
        <f aca="false">a26_sh</f>
        <v>3.85460170146945</v>
      </c>
      <c r="E347" s="22" t="n">
        <f aca="false">D347*(1+sh_g)</f>
        <v>3.85460170146945</v>
      </c>
      <c r="F347" s="22" t="n">
        <f aca="false">E347*(1+sh_g)</f>
        <v>3.85460170146945</v>
      </c>
      <c r="G347" s="22" t="n">
        <f aca="false">F347*(1+sh_g)</f>
        <v>3.85460170146945</v>
      </c>
    </row>
    <row r="348" customFormat="false" ht="15" hidden="false" customHeight="false" outlineLevel="0" collapsed="false">
      <c r="A348" s="0" t="s">
        <v>323</v>
      </c>
      <c r="B348" s="0" t="s">
        <v>216</v>
      </c>
      <c r="C348" s="21" t="n">
        <f aca="false">C346/C347</f>
        <v>19.45</v>
      </c>
      <c r="D348" s="21" t="n">
        <f aca="false">D346/D347</f>
        <v>28.7224673778341</v>
      </c>
      <c r="E348" s="21" t="n">
        <f aca="false">E346/E347</f>
        <v>43.61203627664</v>
      </c>
      <c r="F348" s="21" t="n">
        <f aca="false">F346/F347</f>
        <v>61.0920678135026</v>
      </c>
      <c r="G348" s="21" t="n">
        <f aca="false">G346/G347</f>
        <v>65.9634750356395</v>
      </c>
    </row>
    <row r="349" customFormat="false" ht="17.15" hidden="false" customHeight="false" outlineLevel="0" collapsed="false">
      <c r="A349" s="0" t="s">
        <v>416</v>
      </c>
      <c r="B349" s="0" t="s">
        <v>49</v>
      </c>
      <c r="D349" s="15" t="n">
        <f aca="false">D348/C348-1</f>
        <v>0.476733541276816</v>
      </c>
      <c r="E349" s="15" t="n">
        <f aca="false">E348/D348-1</f>
        <v>0.518394492469565</v>
      </c>
      <c r="F349" s="15" t="n">
        <f aca="false">F348/E348-1</f>
        <v>0.40080750703735</v>
      </c>
      <c r="G349" s="15" t="n">
        <f aca="false">G348/F348-1</f>
        <v>0.079738784370633</v>
      </c>
    </row>
    <row r="352" customFormat="false" ht="17.15" hidden="false" customHeight="false" outlineLevel="0" collapsed="false">
      <c r="A352" s="1" t="s">
        <v>719</v>
      </c>
    </row>
    <row r="353" customFormat="false" ht="17.15" hidden="false" customHeight="false" outlineLevel="0" collapsed="false">
      <c r="A353" s="5" t="s">
        <v>18</v>
      </c>
      <c r="B353" s="5" t="s">
        <v>19</v>
      </c>
      <c r="C353" s="11" t="s">
        <v>296</v>
      </c>
      <c r="D353" s="11" t="s">
        <v>372</v>
      </c>
      <c r="E353" s="11" t="s">
        <v>373</v>
      </c>
      <c r="F353" s="11" t="s">
        <v>374</v>
      </c>
      <c r="G353" s="11" t="s">
        <v>375</v>
      </c>
      <c r="H353" s="5" t="s">
        <v>345</v>
      </c>
    </row>
    <row r="354" customFormat="false" ht="17.15" hidden="false" customHeight="false" outlineLevel="0" collapsed="false">
      <c r="A354" s="6" t="s">
        <v>389</v>
      </c>
    </row>
    <row r="355" customFormat="false" ht="17.15" hidden="false" customHeight="false" outlineLevel="0" collapsed="false">
      <c r="A355" s="0" t="s">
        <v>390</v>
      </c>
      <c r="B355" s="0" t="s">
        <v>29</v>
      </c>
      <c r="D355" s="21" t="n">
        <f aca="false">itc_26*1</f>
        <v>781.872916666667</v>
      </c>
      <c r="E355" s="21" t="n">
        <f aca="false">itc_27*1*mf_lo</f>
        <v>1252.28</v>
      </c>
      <c r="F355" s="21" t="n">
        <f aca="false">itc_28*um28_A*mf_lo</f>
        <v>1587.41111111111</v>
      </c>
      <c r="G355" s="21" t="n">
        <f aca="false">itc_29*um29_A*mf_lo</f>
        <v>1808.31222222222</v>
      </c>
    </row>
    <row r="356" customFormat="false" ht="17.15" hidden="false" customHeight="false" outlineLevel="0" collapsed="false">
      <c r="A356" s="4" t="s">
        <v>391</v>
      </c>
      <c r="B356" s="0" t="s">
        <v>29</v>
      </c>
      <c r="D356" s="21" t="n">
        <f aca="false">itpg_gb*(1-vr26)+itpg_vr*vr26</f>
        <v>33.41403216</v>
      </c>
      <c r="E356" s="21" t="n">
        <f aca="false">itpg_vr</f>
        <v>37.586352</v>
      </c>
      <c r="F356" s="21" t="n">
        <f aca="false">itpg_vr</f>
        <v>37.586352</v>
      </c>
      <c r="G356" s="21" t="n">
        <f aca="false">itpg_vr</f>
        <v>37.586352</v>
      </c>
    </row>
    <row r="357" customFormat="false" ht="17.15" hidden="false" customHeight="false" outlineLevel="0" collapsed="false">
      <c r="A357" s="4" t="s">
        <v>392</v>
      </c>
      <c r="B357" s="0" t="s">
        <v>347</v>
      </c>
      <c r="D357" s="18" t="n">
        <f aca="false">D355/D356</f>
        <v>23.3995380420639</v>
      </c>
      <c r="E357" s="18" t="n">
        <f aca="false">E355/E356</f>
        <v>33.3174126608509</v>
      </c>
      <c r="F357" s="18" t="n">
        <f aca="false">F355/F356</f>
        <v>42.2337105529984</v>
      </c>
      <c r="G357" s="18" t="n">
        <f aca="false">G355/G356</f>
        <v>48.1108733888892</v>
      </c>
    </row>
    <row r="358" customFormat="false" ht="17.15" hidden="false" customHeight="false" outlineLevel="0" collapsed="false">
      <c r="A358" s="4" t="s">
        <v>349</v>
      </c>
      <c r="B358" s="0" t="s">
        <v>350</v>
      </c>
      <c r="D358" s="16" t="n">
        <f aca="false">(racks_gb*odm_gb*(1-vr26)+racks_vr*odm_vr*vr26)/1000</f>
        <v>27.1209</v>
      </c>
      <c r="E358" s="16" t="n">
        <f aca="false">racks_vr*odm_vr/1000</f>
        <v>27.351</v>
      </c>
      <c r="F358" s="16" t="n">
        <f aca="false">$E358*vpg_28</f>
        <v>27.351</v>
      </c>
      <c r="G358" s="16" t="n">
        <f aca="false">$E358*vpg_29</f>
        <v>27.351</v>
      </c>
      <c r="H358" s="4" t="s">
        <v>393</v>
      </c>
    </row>
    <row r="359" customFormat="false" ht="17.15" hidden="false" customHeight="false" outlineLevel="0" collapsed="false">
      <c r="A359" s="0" t="s">
        <v>394</v>
      </c>
      <c r="B359" s="0" t="s">
        <v>29</v>
      </c>
      <c r="D359" s="19" t="n">
        <f aca="false">D357*D358</f>
        <v>634.616531285011</v>
      </c>
      <c r="E359" s="19" t="n">
        <f aca="false">E357*E358</f>
        <v>911.264553686934</v>
      </c>
      <c r="F359" s="19" t="n">
        <f aca="false">F357*F358</f>
        <v>1155.13421733506</v>
      </c>
      <c r="G359" s="19" t="n">
        <f aca="false">G357*G358</f>
        <v>1315.88049805951</v>
      </c>
    </row>
    <row r="360" customFormat="false" ht="17.15" hidden="false" customHeight="false" outlineLevel="0" collapsed="false">
      <c r="A360" s="0" t="s">
        <v>395</v>
      </c>
      <c r="B360" s="0" t="s">
        <v>165</v>
      </c>
      <c r="D360" s="19" t="n">
        <f aca="false">D359*fx</f>
        <v>20307.7290011204</v>
      </c>
      <c r="E360" s="19" t="n">
        <f aca="false">E359*fx</f>
        <v>29160.4657179819</v>
      </c>
      <c r="F360" s="19" t="n">
        <f aca="false">F359*fx</f>
        <v>36964.2949547219</v>
      </c>
      <c r="G360" s="19" t="n">
        <f aca="false">G359*fx</f>
        <v>42108.1759379043</v>
      </c>
    </row>
    <row r="361" customFormat="false" ht="17.15" hidden="false" customHeight="false" outlineLevel="0" collapsed="false">
      <c r="A361" s="4" t="s">
        <v>396</v>
      </c>
      <c r="B361" s="0" t="s">
        <v>49</v>
      </c>
      <c r="D361" s="15" t="n">
        <f aca="false">a26_ai/D360</f>
        <v>0.133896123975753</v>
      </c>
      <c r="H361" s="8" t="s">
        <v>397</v>
      </c>
    </row>
    <row r="362" customFormat="false" ht="17.15" hidden="false" customHeight="false" outlineLevel="0" collapsed="false">
      <c r="A362" s="4" t="s">
        <v>398</v>
      </c>
      <c r="B362" s="0" t="s">
        <v>69</v>
      </c>
      <c r="D362" s="16" t="n">
        <f aca="false">1</f>
        <v>1</v>
      </c>
      <c r="E362" s="16" t="n">
        <f aca="false">rel_27</f>
        <v>1</v>
      </c>
      <c r="F362" s="16" t="n">
        <f aca="false">rel_28</f>
        <v>0.95</v>
      </c>
      <c r="G362" s="16" t="n">
        <f aca="false">rel_29</f>
        <v>0.9</v>
      </c>
    </row>
    <row r="363" customFormat="false" ht="15" hidden="false" customHeight="false" outlineLevel="0" collapsed="false">
      <c r="A363" s="4" t="s">
        <v>354</v>
      </c>
      <c r="B363" s="0" t="s">
        <v>49</v>
      </c>
      <c r="D363" s="15" t="n">
        <f aca="false">$D$361*D362</f>
        <v>0.133896123975753</v>
      </c>
      <c r="E363" s="15" t="n">
        <f aca="false">$D$361*E362</f>
        <v>0.133896123975753</v>
      </c>
      <c r="F363" s="15" t="n">
        <f aca="false">$D$361*F362</f>
        <v>0.127201317776965</v>
      </c>
      <c r="G363" s="15" t="n">
        <f aca="false">$D$361*G362</f>
        <v>0.120506511578177</v>
      </c>
    </row>
    <row r="364" customFormat="false" ht="17.15" hidden="false" customHeight="false" outlineLevel="0" collapsed="false">
      <c r="A364" s="0" t="s">
        <v>399</v>
      </c>
      <c r="B364" s="0" t="s">
        <v>165</v>
      </c>
      <c r="D364" s="19" t="n">
        <f aca="false">D360*D363</f>
        <v>2719.1262</v>
      </c>
      <c r="E364" s="19" t="n">
        <f aca="false">E360*E363</f>
        <v>3904.47333296559</v>
      </c>
      <c r="F364" s="19" t="n">
        <f aca="false">F360*F363</f>
        <v>4701.90702893704</v>
      </c>
      <c r="G364" s="19" t="n">
        <f aca="false">G360*G363</f>
        <v>5074.309391197</v>
      </c>
    </row>
    <row r="365" customFormat="false" ht="17.15" hidden="false" customHeight="false" outlineLevel="0" collapsed="false">
      <c r="A365" s="4" t="s">
        <v>358</v>
      </c>
      <c r="B365" s="0" t="s">
        <v>49</v>
      </c>
      <c r="D365" s="15" t="n">
        <f aca="false">0</f>
        <v>0</v>
      </c>
      <c r="E365" s="15" t="n">
        <f aca="false">cs_27</f>
        <v>0.1</v>
      </c>
      <c r="F365" s="15" t="n">
        <f aca="false">cs_28</f>
        <v>0.2</v>
      </c>
      <c r="G365" s="15" t="n">
        <f aca="false">cs_29</f>
        <v>0.25</v>
      </c>
      <c r="H365" s="8" t="s">
        <v>400</v>
      </c>
    </row>
    <row r="366" customFormat="false" ht="17.15" hidden="false" customHeight="false" outlineLevel="0" collapsed="false">
      <c r="A366" s="0" t="s">
        <v>401</v>
      </c>
      <c r="B366" s="0" t="s">
        <v>165</v>
      </c>
      <c r="C366" s="19" t="n">
        <f aca="false">a25_ai</f>
        <v>905.033</v>
      </c>
      <c r="D366" s="19" t="n">
        <f aca="false">D364*(1-D365)</f>
        <v>2719.1262</v>
      </c>
      <c r="E366" s="19" t="n">
        <f aca="false">E364*(1-E365)</f>
        <v>3514.02599966903</v>
      </c>
      <c r="F366" s="19" t="n">
        <f aca="false">F364*(1-F365)</f>
        <v>3761.52562314964</v>
      </c>
      <c r="G366" s="19" t="n">
        <f aca="false">G364*(1-G365)</f>
        <v>3805.73204339775</v>
      </c>
    </row>
    <row r="367" customFormat="false" ht="17.15" hidden="false" customHeight="false" outlineLevel="0" collapsed="false">
      <c r="A367" s="6" t="s">
        <v>402</v>
      </c>
    </row>
    <row r="368" customFormat="false" ht="17.15" hidden="false" customHeight="false" outlineLevel="0" collapsed="false">
      <c r="A368" s="4" t="s">
        <v>331</v>
      </c>
      <c r="B368" s="0" t="s">
        <v>165</v>
      </c>
      <c r="C368" s="19" t="n">
        <f aca="false">a25_nai</f>
        <v>1218.656</v>
      </c>
      <c r="D368" s="19" t="n">
        <f aca="false">a26_nai</f>
        <v>1279.5888</v>
      </c>
      <c r="E368" s="19" t="n">
        <f aca="false">D368*(1+g_nai27)</f>
        <v>1317.976464</v>
      </c>
      <c r="F368" s="19" t="n">
        <f aca="false">E368*(1+g_nai28)</f>
        <v>1344.33599328</v>
      </c>
      <c r="G368" s="19" t="n">
        <f aca="false">F368*(1+g_nai29)</f>
        <v>1371.2227131456</v>
      </c>
    </row>
    <row r="369" customFormat="false" ht="15" hidden="false" customHeight="false" outlineLevel="0" collapsed="false">
      <c r="A369" s="4" t="s">
        <v>302</v>
      </c>
      <c r="B369" s="0" t="s">
        <v>165</v>
      </c>
      <c r="C369" s="19" t="n">
        <f aca="false">C366+C368</f>
        <v>2123.689</v>
      </c>
      <c r="D369" s="19" t="n">
        <f aca="false">D366+D368</f>
        <v>3998.715</v>
      </c>
      <c r="E369" s="19" t="n">
        <f aca="false">E366+E368</f>
        <v>4832.00246366903</v>
      </c>
      <c r="F369" s="19" t="n">
        <f aca="false">F366+F368</f>
        <v>5105.86161642964</v>
      </c>
      <c r="G369" s="19" t="n">
        <f aca="false">G366+G368</f>
        <v>5176.95475654335</v>
      </c>
    </row>
    <row r="370" customFormat="false" ht="15" hidden="false" customHeight="false" outlineLevel="0" collapsed="false">
      <c r="A370" s="4" t="s">
        <v>403</v>
      </c>
      <c r="B370" s="0" t="s">
        <v>49</v>
      </c>
      <c r="D370" s="15" t="n">
        <f aca="false">D369/C369-1</f>
        <v>0.88290987993063</v>
      </c>
      <c r="E370" s="15" t="n">
        <f aca="false">E369/D369-1</f>
        <v>0.208388810822734</v>
      </c>
      <c r="F370" s="15" t="n">
        <f aca="false">F369/E369-1</f>
        <v>0.0566761202668469</v>
      </c>
      <c r="G370" s="15" t="n">
        <f aca="false">G369/F369-1</f>
        <v>0.0139238282300778</v>
      </c>
    </row>
    <row r="371" customFormat="false" ht="17.15" hidden="false" customHeight="false" outlineLevel="0" collapsed="false">
      <c r="A371" s="0" t="s">
        <v>404</v>
      </c>
      <c r="B371" s="0" t="s">
        <v>49</v>
      </c>
      <c r="C371" s="15" t="n">
        <f aca="false">C366/C369</f>
        <v>0.426160798497332</v>
      </c>
      <c r="D371" s="15" t="n">
        <f aca="false">D366/D369</f>
        <v>0.68</v>
      </c>
      <c r="E371" s="15" t="n">
        <f aca="false">E366/E369</f>
        <v>0.727240109269473</v>
      </c>
      <c r="F371" s="15" t="n">
        <f aca="false">F366/F369</f>
        <v>0.736707319102774</v>
      </c>
      <c r="G371" s="15" t="n">
        <f aca="false">G366/G369</f>
        <v>0.735129477148229</v>
      </c>
    </row>
    <row r="372" customFormat="false" ht="17.15" hidden="false" customHeight="false" outlineLevel="0" collapsed="false">
      <c r="A372" s="4" t="s">
        <v>364</v>
      </c>
      <c r="B372" s="0" t="s">
        <v>350</v>
      </c>
      <c r="D372" s="16" t="n">
        <f aca="false">D366/fx/D357</f>
        <v>3.63138338873399</v>
      </c>
      <c r="E372" s="16" t="n">
        <f aca="false">E366/fx/E357</f>
        <v>3.29597359817473</v>
      </c>
      <c r="F372" s="16" t="n">
        <f aca="false">F366/fx/F357</f>
        <v>2.78326659401422</v>
      </c>
      <c r="G372" s="16" t="n">
        <f aca="false">G366/fx/G357</f>
        <v>2.47198019863105</v>
      </c>
    </row>
    <row r="373" customFormat="false" ht="17.15" hidden="false" customHeight="false" outlineLevel="0" collapsed="false">
      <c r="A373" s="4" t="s">
        <v>405</v>
      </c>
      <c r="B373" s="4" t="s">
        <v>362</v>
      </c>
      <c r="D373" s="19" t="n">
        <f aca="false">D364/fx/(odm_gb*(1-vr26)+odm_vr*vr26)</f>
        <v>18.4522679153094</v>
      </c>
      <c r="E373" s="19" t="n">
        <f aca="false">E364/fx/odm_vr</f>
        <v>18.0762654303962</v>
      </c>
      <c r="F373" s="19" t="n">
        <f aca="false">F364/fx/odm_vr</f>
        <v>21.7680880969308</v>
      </c>
      <c r="G373" s="19" t="n">
        <f aca="false">G364/fx/odm_vr</f>
        <v>23.4921731073935</v>
      </c>
      <c r="H373" s="4" t="s">
        <v>406</v>
      </c>
    </row>
    <row r="374" customFormat="false" ht="17.15" hidden="false" customHeight="false" outlineLevel="0" collapsed="false">
      <c r="A374" s="6" t="s">
        <v>407</v>
      </c>
    </row>
    <row r="375" customFormat="false" ht="17.15" hidden="false" customHeight="false" outlineLevel="0" collapsed="false">
      <c r="A375" s="4" t="s">
        <v>408</v>
      </c>
      <c r="B375" s="0" t="s">
        <v>49</v>
      </c>
      <c r="D375" s="14" t="n">
        <f aca="false">a26_gp/D369-d_ai*D371</f>
        <v>0.0632307213692399</v>
      </c>
      <c r="H375" s="8" t="s">
        <v>409</v>
      </c>
    </row>
    <row r="376" customFormat="false" ht="17.15" hidden="false" customHeight="false" outlineLevel="0" collapsed="false">
      <c r="A376" s="0" t="s">
        <v>410</v>
      </c>
      <c r="B376" s="0" t="s">
        <v>165</v>
      </c>
      <c r="D376" s="21" t="n">
        <f aca="false">($D$375+d_ai)*D364*(1-D365*(1-keep))</f>
        <v>117.54978712</v>
      </c>
      <c r="E376" s="21" t="n">
        <f aca="false">($D$375+d_ai+vrd)*E364*(1-E365*(1-keep))</f>
        <v>155.508980964644</v>
      </c>
      <c r="F376" s="21" t="n">
        <f aca="false">($D$375+d_ai+vrd)*F364*(1-F365*(1-keep))</f>
        <v>185.377889353532</v>
      </c>
      <c r="G376" s="21" t="n">
        <f aca="false">($D$375+d_ai+vrd)*G364*(1-G365*(1-keep))</f>
        <v>199.0395490771</v>
      </c>
      <c r="H376" s="4" t="s">
        <v>411</v>
      </c>
    </row>
    <row r="377" customFormat="false" ht="15" hidden="false" customHeight="false" outlineLevel="0" collapsed="false">
      <c r="A377" s="4" t="s">
        <v>306</v>
      </c>
      <c r="B377" s="0" t="s">
        <v>165</v>
      </c>
      <c r="C377" s="19" t="n">
        <f aca="false">a25_gp</f>
        <v>148.2334922</v>
      </c>
      <c r="D377" s="19" t="n">
        <f aca="false">a26_gp</f>
        <v>198.45911</v>
      </c>
      <c r="E377" s="19" t="n">
        <f aca="false">$D$375*E368+E376</f>
        <v>238.845583531044</v>
      </c>
      <c r="F377" s="19" t="n">
        <f aca="false">$D$375*F368+F376</f>
        <v>270.38122397126</v>
      </c>
      <c r="G377" s="19" t="n">
        <f aca="false">$D$375*G368+G376</f>
        <v>285.742950387182</v>
      </c>
    </row>
    <row r="378" customFormat="false" ht="15" hidden="false" customHeight="false" outlineLevel="0" collapsed="false">
      <c r="A378" s="4" t="s">
        <v>309</v>
      </c>
      <c r="B378" s="0" t="s">
        <v>49</v>
      </c>
      <c r="C378" s="14" t="n">
        <f aca="false">C377/C369</f>
        <v>0.0698</v>
      </c>
      <c r="D378" s="14" t="n">
        <f aca="false">D377/D369</f>
        <v>0.0496307213692399</v>
      </c>
      <c r="E378" s="14" t="n">
        <f aca="false">E377/E369</f>
        <v>0.0494299382764976</v>
      </c>
      <c r="F378" s="14" t="n">
        <f aca="false">F377/F369</f>
        <v>0.0529550630791143</v>
      </c>
      <c r="G378" s="14" t="n">
        <f aca="false">G377/G369</f>
        <v>0.0551951801444702</v>
      </c>
    </row>
    <row r="379" customFormat="false" ht="17.15" hidden="false" customHeight="false" outlineLevel="0" collapsed="false">
      <c r="A379" s="0" t="s">
        <v>412</v>
      </c>
      <c r="B379" s="0" t="s">
        <v>49</v>
      </c>
      <c r="D379" s="14" t="n">
        <f aca="false">D376/D366</f>
        <v>0.0432307213692399</v>
      </c>
      <c r="E379" s="14" t="n">
        <f aca="false">E376/E366</f>
        <v>0.0442537935061639</v>
      </c>
      <c r="F379" s="14" t="n">
        <f aca="false">F376/F366</f>
        <v>0.0492826336773188</v>
      </c>
      <c r="G379" s="14" t="n">
        <f aca="false">G376/G366</f>
        <v>0.0522999377800118</v>
      </c>
      <c r="H379" s="4" t="s">
        <v>413</v>
      </c>
    </row>
    <row r="380" customFormat="false" ht="15" hidden="false" customHeight="false" outlineLevel="0" collapsed="false">
      <c r="A380" s="4" t="s">
        <v>414</v>
      </c>
      <c r="B380" s="0" t="s">
        <v>165</v>
      </c>
      <c r="C380" s="19" t="n">
        <f aca="false">a25_opx</f>
        <v>60.7375054</v>
      </c>
      <c r="D380" s="19" t="n">
        <f aca="false">a26_opx</f>
        <v>71.1893725</v>
      </c>
      <c r="E380" s="19" t="n">
        <f aca="false">D380*(1+MAX(0,phi*E370))</f>
        <v>77.1233999713967</v>
      </c>
      <c r="F380" s="19" t="n">
        <f aca="false">E380*(1+MAX(0,phi*F370))</f>
        <v>78.8718220082635</v>
      </c>
      <c r="G380" s="19" t="n">
        <f aca="false">F380*(1+MAX(0,phi*G370))</f>
        <v>79.311101088998</v>
      </c>
    </row>
    <row r="381" customFormat="false" ht="15" hidden="false" customHeight="false" outlineLevel="0" collapsed="false">
      <c r="A381" s="4" t="s">
        <v>310</v>
      </c>
      <c r="B381" s="0" t="s">
        <v>165</v>
      </c>
      <c r="C381" s="19" t="n">
        <f aca="false">C380</f>
        <v>60.7375054</v>
      </c>
      <c r="D381" s="19" t="n">
        <f aca="false">D380</f>
        <v>71.1893725</v>
      </c>
      <c r="E381" s="19" t="n">
        <f aca="false">E380+0*E369</f>
        <v>77.1233999713967</v>
      </c>
      <c r="F381" s="19" t="n">
        <f aca="false">F380+0*F369</f>
        <v>78.8718220082635</v>
      </c>
      <c r="G381" s="19" t="n">
        <f aca="false">G380+0*G369</f>
        <v>79.311101088998</v>
      </c>
    </row>
    <row r="382" customFormat="false" ht="15" hidden="false" customHeight="false" outlineLevel="0" collapsed="false">
      <c r="A382" s="4" t="s">
        <v>313</v>
      </c>
      <c r="B382" s="0" t="s">
        <v>165</v>
      </c>
      <c r="C382" s="19" t="n">
        <f aca="false">C377-C381</f>
        <v>87.4959868</v>
      </c>
      <c r="D382" s="19" t="n">
        <f aca="false">D377-D381</f>
        <v>127.2697375</v>
      </c>
      <c r="E382" s="19" t="n">
        <f aca="false">E377-E381</f>
        <v>161.722183559648</v>
      </c>
      <c r="F382" s="19" t="n">
        <f aca="false">F377-F381</f>
        <v>191.509401962997</v>
      </c>
      <c r="G382" s="19" t="n">
        <f aca="false">G377-G381</f>
        <v>206.431849298184</v>
      </c>
    </row>
    <row r="383" customFormat="false" ht="15" hidden="false" customHeight="false" outlineLevel="0" collapsed="false">
      <c r="A383" s="4" t="s">
        <v>316</v>
      </c>
      <c r="B383" s="0" t="s">
        <v>49</v>
      </c>
      <c r="C383" s="14" t="n">
        <f aca="false">C382/C369</f>
        <v>0.0412</v>
      </c>
      <c r="D383" s="14" t="n">
        <f aca="false">D382/D369</f>
        <v>0.0318276590104571</v>
      </c>
      <c r="E383" s="14" t="n">
        <f aca="false">E382/E369</f>
        <v>0.0334689778773103</v>
      </c>
      <c r="F383" s="14" t="n">
        <f aca="false">F382/F369</f>
        <v>0.0375077540971259</v>
      </c>
      <c r="G383" s="14" t="n">
        <f aca="false">G382/G369</f>
        <v>0.0398751503549972</v>
      </c>
    </row>
    <row r="384" customFormat="false" ht="17.15" hidden="false" customHeight="false" outlineLevel="0" collapsed="false">
      <c r="A384" s="4" t="s">
        <v>199</v>
      </c>
      <c r="B384" s="0" t="s">
        <v>49</v>
      </c>
      <c r="C384" s="15" t="n">
        <f aca="false">a25_ni/a25_oi</f>
        <v>0.856953590013114</v>
      </c>
      <c r="D384" s="15" t="n">
        <f aca="false">a26_ni/a26_oi</f>
        <v>0.869913569398224</v>
      </c>
      <c r="E384" s="15" t="n">
        <f aca="false">nio_f</f>
        <v>0.865</v>
      </c>
      <c r="F384" s="15" t="n">
        <f aca="false">nio_f</f>
        <v>0.865</v>
      </c>
      <c r="G384" s="15" t="n">
        <f aca="false">nio_f</f>
        <v>0.865</v>
      </c>
    </row>
    <row r="385" customFormat="false" ht="15" hidden="false" customHeight="false" outlineLevel="0" collapsed="false">
      <c r="A385" s="4" t="s">
        <v>317</v>
      </c>
      <c r="B385" s="0" t="s">
        <v>165</v>
      </c>
      <c r="C385" s="19" t="n">
        <f aca="false">a25_ni</f>
        <v>74.98</v>
      </c>
      <c r="D385" s="19" t="n">
        <f aca="false">a26_ni</f>
        <v>110.713671625</v>
      </c>
      <c r="E385" s="19" t="n">
        <f aca="false">E382*E384</f>
        <v>139.889688779095</v>
      </c>
      <c r="F385" s="19" t="n">
        <f aca="false">F382*F384</f>
        <v>165.655632697992</v>
      </c>
      <c r="G385" s="19" t="n">
        <f aca="false">G382*G384</f>
        <v>178.563549642929</v>
      </c>
    </row>
    <row r="386" customFormat="false" ht="15" hidden="false" customHeight="false" outlineLevel="0" collapsed="false">
      <c r="A386" s="4" t="s">
        <v>415</v>
      </c>
      <c r="B386" s="4" t="s">
        <v>186</v>
      </c>
      <c r="C386" s="22" t="n">
        <f aca="false">a25_sh</f>
        <v>3.85501285347044</v>
      </c>
      <c r="D386" s="22" t="n">
        <f aca="false">a26_sh</f>
        <v>3.85460170146945</v>
      </c>
      <c r="E386" s="22" t="n">
        <f aca="false">D386*(1+sh_g)</f>
        <v>3.85460170146945</v>
      </c>
      <c r="F386" s="22" t="n">
        <f aca="false">E386*(1+sh_g)</f>
        <v>3.85460170146945</v>
      </c>
      <c r="G386" s="22" t="n">
        <f aca="false">F386*(1+sh_g)</f>
        <v>3.85460170146945</v>
      </c>
    </row>
    <row r="387" customFormat="false" ht="15" hidden="false" customHeight="false" outlineLevel="0" collapsed="false">
      <c r="A387" s="0" t="s">
        <v>323</v>
      </c>
      <c r="B387" s="0" t="s">
        <v>216</v>
      </c>
      <c r="C387" s="21" t="n">
        <f aca="false">C385/C386</f>
        <v>19.45</v>
      </c>
      <c r="D387" s="21" t="n">
        <f aca="false">D385/D386</f>
        <v>28.7224673778341</v>
      </c>
      <c r="E387" s="21" t="n">
        <f aca="false">E385/E386</f>
        <v>36.2916066595847</v>
      </c>
      <c r="F387" s="21" t="n">
        <f aca="false">F385/F386</f>
        <v>42.9760700398282</v>
      </c>
      <c r="G387" s="21" t="n">
        <f aca="false">G385/G386</f>
        <v>46.3247732119397</v>
      </c>
    </row>
    <row r="388" customFormat="false" ht="17.15" hidden="false" customHeight="false" outlineLevel="0" collapsed="false">
      <c r="A388" s="0" t="s">
        <v>416</v>
      </c>
      <c r="B388" s="0" t="s">
        <v>49</v>
      </c>
      <c r="D388" s="15" t="n">
        <f aca="false">D387/C387-1</f>
        <v>0.476733541276816</v>
      </c>
      <c r="E388" s="15" t="n">
        <f aca="false">E387/D387-1</f>
        <v>0.263526777911564</v>
      </c>
      <c r="F388" s="15" t="n">
        <f aca="false">F387/E387-1</f>
        <v>0.184187584830392</v>
      </c>
      <c r="G388" s="15" t="n">
        <f aca="false">G387/F387-1</f>
        <v>0.0779201813708916</v>
      </c>
    </row>
    <row r="391" customFormat="false" ht="17.15" hidden="false" customHeight="false" outlineLevel="0" collapsed="false">
      <c r="A391" s="1" t="s">
        <v>720</v>
      </c>
    </row>
    <row r="392" customFormat="false" ht="17.15" hidden="false" customHeight="false" outlineLevel="0" collapsed="false">
      <c r="A392" s="5" t="s">
        <v>18</v>
      </c>
      <c r="B392" s="5" t="s">
        <v>19</v>
      </c>
      <c r="C392" s="11" t="s">
        <v>296</v>
      </c>
      <c r="D392" s="11" t="s">
        <v>372</v>
      </c>
      <c r="E392" s="11" t="s">
        <v>373</v>
      </c>
      <c r="F392" s="11" t="s">
        <v>374</v>
      </c>
      <c r="G392" s="11" t="s">
        <v>375</v>
      </c>
      <c r="H392" s="5" t="s">
        <v>345</v>
      </c>
    </row>
    <row r="393" customFormat="false" ht="17.15" hidden="false" customHeight="false" outlineLevel="0" collapsed="false">
      <c r="A393" s="6" t="s">
        <v>389</v>
      </c>
    </row>
    <row r="394" customFormat="false" ht="17.15" hidden="false" customHeight="false" outlineLevel="0" collapsed="false">
      <c r="A394" s="0" t="s">
        <v>390</v>
      </c>
      <c r="B394" s="0" t="s">
        <v>29</v>
      </c>
      <c r="D394" s="21" t="n">
        <f aca="false">itc_26*1</f>
        <v>781.872916666667</v>
      </c>
      <c r="E394" s="21" t="n">
        <f aca="false">itc_27*1*mf_hi</f>
        <v>1878.42</v>
      </c>
      <c r="F394" s="21" t="n">
        <f aca="false">itc_28*um28_A*mf_hi</f>
        <v>2381.11666666667</v>
      </c>
      <c r="G394" s="21" t="n">
        <f aca="false">itc_29*um29_A*mf_hi</f>
        <v>2712.46833333334</v>
      </c>
    </row>
    <row r="395" customFormat="false" ht="17.15" hidden="false" customHeight="false" outlineLevel="0" collapsed="false">
      <c r="A395" s="4" t="s">
        <v>391</v>
      </c>
      <c r="B395" s="0" t="s">
        <v>29</v>
      </c>
      <c r="D395" s="21" t="n">
        <f aca="false">itpg_gb*(1-vr26)+itpg_vr*vr26</f>
        <v>33.41403216</v>
      </c>
      <c r="E395" s="21" t="n">
        <f aca="false">itpg_vr</f>
        <v>37.586352</v>
      </c>
      <c r="F395" s="21" t="n">
        <f aca="false">itpg_vr</f>
        <v>37.586352</v>
      </c>
      <c r="G395" s="21" t="n">
        <f aca="false">itpg_vr</f>
        <v>37.586352</v>
      </c>
    </row>
    <row r="396" customFormat="false" ht="17.15" hidden="false" customHeight="false" outlineLevel="0" collapsed="false">
      <c r="A396" s="4" t="s">
        <v>392</v>
      </c>
      <c r="B396" s="0" t="s">
        <v>347</v>
      </c>
      <c r="D396" s="18" t="n">
        <f aca="false">D394/D395</f>
        <v>23.3995380420639</v>
      </c>
      <c r="E396" s="18" t="n">
        <f aca="false">E394/E395</f>
        <v>49.9761189912764</v>
      </c>
      <c r="F396" s="18" t="n">
        <f aca="false">F394/F395</f>
        <v>63.3505658294976</v>
      </c>
      <c r="G396" s="18" t="n">
        <f aca="false">G394/G395</f>
        <v>72.1663100833339</v>
      </c>
    </row>
    <row r="397" customFormat="false" ht="17.15" hidden="false" customHeight="false" outlineLevel="0" collapsed="false">
      <c r="A397" s="4" t="s">
        <v>349</v>
      </c>
      <c r="B397" s="0" t="s">
        <v>350</v>
      </c>
      <c r="D397" s="16" t="n">
        <f aca="false">(racks_gb*odm_gb*(1-vr26)+racks_vr*odm_vr*vr26)/1000</f>
        <v>27.1209</v>
      </c>
      <c r="E397" s="16" t="n">
        <f aca="false">racks_vr*odm_vr/1000</f>
        <v>27.351</v>
      </c>
      <c r="F397" s="16" t="n">
        <f aca="false">$E397*vpg_28</f>
        <v>27.351</v>
      </c>
      <c r="G397" s="16" t="n">
        <f aca="false">$E397*vpg_29</f>
        <v>27.351</v>
      </c>
      <c r="H397" s="4" t="s">
        <v>393</v>
      </c>
    </row>
    <row r="398" customFormat="false" ht="17.15" hidden="false" customHeight="false" outlineLevel="0" collapsed="false">
      <c r="A398" s="0" t="s">
        <v>394</v>
      </c>
      <c r="B398" s="0" t="s">
        <v>29</v>
      </c>
      <c r="D398" s="19" t="n">
        <f aca="false">D396*D397</f>
        <v>634.616531285011</v>
      </c>
      <c r="E398" s="19" t="n">
        <f aca="false">E396*E397</f>
        <v>1366.8968305304</v>
      </c>
      <c r="F398" s="19" t="n">
        <f aca="false">F396*F397</f>
        <v>1732.70132600259</v>
      </c>
      <c r="G398" s="19" t="n">
        <f aca="false">G396*G397</f>
        <v>1973.82074708926</v>
      </c>
    </row>
    <row r="399" customFormat="false" ht="17.15" hidden="false" customHeight="false" outlineLevel="0" collapsed="false">
      <c r="A399" s="0" t="s">
        <v>395</v>
      </c>
      <c r="B399" s="0" t="s">
        <v>165</v>
      </c>
      <c r="D399" s="19" t="n">
        <f aca="false">D398*fx</f>
        <v>20307.7290011204</v>
      </c>
      <c r="E399" s="19" t="n">
        <f aca="false">E398*fx</f>
        <v>43740.6985769728</v>
      </c>
      <c r="F399" s="19" t="n">
        <f aca="false">F398*fx</f>
        <v>55446.4424320828</v>
      </c>
      <c r="G399" s="19" t="n">
        <f aca="false">G398*fx</f>
        <v>63162.2639068565</v>
      </c>
    </row>
    <row r="400" customFormat="false" ht="17.15" hidden="false" customHeight="false" outlineLevel="0" collapsed="false">
      <c r="A400" s="4" t="s">
        <v>396</v>
      </c>
      <c r="B400" s="0" t="s">
        <v>49</v>
      </c>
      <c r="D400" s="15" t="n">
        <f aca="false">a26_ai/D399</f>
        <v>0.133896123975753</v>
      </c>
      <c r="H400" s="8" t="s">
        <v>397</v>
      </c>
    </row>
    <row r="401" customFormat="false" ht="17.15" hidden="false" customHeight="false" outlineLevel="0" collapsed="false">
      <c r="A401" s="4" t="s">
        <v>398</v>
      </c>
      <c r="B401" s="0" t="s">
        <v>69</v>
      </c>
      <c r="D401" s="16" t="n">
        <f aca="false">1</f>
        <v>1</v>
      </c>
      <c r="E401" s="16" t="n">
        <f aca="false">rel_27</f>
        <v>1</v>
      </c>
      <c r="F401" s="16" t="n">
        <f aca="false">rel_28</f>
        <v>0.95</v>
      </c>
      <c r="G401" s="16" t="n">
        <f aca="false">rel_29</f>
        <v>0.9</v>
      </c>
    </row>
    <row r="402" customFormat="false" ht="15" hidden="false" customHeight="false" outlineLevel="0" collapsed="false">
      <c r="A402" s="4" t="s">
        <v>354</v>
      </c>
      <c r="B402" s="0" t="s">
        <v>49</v>
      </c>
      <c r="D402" s="15" t="n">
        <f aca="false">$D$400*D401</f>
        <v>0.133896123975753</v>
      </c>
      <c r="E402" s="15" t="n">
        <f aca="false">$D$400*E401</f>
        <v>0.133896123975753</v>
      </c>
      <c r="F402" s="15" t="n">
        <f aca="false">$D$400*F401</f>
        <v>0.127201317776965</v>
      </c>
      <c r="G402" s="15" t="n">
        <f aca="false">$D$400*G401</f>
        <v>0.120506511578177</v>
      </c>
    </row>
    <row r="403" customFormat="false" ht="17.15" hidden="false" customHeight="false" outlineLevel="0" collapsed="false">
      <c r="A403" s="0" t="s">
        <v>399</v>
      </c>
      <c r="B403" s="0" t="s">
        <v>165</v>
      </c>
      <c r="D403" s="19" t="n">
        <f aca="false">D399*D402</f>
        <v>2719.1262</v>
      </c>
      <c r="E403" s="19" t="n">
        <f aca="false">E399*E402</f>
        <v>5856.70999944838</v>
      </c>
      <c r="F403" s="19" t="n">
        <f aca="false">F399*F402</f>
        <v>7052.86054340557</v>
      </c>
      <c r="G403" s="19" t="n">
        <f aca="false">G399*G402</f>
        <v>7611.4640867955</v>
      </c>
    </row>
    <row r="404" customFormat="false" ht="17.15" hidden="false" customHeight="false" outlineLevel="0" collapsed="false">
      <c r="A404" s="4" t="s">
        <v>358</v>
      </c>
      <c r="B404" s="0" t="s">
        <v>49</v>
      </c>
      <c r="D404" s="15" t="n">
        <f aca="false">0</f>
        <v>0</v>
      </c>
      <c r="E404" s="15" t="n">
        <f aca="false">cs_27</f>
        <v>0.1</v>
      </c>
      <c r="F404" s="15" t="n">
        <f aca="false">cs_28</f>
        <v>0.2</v>
      </c>
      <c r="G404" s="15" t="n">
        <f aca="false">cs_29</f>
        <v>0.25</v>
      </c>
      <c r="H404" s="8" t="s">
        <v>400</v>
      </c>
    </row>
    <row r="405" customFormat="false" ht="17.15" hidden="false" customHeight="false" outlineLevel="0" collapsed="false">
      <c r="A405" s="0" t="s">
        <v>401</v>
      </c>
      <c r="B405" s="0" t="s">
        <v>165</v>
      </c>
      <c r="C405" s="19" t="n">
        <f aca="false">a25_ai</f>
        <v>905.033</v>
      </c>
      <c r="D405" s="19" t="n">
        <f aca="false">D403*(1-D404)</f>
        <v>2719.1262</v>
      </c>
      <c r="E405" s="19" t="n">
        <f aca="false">E403*(1-E404)</f>
        <v>5271.03899950355</v>
      </c>
      <c r="F405" s="19" t="n">
        <f aca="false">F403*(1-F404)</f>
        <v>5642.28843472445</v>
      </c>
      <c r="G405" s="19" t="n">
        <f aca="false">G403*(1-G404)</f>
        <v>5708.59806509662</v>
      </c>
    </row>
    <row r="406" customFormat="false" ht="17.15" hidden="false" customHeight="false" outlineLevel="0" collapsed="false">
      <c r="A406" s="6" t="s">
        <v>402</v>
      </c>
    </row>
    <row r="407" customFormat="false" ht="17.15" hidden="false" customHeight="false" outlineLevel="0" collapsed="false">
      <c r="A407" s="4" t="s">
        <v>331</v>
      </c>
      <c r="B407" s="0" t="s">
        <v>165</v>
      </c>
      <c r="C407" s="19" t="n">
        <f aca="false">a25_nai</f>
        <v>1218.656</v>
      </c>
      <c r="D407" s="19" t="n">
        <f aca="false">a26_nai</f>
        <v>1279.5888</v>
      </c>
      <c r="E407" s="19" t="n">
        <f aca="false">D407*(1+g_nai27)</f>
        <v>1317.976464</v>
      </c>
      <c r="F407" s="19" t="n">
        <f aca="false">E407*(1+g_nai28)</f>
        <v>1344.33599328</v>
      </c>
      <c r="G407" s="19" t="n">
        <f aca="false">F407*(1+g_nai29)</f>
        <v>1371.2227131456</v>
      </c>
    </row>
    <row r="408" customFormat="false" ht="15" hidden="false" customHeight="false" outlineLevel="0" collapsed="false">
      <c r="A408" s="4" t="s">
        <v>302</v>
      </c>
      <c r="B408" s="0" t="s">
        <v>165</v>
      </c>
      <c r="C408" s="19" t="n">
        <f aca="false">C405+C407</f>
        <v>2123.689</v>
      </c>
      <c r="D408" s="19" t="n">
        <f aca="false">D405+D407</f>
        <v>3998.715</v>
      </c>
      <c r="E408" s="19" t="n">
        <f aca="false">E405+E407</f>
        <v>6589.01546350355</v>
      </c>
      <c r="F408" s="19" t="n">
        <f aca="false">F405+F407</f>
        <v>6986.62442800445</v>
      </c>
      <c r="G408" s="19" t="n">
        <f aca="false">G405+G407</f>
        <v>7079.82077824222</v>
      </c>
    </row>
    <row r="409" customFormat="false" ht="15" hidden="false" customHeight="false" outlineLevel="0" collapsed="false">
      <c r="A409" s="4" t="s">
        <v>403</v>
      </c>
      <c r="B409" s="0" t="s">
        <v>49</v>
      </c>
      <c r="D409" s="15" t="n">
        <f aca="false">D408/C408-1</f>
        <v>0.88290987993063</v>
      </c>
      <c r="E409" s="15" t="n">
        <f aca="false">E408/D408-1</f>
        <v>0.647783216234102</v>
      </c>
      <c r="F409" s="15" t="n">
        <f aca="false">F408/E408-1</f>
        <v>0.0603442148076991</v>
      </c>
      <c r="G409" s="15" t="n">
        <f aca="false">G408/F408-1</f>
        <v>0.0133392529107774</v>
      </c>
    </row>
    <row r="410" customFormat="false" ht="17.15" hidden="false" customHeight="false" outlineLevel="0" collapsed="false">
      <c r="A410" s="0" t="s">
        <v>404</v>
      </c>
      <c r="B410" s="0" t="s">
        <v>49</v>
      </c>
      <c r="C410" s="15" t="n">
        <f aca="false">C405/C408</f>
        <v>0.426160798497332</v>
      </c>
      <c r="D410" s="15" t="n">
        <f aca="false">D405/D408</f>
        <v>0.68</v>
      </c>
      <c r="E410" s="15" t="n">
        <f aca="false">E405/E408</f>
        <v>0.79997368782935</v>
      </c>
      <c r="F410" s="15" t="n">
        <f aca="false">F405/F408</f>
        <v>0.807584333874953</v>
      </c>
      <c r="G410" s="15" t="n">
        <f aca="false">G405/G408</f>
        <v>0.806319572755336</v>
      </c>
    </row>
    <row r="411" customFormat="false" ht="17.15" hidden="false" customHeight="false" outlineLevel="0" collapsed="false">
      <c r="A411" s="4" t="s">
        <v>364</v>
      </c>
      <c r="B411" s="0" t="s">
        <v>350</v>
      </c>
      <c r="D411" s="16" t="n">
        <f aca="false">D405/fx/D396</f>
        <v>3.63138338873399</v>
      </c>
      <c r="E411" s="16" t="n">
        <f aca="false">E405/fx/E396</f>
        <v>3.29597359817473</v>
      </c>
      <c r="F411" s="16" t="n">
        <f aca="false">F405/fx/F396</f>
        <v>2.78326659401422</v>
      </c>
      <c r="G411" s="16" t="n">
        <f aca="false">G405/fx/G396</f>
        <v>2.47198019863105</v>
      </c>
    </row>
    <row r="412" customFormat="false" ht="17.15" hidden="false" customHeight="false" outlineLevel="0" collapsed="false">
      <c r="A412" s="4" t="s">
        <v>405</v>
      </c>
      <c r="B412" s="4" t="s">
        <v>362</v>
      </c>
      <c r="D412" s="19" t="n">
        <f aca="false">D403/fx/(odm_gb*(1-vr26)+odm_vr*vr26)</f>
        <v>18.4522679153094</v>
      </c>
      <c r="E412" s="19" t="n">
        <f aca="false">E403/fx/odm_vr</f>
        <v>27.1143981455944</v>
      </c>
      <c r="F412" s="19" t="n">
        <f aca="false">F403/fx/odm_vr</f>
        <v>32.6521321453961</v>
      </c>
      <c r="G412" s="19" t="n">
        <f aca="false">G403/fx/odm_vr</f>
        <v>35.2382596610903</v>
      </c>
      <c r="H412" s="4" t="s">
        <v>406</v>
      </c>
    </row>
    <row r="413" customFormat="false" ht="17.15" hidden="false" customHeight="false" outlineLevel="0" collapsed="false">
      <c r="A413" s="6" t="s">
        <v>407</v>
      </c>
    </row>
    <row r="414" customFormat="false" ht="17.15" hidden="false" customHeight="false" outlineLevel="0" collapsed="false">
      <c r="A414" s="4" t="s">
        <v>408</v>
      </c>
      <c r="B414" s="0" t="s">
        <v>49</v>
      </c>
      <c r="D414" s="14" t="n">
        <f aca="false">a26_gp/D408-d_ai*D410</f>
        <v>0.0632307213692399</v>
      </c>
      <c r="H414" s="8" t="s">
        <v>409</v>
      </c>
    </row>
    <row r="415" customFormat="false" ht="17.15" hidden="false" customHeight="false" outlineLevel="0" collapsed="false">
      <c r="A415" s="0" t="s">
        <v>410</v>
      </c>
      <c r="B415" s="0" t="s">
        <v>165</v>
      </c>
      <c r="D415" s="21" t="n">
        <f aca="false">($D$414+d_ai)*D403*(1-D404*(1-keep))</f>
        <v>117.54978712</v>
      </c>
      <c r="E415" s="21" t="n">
        <f aca="false">($D$414+d_ai+vrd)*E403*(1-E404*(1-keep))</f>
        <v>233.263471446966</v>
      </c>
      <c r="F415" s="21" t="n">
        <f aca="false">($D$414+d_ai+vrd)*F403*(1-F404*(1-keep))</f>
        <v>278.066834030298</v>
      </c>
      <c r="G415" s="21" t="n">
        <f aca="false">($D$414+d_ai+vrd)*G403*(1-G404*(1-keep))</f>
        <v>298.559323615649</v>
      </c>
      <c r="H415" s="4" t="s">
        <v>411</v>
      </c>
    </row>
    <row r="416" customFormat="false" ht="15" hidden="false" customHeight="false" outlineLevel="0" collapsed="false">
      <c r="A416" s="4" t="s">
        <v>306</v>
      </c>
      <c r="B416" s="0" t="s">
        <v>165</v>
      </c>
      <c r="C416" s="19" t="n">
        <f aca="false">a25_gp</f>
        <v>148.2334922</v>
      </c>
      <c r="D416" s="19" t="n">
        <f aca="false">a26_gp</f>
        <v>198.45911</v>
      </c>
      <c r="E416" s="19" t="n">
        <f aca="false">$D$414*E407+E415</f>
        <v>316.600074013366</v>
      </c>
      <c r="F416" s="19" t="n">
        <f aca="false">$D$414*F407+F415</f>
        <v>363.070168648026</v>
      </c>
      <c r="G416" s="19" t="n">
        <f aca="false">$D$414*G407+G415</f>
        <v>385.262724925732</v>
      </c>
    </row>
    <row r="417" customFormat="false" ht="15" hidden="false" customHeight="false" outlineLevel="0" collapsed="false">
      <c r="A417" s="4" t="s">
        <v>309</v>
      </c>
      <c r="B417" s="0" t="s">
        <v>49</v>
      </c>
      <c r="C417" s="14" t="n">
        <f aca="false">C416/C408</f>
        <v>0.0698</v>
      </c>
      <c r="D417" s="14" t="n">
        <f aca="false">D416/D408</f>
        <v>0.0496307213692399</v>
      </c>
      <c r="E417" s="14" t="n">
        <f aca="false">E416/E408</f>
        <v>0.0480496784029434</v>
      </c>
      <c r="F417" s="14" t="n">
        <f aca="false">F416/F408</f>
        <v>0.0519664642617304</v>
      </c>
      <c r="G417" s="14" t="n">
        <f aca="false">G416/G408</f>
        <v>0.0544170166156925</v>
      </c>
    </row>
    <row r="418" customFormat="false" ht="17.15" hidden="false" customHeight="false" outlineLevel="0" collapsed="false">
      <c r="A418" s="0" t="s">
        <v>412</v>
      </c>
      <c r="B418" s="0" t="s">
        <v>49</v>
      </c>
      <c r="D418" s="14" t="n">
        <f aca="false">D415/D405</f>
        <v>0.0432307213692399</v>
      </c>
      <c r="E418" s="14" t="n">
        <f aca="false">E415/E405</f>
        <v>0.0442537935061639</v>
      </c>
      <c r="F418" s="14" t="n">
        <f aca="false">F415/F405</f>
        <v>0.0492826336773188</v>
      </c>
      <c r="G418" s="14" t="n">
        <f aca="false">G415/G405</f>
        <v>0.0522999377800118</v>
      </c>
      <c r="H418" s="4" t="s">
        <v>413</v>
      </c>
    </row>
    <row r="419" customFormat="false" ht="15" hidden="false" customHeight="false" outlineLevel="0" collapsed="false">
      <c r="A419" s="4" t="s">
        <v>414</v>
      </c>
      <c r="B419" s="0" t="s">
        <v>165</v>
      </c>
      <c r="C419" s="19" t="n">
        <f aca="false">a25_opx</f>
        <v>60.7375054</v>
      </c>
      <c r="D419" s="19" t="n">
        <f aca="false">a26_opx</f>
        <v>71.1893725</v>
      </c>
      <c r="E419" s="19" t="n">
        <f aca="false">D419*(1+MAX(0,phi*E409))</f>
        <v>89.635484771895</v>
      </c>
      <c r="F419" s="19" t="n">
        <f aca="false">E419*(1+MAX(0,phi*F409))</f>
        <v>91.799077950882</v>
      </c>
      <c r="G419" s="19" t="n">
        <f aca="false">F419*(1+MAX(0,phi*G409))</f>
        <v>92.2888903979872</v>
      </c>
    </row>
    <row r="420" customFormat="false" ht="15" hidden="false" customHeight="false" outlineLevel="0" collapsed="false">
      <c r="A420" s="4" t="s">
        <v>310</v>
      </c>
      <c r="B420" s="0" t="s">
        <v>165</v>
      </c>
      <c r="C420" s="19" t="n">
        <f aca="false">C419</f>
        <v>60.7375054</v>
      </c>
      <c r="D420" s="19" t="n">
        <f aca="false">D419</f>
        <v>71.1893725</v>
      </c>
      <c r="E420" s="19" t="n">
        <f aca="false">E419+0*E408</f>
        <v>89.635484771895</v>
      </c>
      <c r="F420" s="19" t="n">
        <f aca="false">F419+0*F408</f>
        <v>91.799077950882</v>
      </c>
      <c r="G420" s="19" t="n">
        <f aca="false">G419+0*G408</f>
        <v>92.2888903979872</v>
      </c>
    </row>
    <row r="421" customFormat="false" ht="15" hidden="false" customHeight="false" outlineLevel="0" collapsed="false">
      <c r="A421" s="4" t="s">
        <v>313</v>
      </c>
      <c r="B421" s="0" t="s">
        <v>165</v>
      </c>
      <c r="C421" s="19" t="n">
        <f aca="false">C416-C420</f>
        <v>87.4959868</v>
      </c>
      <c r="D421" s="19" t="n">
        <f aca="false">D416-D420</f>
        <v>127.2697375</v>
      </c>
      <c r="E421" s="19" t="n">
        <f aca="false">E416-E420</f>
        <v>226.964589241471</v>
      </c>
      <c r="F421" s="19" t="n">
        <f aca="false">F416-F420</f>
        <v>271.271090697144</v>
      </c>
      <c r="G421" s="19" t="n">
        <f aca="false">G416-G420</f>
        <v>292.973834527745</v>
      </c>
    </row>
    <row r="422" customFormat="false" ht="15" hidden="false" customHeight="false" outlineLevel="0" collapsed="false">
      <c r="A422" s="4" t="s">
        <v>316</v>
      </c>
      <c r="B422" s="0" t="s">
        <v>49</v>
      </c>
      <c r="C422" s="14" t="n">
        <f aca="false">C421/C408</f>
        <v>0.0412</v>
      </c>
      <c r="D422" s="14" t="n">
        <f aca="false">D421/D408</f>
        <v>0.0318276590104571</v>
      </c>
      <c r="E422" s="14" t="n">
        <f aca="false">E421/E408</f>
        <v>0.03444590326106</v>
      </c>
      <c r="F422" s="14" t="n">
        <f aca="false">F421/F408</f>
        <v>0.0388272038224653</v>
      </c>
      <c r="G422" s="14" t="n">
        <f aca="false">G421/G408</f>
        <v>0.0413815326269437</v>
      </c>
    </row>
    <row r="423" customFormat="false" ht="17.15" hidden="false" customHeight="false" outlineLevel="0" collapsed="false">
      <c r="A423" s="4" t="s">
        <v>199</v>
      </c>
      <c r="B423" s="0" t="s">
        <v>49</v>
      </c>
      <c r="C423" s="15" t="n">
        <f aca="false">a25_ni/a25_oi</f>
        <v>0.856953590013114</v>
      </c>
      <c r="D423" s="15" t="n">
        <f aca="false">a26_ni/a26_oi</f>
        <v>0.869913569398224</v>
      </c>
      <c r="E423" s="15" t="n">
        <f aca="false">nio_f</f>
        <v>0.865</v>
      </c>
      <c r="F423" s="15" t="n">
        <f aca="false">nio_f</f>
        <v>0.865</v>
      </c>
      <c r="G423" s="15" t="n">
        <f aca="false">nio_f</f>
        <v>0.865</v>
      </c>
    </row>
    <row r="424" customFormat="false" ht="15" hidden="false" customHeight="false" outlineLevel="0" collapsed="false">
      <c r="A424" s="4" t="s">
        <v>317</v>
      </c>
      <c r="B424" s="0" t="s">
        <v>165</v>
      </c>
      <c r="C424" s="19" t="n">
        <f aca="false">a25_ni</f>
        <v>74.98</v>
      </c>
      <c r="D424" s="19" t="n">
        <f aca="false">a26_ni</f>
        <v>110.713671625</v>
      </c>
      <c r="E424" s="19" t="n">
        <f aca="false">E421*E423</f>
        <v>196.324369693873</v>
      </c>
      <c r="F424" s="19" t="n">
        <f aca="false">F421*F423</f>
        <v>234.64949345303</v>
      </c>
      <c r="G424" s="19" t="n">
        <f aca="false">G421*G423</f>
        <v>253.422366866499</v>
      </c>
    </row>
    <row r="425" customFormat="false" ht="15" hidden="false" customHeight="false" outlineLevel="0" collapsed="false">
      <c r="A425" s="4" t="s">
        <v>415</v>
      </c>
      <c r="B425" s="4" t="s">
        <v>186</v>
      </c>
      <c r="C425" s="22" t="n">
        <f aca="false">a25_sh</f>
        <v>3.85501285347044</v>
      </c>
      <c r="D425" s="22" t="n">
        <f aca="false">a26_sh</f>
        <v>3.85460170146945</v>
      </c>
      <c r="E425" s="22" t="n">
        <f aca="false">D425*(1+sh_g)</f>
        <v>3.85460170146945</v>
      </c>
      <c r="F425" s="22" t="n">
        <f aca="false">E425*(1+sh_g)</f>
        <v>3.85460170146945</v>
      </c>
      <c r="G425" s="22" t="n">
        <f aca="false">F425*(1+sh_g)</f>
        <v>3.85460170146945</v>
      </c>
    </row>
    <row r="426" customFormat="false" ht="15" hidden="false" customHeight="false" outlineLevel="0" collapsed="false">
      <c r="A426" s="0" t="s">
        <v>323</v>
      </c>
      <c r="B426" s="0" t="s">
        <v>216</v>
      </c>
      <c r="C426" s="21" t="n">
        <f aca="false">C424/C425</f>
        <v>19.45</v>
      </c>
      <c r="D426" s="21" t="n">
        <f aca="false">D424/D425</f>
        <v>28.7224673778341</v>
      </c>
      <c r="E426" s="21" t="n">
        <f aca="false">E424/E425</f>
        <v>50.9324658936953</v>
      </c>
      <c r="F426" s="21" t="n">
        <f aca="false">F424/F425</f>
        <v>60.8751595174091</v>
      </c>
      <c r="G426" s="21" t="n">
        <f aca="false">G424/G425</f>
        <v>65.7454093816981</v>
      </c>
    </row>
    <row r="427" customFormat="false" ht="17.15" hidden="false" customHeight="false" outlineLevel="0" collapsed="false">
      <c r="A427" s="0" t="s">
        <v>416</v>
      </c>
      <c r="B427" s="0" t="s">
        <v>49</v>
      </c>
      <c r="D427" s="15" t="n">
        <f aca="false">D426/C426-1</f>
        <v>0.476733541276816</v>
      </c>
      <c r="E427" s="15" t="n">
        <f aca="false">E426/D426-1</f>
        <v>0.773262207027567</v>
      </c>
      <c r="F427" s="15" t="n">
        <f aca="false">F426/E426-1</f>
        <v>0.195213277999653</v>
      </c>
      <c r="G427" s="15" t="n">
        <f aca="false">G426/F426-1</f>
        <v>0.0800038949039001</v>
      </c>
    </row>
    <row r="430" customFormat="false" ht="17.15" hidden="false" customHeight="false" outlineLevel="0" collapsed="false">
      <c r="A430" s="1" t="s">
        <v>721</v>
      </c>
    </row>
    <row r="431" customFormat="false" ht="17.15" hidden="false" customHeight="false" outlineLevel="0" collapsed="false">
      <c r="A431" s="5" t="s">
        <v>18</v>
      </c>
      <c r="B431" s="5" t="s">
        <v>19</v>
      </c>
      <c r="C431" s="11" t="s">
        <v>296</v>
      </c>
      <c r="D431" s="11" t="s">
        <v>372</v>
      </c>
      <c r="E431" s="11" t="s">
        <v>373</v>
      </c>
      <c r="F431" s="11" t="s">
        <v>374</v>
      </c>
      <c r="G431" s="11" t="s">
        <v>375</v>
      </c>
      <c r="H431" s="5" t="s">
        <v>345</v>
      </c>
    </row>
    <row r="432" customFormat="false" ht="17.15" hidden="false" customHeight="false" outlineLevel="0" collapsed="false">
      <c r="A432" s="6" t="s">
        <v>389</v>
      </c>
    </row>
    <row r="433" customFormat="false" ht="17.15" hidden="false" customHeight="false" outlineLevel="0" collapsed="false">
      <c r="A433" s="0" t="s">
        <v>390</v>
      </c>
      <c r="B433" s="0" t="s">
        <v>29</v>
      </c>
      <c r="D433" s="21" t="n">
        <f aca="false">itc_26*1</f>
        <v>781.872916666667</v>
      </c>
      <c r="E433" s="21" t="n">
        <f aca="false">itc_27*1*1</f>
        <v>1565.35</v>
      </c>
      <c r="F433" s="21" t="n">
        <f aca="false">itc_28*um28_A*1</f>
        <v>1984.26388888889</v>
      </c>
      <c r="G433" s="21" t="n">
        <f aca="false">itc_29*um29_A*1</f>
        <v>2260.39027777778</v>
      </c>
    </row>
    <row r="434" customFormat="false" ht="17.15" hidden="false" customHeight="false" outlineLevel="0" collapsed="false">
      <c r="A434" s="4" t="s">
        <v>391</v>
      </c>
      <c r="B434" s="0" t="s">
        <v>29</v>
      </c>
      <c r="D434" s="21" t="n">
        <f aca="false">itpg_gb*(1-vr26)+itpg_vr*vr26</f>
        <v>33.41403216</v>
      </c>
      <c r="E434" s="21" t="n">
        <f aca="false">itpg_vr</f>
        <v>37.586352</v>
      </c>
      <c r="F434" s="21" t="n">
        <f aca="false">itpg_vr</f>
        <v>37.586352</v>
      </c>
      <c r="G434" s="21" t="n">
        <f aca="false">itpg_vr</f>
        <v>37.586352</v>
      </c>
    </row>
    <row r="435" customFormat="false" ht="17.15" hidden="false" customHeight="false" outlineLevel="0" collapsed="false">
      <c r="A435" s="4" t="s">
        <v>392</v>
      </c>
      <c r="B435" s="0" t="s">
        <v>347</v>
      </c>
      <c r="D435" s="18" t="n">
        <f aca="false">D433/D434</f>
        <v>23.3995380420639</v>
      </c>
      <c r="E435" s="18" t="n">
        <f aca="false">E433/E434</f>
        <v>41.6467658260637</v>
      </c>
      <c r="F435" s="18" t="n">
        <f aca="false">F433/F434</f>
        <v>52.792138191248</v>
      </c>
      <c r="G435" s="18" t="n">
        <f aca="false">G433/G434</f>
        <v>60.1385917361116</v>
      </c>
    </row>
    <row r="436" customFormat="false" ht="17.15" hidden="false" customHeight="false" outlineLevel="0" collapsed="false">
      <c r="A436" s="4" t="s">
        <v>349</v>
      </c>
      <c r="B436" s="0" t="s">
        <v>350</v>
      </c>
      <c r="D436" s="16" t="n">
        <f aca="false">(racks_gb*odm_gb*(1-vr26)+racks_vr*odm_vr*vr26)/1000</f>
        <v>27.1209</v>
      </c>
      <c r="E436" s="16" t="n">
        <f aca="false">racks_vr*odm_vr/1000</f>
        <v>27.351</v>
      </c>
      <c r="F436" s="16" t="n">
        <f aca="false">$E436*vpg_28</f>
        <v>27.351</v>
      </c>
      <c r="G436" s="16" t="n">
        <f aca="false">$E436*vpg_29</f>
        <v>27.351</v>
      </c>
      <c r="H436" s="4" t="s">
        <v>393</v>
      </c>
    </row>
    <row r="437" customFormat="false" ht="17.15" hidden="false" customHeight="false" outlineLevel="0" collapsed="false">
      <c r="A437" s="0" t="s">
        <v>394</v>
      </c>
      <c r="B437" s="0" t="s">
        <v>29</v>
      </c>
      <c r="D437" s="19" t="n">
        <f aca="false">D435*D436</f>
        <v>634.616531285011</v>
      </c>
      <c r="E437" s="19" t="n">
        <f aca="false">E435*E436</f>
        <v>1139.08069210867</v>
      </c>
      <c r="F437" s="19" t="n">
        <f aca="false">F435*F436</f>
        <v>1443.91777166882</v>
      </c>
      <c r="G437" s="19" t="n">
        <f aca="false">G435*G436</f>
        <v>1644.85062257439</v>
      </c>
    </row>
    <row r="438" customFormat="false" ht="17.15" hidden="false" customHeight="false" outlineLevel="0" collapsed="false">
      <c r="A438" s="0" t="s">
        <v>395</v>
      </c>
      <c r="B438" s="0" t="s">
        <v>165</v>
      </c>
      <c r="D438" s="19" t="n">
        <f aca="false">D437*fx</f>
        <v>20307.7290011204</v>
      </c>
      <c r="E438" s="19" t="n">
        <f aca="false">E437*fx</f>
        <v>36450.5821474774</v>
      </c>
      <c r="F438" s="19" t="n">
        <f aca="false">F437*fx</f>
        <v>46205.3686934024</v>
      </c>
      <c r="G438" s="19" t="n">
        <f aca="false">G437*fx</f>
        <v>52635.2199223804</v>
      </c>
    </row>
    <row r="439" customFormat="false" ht="17.15" hidden="false" customHeight="false" outlineLevel="0" collapsed="false">
      <c r="A439" s="4" t="s">
        <v>396</v>
      </c>
      <c r="B439" s="0" t="s">
        <v>49</v>
      </c>
      <c r="D439" s="15" t="n">
        <f aca="false">a26_ai/D438</f>
        <v>0.133896123975753</v>
      </c>
      <c r="H439" s="8" t="s">
        <v>397</v>
      </c>
    </row>
    <row r="440" customFormat="false" ht="17.15" hidden="false" customHeight="false" outlineLevel="0" collapsed="false">
      <c r="A440" s="4" t="s">
        <v>398</v>
      </c>
      <c r="B440" s="0" t="s">
        <v>69</v>
      </c>
      <c r="D440" s="16" t="n">
        <f aca="false">1</f>
        <v>1</v>
      </c>
      <c r="E440" s="16" t="n">
        <f aca="false">rel_27</f>
        <v>1</v>
      </c>
      <c r="F440" s="16" t="n">
        <f aca="false">rel_28</f>
        <v>0.95</v>
      </c>
      <c r="G440" s="16" t="n">
        <f aca="false">rel_29</f>
        <v>0.9</v>
      </c>
    </row>
    <row r="441" customFormat="false" ht="15" hidden="false" customHeight="false" outlineLevel="0" collapsed="false">
      <c r="A441" s="4" t="s">
        <v>354</v>
      </c>
      <c r="B441" s="0" t="s">
        <v>49</v>
      </c>
      <c r="D441" s="15" t="n">
        <f aca="false">$D$439*D440</f>
        <v>0.133896123975753</v>
      </c>
      <c r="E441" s="15" t="n">
        <f aca="false">$D$439*E440</f>
        <v>0.133896123975753</v>
      </c>
      <c r="F441" s="15" t="n">
        <f aca="false">$D$439*F440</f>
        <v>0.127201317776965</v>
      </c>
      <c r="G441" s="15" t="n">
        <f aca="false">$D$439*G440</f>
        <v>0.120506511578177</v>
      </c>
    </row>
    <row r="442" customFormat="false" ht="17.15" hidden="false" customHeight="false" outlineLevel="0" collapsed="false">
      <c r="A442" s="0" t="s">
        <v>399</v>
      </c>
      <c r="B442" s="0" t="s">
        <v>165</v>
      </c>
      <c r="D442" s="19" t="n">
        <f aca="false">D438*D441</f>
        <v>2719.1262</v>
      </c>
      <c r="E442" s="19" t="n">
        <f aca="false">E438*E441</f>
        <v>4880.59166620699</v>
      </c>
      <c r="F442" s="19" t="n">
        <f aca="false">F438*F441</f>
        <v>5877.38378617131</v>
      </c>
      <c r="G442" s="19" t="n">
        <f aca="false">G438*G441</f>
        <v>6342.88673899625</v>
      </c>
    </row>
    <row r="443" customFormat="false" ht="17.15" hidden="false" customHeight="false" outlineLevel="0" collapsed="false">
      <c r="A443" s="4" t="s">
        <v>358</v>
      </c>
      <c r="B443" s="0" t="s">
        <v>49</v>
      </c>
      <c r="D443" s="15" t="n">
        <f aca="false">0</f>
        <v>0</v>
      </c>
      <c r="E443" s="15" t="n">
        <f aca="false">cs_27</f>
        <v>0.1</v>
      </c>
      <c r="F443" s="15" t="n">
        <f aca="false">cs_28</f>
        <v>0.2</v>
      </c>
      <c r="G443" s="15" t="n">
        <f aca="false">cs_29</f>
        <v>0.25</v>
      </c>
      <c r="H443" s="8" t="s">
        <v>400</v>
      </c>
    </row>
    <row r="444" customFormat="false" ht="17.15" hidden="false" customHeight="false" outlineLevel="0" collapsed="false">
      <c r="A444" s="0" t="s">
        <v>401</v>
      </c>
      <c r="B444" s="0" t="s">
        <v>165</v>
      </c>
      <c r="C444" s="19" t="n">
        <f aca="false">a25_ai</f>
        <v>905.033</v>
      </c>
      <c r="D444" s="19" t="n">
        <f aca="false">D442*(1-D443)</f>
        <v>2719.1262</v>
      </c>
      <c r="E444" s="19" t="n">
        <f aca="false">E442*(1-E443)</f>
        <v>4392.53249958629</v>
      </c>
      <c r="F444" s="19" t="n">
        <f aca="false">F442*(1-F443)</f>
        <v>4701.90702893704</v>
      </c>
      <c r="G444" s="19" t="n">
        <f aca="false">G442*(1-G443)</f>
        <v>4757.16505424718</v>
      </c>
    </row>
    <row r="445" customFormat="false" ht="17.15" hidden="false" customHeight="false" outlineLevel="0" collapsed="false">
      <c r="A445" s="6" t="s">
        <v>402</v>
      </c>
    </row>
    <row r="446" customFormat="false" ht="17.15" hidden="false" customHeight="false" outlineLevel="0" collapsed="false">
      <c r="A446" s="4" t="s">
        <v>331</v>
      </c>
      <c r="B446" s="0" t="s">
        <v>165</v>
      </c>
      <c r="C446" s="19" t="n">
        <f aca="false">a25_nai</f>
        <v>1218.656</v>
      </c>
      <c r="D446" s="19" t="n">
        <f aca="false">a26_nai</f>
        <v>1279.5888</v>
      </c>
      <c r="E446" s="19" t="n">
        <f aca="false">D446*(1+GNLO27)</f>
        <v>1215.60936</v>
      </c>
      <c r="F446" s="19" t="n">
        <f aca="false">E446*(1+GNLO28)</f>
        <v>1154.828892</v>
      </c>
      <c r="G446" s="19" t="n">
        <f aca="false">F446*(1+GNLO29)</f>
        <v>1097.0874474</v>
      </c>
    </row>
    <row r="447" customFormat="false" ht="15" hidden="false" customHeight="false" outlineLevel="0" collapsed="false">
      <c r="A447" s="4" t="s">
        <v>302</v>
      </c>
      <c r="B447" s="0" t="s">
        <v>165</v>
      </c>
      <c r="C447" s="19" t="n">
        <f aca="false">C444+C446</f>
        <v>2123.689</v>
      </c>
      <c r="D447" s="19" t="n">
        <f aca="false">D444+D446</f>
        <v>3998.715</v>
      </c>
      <c r="E447" s="19" t="n">
        <f aca="false">E444+E446</f>
        <v>5608.14185958629</v>
      </c>
      <c r="F447" s="19" t="n">
        <f aca="false">F444+F446</f>
        <v>5856.73592093704</v>
      </c>
      <c r="G447" s="19" t="n">
        <f aca="false">G444+G446</f>
        <v>5854.25250164718</v>
      </c>
    </row>
    <row r="448" customFormat="false" ht="15" hidden="false" customHeight="false" outlineLevel="0" collapsed="false">
      <c r="A448" s="4" t="s">
        <v>403</v>
      </c>
      <c r="B448" s="0" t="s">
        <v>49</v>
      </c>
      <c r="D448" s="15" t="n">
        <f aca="false">D447/C447-1</f>
        <v>0.88290987993063</v>
      </c>
      <c r="E448" s="15" t="n">
        <f aca="false">E447/D447-1</f>
        <v>0.402486013528418</v>
      </c>
      <c r="F448" s="15" t="n">
        <f aca="false">F447/E447-1</f>
        <v>0.0443273489820557</v>
      </c>
      <c r="G448" s="15" t="n">
        <f aca="false">G447/F447-1</f>
        <v>-0.000424027875489674</v>
      </c>
    </row>
    <row r="449" customFormat="false" ht="17.15" hidden="false" customHeight="false" outlineLevel="0" collapsed="false">
      <c r="A449" s="0" t="s">
        <v>404</v>
      </c>
      <c r="B449" s="0" t="s">
        <v>49</v>
      </c>
      <c r="C449" s="15" t="n">
        <f aca="false">C444/C447</f>
        <v>0.426160798497332</v>
      </c>
      <c r="D449" s="15" t="n">
        <f aca="false">D444/D447</f>
        <v>0.68</v>
      </c>
      <c r="E449" s="15" t="n">
        <f aca="false">E444/E447</f>
        <v>0.78324204514868</v>
      </c>
      <c r="F449" s="15" t="n">
        <f aca="false">F444/F447</f>
        <v>0.802820392179261</v>
      </c>
      <c r="G449" s="15" t="n">
        <f aca="false">G444/G447</f>
        <v>0.812599909708145</v>
      </c>
    </row>
    <row r="450" customFormat="false" ht="17.15" hidden="false" customHeight="false" outlineLevel="0" collapsed="false">
      <c r="A450" s="4" t="s">
        <v>364</v>
      </c>
      <c r="B450" s="0" t="s">
        <v>350</v>
      </c>
      <c r="D450" s="16" t="n">
        <f aca="false">D444/fx/D435</f>
        <v>3.63138338873399</v>
      </c>
      <c r="E450" s="16" t="n">
        <f aca="false">E444/fx/E435</f>
        <v>3.29597359817473</v>
      </c>
      <c r="F450" s="16" t="n">
        <f aca="false">F444/fx/F435</f>
        <v>2.78326659401422</v>
      </c>
      <c r="G450" s="16" t="n">
        <f aca="false">G444/fx/G435</f>
        <v>2.47198019863105</v>
      </c>
    </row>
    <row r="451" customFormat="false" ht="17.15" hidden="false" customHeight="false" outlineLevel="0" collapsed="false">
      <c r="A451" s="4" t="s">
        <v>405</v>
      </c>
      <c r="B451" s="4" t="s">
        <v>362</v>
      </c>
      <c r="D451" s="19" t="n">
        <f aca="false">D442/fx/(odm_gb*(1-vr26)+odm_vr*vr26)</f>
        <v>18.4522679153094</v>
      </c>
      <c r="E451" s="19" t="n">
        <f aca="false">E442/fx/odm_vr</f>
        <v>22.5953317879953</v>
      </c>
      <c r="F451" s="19" t="n">
        <f aca="false">F442/fx/odm_vr</f>
        <v>27.2101101211634</v>
      </c>
      <c r="G451" s="19" t="n">
        <f aca="false">G442/fx/odm_vr</f>
        <v>29.3652163842419</v>
      </c>
      <c r="H451" s="4" t="s">
        <v>406</v>
      </c>
    </row>
    <row r="452" customFormat="false" ht="17.15" hidden="false" customHeight="false" outlineLevel="0" collapsed="false">
      <c r="A452" s="6" t="s">
        <v>407</v>
      </c>
    </row>
    <row r="453" customFormat="false" ht="17.15" hidden="false" customHeight="false" outlineLevel="0" collapsed="false">
      <c r="A453" s="4" t="s">
        <v>408</v>
      </c>
      <c r="B453" s="0" t="s">
        <v>49</v>
      </c>
      <c r="D453" s="14" t="n">
        <f aca="false">a26_gp/D447-d_ai*D449</f>
        <v>0.0632307213692399</v>
      </c>
      <c r="H453" s="8" t="s">
        <v>409</v>
      </c>
    </row>
    <row r="454" customFormat="false" ht="17.15" hidden="false" customHeight="false" outlineLevel="0" collapsed="false">
      <c r="A454" s="0" t="s">
        <v>410</v>
      </c>
      <c r="B454" s="0" t="s">
        <v>165</v>
      </c>
      <c r="D454" s="21" t="n">
        <f aca="false">($D$453+d_ai)*D442*(1-D443*(1-keep))</f>
        <v>117.54978712</v>
      </c>
      <c r="E454" s="21" t="n">
        <f aca="false">($D$453+d_ai+vrd)*E442*(1-E443*(1-keep))</f>
        <v>194.386226205805</v>
      </c>
      <c r="F454" s="21" t="n">
        <f aca="false">($D$453+d_ai+vrd)*F442*(1-F443*(1-keep))</f>
        <v>231.722361691915</v>
      </c>
      <c r="G454" s="21" t="n">
        <f aca="false">($D$453+d_ai+vrd)*G442*(1-G443*(1-keep))</f>
        <v>248.799436346374</v>
      </c>
      <c r="H454" s="4" t="s">
        <v>411</v>
      </c>
    </row>
    <row r="455" customFormat="false" ht="15" hidden="false" customHeight="false" outlineLevel="0" collapsed="false">
      <c r="A455" s="4" t="s">
        <v>306</v>
      </c>
      <c r="B455" s="0" t="s">
        <v>165</v>
      </c>
      <c r="C455" s="19" t="n">
        <f aca="false">a25_gp</f>
        <v>148.2334922</v>
      </c>
      <c r="D455" s="19" t="n">
        <f aca="false">a26_gp</f>
        <v>198.45911</v>
      </c>
      <c r="E455" s="19" t="n">
        <f aca="false">$D$453*E446+E454</f>
        <v>271.250082941805</v>
      </c>
      <c r="F455" s="19" t="n">
        <f aca="false">$D$453*F446+F454</f>
        <v>304.743025591115</v>
      </c>
      <c r="G455" s="19" t="n">
        <f aca="false">$D$453*G446+G454</f>
        <v>318.169067050614</v>
      </c>
    </row>
    <row r="456" customFormat="false" ht="15" hidden="false" customHeight="false" outlineLevel="0" collapsed="false">
      <c r="A456" s="4" t="s">
        <v>309</v>
      </c>
      <c r="B456" s="0" t="s">
        <v>49</v>
      </c>
      <c r="C456" s="14" t="n">
        <f aca="false">C455/C447</f>
        <v>0.0698</v>
      </c>
      <c r="D456" s="14" t="n">
        <f aca="false">D455/D447</f>
        <v>0.0496307213692399</v>
      </c>
      <c r="E456" s="14" t="n">
        <f aca="false">E455/E447</f>
        <v>0.0483671935791252</v>
      </c>
      <c r="F456" s="14" t="n">
        <f aca="false">F455/F447</f>
        <v>0.0520329121382611</v>
      </c>
      <c r="G456" s="14" t="n">
        <f aca="false">G455/G447</f>
        <v>0.0543483676115939</v>
      </c>
    </row>
    <row r="457" customFormat="false" ht="17.15" hidden="false" customHeight="false" outlineLevel="0" collapsed="false">
      <c r="A457" s="0" t="s">
        <v>412</v>
      </c>
      <c r="B457" s="0" t="s">
        <v>49</v>
      </c>
      <c r="D457" s="14" t="n">
        <f aca="false">D454/D444</f>
        <v>0.0432307213692399</v>
      </c>
      <c r="E457" s="14" t="n">
        <f aca="false">E454/E444</f>
        <v>0.0442537935061639</v>
      </c>
      <c r="F457" s="14" t="n">
        <f aca="false">F454/F444</f>
        <v>0.0492826336773188</v>
      </c>
      <c r="G457" s="14" t="n">
        <f aca="false">G454/G444</f>
        <v>0.0522999377800118</v>
      </c>
      <c r="H457" s="4" t="s">
        <v>413</v>
      </c>
    </row>
    <row r="458" customFormat="false" ht="15" hidden="false" customHeight="false" outlineLevel="0" collapsed="false">
      <c r="A458" s="4" t="s">
        <v>414</v>
      </c>
      <c r="B458" s="0" t="s">
        <v>165</v>
      </c>
      <c r="C458" s="19" t="n">
        <f aca="false">a25_opx</f>
        <v>60.7375054</v>
      </c>
      <c r="D458" s="19" t="n">
        <f aca="false">a26_opx</f>
        <v>71.1893725</v>
      </c>
      <c r="E458" s="19" t="n">
        <f aca="false">D458*(1+MAX(0,phi*E448))</f>
        <v>82.6504631972458</v>
      </c>
      <c r="F458" s="19" t="n">
        <f aca="false">E458*(1+MAX(0,phi*F448))</f>
        <v>84.115933567515</v>
      </c>
      <c r="G458" s="19" t="n">
        <f aca="false">F458*(1+MAX(0,phi*G448))</f>
        <v>84.115933567515</v>
      </c>
    </row>
    <row r="459" customFormat="false" ht="15" hidden="false" customHeight="false" outlineLevel="0" collapsed="false">
      <c r="A459" s="4" t="s">
        <v>310</v>
      </c>
      <c r="B459" s="0" t="s">
        <v>165</v>
      </c>
      <c r="C459" s="19" t="n">
        <f aca="false">C458</f>
        <v>60.7375054</v>
      </c>
      <c r="D459" s="19" t="n">
        <f aca="false">D458</f>
        <v>71.1893725</v>
      </c>
      <c r="E459" s="19" t="n">
        <f aca="false">E458+0*E447</f>
        <v>82.6504631972458</v>
      </c>
      <c r="F459" s="19" t="n">
        <f aca="false">F458+0*F447</f>
        <v>84.115933567515</v>
      </c>
      <c r="G459" s="19" t="n">
        <f aca="false">G458+0*G447</f>
        <v>84.115933567515</v>
      </c>
    </row>
    <row r="460" customFormat="false" ht="15" hidden="false" customHeight="false" outlineLevel="0" collapsed="false">
      <c r="A460" s="4" t="s">
        <v>313</v>
      </c>
      <c r="B460" s="0" t="s">
        <v>165</v>
      </c>
      <c r="C460" s="19" t="n">
        <f aca="false">C455-C459</f>
        <v>87.4959868</v>
      </c>
      <c r="D460" s="19" t="n">
        <f aca="false">D455-D459</f>
        <v>127.2697375</v>
      </c>
      <c r="E460" s="19" t="n">
        <f aca="false">E455-E459</f>
        <v>188.59961974456</v>
      </c>
      <c r="F460" s="19" t="n">
        <f aca="false">F455-F459</f>
        <v>220.6270920236</v>
      </c>
      <c r="G460" s="19" t="n">
        <f aca="false">G455-G459</f>
        <v>234.053133483099</v>
      </c>
    </row>
    <row r="461" customFormat="false" ht="15" hidden="false" customHeight="false" outlineLevel="0" collapsed="false">
      <c r="A461" s="4" t="s">
        <v>316</v>
      </c>
      <c r="B461" s="0" t="s">
        <v>49</v>
      </c>
      <c r="C461" s="14" t="n">
        <f aca="false">C460/C447</f>
        <v>0.0412</v>
      </c>
      <c r="D461" s="14" t="n">
        <f aca="false">D460/D447</f>
        <v>0.0318276590104571</v>
      </c>
      <c r="E461" s="14" t="n">
        <f aca="false">E460/E447</f>
        <v>0.0336296093192037</v>
      </c>
      <c r="F461" s="14" t="n">
        <f aca="false">F460/F447</f>
        <v>0.0376706573425802</v>
      </c>
      <c r="G461" s="14" t="n">
        <f aca="false">G460/G447</f>
        <v>0.039980020236101</v>
      </c>
    </row>
    <row r="462" customFormat="false" ht="17.15" hidden="false" customHeight="false" outlineLevel="0" collapsed="false">
      <c r="A462" s="4" t="s">
        <v>199</v>
      </c>
      <c r="B462" s="0" t="s">
        <v>49</v>
      </c>
      <c r="C462" s="15" t="n">
        <f aca="false">a25_ni/a25_oi</f>
        <v>0.856953590013114</v>
      </c>
      <c r="D462" s="15" t="n">
        <f aca="false">a26_ni/a26_oi</f>
        <v>0.869913569398224</v>
      </c>
      <c r="E462" s="15" t="n">
        <f aca="false">nio_f</f>
        <v>0.865</v>
      </c>
      <c r="F462" s="15" t="n">
        <f aca="false">nio_f</f>
        <v>0.865</v>
      </c>
      <c r="G462" s="15" t="n">
        <f aca="false">nio_f</f>
        <v>0.865</v>
      </c>
    </row>
    <row r="463" customFormat="false" ht="15" hidden="false" customHeight="false" outlineLevel="0" collapsed="false">
      <c r="A463" s="4" t="s">
        <v>317</v>
      </c>
      <c r="B463" s="0" t="s">
        <v>165</v>
      </c>
      <c r="C463" s="19" t="n">
        <f aca="false">a25_ni</f>
        <v>74.98</v>
      </c>
      <c r="D463" s="19" t="n">
        <f aca="false">a26_ni</f>
        <v>110.713671625</v>
      </c>
      <c r="E463" s="19" t="n">
        <f aca="false">E460*E462</f>
        <v>163.138671079044</v>
      </c>
      <c r="F463" s="19" t="n">
        <f aca="false">F460*F462</f>
        <v>190.842434600414</v>
      </c>
      <c r="G463" s="19" t="n">
        <f aca="false">G460*G462</f>
        <v>202.455960462881</v>
      </c>
    </row>
    <row r="464" customFormat="false" ht="15" hidden="false" customHeight="false" outlineLevel="0" collapsed="false">
      <c r="A464" s="4" t="s">
        <v>415</v>
      </c>
      <c r="B464" s="4" t="s">
        <v>186</v>
      </c>
      <c r="C464" s="22" t="n">
        <f aca="false">a25_sh</f>
        <v>3.85501285347044</v>
      </c>
      <c r="D464" s="22" t="n">
        <f aca="false">a26_sh</f>
        <v>3.85460170146945</v>
      </c>
      <c r="E464" s="22" t="n">
        <f aca="false">D464*(1+sh_g)</f>
        <v>3.85460170146945</v>
      </c>
      <c r="F464" s="22" t="n">
        <f aca="false">E464*(1+sh_g)</f>
        <v>3.85460170146945</v>
      </c>
      <c r="G464" s="22" t="n">
        <f aca="false">F464*(1+sh_g)</f>
        <v>3.85460170146945</v>
      </c>
    </row>
    <row r="465" customFormat="false" ht="15" hidden="false" customHeight="false" outlineLevel="0" collapsed="false">
      <c r="A465" s="0" t="s">
        <v>323</v>
      </c>
      <c r="B465" s="0" t="s">
        <v>216</v>
      </c>
      <c r="C465" s="21" t="n">
        <f aca="false">C463/C464</f>
        <v>19.45</v>
      </c>
      <c r="D465" s="21" t="n">
        <f aca="false">D463/D464</f>
        <v>28.7224673778341</v>
      </c>
      <c r="E465" s="21" t="n">
        <f aca="false">E463/E464</f>
        <v>42.3230942426171</v>
      </c>
      <c r="F465" s="21" t="n">
        <f aca="false">F463/F464</f>
        <v>49.5102865044814</v>
      </c>
      <c r="G465" s="21" t="n">
        <f aca="false">G463/G464</f>
        <v>52.5231855695235</v>
      </c>
    </row>
    <row r="466" customFormat="false" ht="17.15" hidden="false" customHeight="false" outlineLevel="0" collapsed="false">
      <c r="A466" s="0" t="s">
        <v>416</v>
      </c>
      <c r="B466" s="0" t="s">
        <v>49</v>
      </c>
      <c r="D466" s="15" t="n">
        <f aca="false">D465/C465-1</f>
        <v>0.476733541276816</v>
      </c>
      <c r="E466" s="15" t="n">
        <f aca="false">E465/D465-1</f>
        <v>0.473518750526254</v>
      </c>
      <c r="F466" s="15" t="n">
        <f aca="false">F465/E465-1</f>
        <v>0.169817268573599</v>
      </c>
      <c r="G466" s="15" t="n">
        <f aca="false">G465/F465-1</f>
        <v>0.0608540018197914</v>
      </c>
    </row>
    <row r="469" customFormat="false" ht="17.15" hidden="false" customHeight="false" outlineLevel="0" collapsed="false">
      <c r="A469" s="1" t="s">
        <v>722</v>
      </c>
    </row>
    <row r="470" customFormat="false" ht="17.15" hidden="false" customHeight="false" outlineLevel="0" collapsed="false">
      <c r="A470" s="5" t="s">
        <v>18</v>
      </c>
      <c r="B470" s="5" t="s">
        <v>19</v>
      </c>
      <c r="C470" s="11" t="s">
        <v>296</v>
      </c>
      <c r="D470" s="11" t="s">
        <v>372</v>
      </c>
      <c r="E470" s="11" t="s">
        <v>373</v>
      </c>
      <c r="F470" s="11" t="s">
        <v>374</v>
      </c>
      <c r="G470" s="11" t="s">
        <v>375</v>
      </c>
      <c r="H470" s="5" t="s">
        <v>345</v>
      </c>
    </row>
    <row r="471" customFormat="false" ht="17.15" hidden="false" customHeight="false" outlineLevel="0" collapsed="false">
      <c r="A471" s="6" t="s">
        <v>389</v>
      </c>
    </row>
    <row r="472" customFormat="false" ht="17.15" hidden="false" customHeight="false" outlineLevel="0" collapsed="false">
      <c r="A472" s="0" t="s">
        <v>390</v>
      </c>
      <c r="B472" s="0" t="s">
        <v>29</v>
      </c>
      <c r="D472" s="21" t="n">
        <f aca="false">itc_26*1</f>
        <v>781.872916666667</v>
      </c>
      <c r="E472" s="21" t="n">
        <f aca="false">itc_27*1*1</f>
        <v>1565.35</v>
      </c>
      <c r="F472" s="21" t="n">
        <f aca="false">itc_28*um28_A*1</f>
        <v>1984.26388888889</v>
      </c>
      <c r="G472" s="21" t="n">
        <f aca="false">itc_29*um29_A*1</f>
        <v>2260.39027777778</v>
      </c>
    </row>
    <row r="473" customFormat="false" ht="17.15" hidden="false" customHeight="false" outlineLevel="0" collapsed="false">
      <c r="A473" s="4" t="s">
        <v>391</v>
      </c>
      <c r="B473" s="0" t="s">
        <v>29</v>
      </c>
      <c r="D473" s="21" t="n">
        <f aca="false">itpg_gb*(1-vr26)+itpg_vr*vr26</f>
        <v>33.41403216</v>
      </c>
      <c r="E473" s="21" t="n">
        <f aca="false">itpg_vr</f>
        <v>37.586352</v>
      </c>
      <c r="F473" s="21" t="n">
        <f aca="false">itpg_vr</f>
        <v>37.586352</v>
      </c>
      <c r="G473" s="21" t="n">
        <f aca="false">itpg_vr</f>
        <v>37.586352</v>
      </c>
    </row>
    <row r="474" customFormat="false" ht="17.15" hidden="false" customHeight="false" outlineLevel="0" collapsed="false">
      <c r="A474" s="4" t="s">
        <v>392</v>
      </c>
      <c r="B474" s="0" t="s">
        <v>347</v>
      </c>
      <c r="D474" s="18" t="n">
        <f aca="false">D472/D473</f>
        <v>23.3995380420639</v>
      </c>
      <c r="E474" s="18" t="n">
        <f aca="false">E472/E473</f>
        <v>41.6467658260637</v>
      </c>
      <c r="F474" s="18" t="n">
        <f aca="false">F472/F473</f>
        <v>52.792138191248</v>
      </c>
      <c r="G474" s="18" t="n">
        <f aca="false">G472/G473</f>
        <v>60.1385917361116</v>
      </c>
    </row>
    <row r="475" customFormat="false" ht="17.15" hidden="false" customHeight="false" outlineLevel="0" collapsed="false">
      <c r="A475" s="4" t="s">
        <v>349</v>
      </c>
      <c r="B475" s="0" t="s">
        <v>350</v>
      </c>
      <c r="D475" s="16" t="n">
        <f aca="false">(racks_gb*odm_gb*(1-vr26)+racks_vr*odm_vr*vr26)/1000</f>
        <v>27.1209</v>
      </c>
      <c r="E475" s="16" t="n">
        <f aca="false">racks_vr*odm_vr/1000</f>
        <v>27.351</v>
      </c>
      <c r="F475" s="16" t="n">
        <f aca="false">$E475*vpg_28</f>
        <v>27.351</v>
      </c>
      <c r="G475" s="16" t="n">
        <f aca="false">$E475*vpg_29</f>
        <v>27.351</v>
      </c>
      <c r="H475" s="4" t="s">
        <v>393</v>
      </c>
    </row>
    <row r="476" customFormat="false" ht="17.15" hidden="false" customHeight="false" outlineLevel="0" collapsed="false">
      <c r="A476" s="0" t="s">
        <v>394</v>
      </c>
      <c r="B476" s="0" t="s">
        <v>29</v>
      </c>
      <c r="D476" s="19" t="n">
        <f aca="false">D474*D475</f>
        <v>634.616531285011</v>
      </c>
      <c r="E476" s="19" t="n">
        <f aca="false">E474*E475</f>
        <v>1139.08069210867</v>
      </c>
      <c r="F476" s="19" t="n">
        <f aca="false">F474*F475</f>
        <v>1443.91777166882</v>
      </c>
      <c r="G476" s="19" t="n">
        <f aca="false">G474*G475</f>
        <v>1644.85062257439</v>
      </c>
    </row>
    <row r="477" customFormat="false" ht="17.15" hidden="false" customHeight="false" outlineLevel="0" collapsed="false">
      <c r="A477" s="0" t="s">
        <v>395</v>
      </c>
      <c r="B477" s="0" t="s">
        <v>165</v>
      </c>
      <c r="D477" s="19" t="n">
        <f aca="false">D476*fx</f>
        <v>20307.7290011204</v>
      </c>
      <c r="E477" s="19" t="n">
        <f aca="false">E476*fx</f>
        <v>36450.5821474774</v>
      </c>
      <c r="F477" s="19" t="n">
        <f aca="false">F476*fx</f>
        <v>46205.3686934024</v>
      </c>
      <c r="G477" s="19" t="n">
        <f aca="false">G476*fx</f>
        <v>52635.2199223804</v>
      </c>
    </row>
    <row r="478" customFormat="false" ht="17.15" hidden="false" customHeight="false" outlineLevel="0" collapsed="false">
      <c r="A478" s="4" t="s">
        <v>396</v>
      </c>
      <c r="B478" s="0" t="s">
        <v>49</v>
      </c>
      <c r="D478" s="15" t="n">
        <f aca="false">a26_ai/D477</f>
        <v>0.133896123975753</v>
      </c>
      <c r="H478" s="8" t="s">
        <v>397</v>
      </c>
    </row>
    <row r="479" customFormat="false" ht="17.15" hidden="false" customHeight="false" outlineLevel="0" collapsed="false">
      <c r="A479" s="4" t="s">
        <v>398</v>
      </c>
      <c r="B479" s="0" t="s">
        <v>69</v>
      </c>
      <c r="D479" s="16" t="n">
        <f aca="false">1</f>
        <v>1</v>
      </c>
      <c r="E479" s="16" t="n">
        <f aca="false">rel_27</f>
        <v>1</v>
      </c>
      <c r="F479" s="16" t="n">
        <f aca="false">rel_28</f>
        <v>0.95</v>
      </c>
      <c r="G479" s="16" t="n">
        <f aca="false">rel_29</f>
        <v>0.9</v>
      </c>
    </row>
    <row r="480" customFormat="false" ht="15" hidden="false" customHeight="false" outlineLevel="0" collapsed="false">
      <c r="A480" s="4" t="s">
        <v>354</v>
      </c>
      <c r="B480" s="0" t="s">
        <v>49</v>
      </c>
      <c r="D480" s="15" t="n">
        <f aca="false">$D$478*D479</f>
        <v>0.133896123975753</v>
      </c>
      <c r="E480" s="15" t="n">
        <f aca="false">$D$478*E479</f>
        <v>0.133896123975753</v>
      </c>
      <c r="F480" s="15" t="n">
        <f aca="false">$D$478*F479</f>
        <v>0.127201317776965</v>
      </c>
      <c r="G480" s="15" t="n">
        <f aca="false">$D$478*G479</f>
        <v>0.120506511578177</v>
      </c>
    </row>
    <row r="481" customFormat="false" ht="17.15" hidden="false" customHeight="false" outlineLevel="0" collapsed="false">
      <c r="A481" s="0" t="s">
        <v>399</v>
      </c>
      <c r="B481" s="0" t="s">
        <v>165</v>
      </c>
      <c r="D481" s="19" t="n">
        <f aca="false">D477*D480</f>
        <v>2719.1262</v>
      </c>
      <c r="E481" s="19" t="n">
        <f aca="false">E477*E480</f>
        <v>4880.59166620699</v>
      </c>
      <c r="F481" s="19" t="n">
        <f aca="false">F477*F480</f>
        <v>5877.38378617131</v>
      </c>
      <c r="G481" s="19" t="n">
        <f aca="false">G477*G480</f>
        <v>6342.88673899625</v>
      </c>
    </row>
    <row r="482" customFormat="false" ht="17.15" hidden="false" customHeight="false" outlineLevel="0" collapsed="false">
      <c r="A482" s="4" t="s">
        <v>358</v>
      </c>
      <c r="B482" s="0" t="s">
        <v>49</v>
      </c>
      <c r="D482" s="15" t="n">
        <f aca="false">0</f>
        <v>0</v>
      </c>
      <c r="E482" s="15" t="n">
        <f aca="false">cs_27</f>
        <v>0.1</v>
      </c>
      <c r="F482" s="15" t="n">
        <f aca="false">cs_28</f>
        <v>0.2</v>
      </c>
      <c r="G482" s="15" t="n">
        <f aca="false">cs_29</f>
        <v>0.25</v>
      </c>
      <c r="H482" s="8" t="s">
        <v>400</v>
      </c>
    </row>
    <row r="483" customFormat="false" ht="17.15" hidden="false" customHeight="false" outlineLevel="0" collapsed="false">
      <c r="A483" s="0" t="s">
        <v>401</v>
      </c>
      <c r="B483" s="0" t="s">
        <v>165</v>
      </c>
      <c r="C483" s="19" t="n">
        <f aca="false">a25_ai</f>
        <v>905.033</v>
      </c>
      <c r="D483" s="19" t="n">
        <f aca="false">D481*(1-D482)</f>
        <v>2719.1262</v>
      </c>
      <c r="E483" s="19" t="n">
        <f aca="false">E481*(1-E482)</f>
        <v>4392.53249958629</v>
      </c>
      <c r="F483" s="19" t="n">
        <f aca="false">F481*(1-F482)</f>
        <v>4701.90702893704</v>
      </c>
      <c r="G483" s="19" t="n">
        <f aca="false">G481*(1-G482)</f>
        <v>4757.16505424718</v>
      </c>
    </row>
    <row r="484" customFormat="false" ht="17.15" hidden="false" customHeight="false" outlineLevel="0" collapsed="false">
      <c r="A484" s="6" t="s">
        <v>402</v>
      </c>
    </row>
    <row r="485" customFormat="false" ht="17.15" hidden="false" customHeight="false" outlineLevel="0" collapsed="false">
      <c r="A485" s="4" t="s">
        <v>331</v>
      </c>
      <c r="B485" s="0" t="s">
        <v>165</v>
      </c>
      <c r="C485" s="19" t="n">
        <f aca="false">a25_nai</f>
        <v>1218.656</v>
      </c>
      <c r="D485" s="19" t="n">
        <f aca="false">a26_nai</f>
        <v>1279.5888</v>
      </c>
      <c r="E485" s="19" t="n">
        <f aca="false">D485*(1+GNHI27)</f>
        <v>1381.955904</v>
      </c>
      <c r="F485" s="19" t="n">
        <f aca="false">E485*(1+GNHI28)</f>
        <v>1464.87325824</v>
      </c>
      <c r="G485" s="19" t="n">
        <f aca="false">F485*(1+GNHI29)</f>
        <v>1552.7656537344</v>
      </c>
    </row>
    <row r="486" customFormat="false" ht="15" hidden="false" customHeight="false" outlineLevel="0" collapsed="false">
      <c r="A486" s="4" t="s">
        <v>302</v>
      </c>
      <c r="B486" s="0" t="s">
        <v>165</v>
      </c>
      <c r="C486" s="19" t="n">
        <f aca="false">C483+C485</f>
        <v>2123.689</v>
      </c>
      <c r="D486" s="19" t="n">
        <f aca="false">D483+D485</f>
        <v>3998.715</v>
      </c>
      <c r="E486" s="19" t="n">
        <f aca="false">E483+E485</f>
        <v>5774.48840358629</v>
      </c>
      <c r="F486" s="19" t="n">
        <f aca="false">F483+F485</f>
        <v>6166.78028717704</v>
      </c>
      <c r="G486" s="19" t="n">
        <f aca="false">G483+G485</f>
        <v>6309.93070798158</v>
      </c>
    </row>
    <row r="487" customFormat="false" ht="15" hidden="false" customHeight="false" outlineLevel="0" collapsed="false">
      <c r="A487" s="4" t="s">
        <v>403</v>
      </c>
      <c r="B487" s="0" t="s">
        <v>49</v>
      </c>
      <c r="D487" s="15" t="n">
        <f aca="false">D486/C486-1</f>
        <v>0.88290987993063</v>
      </c>
      <c r="E487" s="15" t="n">
        <f aca="false">E486/D486-1</f>
        <v>0.444086013528418</v>
      </c>
      <c r="F487" s="15" t="n">
        <f aca="false">F486/E486-1</f>
        <v>0.0679353487569776</v>
      </c>
      <c r="G487" s="15" t="n">
        <f aca="false">G486/F486-1</f>
        <v>0.0232131540509399</v>
      </c>
    </row>
    <row r="488" customFormat="false" ht="17.15" hidden="false" customHeight="false" outlineLevel="0" collapsed="false">
      <c r="A488" s="0" t="s">
        <v>404</v>
      </c>
      <c r="B488" s="0" t="s">
        <v>49</v>
      </c>
      <c r="C488" s="15" t="n">
        <f aca="false">C483/C486</f>
        <v>0.426160798497332</v>
      </c>
      <c r="D488" s="15" t="n">
        <f aca="false">D483/D486</f>
        <v>0.68</v>
      </c>
      <c r="E488" s="15" t="n">
        <f aca="false">E483/E486</f>
        <v>0.760679075371988</v>
      </c>
      <c r="F488" s="15" t="n">
        <f aca="false">F483/F486</f>
        <v>0.762457361860938</v>
      </c>
      <c r="G488" s="15" t="n">
        <f aca="false">G483/G486</f>
        <v>0.753917162391297</v>
      </c>
    </row>
    <row r="489" customFormat="false" ht="17.15" hidden="false" customHeight="false" outlineLevel="0" collapsed="false">
      <c r="A489" s="4" t="s">
        <v>364</v>
      </c>
      <c r="B489" s="0" t="s">
        <v>350</v>
      </c>
      <c r="D489" s="16" t="n">
        <f aca="false">D483/fx/D474</f>
        <v>3.63138338873399</v>
      </c>
      <c r="E489" s="16" t="n">
        <f aca="false">E483/fx/E474</f>
        <v>3.29597359817473</v>
      </c>
      <c r="F489" s="16" t="n">
        <f aca="false">F483/fx/F474</f>
        <v>2.78326659401422</v>
      </c>
      <c r="G489" s="16" t="n">
        <f aca="false">G483/fx/G474</f>
        <v>2.47198019863105</v>
      </c>
    </row>
    <row r="490" customFormat="false" ht="17.15" hidden="false" customHeight="false" outlineLevel="0" collapsed="false">
      <c r="A490" s="4" t="s">
        <v>405</v>
      </c>
      <c r="B490" s="4" t="s">
        <v>362</v>
      </c>
      <c r="D490" s="19" t="n">
        <f aca="false">D481/fx/(odm_gb*(1-vr26)+odm_vr*vr26)</f>
        <v>18.4522679153094</v>
      </c>
      <c r="E490" s="19" t="n">
        <f aca="false">E481/fx/odm_vr</f>
        <v>22.5953317879953</v>
      </c>
      <c r="F490" s="19" t="n">
        <f aca="false">F481/fx/odm_vr</f>
        <v>27.2101101211634</v>
      </c>
      <c r="G490" s="19" t="n">
        <f aca="false">G481/fx/odm_vr</f>
        <v>29.3652163842419</v>
      </c>
      <c r="H490" s="4" t="s">
        <v>406</v>
      </c>
    </row>
    <row r="491" customFormat="false" ht="17.15" hidden="false" customHeight="false" outlineLevel="0" collapsed="false">
      <c r="A491" s="6" t="s">
        <v>407</v>
      </c>
    </row>
    <row r="492" customFormat="false" ht="17.15" hidden="false" customHeight="false" outlineLevel="0" collapsed="false">
      <c r="A492" s="4" t="s">
        <v>408</v>
      </c>
      <c r="B492" s="0" t="s">
        <v>49</v>
      </c>
      <c r="D492" s="14" t="n">
        <f aca="false">a26_gp/D486-d_ai*D488</f>
        <v>0.0632307213692399</v>
      </c>
      <c r="H492" s="8" t="s">
        <v>409</v>
      </c>
    </row>
    <row r="493" customFormat="false" ht="17.15" hidden="false" customHeight="false" outlineLevel="0" collapsed="false">
      <c r="A493" s="0" t="s">
        <v>410</v>
      </c>
      <c r="B493" s="0" t="s">
        <v>165</v>
      </c>
      <c r="D493" s="21" t="n">
        <f aca="false">($D$492+d_ai)*D481*(1-D482*(1-keep))</f>
        <v>117.54978712</v>
      </c>
      <c r="E493" s="21" t="n">
        <f aca="false">($D$492+d_ai+vrd)*E481*(1-E482*(1-keep))</f>
        <v>194.386226205805</v>
      </c>
      <c r="F493" s="21" t="n">
        <f aca="false">($D$492+d_ai+vrd)*F481*(1-F482*(1-keep))</f>
        <v>231.722361691915</v>
      </c>
      <c r="G493" s="21" t="n">
        <f aca="false">($D$492+d_ai+vrd)*G481*(1-G482*(1-keep))</f>
        <v>248.799436346374</v>
      </c>
      <c r="H493" s="4" t="s">
        <v>411</v>
      </c>
    </row>
    <row r="494" customFormat="false" ht="15" hidden="false" customHeight="false" outlineLevel="0" collapsed="false">
      <c r="A494" s="4" t="s">
        <v>306</v>
      </c>
      <c r="B494" s="0" t="s">
        <v>165</v>
      </c>
      <c r="C494" s="19" t="n">
        <f aca="false">a25_gp</f>
        <v>148.2334922</v>
      </c>
      <c r="D494" s="19" t="n">
        <f aca="false">a26_gp</f>
        <v>198.45911</v>
      </c>
      <c r="E494" s="19" t="n">
        <f aca="false">$D$492*E485+E493</f>
        <v>281.768294916205</v>
      </c>
      <c r="F494" s="19" t="n">
        <f aca="false">$D$492*F485+F493</f>
        <v>324.347354524939</v>
      </c>
      <c r="G494" s="19" t="n">
        <f aca="false">$D$492*G485+G493</f>
        <v>346.98192874938</v>
      </c>
    </row>
    <row r="495" customFormat="false" ht="15" hidden="false" customHeight="false" outlineLevel="0" collapsed="false">
      <c r="A495" s="4" t="s">
        <v>309</v>
      </c>
      <c r="B495" s="0" t="s">
        <v>49</v>
      </c>
      <c r="C495" s="14" t="n">
        <f aca="false">C494/C486</f>
        <v>0.0698</v>
      </c>
      <c r="D495" s="14" t="n">
        <f aca="false">D494/D486</f>
        <v>0.0496307213692399</v>
      </c>
      <c r="E495" s="14" t="n">
        <f aca="false">E494/E486</f>
        <v>0.0487953694289543</v>
      </c>
      <c r="F495" s="14" t="n">
        <f aca="false">F494/F486</f>
        <v>0.0525958992246528</v>
      </c>
      <c r="G495" s="14" t="n">
        <f aca="false">G494/G486</f>
        <v>0.0549898160229357</v>
      </c>
    </row>
    <row r="496" customFormat="false" ht="17.15" hidden="false" customHeight="false" outlineLevel="0" collapsed="false">
      <c r="A496" s="0" t="s">
        <v>412</v>
      </c>
      <c r="B496" s="0" t="s">
        <v>49</v>
      </c>
      <c r="D496" s="14" t="n">
        <f aca="false">D493/D483</f>
        <v>0.0432307213692399</v>
      </c>
      <c r="E496" s="14" t="n">
        <f aca="false">E493/E483</f>
        <v>0.0442537935061639</v>
      </c>
      <c r="F496" s="14" t="n">
        <f aca="false">F493/F483</f>
        <v>0.0492826336773188</v>
      </c>
      <c r="G496" s="14" t="n">
        <f aca="false">G493/G483</f>
        <v>0.0522999377800118</v>
      </c>
      <c r="H496" s="4" t="s">
        <v>413</v>
      </c>
    </row>
    <row r="497" customFormat="false" ht="15" hidden="false" customHeight="false" outlineLevel="0" collapsed="false">
      <c r="A497" s="4" t="s">
        <v>414</v>
      </c>
      <c r="B497" s="0" t="s">
        <v>165</v>
      </c>
      <c r="C497" s="19" t="n">
        <f aca="false">a25_opx</f>
        <v>60.7375054</v>
      </c>
      <c r="D497" s="19" t="n">
        <f aca="false">a26_opx</f>
        <v>71.1893725</v>
      </c>
      <c r="E497" s="19" t="n">
        <f aca="false">D497*(1+MAX(0,phi*E487))</f>
        <v>83.8350543556458</v>
      </c>
      <c r="F497" s="19" t="n">
        <f aca="false">E497*(1+MAX(0,phi*F487))</f>
        <v>86.1131998179302</v>
      </c>
      <c r="G497" s="19" t="n">
        <f aca="false">F497*(1+MAX(0,phi*G487))</f>
        <v>86.9127834072074</v>
      </c>
    </row>
    <row r="498" customFormat="false" ht="15" hidden="false" customHeight="false" outlineLevel="0" collapsed="false">
      <c r="A498" s="4" t="s">
        <v>310</v>
      </c>
      <c r="B498" s="0" t="s">
        <v>165</v>
      </c>
      <c r="C498" s="19" t="n">
        <f aca="false">C497</f>
        <v>60.7375054</v>
      </c>
      <c r="D498" s="19" t="n">
        <f aca="false">D497</f>
        <v>71.1893725</v>
      </c>
      <c r="E498" s="19" t="n">
        <f aca="false">E497+0*E486</f>
        <v>83.8350543556458</v>
      </c>
      <c r="F498" s="19" t="n">
        <f aca="false">F497+0*F486</f>
        <v>86.1131998179302</v>
      </c>
      <c r="G498" s="19" t="n">
        <f aca="false">G497+0*G486</f>
        <v>86.9127834072074</v>
      </c>
    </row>
    <row r="499" customFormat="false" ht="15" hidden="false" customHeight="false" outlineLevel="0" collapsed="false">
      <c r="A499" s="4" t="s">
        <v>313</v>
      </c>
      <c r="B499" s="0" t="s">
        <v>165</v>
      </c>
      <c r="C499" s="19" t="n">
        <f aca="false">C494-C498</f>
        <v>87.4959868</v>
      </c>
      <c r="D499" s="19" t="n">
        <f aca="false">D494-D498</f>
        <v>127.2697375</v>
      </c>
      <c r="E499" s="19" t="n">
        <f aca="false">E494-E498</f>
        <v>197.93324056056</v>
      </c>
      <c r="F499" s="19" t="n">
        <f aca="false">F494-F498</f>
        <v>238.234154707009</v>
      </c>
      <c r="G499" s="19" t="n">
        <f aca="false">G494-G498</f>
        <v>260.069145342172</v>
      </c>
    </row>
    <row r="500" customFormat="false" ht="15" hidden="false" customHeight="false" outlineLevel="0" collapsed="false">
      <c r="A500" s="4" t="s">
        <v>316</v>
      </c>
      <c r="B500" s="0" t="s">
        <v>49</v>
      </c>
      <c r="C500" s="14" t="n">
        <f aca="false">C499/C486</f>
        <v>0.0412</v>
      </c>
      <c r="D500" s="14" t="n">
        <f aca="false">D499/D486</f>
        <v>0.0318276590104571</v>
      </c>
      <c r="E500" s="14" t="n">
        <f aca="false">E499/E486</f>
        <v>0.0342771907616321</v>
      </c>
      <c r="F500" s="14" t="n">
        <f aca="false">F499/F486</f>
        <v>0.0386318538382798</v>
      </c>
      <c r="G500" s="14" t="n">
        <f aca="false">G499/G486</f>
        <v>0.0412158480620405</v>
      </c>
    </row>
    <row r="501" customFormat="false" ht="17.15" hidden="false" customHeight="false" outlineLevel="0" collapsed="false">
      <c r="A501" s="4" t="s">
        <v>199</v>
      </c>
      <c r="B501" s="0" t="s">
        <v>49</v>
      </c>
      <c r="C501" s="15" t="n">
        <f aca="false">a25_ni/a25_oi</f>
        <v>0.856953590013114</v>
      </c>
      <c r="D501" s="15" t="n">
        <f aca="false">a26_ni/a26_oi</f>
        <v>0.869913569398224</v>
      </c>
      <c r="E501" s="15" t="n">
        <f aca="false">nio_f</f>
        <v>0.865</v>
      </c>
      <c r="F501" s="15" t="n">
        <f aca="false">nio_f</f>
        <v>0.865</v>
      </c>
      <c r="G501" s="15" t="n">
        <f aca="false">nio_f</f>
        <v>0.865</v>
      </c>
    </row>
    <row r="502" customFormat="false" ht="15" hidden="false" customHeight="false" outlineLevel="0" collapsed="false">
      <c r="A502" s="4" t="s">
        <v>317</v>
      </c>
      <c r="B502" s="0" t="s">
        <v>165</v>
      </c>
      <c r="C502" s="19" t="n">
        <f aca="false">a25_ni</f>
        <v>74.98</v>
      </c>
      <c r="D502" s="19" t="n">
        <f aca="false">a26_ni</f>
        <v>110.713671625</v>
      </c>
      <c r="E502" s="19" t="n">
        <f aca="false">E499*E501</f>
        <v>171.212253084884</v>
      </c>
      <c r="F502" s="19" t="n">
        <f aca="false">F499*F501</f>
        <v>206.072543821563</v>
      </c>
      <c r="G502" s="19" t="n">
        <f aca="false">G499*G501</f>
        <v>224.959810720979</v>
      </c>
    </row>
    <row r="503" customFormat="false" ht="15" hidden="false" customHeight="false" outlineLevel="0" collapsed="false">
      <c r="A503" s="4" t="s">
        <v>415</v>
      </c>
      <c r="B503" s="4" t="s">
        <v>186</v>
      </c>
      <c r="C503" s="22" t="n">
        <f aca="false">a25_sh</f>
        <v>3.85501285347044</v>
      </c>
      <c r="D503" s="22" t="n">
        <f aca="false">a26_sh</f>
        <v>3.85460170146945</v>
      </c>
      <c r="E503" s="22" t="n">
        <f aca="false">D503*(1+sh_g)</f>
        <v>3.85460170146945</v>
      </c>
      <c r="F503" s="22" t="n">
        <f aca="false">E503*(1+sh_g)</f>
        <v>3.85460170146945</v>
      </c>
      <c r="G503" s="22" t="n">
        <f aca="false">F503*(1+sh_g)</f>
        <v>3.85460170146945</v>
      </c>
    </row>
    <row r="504" customFormat="false" ht="15" hidden="false" customHeight="false" outlineLevel="0" collapsed="false">
      <c r="A504" s="0" t="s">
        <v>323</v>
      </c>
      <c r="B504" s="0" t="s">
        <v>216</v>
      </c>
      <c r="C504" s="21" t="n">
        <f aca="false">C502/C503</f>
        <v>19.45</v>
      </c>
      <c r="D504" s="21" t="n">
        <f aca="false">D502/D503</f>
        <v>28.7224673778341</v>
      </c>
      <c r="E504" s="21" t="n">
        <f aca="false">E502/E503</f>
        <v>44.4176250479043</v>
      </c>
      <c r="F504" s="21" t="n">
        <f aca="false">F502/F503</f>
        <v>53.4614364288283</v>
      </c>
      <c r="G504" s="21" t="n">
        <f aca="false">G502/G503</f>
        <v>58.3613634153744</v>
      </c>
    </row>
    <row r="505" customFormat="false" ht="17.15" hidden="false" customHeight="false" outlineLevel="0" collapsed="false">
      <c r="A505" s="0" t="s">
        <v>416</v>
      </c>
      <c r="B505" s="0" t="s">
        <v>49</v>
      </c>
      <c r="D505" s="15" t="n">
        <f aca="false">D504/C504-1</f>
        <v>0.476733541276816</v>
      </c>
      <c r="E505" s="15" t="n">
        <f aca="false">E504/D504-1</f>
        <v>0.546441831184135</v>
      </c>
      <c r="F505" s="15" t="n">
        <f aca="false">F504/E504-1</f>
        <v>0.203608620928524</v>
      </c>
      <c r="G505" s="15" t="n">
        <f aca="false">G504/F504-1</f>
        <v>0.091653485462726</v>
      </c>
    </row>
    <row r="508" customFormat="false" ht="17.15" hidden="false" customHeight="false" outlineLevel="0" collapsed="false">
      <c r="A508" s="1" t="s">
        <v>723</v>
      </c>
    </row>
    <row r="509" customFormat="false" ht="17.15" hidden="false" customHeight="false" outlineLevel="0" collapsed="false">
      <c r="A509" s="5" t="s">
        <v>18</v>
      </c>
      <c r="B509" s="5" t="s">
        <v>19</v>
      </c>
      <c r="C509" s="11" t="s">
        <v>296</v>
      </c>
      <c r="D509" s="11" t="s">
        <v>372</v>
      </c>
      <c r="E509" s="11" t="s">
        <v>373</v>
      </c>
      <c r="F509" s="11" t="s">
        <v>374</v>
      </c>
      <c r="G509" s="11" t="s">
        <v>375</v>
      </c>
      <c r="H509" s="5" t="s">
        <v>345</v>
      </c>
    </row>
    <row r="510" customFormat="false" ht="17.15" hidden="false" customHeight="false" outlineLevel="0" collapsed="false">
      <c r="A510" s="6" t="s">
        <v>389</v>
      </c>
    </row>
    <row r="511" customFormat="false" ht="17.15" hidden="false" customHeight="false" outlineLevel="0" collapsed="false">
      <c r="A511" s="0" t="s">
        <v>390</v>
      </c>
      <c r="B511" s="0" t="s">
        <v>29</v>
      </c>
      <c r="D511" s="21" t="n">
        <f aca="false">itc_26*1</f>
        <v>781.872916666667</v>
      </c>
      <c r="E511" s="21" t="n">
        <f aca="false">itc_27*1*1</f>
        <v>1565.35</v>
      </c>
      <c r="F511" s="21" t="n">
        <f aca="false">itc_28*um28_A*1</f>
        <v>1984.26388888889</v>
      </c>
      <c r="G511" s="21" t="n">
        <f aca="false">itc_29*um29_A*1</f>
        <v>2260.39027777778</v>
      </c>
    </row>
    <row r="512" customFormat="false" ht="17.15" hidden="false" customHeight="false" outlineLevel="0" collapsed="false">
      <c r="A512" s="4" t="s">
        <v>391</v>
      </c>
      <c r="B512" s="0" t="s">
        <v>29</v>
      </c>
      <c r="D512" s="21" t="n">
        <f aca="false">itpg_gb*(1-vr26)+itpg_vr*vr26</f>
        <v>33.41403216</v>
      </c>
      <c r="E512" s="21" t="n">
        <f aca="false">itpg_vr</f>
        <v>37.586352</v>
      </c>
      <c r="F512" s="21" t="n">
        <f aca="false">itpg_vr</f>
        <v>37.586352</v>
      </c>
      <c r="G512" s="21" t="n">
        <f aca="false">itpg_vr</f>
        <v>37.586352</v>
      </c>
    </row>
    <row r="513" customFormat="false" ht="17.15" hidden="false" customHeight="false" outlineLevel="0" collapsed="false">
      <c r="A513" s="4" t="s">
        <v>392</v>
      </c>
      <c r="B513" s="0" t="s">
        <v>347</v>
      </c>
      <c r="D513" s="18" t="n">
        <f aca="false">D511/D512</f>
        <v>23.3995380420639</v>
      </c>
      <c r="E513" s="18" t="n">
        <f aca="false">E511/E512</f>
        <v>41.6467658260637</v>
      </c>
      <c r="F513" s="18" t="n">
        <f aca="false">F511/F512</f>
        <v>52.792138191248</v>
      </c>
      <c r="G513" s="18" t="n">
        <f aca="false">G511/G512</f>
        <v>60.1385917361116</v>
      </c>
    </row>
    <row r="514" customFormat="false" ht="17.15" hidden="false" customHeight="false" outlineLevel="0" collapsed="false">
      <c r="A514" s="4" t="s">
        <v>349</v>
      </c>
      <c r="B514" s="0" t="s">
        <v>350</v>
      </c>
      <c r="D514" s="16" t="n">
        <f aca="false">(racks_gb*odm_gb*(1-vr26)+racks_vr*odm_vr*vr26)/1000</f>
        <v>27.1209</v>
      </c>
      <c r="E514" s="16" t="n">
        <f aca="false">racks_vr*odm_vr/1000</f>
        <v>27.351</v>
      </c>
      <c r="F514" s="16" t="n">
        <f aca="false">$E514*vpg_28</f>
        <v>27.351</v>
      </c>
      <c r="G514" s="16" t="n">
        <f aca="false">$E514*vpg_29</f>
        <v>27.351</v>
      </c>
      <c r="H514" s="4" t="s">
        <v>393</v>
      </c>
    </row>
    <row r="515" customFormat="false" ht="17.15" hidden="false" customHeight="false" outlineLevel="0" collapsed="false">
      <c r="A515" s="0" t="s">
        <v>394</v>
      </c>
      <c r="B515" s="0" t="s">
        <v>29</v>
      </c>
      <c r="D515" s="19" t="n">
        <f aca="false">D513*D514</f>
        <v>634.616531285011</v>
      </c>
      <c r="E515" s="19" t="n">
        <f aca="false">E513*E514</f>
        <v>1139.08069210867</v>
      </c>
      <c r="F515" s="19" t="n">
        <f aca="false">F513*F514</f>
        <v>1443.91777166882</v>
      </c>
      <c r="G515" s="19" t="n">
        <f aca="false">G513*G514</f>
        <v>1644.85062257439</v>
      </c>
    </row>
    <row r="516" customFormat="false" ht="17.15" hidden="false" customHeight="false" outlineLevel="0" collapsed="false">
      <c r="A516" s="0" t="s">
        <v>395</v>
      </c>
      <c r="B516" s="0" t="s">
        <v>165</v>
      </c>
      <c r="D516" s="19" t="n">
        <f aca="false">D515*fx</f>
        <v>20307.7290011204</v>
      </c>
      <c r="E516" s="19" t="n">
        <f aca="false">E515*fx</f>
        <v>36450.5821474774</v>
      </c>
      <c r="F516" s="19" t="n">
        <f aca="false">F515*fx</f>
        <v>46205.3686934024</v>
      </c>
      <c r="G516" s="19" t="n">
        <f aca="false">G515*fx</f>
        <v>52635.2199223804</v>
      </c>
    </row>
    <row r="517" customFormat="false" ht="17.15" hidden="false" customHeight="false" outlineLevel="0" collapsed="false">
      <c r="A517" s="4" t="s">
        <v>396</v>
      </c>
      <c r="B517" s="0" t="s">
        <v>49</v>
      </c>
      <c r="D517" s="15" t="n">
        <f aca="false">a26_ai/D516</f>
        <v>0.133896123975753</v>
      </c>
      <c r="H517" s="8" t="s">
        <v>397</v>
      </c>
    </row>
    <row r="518" customFormat="false" ht="17.15" hidden="false" customHeight="false" outlineLevel="0" collapsed="false">
      <c r="A518" s="4" t="s">
        <v>398</v>
      </c>
      <c r="B518" s="0" t="s">
        <v>69</v>
      </c>
      <c r="D518" s="16" t="n">
        <f aca="false">1</f>
        <v>1</v>
      </c>
      <c r="E518" s="16" t="n">
        <f aca="false">rel_27</f>
        <v>1</v>
      </c>
      <c r="F518" s="16" t="n">
        <f aca="false">rel_28</f>
        <v>0.95</v>
      </c>
      <c r="G518" s="16" t="n">
        <f aca="false">rel_29</f>
        <v>0.9</v>
      </c>
    </row>
    <row r="519" customFormat="false" ht="15" hidden="false" customHeight="false" outlineLevel="0" collapsed="false">
      <c r="A519" s="4" t="s">
        <v>354</v>
      </c>
      <c r="B519" s="0" t="s">
        <v>49</v>
      </c>
      <c r="D519" s="15" t="n">
        <f aca="false">$D$517*D518</f>
        <v>0.133896123975753</v>
      </c>
      <c r="E519" s="15" t="n">
        <f aca="false">$D$517*E518</f>
        <v>0.133896123975753</v>
      </c>
      <c r="F519" s="15" t="n">
        <f aca="false">$D$517*F518</f>
        <v>0.127201317776965</v>
      </c>
      <c r="G519" s="15" t="n">
        <f aca="false">$D$517*G518</f>
        <v>0.120506511578177</v>
      </c>
    </row>
    <row r="520" customFormat="false" ht="17.15" hidden="false" customHeight="false" outlineLevel="0" collapsed="false">
      <c r="A520" s="0" t="s">
        <v>399</v>
      </c>
      <c r="B520" s="0" t="s">
        <v>165</v>
      </c>
      <c r="D520" s="19" t="n">
        <f aca="false">D516*D519</f>
        <v>2719.1262</v>
      </c>
      <c r="E520" s="19" t="n">
        <f aca="false">E516*E519</f>
        <v>4880.59166620699</v>
      </c>
      <c r="F520" s="19" t="n">
        <f aca="false">F516*F519</f>
        <v>5877.38378617131</v>
      </c>
      <c r="G520" s="19" t="n">
        <f aca="false">G516*G519</f>
        <v>6342.88673899625</v>
      </c>
    </row>
    <row r="521" customFormat="false" ht="17.15" hidden="false" customHeight="false" outlineLevel="0" collapsed="false">
      <c r="A521" s="4" t="s">
        <v>358</v>
      </c>
      <c r="B521" s="0" t="s">
        <v>49</v>
      </c>
      <c r="D521" s="15" t="n">
        <f aca="false">0</f>
        <v>0</v>
      </c>
      <c r="E521" s="15" t="n">
        <f aca="false">cs_27</f>
        <v>0.1</v>
      </c>
      <c r="F521" s="15" t="n">
        <f aca="false">cs_28</f>
        <v>0.2</v>
      </c>
      <c r="G521" s="15" t="n">
        <f aca="false">cs_29</f>
        <v>0.25</v>
      </c>
      <c r="H521" s="8" t="s">
        <v>400</v>
      </c>
    </row>
    <row r="522" customFormat="false" ht="17.15" hidden="false" customHeight="false" outlineLevel="0" collapsed="false">
      <c r="A522" s="0" t="s">
        <v>401</v>
      </c>
      <c r="B522" s="0" t="s">
        <v>165</v>
      </c>
      <c r="C522" s="19" t="n">
        <f aca="false">a25_ai</f>
        <v>905.033</v>
      </c>
      <c r="D522" s="19" t="n">
        <f aca="false">D520*(1-D521)</f>
        <v>2719.1262</v>
      </c>
      <c r="E522" s="19" t="n">
        <f aca="false">E520*(1-E521)</f>
        <v>4392.53249958629</v>
      </c>
      <c r="F522" s="19" t="n">
        <f aca="false">F520*(1-F521)</f>
        <v>4701.90702893704</v>
      </c>
      <c r="G522" s="19" t="n">
        <f aca="false">G520*(1-G521)</f>
        <v>4757.16505424718</v>
      </c>
    </row>
    <row r="523" customFormat="false" ht="17.15" hidden="false" customHeight="false" outlineLevel="0" collapsed="false">
      <c r="A523" s="6" t="s">
        <v>402</v>
      </c>
    </row>
    <row r="524" customFormat="false" ht="17.15" hidden="false" customHeight="false" outlineLevel="0" collapsed="false">
      <c r="A524" s="4" t="s">
        <v>331</v>
      </c>
      <c r="B524" s="0" t="s">
        <v>165</v>
      </c>
      <c r="C524" s="19" t="n">
        <f aca="false">a25_nai</f>
        <v>1218.656</v>
      </c>
      <c r="D524" s="19" t="n">
        <f aca="false">a26_nai</f>
        <v>1279.5888</v>
      </c>
      <c r="E524" s="19" t="n">
        <f aca="false">D524*(1+g_nai27)</f>
        <v>1317.976464</v>
      </c>
      <c r="F524" s="19" t="n">
        <f aca="false">E524*(1+g_nai28)</f>
        <v>1344.33599328</v>
      </c>
      <c r="G524" s="19" t="n">
        <f aca="false">F524*(1+g_nai29)</f>
        <v>1371.2227131456</v>
      </c>
    </row>
    <row r="525" customFormat="false" ht="15" hidden="false" customHeight="false" outlineLevel="0" collapsed="false">
      <c r="A525" s="4" t="s">
        <v>302</v>
      </c>
      <c r="B525" s="0" t="s">
        <v>165</v>
      </c>
      <c r="C525" s="19" t="n">
        <f aca="false">C522+C524</f>
        <v>2123.689</v>
      </c>
      <c r="D525" s="19" t="n">
        <f aca="false">D522+D524</f>
        <v>3998.715</v>
      </c>
      <c r="E525" s="19" t="n">
        <f aca="false">E522+E524</f>
        <v>5710.50896358629</v>
      </c>
      <c r="F525" s="19" t="n">
        <f aca="false">F522+F524</f>
        <v>6046.24302221704</v>
      </c>
      <c r="G525" s="19" t="n">
        <f aca="false">G522+G524</f>
        <v>6128.38776739279</v>
      </c>
    </row>
    <row r="526" customFormat="false" ht="15" hidden="false" customHeight="false" outlineLevel="0" collapsed="false">
      <c r="A526" s="4" t="s">
        <v>403</v>
      </c>
      <c r="B526" s="0" t="s">
        <v>49</v>
      </c>
      <c r="D526" s="15" t="n">
        <f aca="false">D525/C525-1</f>
        <v>0.88290987993063</v>
      </c>
      <c r="E526" s="15" t="n">
        <f aca="false">E525/D525-1</f>
        <v>0.428086013528418</v>
      </c>
      <c r="F526" s="15" t="n">
        <f aca="false">F525/E525-1</f>
        <v>0.0587923179477703</v>
      </c>
      <c r="G526" s="15" t="n">
        <f aca="false">G525/F525-1</f>
        <v>0.0135860806245958</v>
      </c>
    </row>
    <row r="527" customFormat="false" ht="17.15" hidden="false" customHeight="false" outlineLevel="0" collapsed="false">
      <c r="A527" s="0" t="s">
        <v>404</v>
      </c>
      <c r="B527" s="0" t="s">
        <v>49</v>
      </c>
      <c r="C527" s="15" t="n">
        <f aca="false">C522/C525</f>
        <v>0.426160798497332</v>
      </c>
      <c r="D527" s="15" t="n">
        <f aca="false">D522/D525</f>
        <v>0.68</v>
      </c>
      <c r="E527" s="15" t="n">
        <f aca="false">E522/E525</f>
        <v>0.769201576881461</v>
      </c>
      <c r="F527" s="15" t="n">
        <f aca="false">F522/F525</f>
        <v>0.777657631633361</v>
      </c>
      <c r="G527" s="15" t="n">
        <f aca="false">G522/G525</f>
        <v>0.776250660827723</v>
      </c>
    </row>
    <row r="528" customFormat="false" ht="17.15" hidden="false" customHeight="false" outlineLevel="0" collapsed="false">
      <c r="A528" s="4" t="s">
        <v>364</v>
      </c>
      <c r="B528" s="0" t="s">
        <v>350</v>
      </c>
      <c r="D528" s="16" t="n">
        <f aca="false">D522/fx/D513</f>
        <v>3.63138338873399</v>
      </c>
      <c r="E528" s="16" t="n">
        <f aca="false">E522/fx/E513</f>
        <v>3.29597359817473</v>
      </c>
      <c r="F528" s="16" t="n">
        <f aca="false">F522/fx/F513</f>
        <v>2.78326659401422</v>
      </c>
      <c r="G528" s="16" t="n">
        <f aca="false">G522/fx/G513</f>
        <v>2.47198019863105</v>
      </c>
    </row>
    <row r="529" customFormat="false" ht="17.15" hidden="false" customHeight="false" outlineLevel="0" collapsed="false">
      <c r="A529" s="4" t="s">
        <v>405</v>
      </c>
      <c r="B529" s="4" t="s">
        <v>362</v>
      </c>
      <c r="D529" s="19" t="n">
        <f aca="false">D520/fx/(odm_gb*(1-vr26)+odm_vr*vr26)</f>
        <v>18.4522679153094</v>
      </c>
      <c r="E529" s="19" t="n">
        <f aca="false">E520/fx/odm_vr</f>
        <v>22.5953317879953</v>
      </c>
      <c r="F529" s="19" t="n">
        <f aca="false">F520/fx/odm_vr</f>
        <v>27.2101101211634</v>
      </c>
      <c r="G529" s="19" t="n">
        <f aca="false">G520/fx/odm_vr</f>
        <v>29.3652163842419</v>
      </c>
      <c r="H529" s="4" t="s">
        <v>406</v>
      </c>
    </row>
    <row r="530" customFormat="false" ht="17.15" hidden="false" customHeight="false" outlineLevel="0" collapsed="false">
      <c r="A530" s="6" t="s">
        <v>407</v>
      </c>
    </row>
    <row r="531" customFormat="false" ht="17.15" hidden="false" customHeight="false" outlineLevel="0" collapsed="false">
      <c r="A531" s="4" t="s">
        <v>408</v>
      </c>
      <c r="B531" s="0" t="s">
        <v>49</v>
      </c>
      <c r="D531" s="14" t="n">
        <f aca="false">a26_gp/D525-d_ai_lo*D527</f>
        <v>0.0734307213692399</v>
      </c>
      <c r="H531" s="8" t="s">
        <v>409</v>
      </c>
    </row>
    <row r="532" customFormat="false" ht="17.15" hidden="false" customHeight="false" outlineLevel="0" collapsed="false">
      <c r="A532" s="0" t="s">
        <v>410</v>
      </c>
      <c r="B532" s="0" t="s">
        <v>165</v>
      </c>
      <c r="D532" s="21" t="n">
        <f aca="false">($D$531+d_ai_lo)*D520*(1-D521*(1-keep))</f>
        <v>104.49798136</v>
      </c>
      <c r="E532" s="21" t="n">
        <f aca="false">($D$531+d_ai_lo+vrd)*E520*(1-E521*(1-keep))</f>
        <v>171.19365460799</v>
      </c>
      <c r="F532" s="21" t="n">
        <f aca="false">($D$531+d_ai_lo+vrd)*F520*(1-F521*(1-keep))</f>
        <v>204.075148361765</v>
      </c>
      <c r="G532" s="21" t="n">
        <f aca="false">($D$531+d_ai_lo+vrd)*G520*(1-G521*(1-keep))</f>
        <v>219.114726407872</v>
      </c>
      <c r="H532" s="4" t="s">
        <v>411</v>
      </c>
    </row>
    <row r="533" customFormat="false" ht="15" hidden="false" customHeight="false" outlineLevel="0" collapsed="false">
      <c r="A533" s="4" t="s">
        <v>306</v>
      </c>
      <c r="B533" s="0" t="s">
        <v>165</v>
      </c>
      <c r="C533" s="19" t="n">
        <f aca="false">a25_gp</f>
        <v>148.2334922</v>
      </c>
      <c r="D533" s="19" t="n">
        <f aca="false">a26_gp</f>
        <v>198.45911</v>
      </c>
      <c r="E533" s="19" t="n">
        <f aca="false">$D$531*E524+E532</f>
        <v>267.97361710719</v>
      </c>
      <c r="F533" s="19" t="n">
        <f aca="false">$D$531*F524+F532</f>
        <v>302.790710110949</v>
      </c>
      <c r="G533" s="19" t="n">
        <f aca="false">$D$531*G524+G532</f>
        <v>319.80459939204</v>
      </c>
    </row>
    <row r="534" customFormat="false" ht="15" hidden="false" customHeight="false" outlineLevel="0" collapsed="false">
      <c r="A534" s="4" t="s">
        <v>309</v>
      </c>
      <c r="B534" s="0" t="s">
        <v>49</v>
      </c>
      <c r="C534" s="14" t="n">
        <f aca="false">C533/C525</f>
        <v>0.0698</v>
      </c>
      <c r="D534" s="14" t="n">
        <f aca="false">D533/D525</f>
        <v>0.0496307213692399</v>
      </c>
      <c r="E534" s="14" t="n">
        <f aca="false">E533/E525</f>
        <v>0.0469263981224711</v>
      </c>
      <c r="F534" s="14" t="n">
        <f aca="false">F533/F525</f>
        <v>0.0500791498122617</v>
      </c>
      <c r="G534" s="14" t="n">
        <f aca="false">G533/G525</f>
        <v>0.052184132520729</v>
      </c>
    </row>
    <row r="535" customFormat="false" ht="17.15" hidden="false" customHeight="false" outlineLevel="0" collapsed="false">
      <c r="A535" s="0" t="s">
        <v>412</v>
      </c>
      <c r="B535" s="0" t="s">
        <v>49</v>
      </c>
      <c r="D535" s="14" t="n">
        <f aca="false">D532/D522</f>
        <v>0.0384307213692399</v>
      </c>
      <c r="E535" s="14" t="n">
        <f aca="false">E532/E522</f>
        <v>0.0389737935061639</v>
      </c>
      <c r="F535" s="14" t="n">
        <f aca="false">F532/F522</f>
        <v>0.0434026336773188</v>
      </c>
      <c r="G535" s="14" t="n">
        <f aca="false">G532/G522</f>
        <v>0.0460599377800118</v>
      </c>
      <c r="H535" s="4" t="s">
        <v>413</v>
      </c>
    </row>
    <row r="536" customFormat="false" ht="15" hidden="false" customHeight="false" outlineLevel="0" collapsed="false">
      <c r="A536" s="4" t="s">
        <v>414</v>
      </c>
      <c r="B536" s="0" t="s">
        <v>165</v>
      </c>
      <c r="C536" s="19" t="n">
        <f aca="false">a25_opx</f>
        <v>60.7375054</v>
      </c>
      <c r="D536" s="19" t="n">
        <f aca="false">a26_opx</f>
        <v>71.1893725</v>
      </c>
      <c r="E536" s="19" t="n">
        <f aca="false">D536*(1+MAX(0,phi*E526))</f>
        <v>83.3794423716458</v>
      </c>
      <c r="F536" s="19" t="n">
        <f aca="false">E536*(1+MAX(0,phi*F526))</f>
        <v>85.3402706461345</v>
      </c>
      <c r="G536" s="19" t="n">
        <f aca="false">F536*(1+MAX(0,phi*G526))</f>
        <v>85.8040465651437</v>
      </c>
    </row>
    <row r="537" customFormat="false" ht="15" hidden="false" customHeight="false" outlineLevel="0" collapsed="false">
      <c r="A537" s="4" t="s">
        <v>310</v>
      </c>
      <c r="B537" s="0" t="s">
        <v>165</v>
      </c>
      <c r="C537" s="19" t="n">
        <f aca="false">C536</f>
        <v>60.7375054</v>
      </c>
      <c r="D537" s="19" t="n">
        <f aca="false">D536</f>
        <v>71.1893725</v>
      </c>
      <c r="E537" s="19" t="n">
        <f aca="false">E536+0*E525</f>
        <v>83.3794423716458</v>
      </c>
      <c r="F537" s="19" t="n">
        <f aca="false">F536+0*F525</f>
        <v>85.3402706461345</v>
      </c>
      <c r="G537" s="19" t="n">
        <f aca="false">G536+0*G525</f>
        <v>85.8040465651437</v>
      </c>
    </row>
    <row r="538" customFormat="false" ht="15" hidden="false" customHeight="false" outlineLevel="0" collapsed="false">
      <c r="A538" s="4" t="s">
        <v>313</v>
      </c>
      <c r="B538" s="0" t="s">
        <v>165</v>
      </c>
      <c r="C538" s="19" t="n">
        <f aca="false">C533-C537</f>
        <v>87.4959868</v>
      </c>
      <c r="D538" s="19" t="n">
        <f aca="false">D533-D537</f>
        <v>127.2697375</v>
      </c>
      <c r="E538" s="19" t="n">
        <f aca="false">E533-E537</f>
        <v>184.594174735544</v>
      </c>
      <c r="F538" s="19" t="n">
        <f aca="false">F533-F537</f>
        <v>217.450439464815</v>
      </c>
      <c r="G538" s="19" t="n">
        <f aca="false">G533-G537</f>
        <v>234.000552826896</v>
      </c>
    </row>
    <row r="539" customFormat="false" ht="15" hidden="false" customHeight="false" outlineLevel="0" collapsed="false">
      <c r="A539" s="4" t="s">
        <v>316</v>
      </c>
      <c r="B539" s="0" t="s">
        <v>49</v>
      </c>
      <c r="C539" s="14" t="n">
        <f aca="false">C538/C525</f>
        <v>0.0412</v>
      </c>
      <c r="D539" s="14" t="n">
        <f aca="false">D538/D525</f>
        <v>0.0318276590104571</v>
      </c>
      <c r="E539" s="14" t="n">
        <f aca="false">E538/E525</f>
        <v>0.0323253454136277</v>
      </c>
      <c r="F539" s="14" t="n">
        <f aca="false">F538/F525</f>
        <v>0.035964554958474</v>
      </c>
      <c r="G539" s="14" t="n">
        <f aca="false">G538/G525</f>
        <v>0.03818305265733</v>
      </c>
    </row>
    <row r="540" customFormat="false" ht="17.15" hidden="false" customHeight="false" outlineLevel="0" collapsed="false">
      <c r="A540" s="4" t="s">
        <v>199</v>
      </c>
      <c r="B540" s="0" t="s">
        <v>49</v>
      </c>
      <c r="C540" s="15" t="n">
        <f aca="false">a25_ni/a25_oi</f>
        <v>0.856953590013114</v>
      </c>
      <c r="D540" s="15" t="n">
        <f aca="false">a26_ni/a26_oi</f>
        <v>0.869913569398224</v>
      </c>
      <c r="E540" s="15" t="n">
        <f aca="false">nio_f</f>
        <v>0.865</v>
      </c>
      <c r="F540" s="15" t="n">
        <f aca="false">nio_f</f>
        <v>0.865</v>
      </c>
      <c r="G540" s="15" t="n">
        <f aca="false">nio_f</f>
        <v>0.865</v>
      </c>
    </row>
    <row r="541" customFormat="false" ht="15" hidden="false" customHeight="false" outlineLevel="0" collapsed="false">
      <c r="A541" s="4" t="s">
        <v>317</v>
      </c>
      <c r="B541" s="0" t="s">
        <v>165</v>
      </c>
      <c r="C541" s="19" t="n">
        <f aca="false">a25_ni</f>
        <v>74.98</v>
      </c>
      <c r="D541" s="19" t="n">
        <f aca="false">a26_ni</f>
        <v>110.713671625</v>
      </c>
      <c r="E541" s="19" t="n">
        <f aca="false">E538*E540</f>
        <v>159.673961146245</v>
      </c>
      <c r="F541" s="19" t="n">
        <f aca="false">F538*F540</f>
        <v>188.094630137065</v>
      </c>
      <c r="G541" s="19" t="n">
        <f aca="false">G538*G540</f>
        <v>202.410478195265</v>
      </c>
    </row>
    <row r="542" customFormat="false" ht="15" hidden="false" customHeight="false" outlineLevel="0" collapsed="false">
      <c r="A542" s="4" t="s">
        <v>415</v>
      </c>
      <c r="B542" s="4" t="s">
        <v>186</v>
      </c>
      <c r="C542" s="22" t="n">
        <f aca="false">a25_sh</f>
        <v>3.85501285347044</v>
      </c>
      <c r="D542" s="22" t="n">
        <f aca="false">a26_sh</f>
        <v>3.85460170146945</v>
      </c>
      <c r="E542" s="22" t="n">
        <f aca="false">D542*(1+sh_g)</f>
        <v>3.85460170146945</v>
      </c>
      <c r="F542" s="22" t="n">
        <f aca="false">E542*(1+sh_g)</f>
        <v>3.85460170146945</v>
      </c>
      <c r="G542" s="22" t="n">
        <f aca="false">F542*(1+sh_g)</f>
        <v>3.85460170146945</v>
      </c>
    </row>
    <row r="543" customFormat="false" ht="15" hidden="false" customHeight="false" outlineLevel="0" collapsed="false">
      <c r="A543" s="0" t="s">
        <v>323</v>
      </c>
      <c r="B543" s="0" t="s">
        <v>216</v>
      </c>
      <c r="C543" s="21" t="n">
        <f aca="false">C541/C542</f>
        <v>19.45</v>
      </c>
      <c r="D543" s="21" t="n">
        <f aca="false">D541/D542</f>
        <v>28.7224673778341</v>
      </c>
      <c r="E543" s="21" t="n">
        <f aca="false">E541/E542</f>
        <v>41.4242439330047</v>
      </c>
      <c r="F543" s="21" t="n">
        <f aca="false">F541/F542</f>
        <v>48.7974231073886</v>
      </c>
      <c r="G543" s="21" t="n">
        <f aca="false">G541/G542</f>
        <v>52.5113860968053</v>
      </c>
    </row>
    <row r="544" customFormat="false" ht="17.15" hidden="false" customHeight="false" outlineLevel="0" collapsed="false">
      <c r="A544" s="0" t="s">
        <v>416</v>
      </c>
      <c r="B544" s="0" t="s">
        <v>49</v>
      </c>
      <c r="D544" s="15" t="n">
        <f aca="false">D543/C543-1</f>
        <v>0.476733541276816</v>
      </c>
      <c r="E544" s="15" t="n">
        <f aca="false">E543/D543-1</f>
        <v>0.442224422717003</v>
      </c>
      <c r="F544" s="15" t="n">
        <f aca="false">F543/E543-1</f>
        <v>0.177991882876812</v>
      </c>
      <c r="G544" s="15" t="n">
        <f aca="false">G543/F543-1</f>
        <v>0.0761098179558255</v>
      </c>
    </row>
    <row r="547" customFormat="false" ht="17.15" hidden="false" customHeight="false" outlineLevel="0" collapsed="false">
      <c r="A547" s="1" t="s">
        <v>724</v>
      </c>
    </row>
    <row r="548" customFormat="false" ht="17.15" hidden="false" customHeight="false" outlineLevel="0" collapsed="false">
      <c r="A548" s="5" t="s">
        <v>18</v>
      </c>
      <c r="B548" s="5" t="s">
        <v>19</v>
      </c>
      <c r="C548" s="11" t="s">
        <v>296</v>
      </c>
      <c r="D548" s="11" t="s">
        <v>372</v>
      </c>
      <c r="E548" s="11" t="s">
        <v>373</v>
      </c>
      <c r="F548" s="11" t="s">
        <v>374</v>
      </c>
      <c r="G548" s="11" t="s">
        <v>375</v>
      </c>
      <c r="H548" s="5" t="s">
        <v>345</v>
      </c>
    </row>
    <row r="549" customFormat="false" ht="17.15" hidden="false" customHeight="false" outlineLevel="0" collapsed="false">
      <c r="A549" s="6" t="s">
        <v>389</v>
      </c>
    </row>
    <row r="550" customFormat="false" ht="17.15" hidden="false" customHeight="false" outlineLevel="0" collapsed="false">
      <c r="A550" s="0" t="s">
        <v>390</v>
      </c>
      <c r="B550" s="0" t="s">
        <v>29</v>
      </c>
      <c r="D550" s="21" t="n">
        <f aca="false">itc_26*1</f>
        <v>781.872916666667</v>
      </c>
      <c r="E550" s="21" t="n">
        <f aca="false">itc_27*1*1</f>
        <v>1565.35</v>
      </c>
      <c r="F550" s="21" t="n">
        <f aca="false">itc_28*um28_A*1</f>
        <v>1984.26388888889</v>
      </c>
      <c r="G550" s="21" t="n">
        <f aca="false">itc_29*um29_A*1</f>
        <v>2260.39027777778</v>
      </c>
    </row>
    <row r="551" customFormat="false" ht="17.15" hidden="false" customHeight="false" outlineLevel="0" collapsed="false">
      <c r="A551" s="4" t="s">
        <v>391</v>
      </c>
      <c r="B551" s="0" t="s">
        <v>29</v>
      </c>
      <c r="D551" s="21" t="n">
        <f aca="false">itpg_gb*(1-vr26)+itpg_vr*vr26</f>
        <v>33.41403216</v>
      </c>
      <c r="E551" s="21" t="n">
        <f aca="false">itpg_vr</f>
        <v>37.586352</v>
      </c>
      <c r="F551" s="21" t="n">
        <f aca="false">itpg_vr</f>
        <v>37.586352</v>
      </c>
      <c r="G551" s="21" t="n">
        <f aca="false">itpg_vr</f>
        <v>37.586352</v>
      </c>
    </row>
    <row r="552" customFormat="false" ht="17.15" hidden="false" customHeight="false" outlineLevel="0" collapsed="false">
      <c r="A552" s="4" t="s">
        <v>392</v>
      </c>
      <c r="B552" s="0" t="s">
        <v>347</v>
      </c>
      <c r="D552" s="18" t="n">
        <f aca="false">D550/D551</f>
        <v>23.3995380420639</v>
      </c>
      <c r="E552" s="18" t="n">
        <f aca="false">E550/E551</f>
        <v>41.6467658260637</v>
      </c>
      <c r="F552" s="18" t="n">
        <f aca="false">F550/F551</f>
        <v>52.792138191248</v>
      </c>
      <c r="G552" s="18" t="n">
        <f aca="false">G550/G551</f>
        <v>60.1385917361116</v>
      </c>
    </row>
    <row r="553" customFormat="false" ht="17.15" hidden="false" customHeight="false" outlineLevel="0" collapsed="false">
      <c r="A553" s="4" t="s">
        <v>349</v>
      </c>
      <c r="B553" s="0" t="s">
        <v>350</v>
      </c>
      <c r="D553" s="16" t="n">
        <f aca="false">(racks_gb*odm_gb*(1-vr26)+racks_vr*odm_vr*vr26)/1000</f>
        <v>27.1209</v>
      </c>
      <c r="E553" s="16" t="n">
        <f aca="false">racks_vr*odm_vr/1000</f>
        <v>27.351</v>
      </c>
      <c r="F553" s="16" t="n">
        <f aca="false">$E553*vpg_28</f>
        <v>27.351</v>
      </c>
      <c r="G553" s="16" t="n">
        <f aca="false">$E553*vpg_29</f>
        <v>27.351</v>
      </c>
      <c r="H553" s="4" t="s">
        <v>393</v>
      </c>
    </row>
    <row r="554" customFormat="false" ht="17.15" hidden="false" customHeight="false" outlineLevel="0" collapsed="false">
      <c r="A554" s="0" t="s">
        <v>394</v>
      </c>
      <c r="B554" s="0" t="s">
        <v>29</v>
      </c>
      <c r="D554" s="19" t="n">
        <f aca="false">D552*D553</f>
        <v>634.616531285011</v>
      </c>
      <c r="E554" s="19" t="n">
        <f aca="false">E552*E553</f>
        <v>1139.08069210867</v>
      </c>
      <c r="F554" s="19" t="n">
        <f aca="false">F552*F553</f>
        <v>1443.91777166882</v>
      </c>
      <c r="G554" s="19" t="n">
        <f aca="false">G552*G553</f>
        <v>1644.85062257439</v>
      </c>
    </row>
    <row r="555" customFormat="false" ht="17.15" hidden="false" customHeight="false" outlineLevel="0" collapsed="false">
      <c r="A555" s="0" t="s">
        <v>395</v>
      </c>
      <c r="B555" s="0" t="s">
        <v>165</v>
      </c>
      <c r="D555" s="19" t="n">
        <f aca="false">D554*fx</f>
        <v>20307.7290011204</v>
      </c>
      <c r="E555" s="19" t="n">
        <f aca="false">E554*fx</f>
        <v>36450.5821474774</v>
      </c>
      <c r="F555" s="19" t="n">
        <f aca="false">F554*fx</f>
        <v>46205.3686934024</v>
      </c>
      <c r="G555" s="19" t="n">
        <f aca="false">G554*fx</f>
        <v>52635.2199223804</v>
      </c>
    </row>
    <row r="556" customFormat="false" ht="17.15" hidden="false" customHeight="false" outlineLevel="0" collapsed="false">
      <c r="A556" s="4" t="s">
        <v>396</v>
      </c>
      <c r="B556" s="0" t="s">
        <v>49</v>
      </c>
      <c r="D556" s="15" t="n">
        <f aca="false">a26_ai/D555</f>
        <v>0.133896123975753</v>
      </c>
      <c r="H556" s="8" t="s">
        <v>397</v>
      </c>
    </row>
    <row r="557" customFormat="false" ht="17.15" hidden="false" customHeight="false" outlineLevel="0" collapsed="false">
      <c r="A557" s="4" t="s">
        <v>398</v>
      </c>
      <c r="B557" s="0" t="s">
        <v>69</v>
      </c>
      <c r="D557" s="16" t="n">
        <f aca="false">1</f>
        <v>1</v>
      </c>
      <c r="E557" s="16" t="n">
        <f aca="false">rel_27</f>
        <v>1</v>
      </c>
      <c r="F557" s="16" t="n">
        <f aca="false">rel_28</f>
        <v>0.95</v>
      </c>
      <c r="G557" s="16" t="n">
        <f aca="false">rel_29</f>
        <v>0.9</v>
      </c>
    </row>
    <row r="558" customFormat="false" ht="15" hidden="false" customHeight="false" outlineLevel="0" collapsed="false">
      <c r="A558" s="4" t="s">
        <v>354</v>
      </c>
      <c r="B558" s="0" t="s">
        <v>49</v>
      </c>
      <c r="D558" s="15" t="n">
        <f aca="false">$D$556*D557</f>
        <v>0.133896123975753</v>
      </c>
      <c r="E558" s="15" t="n">
        <f aca="false">$D$556*E557</f>
        <v>0.133896123975753</v>
      </c>
      <c r="F558" s="15" t="n">
        <f aca="false">$D$556*F557</f>
        <v>0.127201317776965</v>
      </c>
      <c r="G558" s="15" t="n">
        <f aca="false">$D$556*G557</f>
        <v>0.120506511578177</v>
      </c>
    </row>
    <row r="559" customFormat="false" ht="17.15" hidden="false" customHeight="false" outlineLevel="0" collapsed="false">
      <c r="A559" s="0" t="s">
        <v>399</v>
      </c>
      <c r="B559" s="0" t="s">
        <v>165</v>
      </c>
      <c r="D559" s="19" t="n">
        <f aca="false">D555*D558</f>
        <v>2719.1262</v>
      </c>
      <c r="E559" s="19" t="n">
        <f aca="false">E555*E558</f>
        <v>4880.59166620699</v>
      </c>
      <c r="F559" s="19" t="n">
        <f aca="false">F555*F558</f>
        <v>5877.38378617131</v>
      </c>
      <c r="G559" s="19" t="n">
        <f aca="false">G555*G558</f>
        <v>6342.88673899625</v>
      </c>
    </row>
    <row r="560" customFormat="false" ht="17.15" hidden="false" customHeight="false" outlineLevel="0" collapsed="false">
      <c r="A560" s="4" t="s">
        <v>358</v>
      </c>
      <c r="B560" s="0" t="s">
        <v>49</v>
      </c>
      <c r="D560" s="15" t="n">
        <f aca="false">0</f>
        <v>0</v>
      </c>
      <c r="E560" s="15" t="n">
        <f aca="false">cs_27</f>
        <v>0.1</v>
      </c>
      <c r="F560" s="15" t="n">
        <f aca="false">cs_28</f>
        <v>0.2</v>
      </c>
      <c r="G560" s="15" t="n">
        <f aca="false">cs_29</f>
        <v>0.25</v>
      </c>
      <c r="H560" s="8" t="s">
        <v>400</v>
      </c>
    </row>
    <row r="561" customFormat="false" ht="17.15" hidden="false" customHeight="false" outlineLevel="0" collapsed="false">
      <c r="A561" s="0" t="s">
        <v>401</v>
      </c>
      <c r="B561" s="0" t="s">
        <v>165</v>
      </c>
      <c r="C561" s="19" t="n">
        <f aca="false">a25_ai</f>
        <v>905.033</v>
      </c>
      <c r="D561" s="19" t="n">
        <f aca="false">D559*(1-D560)</f>
        <v>2719.1262</v>
      </c>
      <c r="E561" s="19" t="n">
        <f aca="false">E559*(1-E560)</f>
        <v>4392.53249958629</v>
      </c>
      <c r="F561" s="19" t="n">
        <f aca="false">F559*(1-F560)</f>
        <v>4701.90702893704</v>
      </c>
      <c r="G561" s="19" t="n">
        <f aca="false">G559*(1-G560)</f>
        <v>4757.16505424718</v>
      </c>
    </row>
    <row r="562" customFormat="false" ht="17.15" hidden="false" customHeight="false" outlineLevel="0" collapsed="false">
      <c r="A562" s="6" t="s">
        <v>402</v>
      </c>
    </row>
    <row r="563" customFormat="false" ht="17.15" hidden="false" customHeight="false" outlineLevel="0" collapsed="false">
      <c r="A563" s="4" t="s">
        <v>331</v>
      </c>
      <c r="B563" s="0" t="s">
        <v>165</v>
      </c>
      <c r="C563" s="19" t="n">
        <f aca="false">a25_nai</f>
        <v>1218.656</v>
      </c>
      <c r="D563" s="19" t="n">
        <f aca="false">a26_nai</f>
        <v>1279.5888</v>
      </c>
      <c r="E563" s="19" t="n">
        <f aca="false">D563*(1+g_nai27)</f>
        <v>1317.976464</v>
      </c>
      <c r="F563" s="19" t="n">
        <f aca="false">E563*(1+g_nai28)</f>
        <v>1344.33599328</v>
      </c>
      <c r="G563" s="19" t="n">
        <f aca="false">F563*(1+g_nai29)</f>
        <v>1371.2227131456</v>
      </c>
    </row>
    <row r="564" customFormat="false" ht="15" hidden="false" customHeight="false" outlineLevel="0" collapsed="false">
      <c r="A564" s="4" t="s">
        <v>302</v>
      </c>
      <c r="B564" s="0" t="s">
        <v>165</v>
      </c>
      <c r="C564" s="19" t="n">
        <f aca="false">C561+C563</f>
        <v>2123.689</v>
      </c>
      <c r="D564" s="19" t="n">
        <f aca="false">D561+D563</f>
        <v>3998.715</v>
      </c>
      <c r="E564" s="19" t="n">
        <f aca="false">E561+E563</f>
        <v>5710.50896358629</v>
      </c>
      <c r="F564" s="19" t="n">
        <f aca="false">F561+F563</f>
        <v>6046.24302221704</v>
      </c>
      <c r="G564" s="19" t="n">
        <f aca="false">G561+G563</f>
        <v>6128.38776739279</v>
      </c>
    </row>
    <row r="565" customFormat="false" ht="15" hidden="false" customHeight="false" outlineLevel="0" collapsed="false">
      <c r="A565" s="4" t="s">
        <v>403</v>
      </c>
      <c r="B565" s="0" t="s">
        <v>49</v>
      </c>
      <c r="D565" s="15" t="n">
        <f aca="false">D564/C564-1</f>
        <v>0.88290987993063</v>
      </c>
      <c r="E565" s="15" t="n">
        <f aca="false">E564/D564-1</f>
        <v>0.428086013528418</v>
      </c>
      <c r="F565" s="15" t="n">
        <f aca="false">F564/E564-1</f>
        <v>0.0587923179477703</v>
      </c>
      <c r="G565" s="15" t="n">
        <f aca="false">G564/F564-1</f>
        <v>0.0135860806245958</v>
      </c>
    </row>
    <row r="566" customFormat="false" ht="17.15" hidden="false" customHeight="false" outlineLevel="0" collapsed="false">
      <c r="A566" s="0" t="s">
        <v>404</v>
      </c>
      <c r="B566" s="0" t="s">
        <v>49</v>
      </c>
      <c r="C566" s="15" t="n">
        <f aca="false">C561/C564</f>
        <v>0.426160798497332</v>
      </c>
      <c r="D566" s="15" t="n">
        <f aca="false">D561/D564</f>
        <v>0.68</v>
      </c>
      <c r="E566" s="15" t="n">
        <f aca="false">E561/E564</f>
        <v>0.769201576881461</v>
      </c>
      <c r="F566" s="15" t="n">
        <f aca="false">F561/F564</f>
        <v>0.777657631633361</v>
      </c>
      <c r="G566" s="15" t="n">
        <f aca="false">G561/G564</f>
        <v>0.776250660827723</v>
      </c>
    </row>
    <row r="567" customFormat="false" ht="17.15" hidden="false" customHeight="false" outlineLevel="0" collapsed="false">
      <c r="A567" s="4" t="s">
        <v>364</v>
      </c>
      <c r="B567" s="0" t="s">
        <v>350</v>
      </c>
      <c r="D567" s="16" t="n">
        <f aca="false">D561/fx/D552</f>
        <v>3.63138338873399</v>
      </c>
      <c r="E567" s="16" t="n">
        <f aca="false">E561/fx/E552</f>
        <v>3.29597359817473</v>
      </c>
      <c r="F567" s="16" t="n">
        <f aca="false">F561/fx/F552</f>
        <v>2.78326659401422</v>
      </c>
      <c r="G567" s="16" t="n">
        <f aca="false">G561/fx/G552</f>
        <v>2.47198019863105</v>
      </c>
    </row>
    <row r="568" customFormat="false" ht="17.15" hidden="false" customHeight="false" outlineLevel="0" collapsed="false">
      <c r="A568" s="4" t="s">
        <v>405</v>
      </c>
      <c r="B568" s="4" t="s">
        <v>362</v>
      </c>
      <c r="D568" s="19" t="n">
        <f aca="false">D559/fx/(odm_gb*(1-vr26)+odm_vr*vr26)</f>
        <v>18.4522679153094</v>
      </c>
      <c r="E568" s="19" t="n">
        <f aca="false">E559/fx/odm_vr</f>
        <v>22.5953317879953</v>
      </c>
      <c r="F568" s="19" t="n">
        <f aca="false">F559/fx/odm_vr</f>
        <v>27.2101101211634</v>
      </c>
      <c r="G568" s="19" t="n">
        <f aca="false">G559/fx/odm_vr</f>
        <v>29.3652163842419</v>
      </c>
      <c r="H568" s="4" t="s">
        <v>406</v>
      </c>
    </row>
    <row r="569" customFormat="false" ht="17.15" hidden="false" customHeight="false" outlineLevel="0" collapsed="false">
      <c r="A569" s="6" t="s">
        <v>407</v>
      </c>
    </row>
    <row r="570" customFormat="false" ht="17.15" hidden="false" customHeight="false" outlineLevel="0" collapsed="false">
      <c r="A570" s="4" t="s">
        <v>408</v>
      </c>
      <c r="B570" s="0" t="s">
        <v>49</v>
      </c>
      <c r="D570" s="14" t="n">
        <f aca="false">a26_gp/D564-d_ai_hi*D566</f>
        <v>0.0530307213692399</v>
      </c>
      <c r="H570" s="8" t="s">
        <v>409</v>
      </c>
    </row>
    <row r="571" customFormat="false" ht="17.15" hidden="false" customHeight="false" outlineLevel="0" collapsed="false">
      <c r="A571" s="0" t="s">
        <v>410</v>
      </c>
      <c r="B571" s="0" t="s">
        <v>165</v>
      </c>
      <c r="D571" s="21" t="n">
        <f aca="false">($D$570+d_ai_hi)*D559*(1-D560*(1-keep))</f>
        <v>130.60159288</v>
      </c>
      <c r="E571" s="21" t="n">
        <f aca="false">($D$570+d_ai_hi+vrd)*E559*(1-E560*(1-keep))</f>
        <v>217.578797803621</v>
      </c>
      <c r="F571" s="21" t="n">
        <f aca="false">($D$570+d_ai_hi+vrd)*F559*(1-F560*(1-keep))</f>
        <v>259.369575022065</v>
      </c>
      <c r="G571" s="21" t="n">
        <f aca="false">($D$570+d_ai_hi+vrd)*G559*(1-G560*(1-keep))</f>
        <v>278.484146284877</v>
      </c>
      <c r="H571" s="4" t="s">
        <v>411</v>
      </c>
    </row>
    <row r="572" customFormat="false" ht="15" hidden="false" customHeight="false" outlineLevel="0" collapsed="false">
      <c r="A572" s="4" t="s">
        <v>306</v>
      </c>
      <c r="B572" s="0" t="s">
        <v>165</v>
      </c>
      <c r="C572" s="19" t="n">
        <f aca="false">a25_gp</f>
        <v>148.2334922</v>
      </c>
      <c r="D572" s="19" t="n">
        <f aca="false">a26_gp</f>
        <v>198.45911</v>
      </c>
      <c r="E572" s="19" t="n">
        <f aca="false">$D$570*E563+E571</f>
        <v>287.472040437221</v>
      </c>
      <c r="F572" s="19" t="n">
        <f aca="false">$D$570*F563+F571</f>
        <v>330.660682508337</v>
      </c>
      <c r="G572" s="19" t="n">
        <f aca="false">$D$570*G563+G571</f>
        <v>351.201075920874</v>
      </c>
    </row>
    <row r="573" customFormat="false" ht="15" hidden="false" customHeight="false" outlineLevel="0" collapsed="false">
      <c r="A573" s="4" t="s">
        <v>309</v>
      </c>
      <c r="B573" s="0" t="s">
        <v>49</v>
      </c>
      <c r="C573" s="14" t="n">
        <f aca="false">C572/C564</f>
        <v>0.0698</v>
      </c>
      <c r="D573" s="14" t="n">
        <f aca="false">D572/D564</f>
        <v>0.0496307213692399</v>
      </c>
      <c r="E573" s="14" t="n">
        <f aca="false">E572/E564</f>
        <v>0.0503408789427211</v>
      </c>
      <c r="F573" s="14" t="n">
        <f aca="false">F572/F564</f>
        <v>0.0546886192455906</v>
      </c>
      <c r="G573" s="14" t="n">
        <f aca="false">G572/G564</f>
        <v>0.0573072542487446</v>
      </c>
    </row>
    <row r="574" customFormat="false" ht="17.15" hidden="false" customHeight="false" outlineLevel="0" collapsed="false">
      <c r="A574" s="0" t="s">
        <v>412</v>
      </c>
      <c r="B574" s="0" t="s">
        <v>49</v>
      </c>
      <c r="D574" s="14" t="n">
        <f aca="false">D571/D561</f>
        <v>0.0480307213692399</v>
      </c>
      <c r="E574" s="14" t="n">
        <f aca="false">E571/E561</f>
        <v>0.0495337935061639</v>
      </c>
      <c r="F574" s="14" t="n">
        <f aca="false">F571/F561</f>
        <v>0.0551626336773188</v>
      </c>
      <c r="G574" s="14" t="n">
        <f aca="false">G571/G561</f>
        <v>0.0585399377800118</v>
      </c>
      <c r="H574" s="4" t="s">
        <v>413</v>
      </c>
    </row>
    <row r="575" customFormat="false" ht="15" hidden="false" customHeight="false" outlineLevel="0" collapsed="false">
      <c r="A575" s="4" t="s">
        <v>414</v>
      </c>
      <c r="B575" s="0" t="s">
        <v>165</v>
      </c>
      <c r="C575" s="19" t="n">
        <f aca="false">a25_opx</f>
        <v>60.7375054</v>
      </c>
      <c r="D575" s="19" t="n">
        <f aca="false">a26_opx</f>
        <v>71.1893725</v>
      </c>
      <c r="E575" s="19" t="n">
        <f aca="false">D575*(1+MAX(0,phi*E565))</f>
        <v>83.3794423716458</v>
      </c>
      <c r="F575" s="19" t="n">
        <f aca="false">E575*(1+MAX(0,phi*F565))</f>
        <v>85.3402706461345</v>
      </c>
      <c r="G575" s="19" t="n">
        <f aca="false">F575*(1+MAX(0,phi*G565))</f>
        <v>85.8040465651437</v>
      </c>
    </row>
    <row r="576" customFormat="false" ht="15" hidden="false" customHeight="false" outlineLevel="0" collapsed="false">
      <c r="A576" s="4" t="s">
        <v>310</v>
      </c>
      <c r="B576" s="0" t="s">
        <v>165</v>
      </c>
      <c r="C576" s="19" t="n">
        <f aca="false">C575</f>
        <v>60.7375054</v>
      </c>
      <c r="D576" s="19" t="n">
        <f aca="false">D575</f>
        <v>71.1893725</v>
      </c>
      <c r="E576" s="19" t="n">
        <f aca="false">E575+0*E564</f>
        <v>83.3794423716458</v>
      </c>
      <c r="F576" s="19" t="n">
        <f aca="false">F575+0*F564</f>
        <v>85.3402706461345</v>
      </c>
      <c r="G576" s="19" t="n">
        <f aca="false">G575+0*G564</f>
        <v>85.8040465651437</v>
      </c>
    </row>
    <row r="577" customFormat="false" ht="15" hidden="false" customHeight="false" outlineLevel="0" collapsed="false">
      <c r="A577" s="4" t="s">
        <v>313</v>
      </c>
      <c r="B577" s="0" t="s">
        <v>165</v>
      </c>
      <c r="C577" s="19" t="n">
        <f aca="false">C572-C576</f>
        <v>87.4959868</v>
      </c>
      <c r="D577" s="19" t="n">
        <f aca="false">D572-D576</f>
        <v>127.2697375</v>
      </c>
      <c r="E577" s="19" t="n">
        <f aca="false">E572-E576</f>
        <v>204.092598065575</v>
      </c>
      <c r="F577" s="19" t="n">
        <f aca="false">F572-F576</f>
        <v>245.320411862202</v>
      </c>
      <c r="G577" s="19" t="n">
        <f aca="false">G572-G576</f>
        <v>265.397029355731</v>
      </c>
    </row>
    <row r="578" customFormat="false" ht="15" hidden="false" customHeight="false" outlineLevel="0" collapsed="false">
      <c r="A578" s="4" t="s">
        <v>316</v>
      </c>
      <c r="B578" s="0" t="s">
        <v>49</v>
      </c>
      <c r="C578" s="14" t="n">
        <f aca="false">C577/C564</f>
        <v>0.0412</v>
      </c>
      <c r="D578" s="14" t="n">
        <f aca="false">D577/D564</f>
        <v>0.0318276590104571</v>
      </c>
      <c r="E578" s="14" t="n">
        <f aca="false">E577/E564</f>
        <v>0.0357398262338777</v>
      </c>
      <c r="F578" s="14" t="n">
        <f aca="false">F577/F564</f>
        <v>0.0405740243918029</v>
      </c>
      <c r="G578" s="14" t="n">
        <f aca="false">G577/G564</f>
        <v>0.0433061743853456</v>
      </c>
    </row>
    <row r="579" customFormat="false" ht="17.15" hidden="false" customHeight="false" outlineLevel="0" collapsed="false">
      <c r="A579" s="4" t="s">
        <v>199</v>
      </c>
      <c r="B579" s="0" t="s">
        <v>49</v>
      </c>
      <c r="C579" s="15" t="n">
        <f aca="false">a25_ni/a25_oi</f>
        <v>0.856953590013114</v>
      </c>
      <c r="D579" s="15" t="n">
        <f aca="false">a26_ni/a26_oi</f>
        <v>0.869913569398224</v>
      </c>
      <c r="E579" s="15" t="n">
        <f aca="false">nio_f</f>
        <v>0.865</v>
      </c>
      <c r="F579" s="15" t="n">
        <f aca="false">nio_f</f>
        <v>0.865</v>
      </c>
      <c r="G579" s="15" t="n">
        <f aca="false">nio_f</f>
        <v>0.865</v>
      </c>
    </row>
    <row r="580" customFormat="false" ht="15" hidden="false" customHeight="false" outlineLevel="0" collapsed="false">
      <c r="A580" s="4" t="s">
        <v>317</v>
      </c>
      <c r="B580" s="0" t="s">
        <v>165</v>
      </c>
      <c r="C580" s="19" t="n">
        <f aca="false">a25_ni</f>
        <v>74.98</v>
      </c>
      <c r="D580" s="19" t="n">
        <f aca="false">a26_ni</f>
        <v>110.713671625</v>
      </c>
      <c r="E580" s="19" t="n">
        <f aca="false">E577*E579</f>
        <v>176.540097326722</v>
      </c>
      <c r="F580" s="19" t="n">
        <f aca="false">F577*F579</f>
        <v>212.202156260805</v>
      </c>
      <c r="G580" s="19" t="n">
        <f aca="false">G577*G579</f>
        <v>229.568430392707</v>
      </c>
    </row>
    <row r="581" customFormat="false" ht="15" hidden="false" customHeight="false" outlineLevel="0" collapsed="false">
      <c r="A581" s="4" t="s">
        <v>415</v>
      </c>
      <c r="B581" s="4" t="s">
        <v>186</v>
      </c>
      <c r="C581" s="22" t="n">
        <f aca="false">a25_sh</f>
        <v>3.85501285347044</v>
      </c>
      <c r="D581" s="22" t="n">
        <f aca="false">a26_sh</f>
        <v>3.85460170146945</v>
      </c>
      <c r="E581" s="22" t="n">
        <f aca="false">D581*(1+sh_g)</f>
        <v>3.85460170146945</v>
      </c>
      <c r="F581" s="22" t="n">
        <f aca="false">E581*(1+sh_g)</f>
        <v>3.85460170146945</v>
      </c>
      <c r="G581" s="22" t="n">
        <f aca="false">F581*(1+sh_g)</f>
        <v>3.85460170146945</v>
      </c>
    </row>
    <row r="582" customFormat="false" ht="15" hidden="false" customHeight="false" outlineLevel="0" collapsed="false">
      <c r="A582" s="0" t="s">
        <v>323</v>
      </c>
      <c r="B582" s="0" t="s">
        <v>216</v>
      </c>
      <c r="C582" s="21" t="n">
        <f aca="false">C580/C581</f>
        <v>19.45</v>
      </c>
      <c r="D582" s="21" t="n">
        <f aca="false">D580/D581</f>
        <v>28.7224673778341</v>
      </c>
      <c r="E582" s="21" t="n">
        <f aca="false">E580/E581</f>
        <v>45.7998286202753</v>
      </c>
      <c r="F582" s="21" t="n">
        <f aca="false">F580/F581</f>
        <v>55.0516428662161</v>
      </c>
      <c r="G582" s="21" t="n">
        <f aca="false">G580/G581</f>
        <v>59.5569784305317</v>
      </c>
    </row>
    <row r="583" customFormat="false" ht="17.15" hidden="false" customHeight="false" outlineLevel="0" collapsed="false">
      <c r="A583" s="0" t="s">
        <v>416</v>
      </c>
      <c r="B583" s="0" t="s">
        <v>49</v>
      </c>
      <c r="D583" s="15" t="n">
        <f aca="false">D582/C582-1</f>
        <v>0.476733541276816</v>
      </c>
      <c r="E583" s="15" t="n">
        <f aca="false">E582/D582-1</f>
        <v>0.594564562222127</v>
      </c>
      <c r="F583" s="15" t="n">
        <f aca="false">F582/E582-1</f>
        <v>0.202005433746209</v>
      </c>
      <c r="G583" s="15" t="n">
        <f aca="false">G582/F582-1</f>
        <v>0.0818383490437205</v>
      </c>
    </row>
    <row r="586" customFormat="false" ht="17.15" hidden="false" customHeight="false" outlineLevel="0" collapsed="false">
      <c r="A586" s="1" t="s">
        <v>725</v>
      </c>
    </row>
    <row r="587" customFormat="false" ht="17.15" hidden="false" customHeight="false" outlineLevel="0" collapsed="false">
      <c r="A587" s="5" t="s">
        <v>18</v>
      </c>
      <c r="B587" s="5" t="s">
        <v>19</v>
      </c>
      <c r="C587" s="11" t="s">
        <v>296</v>
      </c>
      <c r="D587" s="11" t="s">
        <v>372</v>
      </c>
      <c r="E587" s="11" t="s">
        <v>373</v>
      </c>
      <c r="F587" s="11" t="s">
        <v>374</v>
      </c>
      <c r="G587" s="11" t="s">
        <v>375</v>
      </c>
      <c r="H587" s="5" t="s">
        <v>345</v>
      </c>
    </row>
    <row r="588" customFormat="false" ht="17.15" hidden="false" customHeight="false" outlineLevel="0" collapsed="false">
      <c r="A588" s="6" t="s">
        <v>389</v>
      </c>
    </row>
    <row r="589" customFormat="false" ht="17.15" hidden="false" customHeight="false" outlineLevel="0" collapsed="false">
      <c r="A589" s="0" t="s">
        <v>390</v>
      </c>
      <c r="B589" s="0" t="s">
        <v>29</v>
      </c>
      <c r="D589" s="21" t="n">
        <f aca="false">itc_26*1</f>
        <v>781.872916666667</v>
      </c>
      <c r="E589" s="21" t="n">
        <f aca="false">itc_27*1*1</f>
        <v>1565.35</v>
      </c>
      <c r="F589" s="21" t="n">
        <f aca="false">itc_28*um28_A*1</f>
        <v>1984.26388888889</v>
      </c>
      <c r="G589" s="21" t="n">
        <f aca="false">itc_29*um29_A*1</f>
        <v>2260.39027777778</v>
      </c>
    </row>
    <row r="590" customFormat="false" ht="17.15" hidden="false" customHeight="false" outlineLevel="0" collapsed="false">
      <c r="A590" s="4" t="s">
        <v>391</v>
      </c>
      <c r="B590" s="0" t="s">
        <v>29</v>
      </c>
      <c r="D590" s="21" t="n">
        <f aca="false">itpg_gb*(1-vr26)+itpg_vr*vr26</f>
        <v>33.41403216</v>
      </c>
      <c r="E590" s="21" t="n">
        <f aca="false">itpg_vr</f>
        <v>37.586352</v>
      </c>
      <c r="F590" s="21" t="n">
        <f aca="false">itpg_vr</f>
        <v>37.586352</v>
      </c>
      <c r="G590" s="21" t="n">
        <f aca="false">itpg_vr</f>
        <v>37.586352</v>
      </c>
    </row>
    <row r="591" customFormat="false" ht="17.15" hidden="false" customHeight="false" outlineLevel="0" collapsed="false">
      <c r="A591" s="4" t="s">
        <v>392</v>
      </c>
      <c r="B591" s="0" t="s">
        <v>347</v>
      </c>
      <c r="D591" s="18" t="n">
        <f aca="false">D589/D590</f>
        <v>23.3995380420639</v>
      </c>
      <c r="E591" s="18" t="n">
        <f aca="false">E589/E590</f>
        <v>41.6467658260637</v>
      </c>
      <c r="F591" s="18" t="n">
        <f aca="false">F589/F590</f>
        <v>52.792138191248</v>
      </c>
      <c r="G591" s="18" t="n">
        <f aca="false">G589/G590</f>
        <v>60.1385917361116</v>
      </c>
    </row>
    <row r="592" customFormat="false" ht="17.15" hidden="false" customHeight="false" outlineLevel="0" collapsed="false">
      <c r="A592" s="4" t="s">
        <v>349</v>
      </c>
      <c r="B592" s="0" t="s">
        <v>350</v>
      </c>
      <c r="D592" s="16" t="n">
        <f aca="false">(racks_gb*odm_gb*(1-vr26)+racks_vr*odm_vr*vr26)/1000</f>
        <v>27.1209</v>
      </c>
      <c r="E592" s="16" t="n">
        <f aca="false">racks_vr*odm_vr/1000</f>
        <v>27.351</v>
      </c>
      <c r="F592" s="16" t="n">
        <f aca="false">$E592*vpg_28</f>
        <v>27.351</v>
      </c>
      <c r="G592" s="16" t="n">
        <f aca="false">$E592*vpg_29</f>
        <v>27.351</v>
      </c>
      <c r="H592" s="4" t="s">
        <v>393</v>
      </c>
    </row>
    <row r="593" customFormat="false" ht="17.15" hidden="false" customHeight="false" outlineLevel="0" collapsed="false">
      <c r="A593" s="0" t="s">
        <v>394</v>
      </c>
      <c r="B593" s="0" t="s">
        <v>29</v>
      </c>
      <c r="D593" s="19" t="n">
        <f aca="false">D591*D592</f>
        <v>634.616531285011</v>
      </c>
      <c r="E593" s="19" t="n">
        <f aca="false">E591*E592</f>
        <v>1139.08069210867</v>
      </c>
      <c r="F593" s="19" t="n">
        <f aca="false">F591*F592</f>
        <v>1443.91777166882</v>
      </c>
      <c r="G593" s="19" t="n">
        <f aca="false">G591*G592</f>
        <v>1644.85062257439</v>
      </c>
    </row>
    <row r="594" customFormat="false" ht="17.15" hidden="false" customHeight="false" outlineLevel="0" collapsed="false">
      <c r="A594" s="0" t="s">
        <v>395</v>
      </c>
      <c r="B594" s="0" t="s">
        <v>165</v>
      </c>
      <c r="D594" s="19" t="n">
        <f aca="false">D593*fx</f>
        <v>20307.7290011204</v>
      </c>
      <c r="E594" s="19" t="n">
        <f aca="false">E593*fx</f>
        <v>36450.5821474774</v>
      </c>
      <c r="F594" s="19" t="n">
        <f aca="false">F593*fx</f>
        <v>46205.3686934024</v>
      </c>
      <c r="G594" s="19" t="n">
        <f aca="false">G593*fx</f>
        <v>52635.2199223804</v>
      </c>
    </row>
    <row r="595" customFormat="false" ht="17.15" hidden="false" customHeight="false" outlineLevel="0" collapsed="false">
      <c r="A595" s="4" t="s">
        <v>396</v>
      </c>
      <c r="B595" s="0" t="s">
        <v>49</v>
      </c>
      <c r="D595" s="15" t="n">
        <f aca="false">a26_ai/D594</f>
        <v>0.133896123975753</v>
      </c>
      <c r="H595" s="8" t="s">
        <v>397</v>
      </c>
    </row>
    <row r="596" customFormat="false" ht="17.15" hidden="false" customHeight="false" outlineLevel="0" collapsed="false">
      <c r="A596" s="4" t="s">
        <v>398</v>
      </c>
      <c r="B596" s="0" t="s">
        <v>69</v>
      </c>
      <c r="D596" s="16" t="n">
        <f aca="false">1</f>
        <v>1</v>
      </c>
      <c r="E596" s="16" t="n">
        <f aca="false">rel_27</f>
        <v>1</v>
      </c>
      <c r="F596" s="16" t="n">
        <f aca="false">rel_28</f>
        <v>0.95</v>
      </c>
      <c r="G596" s="16" t="n">
        <f aca="false">rel_29</f>
        <v>0.9</v>
      </c>
    </row>
    <row r="597" customFormat="false" ht="15" hidden="false" customHeight="false" outlineLevel="0" collapsed="false">
      <c r="A597" s="4" t="s">
        <v>354</v>
      </c>
      <c r="B597" s="0" t="s">
        <v>49</v>
      </c>
      <c r="D597" s="15" t="n">
        <f aca="false">$D$595*D596</f>
        <v>0.133896123975753</v>
      </c>
      <c r="E597" s="15" t="n">
        <f aca="false">$D$595*E596</f>
        <v>0.133896123975753</v>
      </c>
      <c r="F597" s="15" t="n">
        <f aca="false">$D$595*F596</f>
        <v>0.127201317776965</v>
      </c>
      <c r="G597" s="15" t="n">
        <f aca="false">$D$595*G596</f>
        <v>0.120506511578177</v>
      </c>
    </row>
    <row r="598" customFormat="false" ht="17.15" hidden="false" customHeight="false" outlineLevel="0" collapsed="false">
      <c r="A598" s="0" t="s">
        <v>399</v>
      </c>
      <c r="B598" s="0" t="s">
        <v>165</v>
      </c>
      <c r="D598" s="19" t="n">
        <f aca="false">D594*D597</f>
        <v>2719.1262</v>
      </c>
      <c r="E598" s="19" t="n">
        <f aca="false">E594*E597</f>
        <v>4880.59166620699</v>
      </c>
      <c r="F598" s="19" t="n">
        <f aca="false">F594*F597</f>
        <v>5877.38378617131</v>
      </c>
      <c r="G598" s="19" t="n">
        <f aca="false">G594*G597</f>
        <v>6342.88673899625</v>
      </c>
    </row>
    <row r="599" customFormat="false" ht="17.15" hidden="false" customHeight="false" outlineLevel="0" collapsed="false">
      <c r="A599" s="4" t="s">
        <v>358</v>
      </c>
      <c r="B599" s="0" t="s">
        <v>49</v>
      </c>
      <c r="D599" s="15" t="n">
        <f aca="false">0</f>
        <v>0</v>
      </c>
      <c r="E599" s="15" t="n">
        <f aca="false">cs_27</f>
        <v>0.1</v>
      </c>
      <c r="F599" s="15" t="n">
        <f aca="false">cs_28</f>
        <v>0.2</v>
      </c>
      <c r="G599" s="15" t="n">
        <f aca="false">cs_29</f>
        <v>0.25</v>
      </c>
      <c r="H599" s="8" t="s">
        <v>400</v>
      </c>
    </row>
    <row r="600" customFormat="false" ht="17.15" hidden="false" customHeight="false" outlineLevel="0" collapsed="false">
      <c r="A600" s="0" t="s">
        <v>401</v>
      </c>
      <c r="B600" s="0" t="s">
        <v>165</v>
      </c>
      <c r="C600" s="19" t="n">
        <f aca="false">a25_ai</f>
        <v>905.033</v>
      </c>
      <c r="D600" s="19" t="n">
        <f aca="false">D598*(1-D599)</f>
        <v>2719.1262</v>
      </c>
      <c r="E600" s="19" t="n">
        <f aca="false">E598*(1-E599)</f>
        <v>4392.53249958629</v>
      </c>
      <c r="F600" s="19" t="n">
        <f aca="false">F598*(1-F599)</f>
        <v>4701.90702893704</v>
      </c>
      <c r="G600" s="19" t="n">
        <f aca="false">G598*(1-G599)</f>
        <v>4757.16505424718</v>
      </c>
    </row>
    <row r="601" customFormat="false" ht="17.15" hidden="false" customHeight="false" outlineLevel="0" collapsed="false">
      <c r="A601" s="6" t="s">
        <v>402</v>
      </c>
    </row>
    <row r="602" customFormat="false" ht="17.15" hidden="false" customHeight="false" outlineLevel="0" collapsed="false">
      <c r="A602" s="4" t="s">
        <v>331</v>
      </c>
      <c r="B602" s="0" t="s">
        <v>165</v>
      </c>
      <c r="C602" s="19" t="n">
        <f aca="false">a25_nai</f>
        <v>1218.656</v>
      </c>
      <c r="D602" s="19" t="n">
        <f aca="false">a26_nai</f>
        <v>1279.5888</v>
      </c>
      <c r="E602" s="19" t="n">
        <f aca="false">D602*(1+g_nai27)</f>
        <v>1317.976464</v>
      </c>
      <c r="F602" s="19" t="n">
        <f aca="false">E602*(1+g_nai28)</f>
        <v>1344.33599328</v>
      </c>
      <c r="G602" s="19" t="n">
        <f aca="false">F602*(1+g_nai29)</f>
        <v>1371.2227131456</v>
      </c>
    </row>
    <row r="603" customFormat="false" ht="15" hidden="false" customHeight="false" outlineLevel="0" collapsed="false">
      <c r="A603" s="4" t="s">
        <v>302</v>
      </c>
      <c r="B603" s="0" t="s">
        <v>165</v>
      </c>
      <c r="C603" s="19" t="n">
        <f aca="false">C600+C602</f>
        <v>2123.689</v>
      </c>
      <c r="D603" s="19" t="n">
        <f aca="false">D600+D602</f>
        <v>3998.715</v>
      </c>
      <c r="E603" s="19" t="n">
        <f aca="false">E600+E602</f>
        <v>5710.50896358629</v>
      </c>
      <c r="F603" s="19" t="n">
        <f aca="false">F600+F602</f>
        <v>6046.24302221704</v>
      </c>
      <c r="G603" s="19" t="n">
        <f aca="false">G600+G602</f>
        <v>6128.38776739279</v>
      </c>
    </row>
    <row r="604" customFormat="false" ht="15" hidden="false" customHeight="false" outlineLevel="0" collapsed="false">
      <c r="A604" s="4" t="s">
        <v>403</v>
      </c>
      <c r="B604" s="0" t="s">
        <v>49</v>
      </c>
      <c r="D604" s="15" t="n">
        <f aca="false">D603/C603-1</f>
        <v>0.88290987993063</v>
      </c>
      <c r="E604" s="15" t="n">
        <f aca="false">E603/D603-1</f>
        <v>0.428086013528418</v>
      </c>
      <c r="F604" s="15" t="n">
        <f aca="false">F603/E603-1</f>
        <v>0.0587923179477703</v>
      </c>
      <c r="G604" s="15" t="n">
        <f aca="false">G603/F603-1</f>
        <v>0.0135860806245958</v>
      </c>
    </row>
    <row r="605" customFormat="false" ht="17.15" hidden="false" customHeight="false" outlineLevel="0" collapsed="false">
      <c r="A605" s="0" t="s">
        <v>404</v>
      </c>
      <c r="B605" s="0" t="s">
        <v>49</v>
      </c>
      <c r="C605" s="15" t="n">
        <f aca="false">C600/C603</f>
        <v>0.426160798497332</v>
      </c>
      <c r="D605" s="15" t="n">
        <f aca="false">D600/D603</f>
        <v>0.68</v>
      </c>
      <c r="E605" s="15" t="n">
        <f aca="false">E600/E603</f>
        <v>0.769201576881461</v>
      </c>
      <c r="F605" s="15" t="n">
        <f aca="false">F600/F603</f>
        <v>0.777657631633361</v>
      </c>
      <c r="G605" s="15" t="n">
        <f aca="false">G600/G603</f>
        <v>0.776250660827723</v>
      </c>
    </row>
    <row r="606" customFormat="false" ht="17.15" hidden="false" customHeight="false" outlineLevel="0" collapsed="false">
      <c r="A606" s="4" t="s">
        <v>364</v>
      </c>
      <c r="B606" s="0" t="s">
        <v>350</v>
      </c>
      <c r="D606" s="16" t="n">
        <f aca="false">D600/fx/D591</f>
        <v>3.63138338873399</v>
      </c>
      <c r="E606" s="16" t="n">
        <f aca="false">E600/fx/E591</f>
        <v>3.29597359817473</v>
      </c>
      <c r="F606" s="16" t="n">
        <f aca="false">F600/fx/F591</f>
        <v>2.78326659401422</v>
      </c>
      <c r="G606" s="16" t="n">
        <f aca="false">G600/fx/G591</f>
        <v>2.47198019863105</v>
      </c>
    </row>
    <row r="607" customFormat="false" ht="17.15" hidden="false" customHeight="false" outlineLevel="0" collapsed="false">
      <c r="A607" s="4" t="s">
        <v>405</v>
      </c>
      <c r="B607" s="4" t="s">
        <v>362</v>
      </c>
      <c r="D607" s="19" t="n">
        <f aca="false">D598/fx/(odm_gb*(1-vr26)+odm_vr*vr26)</f>
        <v>18.4522679153094</v>
      </c>
      <c r="E607" s="19" t="n">
        <f aca="false">E598/fx/odm_vr</f>
        <v>22.5953317879953</v>
      </c>
      <c r="F607" s="19" t="n">
        <f aca="false">F598/fx/odm_vr</f>
        <v>27.2101101211634</v>
      </c>
      <c r="G607" s="19" t="n">
        <f aca="false">G598/fx/odm_vr</f>
        <v>29.3652163842419</v>
      </c>
      <c r="H607" s="4" t="s">
        <v>406</v>
      </c>
    </row>
    <row r="608" customFormat="false" ht="17.15" hidden="false" customHeight="false" outlineLevel="0" collapsed="false">
      <c r="A608" s="6" t="s">
        <v>407</v>
      </c>
    </row>
    <row r="609" customFormat="false" ht="17.15" hidden="false" customHeight="false" outlineLevel="0" collapsed="false">
      <c r="A609" s="4" t="s">
        <v>408</v>
      </c>
      <c r="B609" s="0" t="s">
        <v>49</v>
      </c>
      <c r="D609" s="14" t="n">
        <f aca="false">a26_gp/D603-d_ai*D605</f>
        <v>0.0632307213692399</v>
      </c>
      <c r="H609" s="8" t="s">
        <v>409</v>
      </c>
    </row>
    <row r="610" customFormat="false" ht="17.15" hidden="false" customHeight="false" outlineLevel="0" collapsed="false">
      <c r="A610" s="0" t="s">
        <v>410</v>
      </c>
      <c r="B610" s="0" t="s">
        <v>165</v>
      </c>
      <c r="D610" s="21" t="n">
        <f aca="false">($D$609+d_ai)*D598*(1-D599*(1-keep))</f>
        <v>117.54978712</v>
      </c>
      <c r="E610" s="21" t="n">
        <f aca="false">($D$609+d_ai+vrd_lo)*E598*(1-E599*(1-keep))</f>
        <v>179.890868957171</v>
      </c>
      <c r="F610" s="21" t="n">
        <f aca="false">($D$609+d_ai+vrd_lo)*F598*(1-F599*(1-keep))</f>
        <v>214.442853360571</v>
      </c>
      <c r="G610" s="21" t="n">
        <f aca="false">($D$609+d_ai+vrd_lo)*G598*(1-G599*(1-keep))</f>
        <v>230.24649263481</v>
      </c>
      <c r="H610" s="4" t="s">
        <v>411</v>
      </c>
    </row>
    <row r="611" customFormat="false" ht="15" hidden="false" customHeight="false" outlineLevel="0" collapsed="false">
      <c r="A611" s="4" t="s">
        <v>306</v>
      </c>
      <c r="B611" s="0" t="s">
        <v>165</v>
      </c>
      <c r="C611" s="19" t="n">
        <f aca="false">a25_gp</f>
        <v>148.2334922</v>
      </c>
      <c r="D611" s="19" t="n">
        <f aca="false">a26_gp</f>
        <v>198.45911</v>
      </c>
      <c r="E611" s="19" t="n">
        <f aca="false">$D$609*E602+E610</f>
        <v>263.227471523571</v>
      </c>
      <c r="F611" s="19" t="n">
        <f aca="false">$D$609*F602+F610</f>
        <v>299.446187978299</v>
      </c>
      <c r="G611" s="19" t="n">
        <f aca="false">$D$609*G602+G610</f>
        <v>316.949893944893</v>
      </c>
    </row>
    <row r="612" customFormat="false" ht="15" hidden="false" customHeight="false" outlineLevel="0" collapsed="false">
      <c r="A612" s="4" t="s">
        <v>309</v>
      </c>
      <c r="B612" s="0" t="s">
        <v>49</v>
      </c>
      <c r="C612" s="14" t="n">
        <f aca="false">C611/C603</f>
        <v>0.0698</v>
      </c>
      <c r="D612" s="14" t="n">
        <f aca="false">D611/D603</f>
        <v>0.0496307213692399</v>
      </c>
      <c r="E612" s="14" t="n">
        <f aca="false">E611/E603</f>
        <v>0.0460952733288873</v>
      </c>
      <c r="F612" s="14" t="n">
        <f aca="false">F611/F603</f>
        <v>0.0495259927326735</v>
      </c>
      <c r="G612" s="14" t="n">
        <f aca="false">G611/G603</f>
        <v>0.0517183158075087</v>
      </c>
    </row>
    <row r="613" customFormat="false" ht="17.15" hidden="false" customHeight="false" outlineLevel="0" collapsed="false">
      <c r="A613" s="0" t="s">
        <v>412</v>
      </c>
      <c r="B613" s="0" t="s">
        <v>49</v>
      </c>
      <c r="D613" s="14" t="n">
        <f aca="false">D610/D600</f>
        <v>0.0432307213692399</v>
      </c>
      <c r="E613" s="14" t="n">
        <f aca="false">E610/E600</f>
        <v>0.0409537935061639</v>
      </c>
      <c r="F613" s="14" t="n">
        <f aca="false">F610/F600</f>
        <v>0.0456076336773189</v>
      </c>
      <c r="G613" s="14" t="n">
        <f aca="false">G610/G600</f>
        <v>0.0483999377800118</v>
      </c>
      <c r="H613" s="4" t="s">
        <v>413</v>
      </c>
    </row>
    <row r="614" customFormat="false" ht="15" hidden="false" customHeight="false" outlineLevel="0" collapsed="false">
      <c r="A614" s="4" t="s">
        <v>414</v>
      </c>
      <c r="B614" s="0" t="s">
        <v>165</v>
      </c>
      <c r="C614" s="19" t="n">
        <f aca="false">a25_opx</f>
        <v>60.7375054</v>
      </c>
      <c r="D614" s="19" t="n">
        <f aca="false">a26_opx</f>
        <v>71.1893725</v>
      </c>
      <c r="E614" s="19" t="n">
        <f aca="false">D614*(1+MAX(0,phi*E604))</f>
        <v>83.3794423716458</v>
      </c>
      <c r="F614" s="19" t="n">
        <f aca="false">E614*(1+MAX(0,phi*F604))</f>
        <v>85.3402706461345</v>
      </c>
      <c r="G614" s="19" t="n">
        <f aca="false">F614*(1+MAX(0,phi*G604))</f>
        <v>85.8040465651437</v>
      </c>
    </row>
    <row r="615" customFormat="false" ht="15" hidden="false" customHeight="false" outlineLevel="0" collapsed="false">
      <c r="A615" s="4" t="s">
        <v>310</v>
      </c>
      <c r="B615" s="0" t="s">
        <v>165</v>
      </c>
      <c r="C615" s="19" t="n">
        <f aca="false">C614</f>
        <v>60.7375054</v>
      </c>
      <c r="D615" s="19" t="n">
        <f aca="false">D614</f>
        <v>71.1893725</v>
      </c>
      <c r="E615" s="19" t="n">
        <f aca="false">E614+0*E603</f>
        <v>83.3794423716458</v>
      </c>
      <c r="F615" s="19" t="n">
        <f aca="false">F614+0*F603</f>
        <v>85.3402706461345</v>
      </c>
      <c r="G615" s="19" t="n">
        <f aca="false">G614+0*G603</f>
        <v>85.8040465651437</v>
      </c>
    </row>
    <row r="616" customFormat="false" ht="15" hidden="false" customHeight="false" outlineLevel="0" collapsed="false">
      <c r="A616" s="4" t="s">
        <v>313</v>
      </c>
      <c r="B616" s="0" t="s">
        <v>165</v>
      </c>
      <c r="C616" s="19" t="n">
        <f aca="false">C611-C615</f>
        <v>87.4959868</v>
      </c>
      <c r="D616" s="19" t="n">
        <f aca="false">D611-D615</f>
        <v>127.2697375</v>
      </c>
      <c r="E616" s="19" t="n">
        <f aca="false">E611-E615</f>
        <v>179.848029151925</v>
      </c>
      <c r="F616" s="19" t="n">
        <f aca="false">F611-F615</f>
        <v>214.105917332165</v>
      </c>
      <c r="G616" s="19" t="n">
        <f aca="false">G611-G615</f>
        <v>231.145847379749</v>
      </c>
    </row>
    <row r="617" customFormat="false" ht="15" hidden="false" customHeight="false" outlineLevel="0" collapsed="false">
      <c r="A617" s="4" t="s">
        <v>316</v>
      </c>
      <c r="B617" s="0" t="s">
        <v>49</v>
      </c>
      <c r="C617" s="14" t="n">
        <f aca="false">C616/C603</f>
        <v>0.0412</v>
      </c>
      <c r="D617" s="14" t="n">
        <f aca="false">D616/D603</f>
        <v>0.0318276590104571</v>
      </c>
      <c r="E617" s="14" t="n">
        <f aca="false">E616/E603</f>
        <v>0.0314942206200439</v>
      </c>
      <c r="F617" s="14" t="n">
        <f aca="false">F616/F603</f>
        <v>0.0354113978788858</v>
      </c>
      <c r="G617" s="14" t="n">
        <f aca="false">G616/G603</f>
        <v>0.0377172359441097</v>
      </c>
    </row>
    <row r="618" customFormat="false" ht="17.15" hidden="false" customHeight="false" outlineLevel="0" collapsed="false">
      <c r="A618" s="4" t="s">
        <v>199</v>
      </c>
      <c r="B618" s="0" t="s">
        <v>49</v>
      </c>
      <c r="C618" s="15" t="n">
        <f aca="false">a25_ni/a25_oi</f>
        <v>0.856953590013114</v>
      </c>
      <c r="D618" s="15" t="n">
        <f aca="false">a26_ni/a26_oi</f>
        <v>0.869913569398224</v>
      </c>
      <c r="E618" s="15" t="n">
        <f aca="false">nio_f</f>
        <v>0.865</v>
      </c>
      <c r="F618" s="15" t="n">
        <f aca="false">nio_f</f>
        <v>0.865</v>
      </c>
      <c r="G618" s="15" t="n">
        <f aca="false">nio_f</f>
        <v>0.865</v>
      </c>
    </row>
    <row r="619" customFormat="false" ht="15" hidden="false" customHeight="false" outlineLevel="0" collapsed="false">
      <c r="A619" s="4" t="s">
        <v>317</v>
      </c>
      <c r="B619" s="0" t="s">
        <v>165</v>
      </c>
      <c r="C619" s="19" t="n">
        <f aca="false">a25_ni</f>
        <v>74.98</v>
      </c>
      <c r="D619" s="19" t="n">
        <f aca="false">a26_ni</f>
        <v>110.713671625</v>
      </c>
      <c r="E619" s="19" t="n">
        <f aca="false">E616*E618</f>
        <v>155.568545216415</v>
      </c>
      <c r="F619" s="19" t="n">
        <f aca="false">F616*F618</f>
        <v>185.201618492323</v>
      </c>
      <c r="G619" s="19" t="n">
        <f aca="false">G616*G618</f>
        <v>199.941157983483</v>
      </c>
    </row>
    <row r="620" customFormat="false" ht="15" hidden="false" customHeight="false" outlineLevel="0" collapsed="false">
      <c r="A620" s="4" t="s">
        <v>415</v>
      </c>
      <c r="B620" s="4" t="s">
        <v>186</v>
      </c>
      <c r="C620" s="22" t="n">
        <f aca="false">a25_sh</f>
        <v>3.85501285347044</v>
      </c>
      <c r="D620" s="22" t="n">
        <f aca="false">a26_sh</f>
        <v>3.85460170146945</v>
      </c>
      <c r="E620" s="22" t="n">
        <f aca="false">D620*(1+sh_g)</f>
        <v>3.85460170146945</v>
      </c>
      <c r="F620" s="22" t="n">
        <f aca="false">E620*(1+sh_g)</f>
        <v>3.85460170146945</v>
      </c>
      <c r="G620" s="22" t="n">
        <f aca="false">F620*(1+sh_g)</f>
        <v>3.85460170146945</v>
      </c>
    </row>
    <row r="621" customFormat="false" ht="15" hidden="false" customHeight="false" outlineLevel="0" collapsed="false">
      <c r="A621" s="0" t="s">
        <v>323</v>
      </c>
      <c r="B621" s="0" t="s">
        <v>216</v>
      </c>
      <c r="C621" s="21" t="n">
        <f aca="false">C619/C620</f>
        <v>19.45</v>
      </c>
      <c r="D621" s="21" t="n">
        <f aca="false">D619/D620</f>
        <v>28.7224673778341</v>
      </c>
      <c r="E621" s="21" t="n">
        <f aca="false">E619/E620</f>
        <v>40.3591751534559</v>
      </c>
      <c r="F621" s="21" t="n">
        <f aca="false">F619/F620</f>
        <v>48.0468885855885</v>
      </c>
      <c r="G621" s="21" t="n">
        <f aca="false">G619/G620</f>
        <v>51.8707699182672</v>
      </c>
    </row>
    <row r="622" customFormat="false" ht="17.15" hidden="false" customHeight="false" outlineLevel="0" collapsed="false">
      <c r="A622" s="0" t="s">
        <v>416</v>
      </c>
      <c r="B622" s="0" t="s">
        <v>49</v>
      </c>
      <c r="D622" s="15" t="n">
        <f aca="false">D621/C621-1</f>
        <v>0.476733541276816</v>
      </c>
      <c r="E622" s="15" t="n">
        <f aca="false">E621/D621-1</f>
        <v>0.405143040900527</v>
      </c>
      <c r="F622" s="15" t="n">
        <f aca="false">F621/E621-1</f>
        <v>0.190482421974728</v>
      </c>
      <c r="G622" s="15" t="n">
        <f aca="false">G621/F621-1</f>
        <v>0.0795864507618838</v>
      </c>
    </row>
    <row r="625" customFormat="false" ht="17.15" hidden="false" customHeight="false" outlineLevel="0" collapsed="false">
      <c r="A625" s="1" t="s">
        <v>726</v>
      </c>
    </row>
    <row r="626" customFormat="false" ht="17.15" hidden="false" customHeight="false" outlineLevel="0" collapsed="false">
      <c r="A626" s="5" t="s">
        <v>18</v>
      </c>
      <c r="B626" s="5" t="s">
        <v>19</v>
      </c>
      <c r="C626" s="11" t="s">
        <v>296</v>
      </c>
      <c r="D626" s="11" t="s">
        <v>372</v>
      </c>
      <c r="E626" s="11" t="s">
        <v>373</v>
      </c>
      <c r="F626" s="11" t="s">
        <v>374</v>
      </c>
      <c r="G626" s="11" t="s">
        <v>375</v>
      </c>
      <c r="H626" s="5" t="s">
        <v>345</v>
      </c>
    </row>
    <row r="627" customFormat="false" ht="17.15" hidden="false" customHeight="false" outlineLevel="0" collapsed="false">
      <c r="A627" s="6" t="s">
        <v>389</v>
      </c>
    </row>
    <row r="628" customFormat="false" ht="17.15" hidden="false" customHeight="false" outlineLevel="0" collapsed="false">
      <c r="A628" s="0" t="s">
        <v>390</v>
      </c>
      <c r="B628" s="0" t="s">
        <v>29</v>
      </c>
      <c r="D628" s="21" t="n">
        <f aca="false">itc_26*1</f>
        <v>781.872916666667</v>
      </c>
      <c r="E628" s="21" t="n">
        <f aca="false">itc_27*1*1</f>
        <v>1565.35</v>
      </c>
      <c r="F628" s="21" t="n">
        <f aca="false">itc_28*um28_A*1</f>
        <v>1984.26388888889</v>
      </c>
      <c r="G628" s="21" t="n">
        <f aca="false">itc_29*um29_A*1</f>
        <v>2260.39027777778</v>
      </c>
    </row>
    <row r="629" customFormat="false" ht="17.15" hidden="false" customHeight="false" outlineLevel="0" collapsed="false">
      <c r="A629" s="4" t="s">
        <v>391</v>
      </c>
      <c r="B629" s="0" t="s">
        <v>29</v>
      </c>
      <c r="D629" s="21" t="n">
        <f aca="false">itpg_gb*(1-vr26)+itpg_vr*vr26</f>
        <v>33.41403216</v>
      </c>
      <c r="E629" s="21" t="n">
        <f aca="false">itpg_vr</f>
        <v>37.586352</v>
      </c>
      <c r="F629" s="21" t="n">
        <f aca="false">itpg_vr</f>
        <v>37.586352</v>
      </c>
      <c r="G629" s="21" t="n">
        <f aca="false">itpg_vr</f>
        <v>37.586352</v>
      </c>
    </row>
    <row r="630" customFormat="false" ht="17.15" hidden="false" customHeight="false" outlineLevel="0" collapsed="false">
      <c r="A630" s="4" t="s">
        <v>392</v>
      </c>
      <c r="B630" s="0" t="s">
        <v>347</v>
      </c>
      <c r="D630" s="18" t="n">
        <f aca="false">D628/D629</f>
        <v>23.3995380420639</v>
      </c>
      <c r="E630" s="18" t="n">
        <f aca="false">E628/E629</f>
        <v>41.6467658260637</v>
      </c>
      <c r="F630" s="18" t="n">
        <f aca="false">F628/F629</f>
        <v>52.792138191248</v>
      </c>
      <c r="G630" s="18" t="n">
        <f aca="false">G628/G629</f>
        <v>60.1385917361116</v>
      </c>
    </row>
    <row r="631" customFormat="false" ht="17.15" hidden="false" customHeight="false" outlineLevel="0" collapsed="false">
      <c r="A631" s="4" t="s">
        <v>349</v>
      </c>
      <c r="B631" s="0" t="s">
        <v>350</v>
      </c>
      <c r="D631" s="16" t="n">
        <f aca="false">(racks_gb*odm_gb*(1-vr26)+racks_vr*odm_vr*vr26)/1000</f>
        <v>27.1209</v>
      </c>
      <c r="E631" s="16" t="n">
        <f aca="false">racks_vr*odm_vr/1000</f>
        <v>27.351</v>
      </c>
      <c r="F631" s="16" t="n">
        <f aca="false">$E631*vpg_28</f>
        <v>27.351</v>
      </c>
      <c r="G631" s="16" t="n">
        <f aca="false">$E631*vpg_29</f>
        <v>27.351</v>
      </c>
      <c r="H631" s="4" t="s">
        <v>393</v>
      </c>
    </row>
    <row r="632" customFormat="false" ht="17.15" hidden="false" customHeight="false" outlineLevel="0" collapsed="false">
      <c r="A632" s="0" t="s">
        <v>394</v>
      </c>
      <c r="B632" s="0" t="s">
        <v>29</v>
      </c>
      <c r="D632" s="19" t="n">
        <f aca="false">D630*D631</f>
        <v>634.616531285011</v>
      </c>
      <c r="E632" s="19" t="n">
        <f aca="false">E630*E631</f>
        <v>1139.08069210867</v>
      </c>
      <c r="F632" s="19" t="n">
        <f aca="false">F630*F631</f>
        <v>1443.91777166882</v>
      </c>
      <c r="G632" s="19" t="n">
        <f aca="false">G630*G631</f>
        <v>1644.85062257439</v>
      </c>
    </row>
    <row r="633" customFormat="false" ht="17.15" hidden="false" customHeight="false" outlineLevel="0" collapsed="false">
      <c r="A633" s="0" t="s">
        <v>395</v>
      </c>
      <c r="B633" s="0" t="s">
        <v>165</v>
      </c>
      <c r="D633" s="19" t="n">
        <f aca="false">D632*fx</f>
        <v>20307.7290011204</v>
      </c>
      <c r="E633" s="19" t="n">
        <f aca="false">E632*fx</f>
        <v>36450.5821474774</v>
      </c>
      <c r="F633" s="19" t="n">
        <f aca="false">F632*fx</f>
        <v>46205.3686934024</v>
      </c>
      <c r="G633" s="19" t="n">
        <f aca="false">G632*fx</f>
        <v>52635.2199223804</v>
      </c>
    </row>
    <row r="634" customFormat="false" ht="17.15" hidden="false" customHeight="false" outlineLevel="0" collapsed="false">
      <c r="A634" s="4" t="s">
        <v>396</v>
      </c>
      <c r="B634" s="0" t="s">
        <v>49</v>
      </c>
      <c r="D634" s="15" t="n">
        <f aca="false">a26_ai/D633</f>
        <v>0.133896123975753</v>
      </c>
      <c r="H634" s="8" t="s">
        <v>397</v>
      </c>
    </row>
    <row r="635" customFormat="false" ht="17.15" hidden="false" customHeight="false" outlineLevel="0" collapsed="false">
      <c r="A635" s="4" t="s">
        <v>398</v>
      </c>
      <c r="B635" s="0" t="s">
        <v>69</v>
      </c>
      <c r="D635" s="16" t="n">
        <f aca="false">1</f>
        <v>1</v>
      </c>
      <c r="E635" s="16" t="n">
        <f aca="false">rel_27</f>
        <v>1</v>
      </c>
      <c r="F635" s="16" t="n">
        <f aca="false">rel_28</f>
        <v>0.95</v>
      </c>
      <c r="G635" s="16" t="n">
        <f aca="false">rel_29</f>
        <v>0.9</v>
      </c>
    </row>
    <row r="636" customFormat="false" ht="15" hidden="false" customHeight="false" outlineLevel="0" collapsed="false">
      <c r="A636" s="4" t="s">
        <v>354</v>
      </c>
      <c r="B636" s="0" t="s">
        <v>49</v>
      </c>
      <c r="D636" s="15" t="n">
        <f aca="false">$D$634*D635</f>
        <v>0.133896123975753</v>
      </c>
      <c r="E636" s="15" t="n">
        <f aca="false">$D$634*E635</f>
        <v>0.133896123975753</v>
      </c>
      <c r="F636" s="15" t="n">
        <f aca="false">$D$634*F635</f>
        <v>0.127201317776965</v>
      </c>
      <c r="G636" s="15" t="n">
        <f aca="false">$D$634*G635</f>
        <v>0.120506511578177</v>
      </c>
    </row>
    <row r="637" customFormat="false" ht="17.15" hidden="false" customHeight="false" outlineLevel="0" collapsed="false">
      <c r="A637" s="0" t="s">
        <v>399</v>
      </c>
      <c r="B637" s="0" t="s">
        <v>165</v>
      </c>
      <c r="D637" s="19" t="n">
        <f aca="false">D633*D636</f>
        <v>2719.1262</v>
      </c>
      <c r="E637" s="19" t="n">
        <f aca="false">E633*E636</f>
        <v>4880.59166620699</v>
      </c>
      <c r="F637" s="19" t="n">
        <f aca="false">F633*F636</f>
        <v>5877.38378617131</v>
      </c>
      <c r="G637" s="19" t="n">
        <f aca="false">G633*G636</f>
        <v>6342.88673899625</v>
      </c>
    </row>
    <row r="638" customFormat="false" ht="17.15" hidden="false" customHeight="false" outlineLevel="0" collapsed="false">
      <c r="A638" s="4" t="s">
        <v>358</v>
      </c>
      <c r="B638" s="0" t="s">
        <v>49</v>
      </c>
      <c r="D638" s="15" t="n">
        <f aca="false">0</f>
        <v>0</v>
      </c>
      <c r="E638" s="15" t="n">
        <f aca="false">cs_27</f>
        <v>0.1</v>
      </c>
      <c r="F638" s="15" t="n">
        <f aca="false">cs_28</f>
        <v>0.2</v>
      </c>
      <c r="G638" s="15" t="n">
        <f aca="false">cs_29</f>
        <v>0.25</v>
      </c>
      <c r="H638" s="8" t="s">
        <v>400</v>
      </c>
    </row>
    <row r="639" customFormat="false" ht="17.15" hidden="false" customHeight="false" outlineLevel="0" collapsed="false">
      <c r="A639" s="0" t="s">
        <v>401</v>
      </c>
      <c r="B639" s="0" t="s">
        <v>165</v>
      </c>
      <c r="C639" s="19" t="n">
        <f aca="false">a25_ai</f>
        <v>905.033</v>
      </c>
      <c r="D639" s="19" t="n">
        <f aca="false">D637*(1-D638)</f>
        <v>2719.1262</v>
      </c>
      <c r="E639" s="19" t="n">
        <f aca="false">E637*(1-E638)</f>
        <v>4392.53249958629</v>
      </c>
      <c r="F639" s="19" t="n">
        <f aca="false">F637*(1-F638)</f>
        <v>4701.90702893704</v>
      </c>
      <c r="G639" s="19" t="n">
        <f aca="false">G637*(1-G638)</f>
        <v>4757.16505424718</v>
      </c>
    </row>
    <row r="640" customFormat="false" ht="17.15" hidden="false" customHeight="false" outlineLevel="0" collapsed="false">
      <c r="A640" s="6" t="s">
        <v>402</v>
      </c>
    </row>
    <row r="641" customFormat="false" ht="17.15" hidden="false" customHeight="false" outlineLevel="0" collapsed="false">
      <c r="A641" s="4" t="s">
        <v>331</v>
      </c>
      <c r="B641" s="0" t="s">
        <v>165</v>
      </c>
      <c r="C641" s="19" t="n">
        <f aca="false">a25_nai</f>
        <v>1218.656</v>
      </c>
      <c r="D641" s="19" t="n">
        <f aca="false">a26_nai</f>
        <v>1279.5888</v>
      </c>
      <c r="E641" s="19" t="n">
        <f aca="false">D641*(1+g_nai27)</f>
        <v>1317.976464</v>
      </c>
      <c r="F641" s="19" t="n">
        <f aca="false">E641*(1+g_nai28)</f>
        <v>1344.33599328</v>
      </c>
      <c r="G641" s="19" t="n">
        <f aca="false">F641*(1+g_nai29)</f>
        <v>1371.2227131456</v>
      </c>
    </row>
    <row r="642" customFormat="false" ht="15" hidden="false" customHeight="false" outlineLevel="0" collapsed="false">
      <c r="A642" s="4" t="s">
        <v>302</v>
      </c>
      <c r="B642" s="0" t="s">
        <v>165</v>
      </c>
      <c r="C642" s="19" t="n">
        <f aca="false">C639+C641</f>
        <v>2123.689</v>
      </c>
      <c r="D642" s="19" t="n">
        <f aca="false">D639+D641</f>
        <v>3998.715</v>
      </c>
      <c r="E642" s="19" t="n">
        <f aca="false">E639+E641</f>
        <v>5710.50896358629</v>
      </c>
      <c r="F642" s="19" t="n">
        <f aca="false">F639+F641</f>
        <v>6046.24302221704</v>
      </c>
      <c r="G642" s="19" t="n">
        <f aca="false">G639+G641</f>
        <v>6128.38776739279</v>
      </c>
    </row>
    <row r="643" customFormat="false" ht="15" hidden="false" customHeight="false" outlineLevel="0" collapsed="false">
      <c r="A643" s="4" t="s">
        <v>403</v>
      </c>
      <c r="B643" s="0" t="s">
        <v>49</v>
      </c>
      <c r="D643" s="15" t="n">
        <f aca="false">D642/C642-1</f>
        <v>0.88290987993063</v>
      </c>
      <c r="E643" s="15" t="n">
        <f aca="false">E642/D642-1</f>
        <v>0.428086013528418</v>
      </c>
      <c r="F643" s="15" t="n">
        <f aca="false">F642/E642-1</f>
        <v>0.0587923179477703</v>
      </c>
      <c r="G643" s="15" t="n">
        <f aca="false">G642/F642-1</f>
        <v>0.0135860806245958</v>
      </c>
    </row>
    <row r="644" customFormat="false" ht="17.15" hidden="false" customHeight="false" outlineLevel="0" collapsed="false">
      <c r="A644" s="0" t="s">
        <v>404</v>
      </c>
      <c r="B644" s="0" t="s">
        <v>49</v>
      </c>
      <c r="C644" s="15" t="n">
        <f aca="false">C639/C642</f>
        <v>0.426160798497332</v>
      </c>
      <c r="D644" s="15" t="n">
        <f aca="false">D639/D642</f>
        <v>0.68</v>
      </c>
      <c r="E644" s="15" t="n">
        <f aca="false">E639/E642</f>
        <v>0.769201576881461</v>
      </c>
      <c r="F644" s="15" t="n">
        <f aca="false">F639/F642</f>
        <v>0.777657631633361</v>
      </c>
      <c r="G644" s="15" t="n">
        <f aca="false">G639/G642</f>
        <v>0.776250660827723</v>
      </c>
    </row>
    <row r="645" customFormat="false" ht="17.15" hidden="false" customHeight="false" outlineLevel="0" collapsed="false">
      <c r="A645" s="4" t="s">
        <v>364</v>
      </c>
      <c r="B645" s="0" t="s">
        <v>350</v>
      </c>
      <c r="D645" s="16" t="n">
        <f aca="false">D639/fx/D630</f>
        <v>3.63138338873399</v>
      </c>
      <c r="E645" s="16" t="n">
        <f aca="false">E639/fx/E630</f>
        <v>3.29597359817473</v>
      </c>
      <c r="F645" s="16" t="n">
        <f aca="false">F639/fx/F630</f>
        <v>2.78326659401422</v>
      </c>
      <c r="G645" s="16" t="n">
        <f aca="false">G639/fx/G630</f>
        <v>2.47198019863105</v>
      </c>
    </row>
    <row r="646" customFormat="false" ht="17.15" hidden="false" customHeight="false" outlineLevel="0" collapsed="false">
      <c r="A646" s="4" t="s">
        <v>405</v>
      </c>
      <c r="B646" s="4" t="s">
        <v>362</v>
      </c>
      <c r="D646" s="19" t="n">
        <f aca="false">D637/fx/(odm_gb*(1-vr26)+odm_vr*vr26)</f>
        <v>18.4522679153094</v>
      </c>
      <c r="E646" s="19" t="n">
        <f aca="false">E637/fx/odm_vr</f>
        <v>22.5953317879953</v>
      </c>
      <c r="F646" s="19" t="n">
        <f aca="false">F637/fx/odm_vr</f>
        <v>27.2101101211634</v>
      </c>
      <c r="G646" s="19" t="n">
        <f aca="false">G637/fx/odm_vr</f>
        <v>29.3652163842419</v>
      </c>
      <c r="H646" s="4" t="s">
        <v>406</v>
      </c>
    </row>
    <row r="647" customFormat="false" ht="17.15" hidden="false" customHeight="false" outlineLevel="0" collapsed="false">
      <c r="A647" s="6" t="s">
        <v>407</v>
      </c>
    </row>
    <row r="648" customFormat="false" ht="17.15" hidden="false" customHeight="false" outlineLevel="0" collapsed="false">
      <c r="A648" s="4" t="s">
        <v>408</v>
      </c>
      <c r="B648" s="0" t="s">
        <v>49</v>
      </c>
      <c r="D648" s="14" t="n">
        <f aca="false">a26_gp/D642-d_ai*D644</f>
        <v>0.0632307213692399</v>
      </c>
      <c r="H648" s="8" t="s">
        <v>409</v>
      </c>
    </row>
    <row r="649" customFormat="false" ht="17.15" hidden="false" customHeight="false" outlineLevel="0" collapsed="false">
      <c r="A649" s="0" t="s">
        <v>410</v>
      </c>
      <c r="B649" s="0" t="s">
        <v>165</v>
      </c>
      <c r="D649" s="21" t="n">
        <f aca="false">($D$648+d_ai)*D637*(1-D638*(1-keep))</f>
        <v>117.54978712</v>
      </c>
      <c r="E649" s="21" t="n">
        <f aca="false">($D$648+d_ai+vrd_hi)*E637*(1-E638*(1-keep))</f>
        <v>208.88158345444</v>
      </c>
      <c r="F649" s="21" t="n">
        <f aca="false">($D$648+d_ai+vrd_hi)*F637*(1-F638*(1-keep))</f>
        <v>249.001870023259</v>
      </c>
      <c r="G649" s="21" t="n">
        <f aca="false">($D$648+d_ai+vrd_hi)*G637*(1-G638*(1-keep))</f>
        <v>267.352380057938</v>
      </c>
      <c r="H649" s="4" t="s">
        <v>411</v>
      </c>
    </row>
    <row r="650" customFormat="false" ht="15" hidden="false" customHeight="false" outlineLevel="0" collapsed="false">
      <c r="A650" s="4" t="s">
        <v>306</v>
      </c>
      <c r="B650" s="0" t="s">
        <v>165</v>
      </c>
      <c r="C650" s="19" t="n">
        <f aca="false">a25_gp</f>
        <v>148.2334922</v>
      </c>
      <c r="D650" s="19" t="n">
        <f aca="false">a26_gp</f>
        <v>198.45911</v>
      </c>
      <c r="E650" s="19" t="n">
        <f aca="false">$D$648*E641+E649</f>
        <v>292.21818602084</v>
      </c>
      <c r="F650" s="19" t="n">
        <f aca="false">$D$648*F641+F649</f>
        <v>334.005204640987</v>
      </c>
      <c r="G650" s="19" t="n">
        <f aca="false">$D$648*G641+G649</f>
        <v>354.055781368021</v>
      </c>
    </row>
    <row r="651" customFormat="false" ht="15" hidden="false" customHeight="false" outlineLevel="0" collapsed="false">
      <c r="A651" s="4" t="s">
        <v>309</v>
      </c>
      <c r="B651" s="0" t="s">
        <v>49</v>
      </c>
      <c r="C651" s="14" t="n">
        <f aca="false">C650/C642</f>
        <v>0.0698</v>
      </c>
      <c r="D651" s="14" t="n">
        <f aca="false">D650/D642</f>
        <v>0.0496307213692399</v>
      </c>
      <c r="E651" s="14" t="n">
        <f aca="false">E650/E642</f>
        <v>0.0511720037363049</v>
      </c>
      <c r="F651" s="14" t="n">
        <f aca="false">F650/F642</f>
        <v>0.0552417763251787</v>
      </c>
      <c r="G651" s="14" t="n">
        <f aca="false">G650/G642</f>
        <v>0.0577730709619649</v>
      </c>
    </row>
    <row r="652" customFormat="false" ht="17.15" hidden="false" customHeight="false" outlineLevel="0" collapsed="false">
      <c r="A652" s="0" t="s">
        <v>412</v>
      </c>
      <c r="B652" s="0" t="s">
        <v>49</v>
      </c>
      <c r="D652" s="14" t="n">
        <f aca="false">D649/D639</f>
        <v>0.0432307213692399</v>
      </c>
      <c r="E652" s="14" t="n">
        <f aca="false">E649/E639</f>
        <v>0.0475537935061639</v>
      </c>
      <c r="F652" s="14" t="n">
        <f aca="false">F649/F639</f>
        <v>0.0529576336773188</v>
      </c>
      <c r="G652" s="14" t="n">
        <f aca="false">G649/G639</f>
        <v>0.0561999377800118</v>
      </c>
      <c r="H652" s="4" t="s">
        <v>413</v>
      </c>
    </row>
    <row r="653" customFormat="false" ht="15" hidden="false" customHeight="false" outlineLevel="0" collapsed="false">
      <c r="A653" s="4" t="s">
        <v>414</v>
      </c>
      <c r="B653" s="0" t="s">
        <v>165</v>
      </c>
      <c r="C653" s="19" t="n">
        <f aca="false">a25_opx</f>
        <v>60.7375054</v>
      </c>
      <c r="D653" s="19" t="n">
        <f aca="false">a26_opx</f>
        <v>71.1893725</v>
      </c>
      <c r="E653" s="19" t="n">
        <f aca="false">D653*(1+MAX(0,phi*E643))</f>
        <v>83.3794423716458</v>
      </c>
      <c r="F653" s="19" t="n">
        <f aca="false">E653*(1+MAX(0,phi*F643))</f>
        <v>85.3402706461345</v>
      </c>
      <c r="G653" s="19" t="n">
        <f aca="false">F653*(1+MAX(0,phi*G643))</f>
        <v>85.8040465651437</v>
      </c>
    </row>
    <row r="654" customFormat="false" ht="15" hidden="false" customHeight="false" outlineLevel="0" collapsed="false">
      <c r="A654" s="4" t="s">
        <v>310</v>
      </c>
      <c r="B654" s="0" t="s">
        <v>165</v>
      </c>
      <c r="C654" s="19" t="n">
        <f aca="false">C653</f>
        <v>60.7375054</v>
      </c>
      <c r="D654" s="19" t="n">
        <f aca="false">D653</f>
        <v>71.1893725</v>
      </c>
      <c r="E654" s="19" t="n">
        <f aca="false">E653+0*E642</f>
        <v>83.3794423716458</v>
      </c>
      <c r="F654" s="19" t="n">
        <f aca="false">F653+0*F642</f>
        <v>85.3402706461345</v>
      </c>
      <c r="G654" s="19" t="n">
        <f aca="false">G653+0*G642</f>
        <v>85.8040465651437</v>
      </c>
    </row>
    <row r="655" customFormat="false" ht="15" hidden="false" customHeight="false" outlineLevel="0" collapsed="false">
      <c r="A655" s="4" t="s">
        <v>313</v>
      </c>
      <c r="B655" s="0" t="s">
        <v>165</v>
      </c>
      <c r="C655" s="19" t="n">
        <f aca="false">C650-C654</f>
        <v>87.4959868</v>
      </c>
      <c r="D655" s="19" t="n">
        <f aca="false">D650-D654</f>
        <v>127.2697375</v>
      </c>
      <c r="E655" s="19" t="n">
        <f aca="false">E650-E654</f>
        <v>208.838743649194</v>
      </c>
      <c r="F655" s="19" t="n">
        <f aca="false">F650-F654</f>
        <v>248.664933994852</v>
      </c>
      <c r="G655" s="19" t="n">
        <f aca="false">G650-G654</f>
        <v>268.251734802877</v>
      </c>
    </row>
    <row r="656" customFormat="false" ht="15" hidden="false" customHeight="false" outlineLevel="0" collapsed="false">
      <c r="A656" s="4" t="s">
        <v>316</v>
      </c>
      <c r="B656" s="0" t="s">
        <v>49</v>
      </c>
      <c r="C656" s="14" t="n">
        <f aca="false">C655/C642</f>
        <v>0.0412</v>
      </c>
      <c r="D656" s="14" t="n">
        <f aca="false">D655/D642</f>
        <v>0.0318276590104571</v>
      </c>
      <c r="E656" s="14" t="n">
        <f aca="false">E655/E642</f>
        <v>0.0365709510274615</v>
      </c>
      <c r="F656" s="14" t="n">
        <f aca="false">F655/F642</f>
        <v>0.041127181471391</v>
      </c>
      <c r="G656" s="14" t="n">
        <f aca="false">G655/G642</f>
        <v>0.0437719910985659</v>
      </c>
    </row>
    <row r="657" customFormat="false" ht="17.15" hidden="false" customHeight="false" outlineLevel="0" collapsed="false">
      <c r="A657" s="4" t="s">
        <v>199</v>
      </c>
      <c r="B657" s="0" t="s">
        <v>49</v>
      </c>
      <c r="C657" s="15" t="n">
        <f aca="false">a25_ni/a25_oi</f>
        <v>0.856953590013114</v>
      </c>
      <c r="D657" s="15" t="n">
        <f aca="false">a26_ni/a26_oi</f>
        <v>0.869913569398224</v>
      </c>
      <c r="E657" s="15" t="n">
        <f aca="false">nio_f</f>
        <v>0.865</v>
      </c>
      <c r="F657" s="15" t="n">
        <f aca="false">nio_f</f>
        <v>0.865</v>
      </c>
      <c r="G657" s="15" t="n">
        <f aca="false">nio_f</f>
        <v>0.865</v>
      </c>
    </row>
    <row r="658" customFormat="false" ht="15" hidden="false" customHeight="false" outlineLevel="0" collapsed="false">
      <c r="A658" s="4" t="s">
        <v>317</v>
      </c>
      <c r="B658" s="0" t="s">
        <v>165</v>
      </c>
      <c r="C658" s="19" t="n">
        <f aca="false">a25_ni</f>
        <v>74.98</v>
      </c>
      <c r="D658" s="19" t="n">
        <f aca="false">a26_ni</f>
        <v>110.713671625</v>
      </c>
      <c r="E658" s="19" t="n">
        <f aca="false">E655*E657</f>
        <v>180.645513256553</v>
      </c>
      <c r="F658" s="19" t="n">
        <f aca="false">F655*F657</f>
        <v>215.095167905547</v>
      </c>
      <c r="G658" s="19" t="n">
        <f aca="false">G655*G657</f>
        <v>232.037750604489</v>
      </c>
    </row>
    <row r="659" customFormat="false" ht="15" hidden="false" customHeight="false" outlineLevel="0" collapsed="false">
      <c r="A659" s="4" t="s">
        <v>415</v>
      </c>
      <c r="B659" s="4" t="s">
        <v>186</v>
      </c>
      <c r="C659" s="22" t="n">
        <f aca="false">a25_sh</f>
        <v>3.85501285347044</v>
      </c>
      <c r="D659" s="22" t="n">
        <f aca="false">a26_sh</f>
        <v>3.85460170146945</v>
      </c>
      <c r="E659" s="22" t="n">
        <f aca="false">D659*(1+sh_g)</f>
        <v>3.85460170146945</v>
      </c>
      <c r="F659" s="22" t="n">
        <f aca="false">E659*(1+sh_g)</f>
        <v>3.85460170146945</v>
      </c>
      <c r="G659" s="22" t="n">
        <f aca="false">F659*(1+sh_g)</f>
        <v>3.85460170146945</v>
      </c>
    </row>
    <row r="660" customFormat="false" ht="15" hidden="false" customHeight="false" outlineLevel="0" collapsed="false">
      <c r="A660" s="0" t="s">
        <v>323</v>
      </c>
      <c r="B660" s="0" t="s">
        <v>216</v>
      </c>
      <c r="C660" s="21" t="n">
        <f aca="false">C658/C659</f>
        <v>19.45</v>
      </c>
      <c r="D660" s="21" t="n">
        <f aca="false">D658/D659</f>
        <v>28.7224673778341</v>
      </c>
      <c r="E660" s="21" t="n">
        <f aca="false">E658/E659</f>
        <v>46.8648973998241</v>
      </c>
      <c r="F660" s="21" t="n">
        <f aca="false">F658/F659</f>
        <v>55.8021773880161</v>
      </c>
      <c r="G660" s="21" t="n">
        <f aca="false">G658/G659</f>
        <v>60.1975946090698</v>
      </c>
    </row>
    <row r="661" customFormat="false" ht="17.15" hidden="false" customHeight="false" outlineLevel="0" collapsed="false">
      <c r="A661" s="0" t="s">
        <v>416</v>
      </c>
      <c r="B661" s="0" t="s">
        <v>49</v>
      </c>
      <c r="D661" s="15" t="n">
        <f aca="false">D660/C660-1</f>
        <v>0.476733541276816</v>
      </c>
      <c r="E661" s="15" t="n">
        <f aca="false">E660/D660-1</f>
        <v>0.631645944038603</v>
      </c>
      <c r="F661" s="15" t="n">
        <f aca="false">F660/E660-1</f>
        <v>0.190703073815449</v>
      </c>
      <c r="G661" s="15" t="n">
        <f aca="false">G660/F660-1</f>
        <v>0.0787678443170867</v>
      </c>
    </row>
    <row r="664" customFormat="false" ht="17.15" hidden="false" customHeight="false" outlineLevel="0" collapsed="false">
      <c r="A664" s="1" t="s">
        <v>727</v>
      </c>
    </row>
    <row r="665" customFormat="false" ht="17.15" hidden="false" customHeight="false" outlineLevel="0" collapsed="false">
      <c r="A665" s="5" t="s">
        <v>18</v>
      </c>
      <c r="B665" s="5" t="s">
        <v>19</v>
      </c>
      <c r="C665" s="11" t="s">
        <v>296</v>
      </c>
      <c r="D665" s="11" t="s">
        <v>372</v>
      </c>
      <c r="E665" s="11" t="s">
        <v>373</v>
      </c>
      <c r="F665" s="11" t="s">
        <v>374</v>
      </c>
      <c r="G665" s="11" t="s">
        <v>375</v>
      </c>
      <c r="H665" s="5" t="s">
        <v>345</v>
      </c>
    </row>
    <row r="666" customFormat="false" ht="17.15" hidden="false" customHeight="false" outlineLevel="0" collapsed="false">
      <c r="A666" s="6" t="s">
        <v>389</v>
      </c>
    </row>
    <row r="667" customFormat="false" ht="17.15" hidden="false" customHeight="false" outlineLevel="0" collapsed="false">
      <c r="A667" s="0" t="s">
        <v>390</v>
      </c>
      <c r="B667" s="0" t="s">
        <v>29</v>
      </c>
      <c r="D667" s="21" t="n">
        <f aca="false">itc_26*1</f>
        <v>781.872916666667</v>
      </c>
      <c r="E667" s="21" t="n">
        <f aca="false">itc_27*1*1</f>
        <v>1565.35</v>
      </c>
      <c r="F667" s="21" t="n">
        <f aca="false">itc_28*um28_A*1</f>
        <v>1984.26388888889</v>
      </c>
      <c r="G667" s="21" t="n">
        <f aca="false">itc_29*um29_A*1</f>
        <v>2260.39027777778</v>
      </c>
    </row>
    <row r="668" customFormat="false" ht="17.15" hidden="false" customHeight="false" outlineLevel="0" collapsed="false">
      <c r="A668" s="4" t="s">
        <v>391</v>
      </c>
      <c r="B668" s="0" t="s">
        <v>29</v>
      </c>
      <c r="D668" s="21" t="n">
        <f aca="false">itpg_gb*(1-vr26)+itpg_vr*vr26</f>
        <v>33.41403216</v>
      </c>
      <c r="E668" s="21" t="n">
        <f aca="false">itpg_vr</f>
        <v>37.586352</v>
      </c>
      <c r="F668" s="21" t="n">
        <f aca="false">itpg_vr</f>
        <v>37.586352</v>
      </c>
      <c r="G668" s="21" t="n">
        <f aca="false">itpg_vr</f>
        <v>37.586352</v>
      </c>
    </row>
    <row r="669" customFormat="false" ht="17.15" hidden="false" customHeight="false" outlineLevel="0" collapsed="false">
      <c r="A669" s="4" t="s">
        <v>392</v>
      </c>
      <c r="B669" s="0" t="s">
        <v>347</v>
      </c>
      <c r="D669" s="18" t="n">
        <f aca="false">D667/D668</f>
        <v>23.3995380420639</v>
      </c>
      <c r="E669" s="18" t="n">
        <f aca="false">E667/E668</f>
        <v>41.6467658260637</v>
      </c>
      <c r="F669" s="18" t="n">
        <f aca="false">F667/F668</f>
        <v>52.792138191248</v>
      </c>
      <c r="G669" s="18" t="n">
        <f aca="false">G667/G668</f>
        <v>60.1385917361116</v>
      </c>
    </row>
    <row r="670" customFormat="false" ht="17.15" hidden="false" customHeight="false" outlineLevel="0" collapsed="false">
      <c r="A670" s="4" t="s">
        <v>349</v>
      </c>
      <c r="B670" s="0" t="s">
        <v>350</v>
      </c>
      <c r="D670" s="16" t="n">
        <f aca="false">(racks_gb*odm_gb*(1-vr26)+racks_vr*odm_vr*vr26)/1000</f>
        <v>27.1209</v>
      </c>
      <c r="E670" s="16" t="n">
        <f aca="false">racks_vr*odm_vr/1000</f>
        <v>27.351</v>
      </c>
      <c r="F670" s="16" t="n">
        <f aca="false">$E670*vpg_28</f>
        <v>27.351</v>
      </c>
      <c r="G670" s="16" t="n">
        <f aca="false">$E670*vpg_29</f>
        <v>27.351</v>
      </c>
      <c r="H670" s="4" t="s">
        <v>393</v>
      </c>
    </row>
    <row r="671" customFormat="false" ht="17.15" hidden="false" customHeight="false" outlineLevel="0" collapsed="false">
      <c r="A671" s="0" t="s">
        <v>394</v>
      </c>
      <c r="B671" s="0" t="s">
        <v>29</v>
      </c>
      <c r="D671" s="19" t="n">
        <f aca="false">D669*D670</f>
        <v>634.616531285011</v>
      </c>
      <c r="E671" s="19" t="n">
        <f aca="false">E669*E670</f>
        <v>1139.08069210867</v>
      </c>
      <c r="F671" s="19" t="n">
        <f aca="false">F669*F670</f>
        <v>1443.91777166882</v>
      </c>
      <c r="G671" s="19" t="n">
        <f aca="false">G669*G670</f>
        <v>1644.85062257439</v>
      </c>
    </row>
    <row r="672" customFormat="false" ht="17.15" hidden="false" customHeight="false" outlineLevel="0" collapsed="false">
      <c r="A672" s="0" t="s">
        <v>395</v>
      </c>
      <c r="B672" s="0" t="s">
        <v>165</v>
      </c>
      <c r="D672" s="19" t="n">
        <f aca="false">D671*fx</f>
        <v>20307.7290011204</v>
      </c>
      <c r="E672" s="19" t="n">
        <f aca="false">E671*fx</f>
        <v>36450.5821474774</v>
      </c>
      <c r="F672" s="19" t="n">
        <f aca="false">F671*fx</f>
        <v>46205.3686934024</v>
      </c>
      <c r="G672" s="19" t="n">
        <f aca="false">G671*fx</f>
        <v>52635.2199223804</v>
      </c>
    </row>
    <row r="673" customFormat="false" ht="17.15" hidden="false" customHeight="false" outlineLevel="0" collapsed="false">
      <c r="A673" s="4" t="s">
        <v>396</v>
      </c>
      <c r="B673" s="0" t="s">
        <v>49</v>
      </c>
      <c r="D673" s="15" t="n">
        <f aca="false">a26_ai/D672</f>
        <v>0.133896123975753</v>
      </c>
      <c r="H673" s="8" t="s">
        <v>397</v>
      </c>
    </row>
    <row r="674" customFormat="false" ht="17.15" hidden="false" customHeight="false" outlineLevel="0" collapsed="false">
      <c r="A674" s="4" t="s">
        <v>398</v>
      </c>
      <c r="B674" s="0" t="s">
        <v>69</v>
      </c>
      <c r="D674" s="16" t="n">
        <f aca="false">1</f>
        <v>1</v>
      </c>
      <c r="E674" s="16" t="n">
        <f aca="false">rel_27</f>
        <v>1</v>
      </c>
      <c r="F674" s="16" t="n">
        <f aca="false">rel_28</f>
        <v>0.95</v>
      </c>
      <c r="G674" s="16" t="n">
        <f aca="false">rel_29</f>
        <v>0.9</v>
      </c>
    </row>
    <row r="675" customFormat="false" ht="15" hidden="false" customHeight="false" outlineLevel="0" collapsed="false">
      <c r="A675" s="4" t="s">
        <v>354</v>
      </c>
      <c r="B675" s="0" t="s">
        <v>49</v>
      </c>
      <c r="D675" s="15" t="n">
        <f aca="false">$D$673*D674</f>
        <v>0.133896123975753</v>
      </c>
      <c r="E675" s="15" t="n">
        <f aca="false">$D$673*E674</f>
        <v>0.133896123975753</v>
      </c>
      <c r="F675" s="15" t="n">
        <f aca="false">$D$673*F674</f>
        <v>0.127201317776965</v>
      </c>
      <c r="G675" s="15" t="n">
        <f aca="false">$D$673*G674</f>
        <v>0.120506511578177</v>
      </c>
    </row>
    <row r="676" customFormat="false" ht="17.15" hidden="false" customHeight="false" outlineLevel="0" collapsed="false">
      <c r="A676" s="0" t="s">
        <v>399</v>
      </c>
      <c r="B676" s="0" t="s">
        <v>165</v>
      </c>
      <c r="D676" s="19" t="n">
        <f aca="false">D672*D675</f>
        <v>2719.1262</v>
      </c>
      <c r="E676" s="19" t="n">
        <f aca="false">E672*E675</f>
        <v>4880.59166620699</v>
      </c>
      <c r="F676" s="19" t="n">
        <f aca="false">F672*F675</f>
        <v>5877.38378617131</v>
      </c>
      <c r="G676" s="19" t="n">
        <f aca="false">G672*G675</f>
        <v>6342.88673899625</v>
      </c>
    </row>
    <row r="677" customFormat="false" ht="17.15" hidden="false" customHeight="false" outlineLevel="0" collapsed="false">
      <c r="A677" s="4" t="s">
        <v>358</v>
      </c>
      <c r="B677" s="0" t="s">
        <v>49</v>
      </c>
      <c r="D677" s="15" t="n">
        <f aca="false">0</f>
        <v>0</v>
      </c>
      <c r="E677" s="15" t="n">
        <f aca="false">cs_27</f>
        <v>0.1</v>
      </c>
      <c r="F677" s="15" t="n">
        <f aca="false">cs_28</f>
        <v>0.2</v>
      </c>
      <c r="G677" s="15" t="n">
        <f aca="false">cs_29</f>
        <v>0.25</v>
      </c>
      <c r="H677" s="8" t="s">
        <v>400</v>
      </c>
    </row>
    <row r="678" customFormat="false" ht="17.15" hidden="false" customHeight="false" outlineLevel="0" collapsed="false">
      <c r="A678" s="0" t="s">
        <v>401</v>
      </c>
      <c r="B678" s="0" t="s">
        <v>165</v>
      </c>
      <c r="C678" s="19" t="n">
        <f aca="false">a25_ai</f>
        <v>905.033</v>
      </c>
      <c r="D678" s="19" t="n">
        <f aca="false">D676*(1-D677)</f>
        <v>2719.1262</v>
      </c>
      <c r="E678" s="19" t="n">
        <f aca="false">E676*(1-E677)</f>
        <v>4392.53249958629</v>
      </c>
      <c r="F678" s="19" t="n">
        <f aca="false">F676*(1-F677)</f>
        <v>4701.90702893704</v>
      </c>
      <c r="G678" s="19" t="n">
        <f aca="false">G676*(1-G677)</f>
        <v>4757.16505424718</v>
      </c>
    </row>
    <row r="679" customFormat="false" ht="17.15" hidden="false" customHeight="false" outlineLevel="0" collapsed="false">
      <c r="A679" s="6" t="s">
        <v>402</v>
      </c>
    </row>
    <row r="680" customFormat="false" ht="17.15" hidden="false" customHeight="false" outlineLevel="0" collapsed="false">
      <c r="A680" s="4" t="s">
        <v>331</v>
      </c>
      <c r="B680" s="0" t="s">
        <v>165</v>
      </c>
      <c r="C680" s="19" t="n">
        <f aca="false">a25_nai</f>
        <v>1218.656</v>
      </c>
      <c r="D680" s="19" t="n">
        <f aca="false">a26_nai</f>
        <v>1279.5888</v>
      </c>
      <c r="E680" s="19" t="n">
        <f aca="false">D680*(1+g_nai27)</f>
        <v>1317.976464</v>
      </c>
      <c r="F680" s="19" t="n">
        <f aca="false">E680*(1+g_nai28)</f>
        <v>1344.33599328</v>
      </c>
      <c r="G680" s="19" t="n">
        <f aca="false">F680*(1+g_nai29)</f>
        <v>1371.2227131456</v>
      </c>
    </row>
    <row r="681" customFormat="false" ht="15" hidden="false" customHeight="false" outlineLevel="0" collapsed="false">
      <c r="A681" s="4" t="s">
        <v>302</v>
      </c>
      <c r="B681" s="0" t="s">
        <v>165</v>
      </c>
      <c r="C681" s="19" t="n">
        <f aca="false">C678+C680</f>
        <v>2123.689</v>
      </c>
      <c r="D681" s="19" t="n">
        <f aca="false">D678+D680</f>
        <v>3998.715</v>
      </c>
      <c r="E681" s="19" t="n">
        <f aca="false">E678+E680</f>
        <v>5710.50896358629</v>
      </c>
      <c r="F681" s="19" t="n">
        <f aca="false">F678+F680</f>
        <v>6046.24302221704</v>
      </c>
      <c r="G681" s="19" t="n">
        <f aca="false">G678+G680</f>
        <v>6128.38776739279</v>
      </c>
    </row>
    <row r="682" customFormat="false" ht="15" hidden="false" customHeight="false" outlineLevel="0" collapsed="false">
      <c r="A682" s="4" t="s">
        <v>403</v>
      </c>
      <c r="B682" s="0" t="s">
        <v>49</v>
      </c>
      <c r="D682" s="15" t="n">
        <f aca="false">D681/C681-1</f>
        <v>0.88290987993063</v>
      </c>
      <c r="E682" s="15" t="n">
        <f aca="false">E681/D681-1</f>
        <v>0.428086013528418</v>
      </c>
      <c r="F682" s="15" t="n">
        <f aca="false">F681/E681-1</f>
        <v>0.0587923179477703</v>
      </c>
      <c r="G682" s="15" t="n">
        <f aca="false">G681/F681-1</f>
        <v>0.0135860806245958</v>
      </c>
    </row>
    <row r="683" customFormat="false" ht="17.15" hidden="false" customHeight="false" outlineLevel="0" collapsed="false">
      <c r="A683" s="0" t="s">
        <v>404</v>
      </c>
      <c r="B683" s="0" t="s">
        <v>49</v>
      </c>
      <c r="C683" s="15" t="n">
        <f aca="false">C678/C681</f>
        <v>0.426160798497332</v>
      </c>
      <c r="D683" s="15" t="n">
        <f aca="false">D678/D681</f>
        <v>0.68</v>
      </c>
      <c r="E683" s="15" t="n">
        <f aca="false">E678/E681</f>
        <v>0.769201576881461</v>
      </c>
      <c r="F683" s="15" t="n">
        <f aca="false">F678/F681</f>
        <v>0.777657631633361</v>
      </c>
      <c r="G683" s="15" t="n">
        <f aca="false">G678/G681</f>
        <v>0.776250660827723</v>
      </c>
    </row>
    <row r="684" customFormat="false" ht="17.15" hidden="false" customHeight="false" outlineLevel="0" collapsed="false">
      <c r="A684" s="4" t="s">
        <v>364</v>
      </c>
      <c r="B684" s="0" t="s">
        <v>350</v>
      </c>
      <c r="D684" s="16" t="n">
        <f aca="false">D678/fx/D669</f>
        <v>3.63138338873399</v>
      </c>
      <c r="E684" s="16" t="n">
        <f aca="false">E678/fx/E669</f>
        <v>3.29597359817473</v>
      </c>
      <c r="F684" s="16" t="n">
        <f aca="false">F678/fx/F669</f>
        <v>2.78326659401422</v>
      </c>
      <c r="G684" s="16" t="n">
        <f aca="false">G678/fx/G669</f>
        <v>2.47198019863105</v>
      </c>
    </row>
    <row r="685" customFormat="false" ht="17.15" hidden="false" customHeight="false" outlineLevel="0" collapsed="false">
      <c r="A685" s="4" t="s">
        <v>405</v>
      </c>
      <c r="B685" s="4" t="s">
        <v>362</v>
      </c>
      <c r="D685" s="19" t="n">
        <f aca="false">D676/fx/(odm_gb*(1-vr26)+odm_vr*vr26)</f>
        <v>18.4522679153094</v>
      </c>
      <c r="E685" s="19" t="n">
        <f aca="false">E676/fx/odm_vr</f>
        <v>22.5953317879953</v>
      </c>
      <c r="F685" s="19" t="n">
        <f aca="false">F676/fx/odm_vr</f>
        <v>27.2101101211634</v>
      </c>
      <c r="G685" s="19" t="n">
        <f aca="false">G676/fx/odm_vr</f>
        <v>29.3652163842419</v>
      </c>
      <c r="H685" s="4" t="s">
        <v>406</v>
      </c>
    </row>
    <row r="686" customFormat="false" ht="17.15" hidden="false" customHeight="false" outlineLevel="0" collapsed="false">
      <c r="A686" s="6" t="s">
        <v>407</v>
      </c>
    </row>
    <row r="687" customFormat="false" ht="17.15" hidden="false" customHeight="false" outlineLevel="0" collapsed="false">
      <c r="A687" s="4" t="s">
        <v>408</v>
      </c>
      <c r="B687" s="0" t="s">
        <v>49</v>
      </c>
      <c r="D687" s="14" t="n">
        <f aca="false">a26_gp/D681-d_ai*D683</f>
        <v>0.0632307213692399</v>
      </c>
      <c r="H687" s="8" t="s">
        <v>409</v>
      </c>
    </row>
    <row r="688" customFormat="false" ht="17.15" hidden="false" customHeight="false" outlineLevel="0" collapsed="false">
      <c r="A688" s="0" t="s">
        <v>410</v>
      </c>
      <c r="B688" s="0" t="s">
        <v>165</v>
      </c>
      <c r="D688" s="21" t="n">
        <f aca="false">($D$687+d_ai)*D676*(1-D677*(1-keep))</f>
        <v>117.54978712</v>
      </c>
      <c r="E688" s="21" t="n">
        <f aca="false">($D$687+d_ai+vrd)*E676*(1-E677*(1-keep))</f>
        <v>194.386226205805</v>
      </c>
      <c r="F688" s="21" t="n">
        <f aca="false">($D$687+d_ai+vrd)*F676*(1-F677*(1-keep))</f>
        <v>231.722361691915</v>
      </c>
      <c r="G688" s="21" t="n">
        <f aca="false">($D$687+d_ai+vrd)*G676*(1-G677*(1-keep))</f>
        <v>248.799436346374</v>
      </c>
      <c r="H688" s="4" t="s">
        <v>411</v>
      </c>
    </row>
    <row r="689" customFormat="false" ht="15" hidden="false" customHeight="false" outlineLevel="0" collapsed="false">
      <c r="A689" s="4" t="s">
        <v>306</v>
      </c>
      <c r="B689" s="0" t="s">
        <v>165</v>
      </c>
      <c r="C689" s="19" t="n">
        <f aca="false">a25_gp</f>
        <v>148.2334922</v>
      </c>
      <c r="D689" s="19" t="n">
        <f aca="false">a26_gp</f>
        <v>198.45911</v>
      </c>
      <c r="E689" s="19" t="n">
        <f aca="false">$D$687*E680+E688</f>
        <v>277.722828772205</v>
      </c>
      <c r="F689" s="19" t="n">
        <f aca="false">$D$687*F680+F688</f>
        <v>316.725696309643</v>
      </c>
      <c r="G689" s="19" t="n">
        <f aca="false">$D$687*G680+G688</f>
        <v>335.502837656457</v>
      </c>
    </row>
    <row r="690" customFormat="false" ht="15" hidden="false" customHeight="false" outlineLevel="0" collapsed="false">
      <c r="A690" s="4" t="s">
        <v>309</v>
      </c>
      <c r="B690" s="0" t="s">
        <v>49</v>
      </c>
      <c r="C690" s="14" t="n">
        <f aca="false">C689/C681</f>
        <v>0.0698</v>
      </c>
      <c r="D690" s="14" t="n">
        <f aca="false">D689/D681</f>
        <v>0.0496307213692399</v>
      </c>
      <c r="E690" s="14" t="n">
        <f aca="false">E689/E681</f>
        <v>0.0486336385325961</v>
      </c>
      <c r="F690" s="14" t="n">
        <f aca="false">F689/F681</f>
        <v>0.0523838845289261</v>
      </c>
      <c r="G690" s="14" t="n">
        <f aca="false">G689/G681</f>
        <v>0.0547456933847368</v>
      </c>
    </row>
    <row r="691" customFormat="false" ht="17.15" hidden="false" customHeight="false" outlineLevel="0" collapsed="false">
      <c r="A691" s="0" t="s">
        <v>412</v>
      </c>
      <c r="B691" s="0" t="s">
        <v>49</v>
      </c>
      <c r="D691" s="14" t="n">
        <f aca="false">D688/D678</f>
        <v>0.0432307213692399</v>
      </c>
      <c r="E691" s="14" t="n">
        <f aca="false">E688/E678</f>
        <v>0.0442537935061639</v>
      </c>
      <c r="F691" s="14" t="n">
        <f aca="false">F688/F678</f>
        <v>0.0492826336773188</v>
      </c>
      <c r="G691" s="14" t="n">
        <f aca="false">G688/G678</f>
        <v>0.0522999377800118</v>
      </c>
      <c r="H691" s="4" t="s">
        <v>413</v>
      </c>
    </row>
    <row r="692" customFormat="false" ht="15" hidden="false" customHeight="false" outlineLevel="0" collapsed="false">
      <c r="A692" s="4" t="s">
        <v>414</v>
      </c>
      <c r="B692" s="0" t="s">
        <v>165</v>
      </c>
      <c r="C692" s="19" t="n">
        <f aca="false">a25_opx</f>
        <v>60.7375054</v>
      </c>
      <c r="D692" s="19" t="n">
        <f aca="false">a26_opx</f>
        <v>71.1893725</v>
      </c>
      <c r="E692" s="19" t="n">
        <f aca="false">D692*(1+MAX(0,phi*E682))</f>
        <v>83.3794423716458</v>
      </c>
      <c r="F692" s="19" t="n">
        <f aca="false">E692*(1+MAX(0,phi*F682))</f>
        <v>85.3402706461345</v>
      </c>
      <c r="G692" s="19" t="n">
        <f aca="false">F692*(1+MAX(0,phi*G682))</f>
        <v>85.8040465651437</v>
      </c>
    </row>
    <row r="693" customFormat="false" ht="15" hidden="false" customHeight="false" outlineLevel="0" collapsed="false">
      <c r="A693" s="4" t="s">
        <v>310</v>
      </c>
      <c r="B693" s="0" t="s">
        <v>165</v>
      </c>
      <c r="C693" s="19" t="n">
        <f aca="false">C692</f>
        <v>60.7375054</v>
      </c>
      <c r="D693" s="19" t="n">
        <f aca="false">D692</f>
        <v>71.1893725</v>
      </c>
      <c r="E693" s="19" t="n">
        <f aca="false">E692+opx_adj_hi*E681</f>
        <v>94.8004602988184</v>
      </c>
      <c r="F693" s="19" t="n">
        <f aca="false">F692+opx_adj_hi*F681</f>
        <v>97.4327566905685</v>
      </c>
      <c r="G693" s="19" t="n">
        <f aca="false">G692+opx_adj_hi*G681</f>
        <v>98.0608220999293</v>
      </c>
    </row>
    <row r="694" customFormat="false" ht="15" hidden="false" customHeight="false" outlineLevel="0" collapsed="false">
      <c r="A694" s="4" t="s">
        <v>313</v>
      </c>
      <c r="B694" s="0" t="s">
        <v>165</v>
      </c>
      <c r="C694" s="19" t="n">
        <f aca="false">C689-C693</f>
        <v>87.4959868</v>
      </c>
      <c r="D694" s="19" t="n">
        <f aca="false">D689-D693</f>
        <v>127.2697375</v>
      </c>
      <c r="E694" s="19" t="n">
        <f aca="false">E689-E693</f>
        <v>182.922368473387</v>
      </c>
      <c r="F694" s="19" t="n">
        <f aca="false">F689-F693</f>
        <v>219.292939619074</v>
      </c>
      <c r="G694" s="19" t="n">
        <f aca="false">G689-G693</f>
        <v>237.442015556528</v>
      </c>
    </row>
    <row r="695" customFormat="false" ht="15" hidden="false" customHeight="false" outlineLevel="0" collapsed="false">
      <c r="A695" s="4" t="s">
        <v>316</v>
      </c>
      <c r="B695" s="0" t="s">
        <v>49</v>
      </c>
      <c r="C695" s="14" t="n">
        <f aca="false">C694/C681</f>
        <v>0.0412</v>
      </c>
      <c r="D695" s="14" t="n">
        <f aca="false">D694/D681</f>
        <v>0.0318276590104571</v>
      </c>
      <c r="E695" s="14" t="n">
        <f aca="false">E694/E681</f>
        <v>0.0320325858237527</v>
      </c>
      <c r="F695" s="14" t="n">
        <f aca="false">F694/F681</f>
        <v>0.0362692896751384</v>
      </c>
      <c r="G695" s="14" t="n">
        <f aca="false">G694/G681</f>
        <v>0.0387446135213378</v>
      </c>
    </row>
    <row r="696" customFormat="false" ht="17.15" hidden="false" customHeight="false" outlineLevel="0" collapsed="false">
      <c r="A696" s="4" t="s">
        <v>199</v>
      </c>
      <c r="B696" s="0" t="s">
        <v>49</v>
      </c>
      <c r="C696" s="15" t="n">
        <f aca="false">a25_ni/a25_oi</f>
        <v>0.856953590013114</v>
      </c>
      <c r="D696" s="15" t="n">
        <f aca="false">a26_ni/a26_oi</f>
        <v>0.869913569398224</v>
      </c>
      <c r="E696" s="15" t="n">
        <f aca="false">nio_f</f>
        <v>0.865</v>
      </c>
      <c r="F696" s="15" t="n">
        <f aca="false">nio_f</f>
        <v>0.865</v>
      </c>
      <c r="G696" s="15" t="n">
        <f aca="false">nio_f</f>
        <v>0.865</v>
      </c>
    </row>
    <row r="697" customFormat="false" ht="15" hidden="false" customHeight="false" outlineLevel="0" collapsed="false">
      <c r="A697" s="4" t="s">
        <v>317</v>
      </c>
      <c r="B697" s="0" t="s">
        <v>165</v>
      </c>
      <c r="C697" s="19" t="n">
        <f aca="false">a25_ni</f>
        <v>74.98</v>
      </c>
      <c r="D697" s="19" t="n">
        <f aca="false">a26_ni</f>
        <v>110.713671625</v>
      </c>
      <c r="E697" s="19" t="n">
        <f aca="false">E694*E696</f>
        <v>158.22784872948</v>
      </c>
      <c r="F697" s="19" t="n">
        <f aca="false">F694*F696</f>
        <v>189.688392770499</v>
      </c>
      <c r="G697" s="19" t="n">
        <f aca="false">G694*G696</f>
        <v>205.387343456396</v>
      </c>
    </row>
    <row r="698" customFormat="false" ht="15" hidden="false" customHeight="false" outlineLevel="0" collapsed="false">
      <c r="A698" s="4" t="s">
        <v>415</v>
      </c>
      <c r="B698" s="4" t="s">
        <v>186</v>
      </c>
      <c r="C698" s="22" t="n">
        <f aca="false">a25_sh</f>
        <v>3.85501285347044</v>
      </c>
      <c r="D698" s="22" t="n">
        <f aca="false">a26_sh</f>
        <v>3.85460170146945</v>
      </c>
      <c r="E698" s="22" t="n">
        <f aca="false">D698*(1+sh_g)</f>
        <v>3.85460170146945</v>
      </c>
      <c r="F698" s="22" t="n">
        <f aca="false">E698*(1+sh_g)</f>
        <v>3.85460170146945</v>
      </c>
      <c r="G698" s="22" t="n">
        <f aca="false">F698*(1+sh_g)</f>
        <v>3.85460170146945</v>
      </c>
    </row>
    <row r="699" customFormat="false" ht="15" hidden="false" customHeight="false" outlineLevel="0" collapsed="false">
      <c r="A699" s="0" t="s">
        <v>323</v>
      </c>
      <c r="B699" s="0" t="s">
        <v>216</v>
      </c>
      <c r="C699" s="21" t="n">
        <f aca="false">C697/C698</f>
        <v>19.45</v>
      </c>
      <c r="D699" s="21" t="n">
        <f aca="false">D697/D698</f>
        <v>28.7224673778341</v>
      </c>
      <c r="E699" s="21" t="n">
        <f aca="false">E697/E698</f>
        <v>41.0490787333903</v>
      </c>
      <c r="F699" s="21" t="n">
        <f aca="false">F697/F698</f>
        <v>49.2108932287832</v>
      </c>
      <c r="G699" s="21" t="n">
        <f aca="false">G697/G698</f>
        <v>53.2836747771109</v>
      </c>
    </row>
    <row r="700" customFormat="false" ht="17.15" hidden="false" customHeight="false" outlineLevel="0" collapsed="false">
      <c r="A700" s="0" t="s">
        <v>416</v>
      </c>
      <c r="B700" s="0" t="s">
        <v>49</v>
      </c>
      <c r="D700" s="15" t="n">
        <f aca="false">D699/C699-1</f>
        <v>0.476733541276816</v>
      </c>
      <c r="E700" s="15" t="n">
        <f aca="false">E699/D699-1</f>
        <v>0.429162689730097</v>
      </c>
      <c r="F700" s="15" t="n">
        <f aca="false">F699/E699-1</f>
        <v>0.198830637549825</v>
      </c>
      <c r="G700" s="15" t="n">
        <f aca="false">G699/F699-1</f>
        <v>0.0827617887241574</v>
      </c>
    </row>
    <row r="703" customFormat="false" ht="17.15" hidden="false" customHeight="false" outlineLevel="0" collapsed="false">
      <c r="A703" s="1" t="s">
        <v>728</v>
      </c>
    </row>
    <row r="704" customFormat="false" ht="17.15" hidden="false" customHeight="false" outlineLevel="0" collapsed="false">
      <c r="A704" s="5" t="s">
        <v>18</v>
      </c>
      <c r="B704" s="5" t="s">
        <v>19</v>
      </c>
      <c r="C704" s="11" t="s">
        <v>296</v>
      </c>
      <c r="D704" s="11" t="s">
        <v>372</v>
      </c>
      <c r="E704" s="11" t="s">
        <v>373</v>
      </c>
      <c r="F704" s="11" t="s">
        <v>374</v>
      </c>
      <c r="G704" s="11" t="s">
        <v>375</v>
      </c>
      <c r="H704" s="5" t="s">
        <v>345</v>
      </c>
    </row>
    <row r="705" customFormat="false" ht="17.15" hidden="false" customHeight="false" outlineLevel="0" collapsed="false">
      <c r="A705" s="6" t="s">
        <v>389</v>
      </c>
    </row>
    <row r="706" customFormat="false" ht="17.15" hidden="false" customHeight="false" outlineLevel="0" collapsed="false">
      <c r="A706" s="0" t="s">
        <v>390</v>
      </c>
      <c r="B706" s="0" t="s">
        <v>29</v>
      </c>
      <c r="D706" s="21" t="n">
        <f aca="false">itc_26*1</f>
        <v>781.872916666667</v>
      </c>
      <c r="E706" s="21" t="n">
        <f aca="false">itc_27*1*1</f>
        <v>1565.35</v>
      </c>
      <c r="F706" s="21" t="n">
        <f aca="false">itc_28*um28_A*1</f>
        <v>1984.26388888889</v>
      </c>
      <c r="G706" s="21" t="n">
        <f aca="false">itc_29*um29_A*1</f>
        <v>2260.39027777778</v>
      </c>
    </row>
    <row r="707" customFormat="false" ht="17.15" hidden="false" customHeight="false" outlineLevel="0" collapsed="false">
      <c r="A707" s="4" t="s">
        <v>391</v>
      </c>
      <c r="B707" s="0" t="s">
        <v>29</v>
      </c>
      <c r="D707" s="21" t="n">
        <f aca="false">itpg_gb*(1-vr26)+itpg_vr*vr26</f>
        <v>33.41403216</v>
      </c>
      <c r="E707" s="21" t="n">
        <f aca="false">itpg_vr</f>
        <v>37.586352</v>
      </c>
      <c r="F707" s="21" t="n">
        <f aca="false">itpg_vr</f>
        <v>37.586352</v>
      </c>
      <c r="G707" s="21" t="n">
        <f aca="false">itpg_vr</f>
        <v>37.586352</v>
      </c>
    </row>
    <row r="708" customFormat="false" ht="17.15" hidden="false" customHeight="false" outlineLevel="0" collapsed="false">
      <c r="A708" s="4" t="s">
        <v>392</v>
      </c>
      <c r="B708" s="0" t="s">
        <v>347</v>
      </c>
      <c r="D708" s="18" t="n">
        <f aca="false">D706/D707</f>
        <v>23.3995380420639</v>
      </c>
      <c r="E708" s="18" t="n">
        <f aca="false">E706/E707</f>
        <v>41.6467658260637</v>
      </c>
      <c r="F708" s="18" t="n">
        <f aca="false">F706/F707</f>
        <v>52.792138191248</v>
      </c>
      <c r="G708" s="18" t="n">
        <f aca="false">G706/G707</f>
        <v>60.1385917361116</v>
      </c>
    </row>
    <row r="709" customFormat="false" ht="17.15" hidden="false" customHeight="false" outlineLevel="0" collapsed="false">
      <c r="A709" s="4" t="s">
        <v>349</v>
      </c>
      <c r="B709" s="0" t="s">
        <v>350</v>
      </c>
      <c r="D709" s="16" t="n">
        <f aca="false">(racks_gb*odm_gb*(1-vr26)+racks_vr*odm_vr*vr26)/1000</f>
        <v>27.1209</v>
      </c>
      <c r="E709" s="16" t="n">
        <f aca="false">racks_vr*odm_vr/1000</f>
        <v>27.351</v>
      </c>
      <c r="F709" s="16" t="n">
        <f aca="false">$E709*vpg_28</f>
        <v>27.351</v>
      </c>
      <c r="G709" s="16" t="n">
        <f aca="false">$E709*vpg_29</f>
        <v>27.351</v>
      </c>
      <c r="H709" s="4" t="s">
        <v>393</v>
      </c>
    </row>
    <row r="710" customFormat="false" ht="17.15" hidden="false" customHeight="false" outlineLevel="0" collapsed="false">
      <c r="A710" s="0" t="s">
        <v>394</v>
      </c>
      <c r="B710" s="0" t="s">
        <v>29</v>
      </c>
      <c r="D710" s="19" t="n">
        <f aca="false">D708*D709</f>
        <v>634.616531285011</v>
      </c>
      <c r="E710" s="19" t="n">
        <f aca="false">E708*E709</f>
        <v>1139.08069210867</v>
      </c>
      <c r="F710" s="19" t="n">
        <f aca="false">F708*F709</f>
        <v>1443.91777166882</v>
      </c>
      <c r="G710" s="19" t="n">
        <f aca="false">G708*G709</f>
        <v>1644.85062257439</v>
      </c>
    </row>
    <row r="711" customFormat="false" ht="17.15" hidden="false" customHeight="false" outlineLevel="0" collapsed="false">
      <c r="A711" s="0" t="s">
        <v>395</v>
      </c>
      <c r="B711" s="0" t="s">
        <v>165</v>
      </c>
      <c r="D711" s="19" t="n">
        <f aca="false">D710*fx</f>
        <v>20307.7290011204</v>
      </c>
      <c r="E711" s="19" t="n">
        <f aca="false">E710*fx</f>
        <v>36450.5821474774</v>
      </c>
      <c r="F711" s="19" t="n">
        <f aca="false">F710*fx</f>
        <v>46205.3686934024</v>
      </c>
      <c r="G711" s="19" t="n">
        <f aca="false">G710*fx</f>
        <v>52635.2199223804</v>
      </c>
    </row>
    <row r="712" customFormat="false" ht="17.15" hidden="false" customHeight="false" outlineLevel="0" collapsed="false">
      <c r="A712" s="4" t="s">
        <v>396</v>
      </c>
      <c r="B712" s="0" t="s">
        <v>49</v>
      </c>
      <c r="D712" s="15" t="n">
        <f aca="false">a26_ai/D711</f>
        <v>0.133896123975753</v>
      </c>
      <c r="H712" s="8" t="s">
        <v>397</v>
      </c>
    </row>
    <row r="713" customFormat="false" ht="17.15" hidden="false" customHeight="false" outlineLevel="0" collapsed="false">
      <c r="A713" s="4" t="s">
        <v>398</v>
      </c>
      <c r="B713" s="0" t="s">
        <v>69</v>
      </c>
      <c r="D713" s="16" t="n">
        <f aca="false">1</f>
        <v>1</v>
      </c>
      <c r="E713" s="16" t="n">
        <f aca="false">rel_27</f>
        <v>1</v>
      </c>
      <c r="F713" s="16" t="n">
        <f aca="false">rel_28</f>
        <v>0.95</v>
      </c>
      <c r="G713" s="16" t="n">
        <f aca="false">rel_29</f>
        <v>0.9</v>
      </c>
    </row>
    <row r="714" customFormat="false" ht="15" hidden="false" customHeight="false" outlineLevel="0" collapsed="false">
      <c r="A714" s="4" t="s">
        <v>354</v>
      </c>
      <c r="B714" s="0" t="s">
        <v>49</v>
      </c>
      <c r="D714" s="15" t="n">
        <f aca="false">$D$712*D713</f>
        <v>0.133896123975753</v>
      </c>
      <c r="E714" s="15" t="n">
        <f aca="false">$D$712*E713</f>
        <v>0.133896123975753</v>
      </c>
      <c r="F714" s="15" t="n">
        <f aca="false">$D$712*F713</f>
        <v>0.127201317776965</v>
      </c>
      <c r="G714" s="15" t="n">
        <f aca="false">$D$712*G713</f>
        <v>0.120506511578177</v>
      </c>
    </row>
    <row r="715" customFormat="false" ht="17.15" hidden="false" customHeight="false" outlineLevel="0" collapsed="false">
      <c r="A715" s="0" t="s">
        <v>399</v>
      </c>
      <c r="B715" s="0" t="s">
        <v>165</v>
      </c>
      <c r="D715" s="19" t="n">
        <f aca="false">D711*D714</f>
        <v>2719.1262</v>
      </c>
      <c r="E715" s="19" t="n">
        <f aca="false">E711*E714</f>
        <v>4880.59166620699</v>
      </c>
      <c r="F715" s="19" t="n">
        <f aca="false">F711*F714</f>
        <v>5877.38378617131</v>
      </c>
      <c r="G715" s="19" t="n">
        <f aca="false">G711*G714</f>
        <v>6342.88673899625</v>
      </c>
    </row>
    <row r="716" customFormat="false" ht="17.15" hidden="false" customHeight="false" outlineLevel="0" collapsed="false">
      <c r="A716" s="4" t="s">
        <v>358</v>
      </c>
      <c r="B716" s="0" t="s">
        <v>49</v>
      </c>
      <c r="D716" s="15" t="n">
        <f aca="false">0</f>
        <v>0</v>
      </c>
      <c r="E716" s="15" t="n">
        <f aca="false">cs_27</f>
        <v>0.1</v>
      </c>
      <c r="F716" s="15" t="n">
        <f aca="false">cs_28</f>
        <v>0.2</v>
      </c>
      <c r="G716" s="15" t="n">
        <f aca="false">cs_29</f>
        <v>0.25</v>
      </c>
      <c r="H716" s="8" t="s">
        <v>400</v>
      </c>
    </row>
    <row r="717" customFormat="false" ht="17.15" hidden="false" customHeight="false" outlineLevel="0" collapsed="false">
      <c r="A717" s="0" t="s">
        <v>401</v>
      </c>
      <c r="B717" s="0" t="s">
        <v>165</v>
      </c>
      <c r="C717" s="19" t="n">
        <f aca="false">a25_ai</f>
        <v>905.033</v>
      </c>
      <c r="D717" s="19" t="n">
        <f aca="false">D715*(1-D716)</f>
        <v>2719.1262</v>
      </c>
      <c r="E717" s="19" t="n">
        <f aca="false">E715*(1-E716)</f>
        <v>4392.53249958629</v>
      </c>
      <c r="F717" s="19" t="n">
        <f aca="false">F715*(1-F716)</f>
        <v>4701.90702893704</v>
      </c>
      <c r="G717" s="19" t="n">
        <f aca="false">G715*(1-G716)</f>
        <v>4757.16505424718</v>
      </c>
    </row>
    <row r="718" customFormat="false" ht="17.15" hidden="false" customHeight="false" outlineLevel="0" collapsed="false">
      <c r="A718" s="6" t="s">
        <v>402</v>
      </c>
    </row>
    <row r="719" customFormat="false" ht="17.15" hidden="false" customHeight="false" outlineLevel="0" collapsed="false">
      <c r="A719" s="4" t="s">
        <v>331</v>
      </c>
      <c r="B719" s="0" t="s">
        <v>165</v>
      </c>
      <c r="C719" s="19" t="n">
        <f aca="false">a25_nai</f>
        <v>1218.656</v>
      </c>
      <c r="D719" s="19" t="n">
        <f aca="false">a26_nai</f>
        <v>1279.5888</v>
      </c>
      <c r="E719" s="19" t="n">
        <f aca="false">D719*(1+g_nai27)</f>
        <v>1317.976464</v>
      </c>
      <c r="F719" s="19" t="n">
        <f aca="false">E719*(1+g_nai28)</f>
        <v>1344.33599328</v>
      </c>
      <c r="G719" s="19" t="n">
        <f aca="false">F719*(1+g_nai29)</f>
        <v>1371.2227131456</v>
      </c>
    </row>
    <row r="720" customFormat="false" ht="15" hidden="false" customHeight="false" outlineLevel="0" collapsed="false">
      <c r="A720" s="4" t="s">
        <v>302</v>
      </c>
      <c r="B720" s="0" t="s">
        <v>165</v>
      </c>
      <c r="C720" s="19" t="n">
        <f aca="false">C717+C719</f>
        <v>2123.689</v>
      </c>
      <c r="D720" s="19" t="n">
        <f aca="false">D717+D719</f>
        <v>3998.715</v>
      </c>
      <c r="E720" s="19" t="n">
        <f aca="false">E717+E719</f>
        <v>5710.50896358629</v>
      </c>
      <c r="F720" s="19" t="n">
        <f aca="false">F717+F719</f>
        <v>6046.24302221704</v>
      </c>
      <c r="G720" s="19" t="n">
        <f aca="false">G717+G719</f>
        <v>6128.38776739279</v>
      </c>
    </row>
    <row r="721" customFormat="false" ht="15" hidden="false" customHeight="false" outlineLevel="0" collapsed="false">
      <c r="A721" s="4" t="s">
        <v>403</v>
      </c>
      <c r="B721" s="0" t="s">
        <v>49</v>
      </c>
      <c r="D721" s="15" t="n">
        <f aca="false">D720/C720-1</f>
        <v>0.88290987993063</v>
      </c>
      <c r="E721" s="15" t="n">
        <f aca="false">E720/D720-1</f>
        <v>0.428086013528418</v>
      </c>
      <c r="F721" s="15" t="n">
        <f aca="false">F720/E720-1</f>
        <v>0.0587923179477703</v>
      </c>
      <c r="G721" s="15" t="n">
        <f aca="false">G720/F720-1</f>
        <v>0.0135860806245958</v>
      </c>
    </row>
    <row r="722" customFormat="false" ht="17.15" hidden="false" customHeight="false" outlineLevel="0" collapsed="false">
      <c r="A722" s="0" t="s">
        <v>404</v>
      </c>
      <c r="B722" s="0" t="s">
        <v>49</v>
      </c>
      <c r="C722" s="15" t="n">
        <f aca="false">C717/C720</f>
        <v>0.426160798497332</v>
      </c>
      <c r="D722" s="15" t="n">
        <f aca="false">D717/D720</f>
        <v>0.68</v>
      </c>
      <c r="E722" s="15" t="n">
        <f aca="false">E717/E720</f>
        <v>0.769201576881461</v>
      </c>
      <c r="F722" s="15" t="n">
        <f aca="false">F717/F720</f>
        <v>0.777657631633361</v>
      </c>
      <c r="G722" s="15" t="n">
        <f aca="false">G717/G720</f>
        <v>0.776250660827723</v>
      </c>
    </row>
    <row r="723" customFormat="false" ht="17.15" hidden="false" customHeight="false" outlineLevel="0" collapsed="false">
      <c r="A723" s="4" t="s">
        <v>364</v>
      </c>
      <c r="B723" s="0" t="s">
        <v>350</v>
      </c>
      <c r="D723" s="16" t="n">
        <f aca="false">D717/fx/D708</f>
        <v>3.63138338873399</v>
      </c>
      <c r="E723" s="16" t="n">
        <f aca="false">E717/fx/E708</f>
        <v>3.29597359817473</v>
      </c>
      <c r="F723" s="16" t="n">
        <f aca="false">F717/fx/F708</f>
        <v>2.78326659401422</v>
      </c>
      <c r="G723" s="16" t="n">
        <f aca="false">G717/fx/G708</f>
        <v>2.47198019863105</v>
      </c>
    </row>
    <row r="724" customFormat="false" ht="17.15" hidden="false" customHeight="false" outlineLevel="0" collapsed="false">
      <c r="A724" s="4" t="s">
        <v>405</v>
      </c>
      <c r="B724" s="4" t="s">
        <v>362</v>
      </c>
      <c r="D724" s="19" t="n">
        <f aca="false">D715/fx/(odm_gb*(1-vr26)+odm_vr*vr26)</f>
        <v>18.4522679153094</v>
      </c>
      <c r="E724" s="19" t="n">
        <f aca="false">E715/fx/odm_vr</f>
        <v>22.5953317879953</v>
      </c>
      <c r="F724" s="19" t="n">
        <f aca="false">F715/fx/odm_vr</f>
        <v>27.2101101211634</v>
      </c>
      <c r="G724" s="19" t="n">
        <f aca="false">G715/fx/odm_vr</f>
        <v>29.3652163842419</v>
      </c>
      <c r="H724" s="4" t="s">
        <v>406</v>
      </c>
    </row>
    <row r="725" customFormat="false" ht="17.15" hidden="false" customHeight="false" outlineLevel="0" collapsed="false">
      <c r="A725" s="6" t="s">
        <v>407</v>
      </c>
    </row>
    <row r="726" customFormat="false" ht="17.15" hidden="false" customHeight="false" outlineLevel="0" collapsed="false">
      <c r="A726" s="4" t="s">
        <v>408</v>
      </c>
      <c r="B726" s="0" t="s">
        <v>49</v>
      </c>
      <c r="D726" s="14" t="n">
        <f aca="false">a26_gp/D720-d_ai*D722</f>
        <v>0.0632307213692399</v>
      </c>
      <c r="H726" s="8" t="s">
        <v>409</v>
      </c>
    </row>
    <row r="727" customFormat="false" ht="17.15" hidden="false" customHeight="false" outlineLevel="0" collapsed="false">
      <c r="A727" s="0" t="s">
        <v>410</v>
      </c>
      <c r="B727" s="0" t="s">
        <v>165</v>
      </c>
      <c r="D727" s="21" t="n">
        <f aca="false">($D$726+d_ai)*D715*(1-D716*(1-keep))</f>
        <v>117.54978712</v>
      </c>
      <c r="E727" s="21" t="n">
        <f aca="false">($D$726+d_ai+vrd)*E715*(1-E716*(1-keep))</f>
        <v>194.386226205805</v>
      </c>
      <c r="F727" s="21" t="n">
        <f aca="false">($D$726+d_ai+vrd)*F715*(1-F716*(1-keep))</f>
        <v>231.722361691915</v>
      </c>
      <c r="G727" s="21" t="n">
        <f aca="false">($D$726+d_ai+vrd)*G715*(1-G716*(1-keep))</f>
        <v>248.799436346374</v>
      </c>
      <c r="H727" s="4" t="s">
        <v>411</v>
      </c>
    </row>
    <row r="728" customFormat="false" ht="15" hidden="false" customHeight="false" outlineLevel="0" collapsed="false">
      <c r="A728" s="4" t="s">
        <v>306</v>
      </c>
      <c r="B728" s="0" t="s">
        <v>165</v>
      </c>
      <c r="C728" s="19" t="n">
        <f aca="false">a25_gp</f>
        <v>148.2334922</v>
      </c>
      <c r="D728" s="19" t="n">
        <f aca="false">a26_gp</f>
        <v>198.45911</v>
      </c>
      <c r="E728" s="19" t="n">
        <f aca="false">$D$726*E719+E727</f>
        <v>277.722828772205</v>
      </c>
      <c r="F728" s="19" t="n">
        <f aca="false">$D$726*F719+F727</f>
        <v>316.725696309643</v>
      </c>
      <c r="G728" s="19" t="n">
        <f aca="false">$D$726*G719+G727</f>
        <v>335.502837656457</v>
      </c>
    </row>
    <row r="729" customFormat="false" ht="15" hidden="false" customHeight="false" outlineLevel="0" collapsed="false">
      <c r="A729" s="4" t="s">
        <v>309</v>
      </c>
      <c r="B729" s="0" t="s">
        <v>49</v>
      </c>
      <c r="C729" s="14" t="n">
        <f aca="false">C728/C720</f>
        <v>0.0698</v>
      </c>
      <c r="D729" s="14" t="n">
        <f aca="false">D728/D720</f>
        <v>0.0496307213692399</v>
      </c>
      <c r="E729" s="14" t="n">
        <f aca="false">E728/E720</f>
        <v>0.0486336385325961</v>
      </c>
      <c r="F729" s="14" t="n">
        <f aca="false">F728/F720</f>
        <v>0.0523838845289261</v>
      </c>
      <c r="G729" s="14" t="n">
        <f aca="false">G728/G720</f>
        <v>0.0547456933847368</v>
      </c>
    </row>
    <row r="730" customFormat="false" ht="17.15" hidden="false" customHeight="false" outlineLevel="0" collapsed="false">
      <c r="A730" s="0" t="s">
        <v>412</v>
      </c>
      <c r="B730" s="0" t="s">
        <v>49</v>
      </c>
      <c r="D730" s="14" t="n">
        <f aca="false">D727/D717</f>
        <v>0.0432307213692399</v>
      </c>
      <c r="E730" s="14" t="n">
        <f aca="false">E727/E717</f>
        <v>0.0442537935061639</v>
      </c>
      <c r="F730" s="14" t="n">
        <f aca="false">F727/F717</f>
        <v>0.0492826336773188</v>
      </c>
      <c r="G730" s="14" t="n">
        <f aca="false">G727/G717</f>
        <v>0.0522999377800118</v>
      </c>
      <c r="H730" s="4" t="s">
        <v>413</v>
      </c>
    </row>
    <row r="731" customFormat="false" ht="15" hidden="false" customHeight="false" outlineLevel="0" collapsed="false">
      <c r="A731" s="4" t="s">
        <v>414</v>
      </c>
      <c r="B731" s="0" t="s">
        <v>165</v>
      </c>
      <c r="C731" s="19" t="n">
        <f aca="false">a25_opx</f>
        <v>60.7375054</v>
      </c>
      <c r="D731" s="19" t="n">
        <f aca="false">a26_opx</f>
        <v>71.1893725</v>
      </c>
      <c r="E731" s="19" t="n">
        <f aca="false">D731*(1+MAX(0,phi*E721))</f>
        <v>83.3794423716458</v>
      </c>
      <c r="F731" s="19" t="n">
        <f aca="false">E731*(1+MAX(0,phi*F721))</f>
        <v>85.3402706461345</v>
      </c>
      <c r="G731" s="19" t="n">
        <f aca="false">F731*(1+MAX(0,phi*G721))</f>
        <v>85.8040465651437</v>
      </c>
    </row>
    <row r="732" customFormat="false" ht="15" hidden="false" customHeight="false" outlineLevel="0" collapsed="false">
      <c r="A732" s="4" t="s">
        <v>310</v>
      </c>
      <c r="B732" s="0" t="s">
        <v>165</v>
      </c>
      <c r="C732" s="19" t="n">
        <f aca="false">C731</f>
        <v>60.7375054</v>
      </c>
      <c r="D732" s="19" t="n">
        <f aca="false">D731</f>
        <v>71.1893725</v>
      </c>
      <c r="E732" s="19" t="n">
        <f aca="false">E731+0*E720</f>
        <v>83.3794423716458</v>
      </c>
      <c r="F732" s="19" t="n">
        <f aca="false">F731+0*F720</f>
        <v>85.3402706461345</v>
      </c>
      <c r="G732" s="19" t="n">
        <f aca="false">G731+0*G720</f>
        <v>85.8040465651437</v>
      </c>
    </row>
    <row r="733" customFormat="false" ht="15" hidden="false" customHeight="false" outlineLevel="0" collapsed="false">
      <c r="A733" s="4" t="s">
        <v>313</v>
      </c>
      <c r="B733" s="0" t="s">
        <v>165</v>
      </c>
      <c r="C733" s="19" t="n">
        <f aca="false">C728-C732</f>
        <v>87.4959868</v>
      </c>
      <c r="D733" s="19" t="n">
        <f aca="false">D728-D732</f>
        <v>127.2697375</v>
      </c>
      <c r="E733" s="19" t="n">
        <f aca="false">E728-E732</f>
        <v>194.34338640056</v>
      </c>
      <c r="F733" s="19" t="n">
        <f aca="false">F728-F732</f>
        <v>231.385425663509</v>
      </c>
      <c r="G733" s="19" t="n">
        <f aca="false">G728-G732</f>
        <v>249.698791091313</v>
      </c>
    </row>
    <row r="734" customFormat="false" ht="15" hidden="false" customHeight="false" outlineLevel="0" collapsed="false">
      <c r="A734" s="4" t="s">
        <v>316</v>
      </c>
      <c r="B734" s="0" t="s">
        <v>49</v>
      </c>
      <c r="C734" s="14" t="n">
        <f aca="false">C733/C720</f>
        <v>0.0412</v>
      </c>
      <c r="D734" s="14" t="n">
        <f aca="false">D733/D720</f>
        <v>0.0318276590104571</v>
      </c>
      <c r="E734" s="14" t="n">
        <f aca="false">E733/E720</f>
        <v>0.0340325858237527</v>
      </c>
      <c r="F734" s="14" t="n">
        <f aca="false">F733/F720</f>
        <v>0.0382692896751384</v>
      </c>
      <c r="G734" s="14" t="n">
        <f aca="false">G733/G720</f>
        <v>0.0407446135213378</v>
      </c>
    </row>
    <row r="735" customFormat="false" ht="17.15" hidden="false" customHeight="false" outlineLevel="0" collapsed="false">
      <c r="A735" s="4" t="s">
        <v>199</v>
      </c>
      <c r="B735" s="0" t="s">
        <v>49</v>
      </c>
      <c r="C735" s="15" t="n">
        <f aca="false">a25_ni/a25_oi</f>
        <v>0.856953590013114</v>
      </c>
      <c r="D735" s="15" t="n">
        <f aca="false">a26_ni/a26_oi</f>
        <v>0.869913569398224</v>
      </c>
      <c r="E735" s="15" t="n">
        <f aca="false">nio_f_lo</f>
        <v>0.75</v>
      </c>
      <c r="F735" s="15" t="n">
        <f aca="false">nio_f_lo</f>
        <v>0.75</v>
      </c>
      <c r="G735" s="15" t="n">
        <f aca="false">nio_f_lo</f>
        <v>0.75</v>
      </c>
    </row>
    <row r="736" customFormat="false" ht="15" hidden="false" customHeight="false" outlineLevel="0" collapsed="false">
      <c r="A736" s="4" t="s">
        <v>317</v>
      </c>
      <c r="B736" s="0" t="s">
        <v>165</v>
      </c>
      <c r="C736" s="19" t="n">
        <f aca="false">a25_ni</f>
        <v>74.98</v>
      </c>
      <c r="D736" s="19" t="n">
        <f aca="false">a26_ni</f>
        <v>110.713671625</v>
      </c>
      <c r="E736" s="19" t="n">
        <f aca="false">E733*E735</f>
        <v>145.75753980042</v>
      </c>
      <c r="F736" s="19" t="n">
        <f aca="false">F733*F735</f>
        <v>173.539069247631</v>
      </c>
      <c r="G736" s="19" t="n">
        <f aca="false">G733*G735</f>
        <v>187.274093318485</v>
      </c>
    </row>
    <row r="737" customFormat="false" ht="15" hidden="false" customHeight="false" outlineLevel="0" collapsed="false">
      <c r="A737" s="4" t="s">
        <v>415</v>
      </c>
      <c r="B737" s="4" t="s">
        <v>186</v>
      </c>
      <c r="C737" s="22" t="n">
        <f aca="false">a25_sh</f>
        <v>3.85501285347044</v>
      </c>
      <c r="D737" s="22" t="n">
        <f aca="false">a26_sh</f>
        <v>3.85460170146945</v>
      </c>
      <c r="E737" s="22" t="n">
        <f aca="false">D737*(1+sh_g)</f>
        <v>3.85460170146945</v>
      </c>
      <c r="F737" s="22" t="n">
        <f aca="false">E737*(1+sh_g)</f>
        <v>3.85460170146945</v>
      </c>
      <c r="G737" s="22" t="n">
        <f aca="false">F737*(1+sh_g)</f>
        <v>3.85460170146945</v>
      </c>
    </row>
    <row r="738" customFormat="false" ht="15" hidden="false" customHeight="false" outlineLevel="0" collapsed="false">
      <c r="A738" s="0" t="s">
        <v>323</v>
      </c>
      <c r="B738" s="0" t="s">
        <v>216</v>
      </c>
      <c r="C738" s="21" t="n">
        <f aca="false">C736/C737</f>
        <v>19.45</v>
      </c>
      <c r="D738" s="21" t="n">
        <f aca="false">D736/D737</f>
        <v>28.7224673778341</v>
      </c>
      <c r="E738" s="21" t="n">
        <f aca="false">E736/E737</f>
        <v>37.8139042861041</v>
      </c>
      <c r="F738" s="21" t="n">
        <f aca="false">F736/F737</f>
        <v>45.0212713758402</v>
      </c>
      <c r="G738" s="21" t="n">
        <f aca="false">G736/G737</f>
        <v>48.5845510956663</v>
      </c>
    </row>
    <row r="739" customFormat="false" ht="17.15" hidden="false" customHeight="false" outlineLevel="0" collapsed="false">
      <c r="A739" s="0" t="s">
        <v>416</v>
      </c>
      <c r="B739" s="0" t="s">
        <v>49</v>
      </c>
      <c r="D739" s="15" t="n">
        <f aca="false">D738/C738-1</f>
        <v>0.476733541276816</v>
      </c>
      <c r="E739" s="15" t="n">
        <f aca="false">E738/D738-1</f>
        <v>0.316527016592109</v>
      </c>
      <c r="F739" s="15" t="n">
        <f aca="false">F738/E738-1</f>
        <v>0.190600976699058</v>
      </c>
      <c r="G739" s="15" t="n">
        <f aca="false">G738/F738-1</f>
        <v>0.0791465814032595</v>
      </c>
    </row>
    <row r="742" customFormat="false" ht="17.15" hidden="false" customHeight="false" outlineLevel="0" collapsed="false">
      <c r="A742" s="1" t="s">
        <v>729</v>
      </c>
    </row>
    <row r="743" customFormat="false" ht="17.15" hidden="false" customHeight="false" outlineLevel="0" collapsed="false">
      <c r="A743" s="5" t="s">
        <v>659</v>
      </c>
      <c r="B743" s="5" t="s">
        <v>660</v>
      </c>
      <c r="C743" s="11" t="s">
        <v>730</v>
      </c>
      <c r="D743" s="11" t="s">
        <v>731</v>
      </c>
      <c r="E743" s="5" t="s">
        <v>732</v>
      </c>
      <c r="F743" s="5" t="s">
        <v>733</v>
      </c>
    </row>
    <row r="744" customFormat="false" ht="17.15" hidden="false" customHeight="false" outlineLevel="0" collapsed="false">
      <c r="A744" s="4" t="s">
        <v>21</v>
      </c>
      <c r="B744" s="0" t="s">
        <v>734</v>
      </c>
      <c r="C744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744" s="27" t="n">
        <f aca="false">Val!B116</f>
        <v>488.861971301704</v>
      </c>
      <c r="E744" s="27" t="n">
        <f aca="false">tp_w_dcf*C744+(1-tp_w_dcf)*D744</f>
        <v>566.562292345012</v>
      </c>
      <c r="F744" s="15" t="n">
        <f aca="false">E744/E$744-1</f>
        <v>0</v>
      </c>
    </row>
    <row r="745" customFormat="false" ht="17.15" hidden="false" customHeight="false" outlineLevel="0" collapsed="false">
      <c r="A745" s="4" t="s">
        <v>735</v>
      </c>
      <c r="B745" s="0" t="s">
        <v>736</v>
      </c>
      <c r="C745" s="2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558.131155474736</v>
      </c>
      <c r="D745" s="27" t="n">
        <f aca="false">Val!B116</f>
        <v>488.861971301704</v>
      </c>
      <c r="E745" s="27" t="n">
        <f aca="false">tp_w_dcf*C745+(1-tp_w_dcf)*D745</f>
        <v>523.49656338822</v>
      </c>
      <c r="F745" s="15" t="n">
        <f aca="false">E745/E$744-1</f>
        <v>-0.0760123459302989</v>
      </c>
    </row>
    <row r="746" customFormat="false" ht="17.15" hidden="false" customHeight="false" outlineLevel="0" collapsed="false">
      <c r="A746" s="4" t="s">
        <v>737</v>
      </c>
      <c r="B746" s="0" t="s">
        <v>738</v>
      </c>
      <c r="C746" s="2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764.806855288277</v>
      </c>
      <c r="D746" s="27" t="n">
        <f aca="false">Val!B116</f>
        <v>488.861971301704</v>
      </c>
      <c r="E746" s="27" t="n">
        <f aca="false">tp_w_dcf*C746+(1-tp_w_dcf)*D746</f>
        <v>626.83441329499</v>
      </c>
      <c r="F746" s="15" t="n">
        <f aca="false">E746/E$744-1</f>
        <v>0.106382160910341</v>
      </c>
    </row>
    <row r="747" customFormat="false" ht="17.15" hidden="false" customHeight="false" outlineLevel="0" collapsed="false">
      <c r="A747" s="4" t="s">
        <v>739</v>
      </c>
      <c r="B747" s="0" t="s">
        <v>740</v>
      </c>
      <c r="C747" s="2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708.513468912034</v>
      </c>
      <c r="D747" s="27" t="n">
        <f aca="false">Val!B116</f>
        <v>488.861971301704</v>
      </c>
      <c r="E747" s="27" t="n">
        <f aca="false">tp_w_dcf*C747+(1-tp_w_dcf)*D747</f>
        <v>598.687720106869</v>
      </c>
      <c r="F747" s="15" t="n">
        <f aca="false">E747/E$744-1</f>
        <v>0.0567023753538007</v>
      </c>
    </row>
    <row r="748" customFormat="false" ht="17.15" hidden="false" customHeight="false" outlineLevel="0" collapsed="false">
      <c r="A748" s="4" t="s">
        <v>741</v>
      </c>
      <c r="B748" s="0" t="s">
        <v>742</v>
      </c>
      <c r="C748" s="2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600.381785409184</v>
      </c>
      <c r="D748" s="27" t="n">
        <f aca="false">Val!B116</f>
        <v>488.861971301704</v>
      </c>
      <c r="E748" s="27" t="n">
        <f aca="false">tp_w_dcf*C748+(1-tp_w_dcf)*D748</f>
        <v>544.621878355444</v>
      </c>
      <c r="F748" s="15" t="n">
        <f aca="false">E748/E$744-1</f>
        <v>-0.0387255104796274</v>
      </c>
    </row>
    <row r="749" customFormat="false" ht="17.15" hidden="false" customHeight="false" outlineLevel="0" collapsed="false">
      <c r="A749" s="0" t="s">
        <v>743</v>
      </c>
      <c r="B749" s="0" t="s">
        <v>744</v>
      </c>
      <c r="C749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749" s="27" t="n">
        <f aca="false">Val!B116</f>
        <v>488.861971301704</v>
      </c>
      <c r="E749" s="27" t="n">
        <f aca="false">0.4*C749+(1-0.4)*D749</f>
        <v>551.02222813635</v>
      </c>
      <c r="F749" s="15" t="n">
        <f aca="false">E749/E$744-1</f>
        <v>-0.0274286948118997</v>
      </c>
    </row>
    <row r="750" customFormat="false" ht="17.15" hidden="false" customHeight="false" outlineLevel="0" collapsed="false">
      <c r="A750" s="0" t="s">
        <v>745</v>
      </c>
      <c r="B750" s="0" t="s">
        <v>746</v>
      </c>
      <c r="C750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750" s="27" t="n">
        <f aca="false">Val!B116</f>
        <v>488.861971301704</v>
      </c>
      <c r="E750" s="27" t="n">
        <f aca="false">0.8*C750+(1-0.8)*D750</f>
        <v>613.182484970997</v>
      </c>
      <c r="F750" s="15" t="n">
        <f aca="false">E750/E$744-1</f>
        <v>0.0822860844356994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747</v>
      </c>
    </row>
    <row r="2" customFormat="false" ht="17.15" hidden="false" customHeight="false" outlineLevel="0" collapsed="false">
      <c r="A2" s="4" t="s">
        <v>748</v>
      </c>
      <c r="B2" s="0" t="s">
        <v>749</v>
      </c>
    </row>
    <row r="3" customFormat="false" ht="17.15" hidden="false" customHeight="false" outlineLevel="0" collapsed="false">
      <c r="A3" s="4" t="s">
        <v>750</v>
      </c>
      <c r="B3" s="0" t="s">
        <v>751</v>
      </c>
    </row>
    <row r="4" customFormat="false" ht="17.15" hidden="false" customHeight="false" outlineLevel="0" collapsed="false">
      <c r="A4" s="4" t="s">
        <v>752</v>
      </c>
      <c r="B4" s="0" t="s">
        <v>753</v>
      </c>
    </row>
    <row r="5" customFormat="false" ht="17.15" hidden="false" customHeight="false" outlineLevel="0" collapsed="false">
      <c r="A5" s="4" t="s">
        <v>754</v>
      </c>
      <c r="B5" s="0" t="s">
        <v>755</v>
      </c>
    </row>
    <row r="6" customFormat="false" ht="17.15" hidden="false" customHeight="false" outlineLevel="0" collapsed="false">
      <c r="A6" s="4" t="s">
        <v>756</v>
      </c>
      <c r="B6" s="0" t="s">
        <v>757</v>
      </c>
    </row>
    <row r="7" customFormat="false" ht="17.15" hidden="false" customHeight="false" outlineLevel="0" collapsed="false">
      <c r="A7" s="4" t="s">
        <v>758</v>
      </c>
      <c r="B7" s="0" t="s">
        <v>212</v>
      </c>
    </row>
    <row r="8" customFormat="false" ht="17.15" hidden="false" customHeight="false" outlineLevel="0" collapsed="false">
      <c r="A8" s="4" t="s">
        <v>759</v>
      </c>
      <c r="B8" s="0" t="s">
        <v>760</v>
      </c>
    </row>
    <row r="9" customFormat="false" ht="17.15" hidden="false" customHeight="false" outlineLevel="0" collapsed="false">
      <c r="A9" s="4" t="s">
        <v>761</v>
      </c>
      <c r="B9" s="0" t="s">
        <v>762</v>
      </c>
    </row>
    <row r="10" customFormat="false" ht="17.15" hidden="false" customHeight="false" outlineLevel="0" collapsed="false">
      <c r="A10" s="4" t="s">
        <v>763</v>
      </c>
      <c r="B10" s="0" t="s">
        <v>764</v>
      </c>
    </row>
    <row r="11" customFormat="false" ht="17.15" hidden="false" customHeight="false" outlineLevel="0" collapsed="false">
      <c r="A11" s="4" t="s">
        <v>765</v>
      </c>
      <c r="B11" s="0" t="s">
        <v>766</v>
      </c>
    </row>
    <row r="12" customFormat="false" ht="17.15" hidden="false" customHeight="false" outlineLevel="0" collapsed="false">
      <c r="A12" s="4" t="s">
        <v>767</v>
      </c>
      <c r="B12" s="0" t="s">
        <v>768</v>
      </c>
    </row>
    <row r="13" customFormat="false" ht="17.15" hidden="false" customHeight="false" outlineLevel="0" collapsed="false">
      <c r="A13" s="4" t="s">
        <v>769</v>
      </c>
      <c r="B13" s="0" t="s">
        <v>770</v>
      </c>
    </row>
    <row r="14" customFormat="false" ht="17.15" hidden="false" customHeight="false" outlineLevel="0" collapsed="false">
      <c r="A14" s="4" t="s">
        <v>771</v>
      </c>
    </row>
    <row r="15" customFormat="false" ht="17.15" hidden="false" customHeight="false" outlineLevel="0" collapsed="false">
      <c r="A15" s="4" t="s">
        <v>772</v>
      </c>
      <c r="B15" s="4" t="s">
        <v>773</v>
      </c>
    </row>
    <row r="16" customFormat="false" ht="15" hidden="false" customHeight="false" outlineLevel="0" collapsed="false">
      <c r="A16" s="0" t="s">
        <v>774</v>
      </c>
      <c r="B16" s="4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2026-10-25T04:10:01Z</dcterms:created>
  <dc:creator>openpyxl</dc:creator>
  <dc:description/>
  <dc:language>en-US</dc:language>
  <cp:lastModifiedBy/>
  <dcterms:modified xsi:type="dcterms:W3CDTF">2026-10-25T04:10:01Z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