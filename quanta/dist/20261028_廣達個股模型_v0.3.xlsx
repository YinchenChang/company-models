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Q!$B$16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Q!$F$16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6" vbProcedure="false">In!$E$37</definedName>
    <definedName function="false" hidden="false" name="ais_26_hi" vbProcedure="false">In!$F$37</definedName>
    <definedName function="false" hidden="false" name="ais_26_lo" vbProcedure="false">In!$D$37</definedName>
    <definedName function="false" hidden="false" name="b_eps26" vbProcedure="false">In!$E$69</definedName>
    <definedName function="false" hidden="false" name="b_eps27a" vbProcedure="false">In!$E$72</definedName>
    <definedName function="false" hidden="false" name="b_eps27b" vbProcedure="false">In!$E$73</definedName>
    <definedName function="false" hidden="false" name="b_gm27" vbProcedure="false">In!$E$74</definedName>
    <definedName function="false" hidden="false" name="b_rev26" vbProcedure="false">In!$E$68</definedName>
    <definedName function="false" hidden="false" name="b_rev27a" vbProcedure="false">In!$E$70</definedName>
    <definedName function="false" hidden="false" name="b_rev27b" vbProcedure="false">In!$E$71</definedName>
    <definedName function="false" hidden="false" name="cons_feps" vbProcedure="false">In!$E$94</definedName>
    <definedName function="false" hidden="false" name="cons_tp" vbProcedure="false">In!$E$93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cx_r" vbProcedure="false">In!$E$98</definedName>
    <definedName function="false" hidden="false" name="da_r" vbProcedure="false">In!$E$97</definedName>
    <definedName function="false" hidden="false" name="d_ai" vbProcedure="false">In!$E$52</definedName>
    <definedName function="false" hidden="false" name="d_ai_hi" vbProcedure="false">In!$F$52</definedName>
    <definedName function="false" hidden="false" name="d_ai_lo" vbProcedure="false">In!$D$52</definedName>
    <definedName function="false" hidden="false" name="fade_gA" vbProcedure="false">In!$E$89</definedName>
    <definedName function="false" hidden="false" name="fade_gB" vbProcedure="false">In!$E$90</definedName>
    <definedName function="false" hidden="false" name="fade_gC" vbProcedure="false">In!$E$91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NHI27" vbProcedure="false">In!$F$39</definedName>
    <definedName function="false" hidden="false" name="GNHI28" vbProcedure="false">In!$F$49</definedName>
    <definedName function="false" hidden="false" name="GNHI29" vbProcedure="false">In!$F$50</definedName>
    <definedName function="false" hidden="false" name="GNLO27" vbProcedure="false">In!$D$39</definedName>
    <definedName function="false" hidden="false" name="GNLO28" vbProcedure="false">In!$D$49</definedName>
    <definedName function="false" hidden="false" name="GNLO29" vbProcedure="false">In!$D$50</definedName>
    <definedName function="false" hidden="false" name="g_gs27" vbProcedure="false">In!$E$46</definedName>
    <definedName function="false" hidden="false" name="g_gs27_hi" vbProcedure="false">In!$F$46</definedName>
    <definedName function="false" hidden="false" name="g_gs27_lo" vbProcedure="false">In!$D$46</definedName>
    <definedName function="false" hidden="false" name="g_gs28" vbProcedure="false">In!$E$47</definedName>
    <definedName function="false" hidden="false" name="g_gs28_hi" vbProcedure="false">In!$F$47</definedName>
    <definedName function="false" hidden="false" name="g_gs28_lo" vbProcedure="false">In!$D$47</definedName>
    <definedName function="false" hidden="false" name="g_gs29" vbProcedure="false">In!$E$48</definedName>
    <definedName function="false" hidden="false" name="g_gs29_hi" vbProcedure="false">In!$F$48</definedName>
    <definedName function="false" hidden="false" name="g_gs29_lo" vbProcedure="false">In!$D$48</definedName>
    <definedName function="false" hidden="false" name="g_nai26" vbProcedure="false">In!$E$38</definedName>
    <definedName function="false" hidden="false" name="g_nai26_hi" vbProcedure="false">In!$F$38</definedName>
    <definedName function="false" hidden="false" name="g_nai26_lo" vbProcedure="false">In!$D$38</definedName>
    <definedName function="false" hidden="false" name="g_nai27" vbProcedure="false">In!$E$39</definedName>
    <definedName function="false" hidden="false" name="g_nai27_hi" vbProcedure="false">In!$F$39</definedName>
    <definedName function="false" hidden="false" name="g_nai27_lo" vbProcedure="false">In!$D$39</definedName>
    <definedName function="false" hidden="false" name="g_nai28" vbProcedure="false">In!$E$49</definedName>
    <definedName function="false" hidden="false" name="g_nai28_hi" vbProcedure="false">In!$F$49</definedName>
    <definedName function="false" hidden="false" name="g_nai28_lo" vbProcedure="false">In!$D$49</definedName>
    <definedName function="false" hidden="false" name="g_nai29" vbProcedure="false">In!$E$50</definedName>
    <definedName function="false" hidden="false" name="g_nai29_hi" vbProcedure="false">In!$F$50</definedName>
    <definedName function="false" hidden="false" name="g_nai29_lo" vbProcedure="false">In!$D$50</definedName>
    <definedName function="false" hidden="false" name="g_nb27" vbProcedure="false">In!$E$43</definedName>
    <definedName function="false" hidden="false" name="g_nb27_hi" vbProcedure="false">In!$F$43</definedName>
    <definedName function="false" hidden="false" name="g_nb27_lo" vbProcedure="false">In!$D$43</definedName>
    <definedName function="false" hidden="false" name="g_nb28" vbProcedure="false">In!$E$44</definedName>
    <definedName function="false" hidden="false" name="g_nb28_hi" vbProcedure="false">In!$F$44</definedName>
    <definedName function="false" hidden="false" name="g_nb28_lo" vbProcedure="false">In!$D$44</definedName>
    <definedName function="false" hidden="false" name="g_nb29" vbProcedure="false">In!$E$45</definedName>
    <definedName function="false" hidden="false" name="g_nb29_hi" vbProcedure="false">In!$F$45</definedName>
    <definedName function="false" hidden="false" name="g_nb29_lo" vbProcedure="false">In!$D$45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In!$E$66</definedName>
    <definedName function="false" hidden="false" name="mf_hi" vbProcedure="false">In!$F$66</definedName>
    <definedName function="false" hidden="false" name="mf_lo" vbProcedure="false">In!$D$66</definedName>
    <definedName function="false" hidden="false" name="nbsh_25" vbProcedure="false">In!$E$41</definedName>
    <definedName function="false" hidden="false" name="nbsh_25_hi" vbProcedure="false">In!$F$41</definedName>
    <definedName function="false" hidden="false" name="nbsh_25_lo" vbProcedure="false">In!$D$41</definedName>
    <definedName function="false" hidden="false" name="nbsh_26" vbProcedure="false">In!$E$42</definedName>
    <definedName function="false" hidden="false" name="nbsh_26_hi" vbProcedure="false">In!$F$42</definedName>
    <definedName function="false" hidden="false" name="nbsh_26_lo" vbProcedure="false">In!$D$42</definedName>
    <definedName function="false" hidden="false" name="nim10_f" vbProcedure="false">In!$E$92</definedName>
    <definedName function="false" hidden="false" name="nio_f" vbProcedure="false">In!$E$64</definedName>
    <definedName function="false" hidden="false" name="nio_f_hi" vbProcedure="false">In!$F$64</definedName>
    <definedName function="false" hidden="false" name="nio_f_lo" vbProcedure="false">In!$D$64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fair_andy" vbProcedure="false">In!$E$76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In!$E$79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In!$E$78</definedName>
    <definedName function="false" hidden="false" name="q3_rev" vbProcedure="false">In!$E$55</definedName>
    <definedName function="false" hidden="false" name="q4g" vbProcedure="false">In!$E$56</definedName>
    <definedName function="false" hidden="false" name="q4g_hi" vbProcedure="false">In!$F$56</definedName>
    <definedName function="false" hidden="false" name="q4g_lo" vbProcedure="false">In!$D$56</definedName>
    <definedName function="false" hidden="false" name="q_gm" vbProcedure="false">In!$E$57</definedName>
    <definedName function="false" hidden="false" name="q_gm_hi" vbProcedure="false">In!$F$57</definedName>
    <definedName function="false" hidden="false" name="q_gm_lo" vbProcedure="false">In!$D$57</definedName>
    <definedName function="false" hidden="false" name="q_nio" vbProcedure="false">In!$E$59</definedName>
    <definedName function="false" hidden="false" name="q_nio_hi" vbProcedure="false">In!$F$59</definedName>
    <definedName function="false" hidden="false" name="q_nio_lo" vbProcedure="false">In!$D$59</definedName>
    <definedName function="false" hidden="false" name="q_opx" vbProcedure="false">In!$E$58</definedName>
    <definedName function="false" hidden="false" name="q_opx_hi" vbProcedure="false">In!$F$58</definedName>
    <definedName function="false" hidden="false" name="q_opx_lo" vbProcedure="false">In!$D$58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In!$E$75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In!$E$65</definedName>
    <definedName function="false" hidden="false" name="sh_g_hi" vbProcedure="false">In!$F$65</definedName>
    <definedName function="false" hidden="false" name="sh_g_lo" vbProcedure="false">In!$D$65</definedName>
    <definedName function="false" hidden="false" name="srv_25" vbProcedure="false">In!$E$40</definedName>
    <definedName function="false" hidden="false" name="srv_25_hi" vbProcedure="false">In!$F$40</definedName>
    <definedName function="false" hidden="false" name="srv_25_lo" vbProcedure="false">In!$D$40</definedName>
    <definedName function="false" hidden="false" name="srv_26" vbProcedure="false">In!$E$36</definedName>
    <definedName function="false" hidden="false" name="srv_26_hi" vbProcedure="false">In!$F$36</definedName>
    <definedName function="false" hidden="false" name="srv_26_lo" vbProcedure="false">In!$D$36</definedName>
    <definedName function="false" hidden="false" name="tp_comp" vbProcedure="false">Val!$B$116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In!$E$86</definedName>
    <definedName function="false" hidden="false" name="tp_r" vbProcedure="false">In!$E$85</definedName>
    <definedName function="false" hidden="false" name="tp_roe" vbProcedure="false">In!$E$87</definedName>
    <definedName function="false" hidden="false" name="tp_wA" vbProcedure="false">In!$E$81</definedName>
    <definedName function="false" hidden="false" name="tp_wB" vbProcedure="false">In!$E$82</definedName>
    <definedName function="false" hidden="false" name="tp_wC" vbProcedure="false">In!$E$83</definedName>
    <definedName function="false" hidden="false" name="tp_w_dcf" vbProcedure="false">In!$E$88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In!$E$53</definedName>
    <definedName function="false" hidden="false" name="vrd_hi" vbProcedure="false">In!$F$53</definedName>
    <definedName function="false" hidden="false" name="vrd_lo" vbProcedure="false">In!$D$53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<sst xmlns="http://schemas.openxmlformats.org/spreadsheetml/2006/main" count="3292" uniqueCount="840">
  <si>
    <r>
      <rPr>
        <b val="true"/>
        <sz val="11"/>
        <rFont val="Noto Sans CJK SC"/>
        <family val="2"/>
      </rPr>
      <t xml:space="preserve">廣達電腦（</t>
    </r>
    <r>
      <rPr>
        <b val="true"/>
        <sz val="11"/>
        <rFont val="Cambria"/>
        <family val="0"/>
        <charset val="1"/>
      </rPr>
      <t xml:space="preserve">2382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</si>
  <si>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頁最後新增三情境自由現金流列（淨利＋折舊 − 資本支出，不含營運資金變動）、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頁最後新增折舊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營收、資本支出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伺服器組裝市場、廣達有效份額、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每櫃價格與客供比例在本模型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條）；鴻海、緯創之後讀這條組裝線。</t>
    </r>
  </si>
  <si>
    <r>
      <rPr>
        <sz val="11"/>
        <rFont val="Noto Sans CJK SC"/>
        <family val="2"/>
      </rPr>
      <t xml:space="preserve">模型命題：廣達的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客供比例）。組裝營收含轉手的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，營收大、毛利率約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；客供比例上升時營收成長放慢、毛利率回升，毛利金額大致不變。市場約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</si>
  <si>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核心問題：客供比例上升與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每櫃價格上升之下，每櫃毛利金額能不能撐住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成長；約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</si>
  <si>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</si>
  <si>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</si>
  <si>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每櫃價格（法人）＝組裝市場；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以公司伺服器與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</si>
  <si>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</si>
  <si>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</si>
  <si>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目標價（緯創、緯穎、鴻海、英業達、</t>
    </r>
    <r>
      <rPr>
        <sz val="11"/>
        <rFont val="Cambria"/>
        <family val="0"/>
        <charset val="1"/>
      </rPr>
      <t xml:space="preserve">Super Micro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</si>
  <si>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</si>
  <si>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，公司只說「比重仍低」；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份額只有一個量化來源（單月櫃數調查），且有效份額的分母含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與其他廠，與櫃數份額不同口徑；</t>
    </r>
    <r>
      <rPr>
        <sz val="11"/>
        <rFont val="Cambria"/>
        <family val="0"/>
        <charset val="1"/>
      </rPr>
      <t xml:space="preserve">(3)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價值（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）是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兩來源在 </t>
    </r>
    <r>
      <rPr>
        <sz val="11"/>
        <rFont val="Cambria"/>
        <family val="0"/>
        <charset val="1"/>
      </rPr>
      <t xml:space="preserve">2016–2021 </t>
    </r>
    <r>
      <rPr>
        <sz val="11"/>
        <rFont val="Noto Sans CJK SC"/>
        <family val="2"/>
      </rPr>
      <t xml:space="preserve">年差距大，且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前為低倍數；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</si>
  <si>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亦為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</si>
  <si>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</si>
  <si>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對照保留不動，不進目標價；本版未新增先驗。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</si>
  <si>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NT$566.6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644.3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488.9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76.0%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51.8%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43.00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28.56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50.6%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EPS 43.61 </t>
    </r>
    <r>
      <rPr>
        <sz val="11"/>
        <color theme="1"/>
        <rFont val="Noto Sans CJK SC"/>
        <family val="2"/>
      </rPr>
      <t xml:space="preserve">也比法人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32.09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35.9%</t>
    </r>
    <r>
      <rPr>
        <sz val="11"/>
        <color theme="1"/>
        <rFont val="Noto Sans CJK SC"/>
        <family val="2"/>
      </rPr>
      <t xml:space="preserve">），同業（緯創、緯穎、鴻海、英業達、</t>
    </r>
    <r>
      <rPr>
        <sz val="11"/>
        <color theme="1"/>
        <rFont val="Calibri"/>
        <family val="2"/>
        <charset val="1"/>
      </rPr>
      <t xml:space="preserve">Super Micro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11.4 </t>
    </r>
    <r>
      <rPr>
        <sz val="11"/>
        <color theme="1"/>
        <rFont val="Noto Sans CJK SC"/>
        <family val="2"/>
      </rPr>
      <t xml:space="preserve">倍與現價隱含 </t>
    </r>
    <r>
      <rPr>
        <sz val="11"/>
        <color theme="1"/>
        <rFont val="Calibri"/>
        <family val="2"/>
        <charset val="1"/>
      </rPr>
      <t xml:space="preserve">11.3 </t>
    </r>
    <r>
      <rPr>
        <sz val="11"/>
        <color theme="1"/>
        <rFont val="Noto Sans CJK SC"/>
        <family val="2"/>
      </rPr>
      <t xml:space="preserve">倍幾乎相同；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27.2%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14.7%</t>
    </r>
    <r>
      <rPr>
        <sz val="11"/>
        <color theme="1"/>
        <rFont val="Noto Sans CJK SC"/>
        <family val="2"/>
      </rPr>
      <t xml:space="preserve">）比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，再把目標價往上拉。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</si>
  <si>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高於法人來自營收與淨利係數：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5.71 </t>
    </r>
    <r>
      <rPr>
        <sz val="11"/>
        <color theme="1"/>
        <rFont val="Noto Sans CJK SC"/>
        <family val="2"/>
      </rPr>
      <t xml:space="preserve">兆元比法人 </t>
    </r>
    <r>
      <rPr>
        <sz val="11"/>
        <color theme="1"/>
        <rFont val="Calibri"/>
        <family val="2"/>
        <charset val="1"/>
      </rPr>
      <t xml:space="preserve">5.30 </t>
    </r>
    <r>
      <rPr>
        <sz val="11"/>
        <color theme="1"/>
        <rFont val="Noto Sans CJK SC"/>
        <family val="2"/>
      </rPr>
      <t xml:space="preserve">兆元高 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營業利益約 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；改用券商隱含的 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13.3%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37.81</t>
    </r>
    <r>
      <rPr>
        <sz val="11"/>
        <color theme="1"/>
        <rFont val="Noto Sans CJK SC"/>
        <family val="2"/>
      </rPr>
      <t xml:space="preserve">，是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最敏感的變數。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月中）的業外與稅率是第一個檢驗點。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</si>
  <si>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39.2%</t>
    </r>
    <r>
      <rPr>
        <sz val="11"/>
        <color theme="1"/>
        <rFont val="Noto Sans CJK SC"/>
        <family val="2"/>
      </rPr>
      <t xml:space="preserve">）；份額相對值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（鴻海、緯創搶單）時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。追蹤三家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櫃數份額（本模型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年客供比例。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</si>
  <si>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</si>
  <si>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未使用。公司原文＝廣達法說（經富果、優分析、</t>
    </r>
    <r>
      <rPr>
        <sz val="11"/>
        <color theme="1"/>
        <rFont val="Calibri"/>
        <family val="2"/>
        <charset val="1"/>
      </rPr>
      <t xml:space="preserve">Taipei Times </t>
    </r>
    <r>
      <rPr>
        <sz val="11"/>
        <color theme="1"/>
        <rFont val="Noto Sans CJK SC"/>
        <family val="2"/>
      </rPr>
      <t xml:space="preserve">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</si>
  <si>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</si>
  <si>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</si>
  <si>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</si>
  <si>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</si>
  <si>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</si>
  <si>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</si>
  <si>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</si>
  <si>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</si>
  <si>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</si>
  <si>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</si>
  <si>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</si>
  <si>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</si>
  <si>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</si>
  <si>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</si>
  <si>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</si>
  <si>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</si>
  <si>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</si>
  <si>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</si>
  <si>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</si>
  <si>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</si>
  <si>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</si>
  <si>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</si>
  <si>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</si>
  <si>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</si>
  <si>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</si>
  <si>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</si>
  <si>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</si>
  <si>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</si>
  <si>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</si>
  <si>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</si>
  <si>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</si>
  <si>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</si>
  <si>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</si>
  <si>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</si>
  <si>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</si>
  <si>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廣達：</t>
    </r>
    <r>
      <rPr>
        <sz val="11"/>
        <color theme="1"/>
        <rFont val="Calibri"/>
        <family val="2"/>
        <charset val="1"/>
      </rPr>
      <t xml:space="preserve">Vera Rubin 4Q26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</si>
  <si>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</si>
  <si>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</si>
  <si>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</si>
  <si>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</si>
  <si>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</si>
  <si>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</si>
  <si>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</si>
  <si>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</si>
  <si>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</si>
  <si>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</si>
  <si>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</si>
  <si>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</si>
  <si>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</si>
  <si>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</si>
  <si>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</si>
  <si>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</si>
  <si>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</si>
  <si>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</si>
  <si>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</si>
  <si>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</si>
  <si>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</si>
  <si>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</si>
  <si>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</si>
  <si>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</si>
  <si>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</si>
  <si>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</si>
  <si>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</si>
  <si>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</si>
  <si>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</si>
  <si>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</si>
  <si>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</si>
  <si>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</si>
  <si>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</si>
  <si>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</si>
  <si>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</si>
  <si>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</si>
  <si>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</si>
  <si>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</si>
  <si>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與台達電模型相同（公司換算隱含約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</si>
  <si>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先驗比對用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（只影響美元換算的市場與每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</si>
  <si>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組裝價格、廣達份額與客供（本專案為權威：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整櫃組裝份額、每櫃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價格、客供比例，規則第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</si>
  <si>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</si>
  <si>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</si>
  <si>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</si>
  <si>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</si>
  <si>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</si>
  <si>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</si>
  <si>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</si>
  <si>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</si>
  <si>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</si>
  <si>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</si>
  <si>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架數：未找到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</si>
  <si>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27.1B → 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 × 6,764 vs 6.75 × 4,052</t>
    </r>
    <r>
      <rPr>
        <sz val="11"/>
        <color theme="1"/>
        <rFont val="Noto Sans CJK SC"/>
        <family val="2"/>
      </rPr>
      <t xml:space="preserve">）：換世代時每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大致持平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</si>
  <si>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</si>
  <si>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</si>
  <si>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</si>
  <si>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</si>
  <si>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</si>
  <si>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https://money.udn.com/money/amp/story/5607/9745501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</si>
  <si>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r>
      <rPr>
        <sz val="11"/>
        <color theme="1"/>
        <rFont val="Noto Sans CJK SC"/>
        <family val="2"/>
      </rPr>
      <t xml:space="preserve">公司：前五大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為主，</t>
    </r>
    <r>
      <rPr>
        <sz val="11"/>
        <color theme="1"/>
        <rFont val="Calibri"/>
        <family val="2"/>
        <charset val="1"/>
      </rPr>
      <t xml:space="preserve">Neocloud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CSP ASIC </t>
    </r>
    <r>
      <rPr>
        <sz val="11"/>
        <color theme="1"/>
        <rFont val="Noto Sans CJK SC"/>
        <family val="2"/>
      </rPr>
      <t xml:space="preserve">專案小量出貨（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找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</si>
  <si>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</si>
  <si>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</si>
  <si>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</si>
  <si>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rel_29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</si>
  <si>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</si>
  <si>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</si>
  <si>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</si>
  <si>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起部分高價關鍵料件改客供，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客戶都有；比重仍低（公司）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</si>
  <si>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客供比重小，營益率持平 </t>
    </r>
    <r>
      <rPr>
        <sz val="11"/>
        <color theme="1"/>
        <rFont val="Calibri"/>
        <family val="2"/>
        <charset val="1"/>
      </rPr>
      <t xml:space="preserve">1H26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</si>
  <si>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</si>
  <si>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</si>
  <si>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同上；公司與客戶協商轉換以提高利潤率（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</si>
  <si>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</si>
  <si>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</si>
  <si>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</si>
  <si>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</si>
  <si>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公司：客供可減輕毛利率稀釋與營運資金壓力（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</si>
  <si>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買賣模式下轉手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的加價很薄；客供後少掉這部分加價：未找到量化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</si>
  <si>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</si>
  <si>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</si>
  <si>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</si>
  <si>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：伺服器自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起超過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</si>
  <si>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：雲端伺服器 </t>
    </r>
    <r>
      <rPr>
        <sz val="11"/>
        <color theme="1"/>
        <rFont val="Calibri"/>
        <family val="2"/>
        <charset val="1"/>
      </rPr>
      <t xml:space="preserve">2026F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</si>
  <si>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</si>
  <si>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</si>
  <si>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Calibri"/>
        <family val="2"/>
        <charset val="1"/>
      </rPr>
      <t xml:space="preserve">https://uanalyze.com.tw/articles/5252953366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75–80%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</si>
  <si>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：同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</si>
  <si>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</si>
  <si>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營收年增（反推 </t>
    </r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</si>
  <si>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公司：筆電雙位數衰退、一般伺服器雙位數成長（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法說、財報狗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</si>
  <si>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：公司維持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伺服器「三位數年增」；若只倍增，非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須 </t>
    </r>
    <r>
      <rPr>
        <sz val="11"/>
        <color theme="1"/>
        <rFont val="Calibri"/>
        <family val="2"/>
        <charset val="1"/>
      </rPr>
      <t xml:space="preserve">+67%</t>
    </r>
    <r>
      <rPr>
        <sz val="11"/>
        <color theme="1"/>
        <rFont val="Noto Sans CJK SC"/>
        <family val="2"/>
      </rPr>
      <t xml:space="preserve">，與筆電衰退不符，所以倍增讀為下限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</si>
  <si>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</si>
  <si>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</si>
  <si>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筆電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年雙位數衰退、低於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）；一般伺服器雙位數成長（公司）</t>
    </r>
  </si>
  <si>
    <r>
      <rPr>
        <sz val="11"/>
        <color theme="1"/>
        <rFont val="Noto Sans CJK SC"/>
        <family val="2"/>
      </rPr>
      <t xml:space="preserve">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</si>
  <si>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</si>
  <si>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</si>
  <si>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廣達報告：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雲端伺服器 </t>
    </r>
    <r>
      <rPr>
        <sz val="11"/>
        <color theme="1"/>
        <rFont val="Calibri"/>
        <family val="2"/>
        <charset val="1"/>
      </rPr>
      <t xml:space="preserve">71%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 3%</t>
    </r>
    <r>
      <rPr>
        <sz val="11"/>
        <color theme="1"/>
        <rFont val="Noto Sans CJK SC"/>
        <family val="2"/>
      </rPr>
      <t xml:space="preserve">、穿戴物聯網等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（公司簡介：伺服器約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、筆電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</si>
  <si>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分部原則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：營收列改為雲端伺服器（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＋一般）／筆電／其他</t>
    </r>
  </si>
  <si>
    <t xml:space="preserve">nbsh_25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</si>
  <si>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</si>
  <si>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同上：筆電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</si>
  <si>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Noto Sans CJK SC"/>
        <family val="2"/>
      </rPr>
      <t xml:space="preserve">公司簡介：</t>
    </r>
    <r>
      <rPr>
        <sz val="11"/>
        <color theme="1"/>
        <rFont val="Calibri"/>
        <family val="2"/>
        <charset val="1"/>
      </rPr>
      <t xml:space="preserve">20–25%</t>
    </r>
  </si>
  <si>
    <t xml:space="preserve">nbsh_26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</si>
  <si>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</si>
  <si>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13%</t>
    </r>
    <r>
      <rPr>
        <sz val="11"/>
        <color theme="1"/>
        <rFont val="Noto Sans CJK SC"/>
        <family val="2"/>
      </rPr>
      <t xml:space="preserve">；公司：筆電約占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</si>
  <si>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g_nb27</t>
  </si>
  <si>
    <r>
      <rPr>
        <sz val="11"/>
        <color theme="1"/>
        <rFont val="Noto Sans CJK SC"/>
        <family val="2"/>
      </rPr>
      <t xml:space="preserve">筆電營收年增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</si>
  <si>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凱基：筆電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11%</t>
    </r>
    <r>
      <rPr>
        <sz val="11"/>
        <color theme="1"/>
        <rFont val="Noto Sans CJK SC"/>
        <family val="2"/>
      </rPr>
      <t xml:space="preserve">）→ 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筆電雙位數衰退</t>
    </r>
  </si>
  <si>
    <t xml:space="preserve">產能移轉到伺服器</t>
  </si>
  <si>
    <t xml:space="preserve">g_nb28</t>
  </si>
  <si>
    <r>
      <rPr>
        <sz val="11"/>
        <color theme="1"/>
        <rFont val="Noto Sans CJK SC"/>
        <family val="2"/>
      </rPr>
      <t xml:space="preserve">筆電營收年增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</si>
  <si>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g_nb29</t>
  </si>
  <si>
    <r>
      <rPr>
        <sz val="11"/>
        <color theme="1"/>
        <rFont val="Noto Sans CJK SC"/>
        <family val="2"/>
      </rPr>
      <t xml:space="preserve">筆電營收年增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</si>
  <si>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g_gs27</t>
  </si>
  <si>
    <r>
      <rPr>
        <sz val="11"/>
        <color theme="1"/>
        <rFont val="Noto Sans CJK SC"/>
        <family val="2"/>
      </rPr>
      <t xml:space="preserve">一般伺服器營收年增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</si>
  <si>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公司：一般伺服器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</si>
  <si>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筆電 − 一般伺服器（差額）</t>
    </r>
  </si>
  <si>
    <t xml:space="preserve">g_gs28</t>
  </si>
  <si>
    <r>
      <rPr>
        <sz val="11"/>
        <color theme="1"/>
        <rFont val="Noto Sans CJK SC"/>
        <family val="2"/>
      </rPr>
      <t xml:space="preserve">一般伺服器營收年增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</si>
  <si>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g_gs29</t>
  </si>
  <si>
    <r>
      <rPr>
        <sz val="11"/>
        <color theme="1"/>
        <rFont val="Noto Sans CJK SC"/>
        <family val="2"/>
      </rPr>
      <t xml:space="preserve">一般伺服器營收年增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</si>
  <si>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</si>
  <si>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</si>
  <si>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</si>
  <si>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</si>
  <si>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</si>
  <si>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</si>
  <si>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</si>
  <si>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</si>
  <si>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公司：高價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機櫃稀釋毛利率；</t>
    </r>
    <r>
      <rPr>
        <sz val="11"/>
        <color theme="1"/>
        <rFont val="Calibri"/>
        <family val="2"/>
        <charset val="1"/>
      </rPr>
      <t xml:space="preserve">FY2025 6.98% → 1H26 4.92%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</si>
  <si>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部門別毛利率未揭露：未找到</t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</si>
  <si>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</si>
  <si>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</si>
  <si>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每櫃價格較高，毛利金額增加、毛利率可能被稀釋；凱基毛利率 </t>
    </r>
    <r>
      <rPr>
        <sz val="11"/>
        <color theme="1"/>
        <rFont val="Calibri"/>
        <family val="2"/>
        <charset val="1"/>
      </rPr>
      <t xml:space="preserve">2026F 4.9% → 2027F 4.7%</t>
    </r>
  </si>
  <si>
    <t xml:space="preserve">每櫃加工費與每櫃價格不同比例上升：未找到量化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</si>
  <si>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</si>
  <si>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</si>
  <si>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</si>
  <si>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</si>
  <si>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</si>
  <si>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</si>
  <si>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2.96 </t>
    </r>
    <r>
      <rPr>
        <sz val="11"/>
        <color theme="1"/>
        <rFont val="Noto Sans CJK SC"/>
        <family val="2"/>
      </rPr>
      <t xml:space="preserve">兆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</si>
  <si>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</si>
  <si>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</si>
  <si>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：法人估全年接近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兆，季減約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</si>
  <si>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主要動能、</t>
    </r>
    <r>
      <rPr>
        <sz val="11"/>
        <color theme="1"/>
        <rFont val="Calibri"/>
        <family val="2"/>
        <charset val="1"/>
      </rPr>
      <t xml:space="preserve">VR 4Q </t>
    </r>
    <r>
      <rPr>
        <sz val="11"/>
        <color theme="1"/>
        <rFont val="Noto Sans CJK SC"/>
        <family val="2"/>
      </rPr>
      <t xml:space="preserve">小量；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（出貨時點）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</si>
  <si>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</si>
  <si>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</si>
  <si>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：全年利潤率維持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2Q26 5.02%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</si>
  <si>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4.9%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</si>
  <si>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</si>
  <si>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</si>
  <si>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1.72%</t>
    </r>
    <r>
      <rPr>
        <sz val="11"/>
        <color theme="1"/>
        <rFont val="Noto Sans CJK SC"/>
        <family val="2"/>
      </rPr>
      <t xml:space="preserve">（新低）、</t>
    </r>
    <r>
      <rPr>
        <sz val="11"/>
        <color theme="1"/>
        <rFont val="Calibri"/>
        <family val="2"/>
        <charset val="1"/>
      </rPr>
      <t xml:space="preserve">1H26 1.81%</t>
    </r>
    <r>
      <rPr>
        <sz val="11"/>
        <color theme="1"/>
        <rFont val="Noto Sans CJK SC"/>
        <family val="2"/>
      </rPr>
      <t xml:space="preserve">（公司）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</si>
  <si>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</si>
  <si>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</si>
  <si>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49.84 ÷ 57.3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74.98 ÷ 87.5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0.857</t>
    </r>
    <r>
      <rPr>
        <sz val="11"/>
        <color theme="1"/>
        <rFont val="Noto Sans CJK SC"/>
        <family val="2"/>
      </rPr>
      <t xml:space="preserve">（公司）</t>
    </r>
  </si>
  <si>
    <t xml:space="preserve">業外收益與稅前利益：未找到（公開摘要未列）</t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</si>
  <si>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</si>
  <si>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</si>
  <si>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</si>
  <si>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49.84 ÷ EPS 12.93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</si>
  <si>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74.98 ÷ 19.45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3.855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</si>
  <si>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</si>
  <si>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</si>
  <si>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</si>
  <si>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</si>
  <si>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2.9% → 2Q26 1.72%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</si>
  <si>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</si>
  <si>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</si>
  <si>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</si>
  <si>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個百分點已是約 </t>
    </r>
    <r>
      <rPr>
        <sz val="11"/>
        <color theme="1"/>
        <rFont val="Calibri"/>
        <family val="2"/>
        <charset val="1"/>
      </rPr>
      <t xml:space="preserve">±7%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</si>
  <si>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</si>
  <si>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</si>
  <si>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</si>
  <si>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低值＝券商隱含：凱基 </t>
    </r>
    <r>
      <rPr>
        <sz val="11"/>
        <color theme="1"/>
        <rFont val="Calibri"/>
        <family val="2"/>
        <charset val="1"/>
      </rPr>
      <t xml:space="preserve">FY2026 EPS 27.06 × 3.855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3.2% × 4,219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≈ 0.73</t>
    </r>
    <r>
      <rPr>
        <sz val="11"/>
        <color theme="1"/>
        <rFont val="Noto Sans CJK SC"/>
        <family val="2"/>
      </rPr>
      <t xml:space="preserve">（原因未找到）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</si>
  <si>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</si>
  <si>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</si>
  <si>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3.855 → 1H26 3.855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</si>
  <si>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</si>
  <si>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</si>
  <si>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</si>
  <si>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</si>
  <si>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</si>
  <si>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</si>
  <si>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</si>
  <si>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https://www.kgi.com.hk/zh-cn/-/media/files/kgishk/research-reports/tw-reports/quanta-computer-2382-tt-20260813en.pdf</t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</si>
  <si>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</si>
  <si>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</si>
  <si>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</si>
  <si>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</si>
  <si>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</si>
  <si>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</si>
  <si>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b_rev27b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</si>
  <si>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</si>
  <si>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</si>
  <si>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</si>
  <si>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</si>
  <si>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</si>
  <si>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</si>
  <si>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（未具名；目標價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</si>
  <si>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</si>
  <si>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</si>
  <si>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</si>
  <si>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3.2%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</si>
  <si>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</si>
  <si>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中廣達的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</si>
  <si>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</si>
  <si>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等）；第二個量化來源：未找到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</si>
  <si>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</si>
  <si>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</si>
  <si>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廣達</t>
    </r>
    <r>
      <rPr>
        <sz val="11"/>
        <color theme="1"/>
        <rFont val="Calibri"/>
        <family val="2"/>
        <charset val="1"/>
      </rPr>
      <t xml:space="preserve">_20261024 Q9b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</si>
  <si>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</si>
  <si>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</si>
  <si>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</si>
  <si>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</si>
  <si>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328.5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</si>
  <si>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</si>
  <si>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</si>
  <si>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</si>
  <si>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</si>
  <si>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</si>
  <si>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</si>
  <si>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</si>
  <si>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</si>
  <si>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</si>
  <si>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</si>
  <si>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</si>
  <si>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</si>
  <si>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</si>
  <si>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</si>
  <si>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</si>
  <si>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</si>
  <si>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</si>
  <si>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</si>
  <si>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</si>
  <si>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</si>
  <si>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</si>
  <si>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</si>
  <si>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</si>
  <si>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</si>
  <si>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</si>
  <si>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21.86%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28.42%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</si>
  <si>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39.48%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</si>
  <si>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</si>
  <si>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</si>
  <si>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</si>
  <si>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</si>
  <si>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</si>
  <si>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</si>
  <si>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</si>
  <si>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</si>
  <si>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</si>
  <si>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</si>
  <si>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</si>
  <si>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</si>
  <si>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</si>
  <si>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</si>
  <si>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</si>
  <si>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</si>
  <si>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</si>
  <si>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</si>
  <si>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427.84</t>
    </r>
    <r>
      <rPr>
        <sz val="11"/>
        <color theme="1"/>
        <rFont val="Noto Sans CJK SC"/>
        <family val="2"/>
      </rPr>
      <t xml:space="preserve">，頁面時間 </t>
    </r>
    <r>
      <rPr>
        <sz val="11"/>
        <color theme="1"/>
        <rFont val="Calibri"/>
        <family val="2"/>
        <charset val="1"/>
      </rPr>
      <t xml:space="preserve">2026-10-14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</si>
  <si>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</si>
  <si>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</si>
  <si>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</si>
  <si>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323 ÷ Forward PE 11.31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</si>
  <si>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</si>
  <si>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自由現金流參數（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新增；以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年報實績為錨，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起各年沿用；只供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頁自由現金流列，不進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</si>
  <si>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</t>
  </si>
  <si>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</si>
  <si>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（各年沿用）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</si>
  <si>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120.81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</si>
  <si>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：資本密集度不變）</t>
    </r>
  </si>
  <si>
    <t xml:space="preserve">cx_r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</si>
  <si>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</si>
  <si>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資本支出（購置不動產、廠房及設備）</t>
    </r>
    <r>
      <rPr>
        <sz val="11"/>
        <color theme="1"/>
        <rFont val="Calibri"/>
        <family val="2"/>
        <charset val="1"/>
      </rPr>
      <t xml:space="preserve">147.57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</si>
  <si>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為新台幣；股數為十億股）。藍字＝輸入；黑字＝公式。實績取自廣達法說摘要、財報新聞與月營收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</si>
  <si>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毛利由公司揭露的毛利率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營業利益同。業外與稅前：未找到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</si>
  <si>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</si>
  <si>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</si>
  <si>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</si>
  <si>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</si>
  <si>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</si>
  <si>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</si>
  <si>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</si>
  <si>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</si>
  <si>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https://uanalyze.com.tw/articles/3341848159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https://blog.fugle.tw/post/earnings-call-2382-2026-08-13</t>
    </r>
  </si>
  <si>
    <r>
      <rPr>
        <sz val="11"/>
        <color theme="1"/>
        <rFont val="Calibri"/>
        <family val="2"/>
        <charset val="1"/>
      </rPr>
      <t xml:space="preserve">FY2025 2,123.689</t>
    </r>
    <r>
      <rPr>
        <sz val="11"/>
        <color theme="1"/>
        <rFont val="Noto Sans CJK SC"/>
        <family val="2"/>
      </rPr>
      <t xml:space="preserve">（凱基）；</t>
    </r>
    <r>
      <rPr>
        <sz val="11"/>
        <color theme="1"/>
        <rFont val="Calibri"/>
        <family val="2"/>
        <charset val="1"/>
      </rPr>
      <t xml:space="preserve">1H26 1.8458 </t>
    </r>
    <r>
      <rPr>
        <sz val="11"/>
        <color theme="1"/>
        <rFont val="Noto Sans CJK SC"/>
        <family val="2"/>
      </rPr>
      <t xml:space="preserve">兆（公司）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</si>
  <si>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</si>
  <si>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</si>
  <si>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4.92%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</si>
  <si>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</si>
  <si>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</si>
  <si>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</si>
  <si>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</si>
  <si>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</si>
  <si>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</si>
  <si>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1H26 573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</si>
  <si>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</si>
  <si>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</si>
  <si>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</si>
  <si>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28.65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EPS 7.43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</si>
  <si>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</si>
  <si>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</si>
  <si>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</si>
  <si>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</si>
  <si>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</si>
  <si>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</si>
  <si>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7.43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</si>
  <si>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占伺服器）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</si>
  <si>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</si>
  <si>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</si>
  <si>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</si>
  <si>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營收（一般伺服器、筆電、其他）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</si>
  <si>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</si>
  <si>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</si>
  <si>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</si>
  <si>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</si>
  <si>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</si>
  <si>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</si>
  <si>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</si>
  <si>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年增（隱含；公司說三位數）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</si>
  <si>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伺服器組裝市場、廣達份額、客供比例（本專案權威，規則第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</si>
  <si>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</si>
  <si>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</si>
  <si>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</si>
  <si>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</si>
  <si>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</si>
  <si>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</si>
  <si>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</si>
  <si>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</si>
  <si>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</si>
  <si>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</si>
  <si>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GB300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6.75 </t>
    </r>
    <r>
      <rPr>
        <sz val="11"/>
        <color theme="1"/>
        <rFont val="Noto Sans CJK SC"/>
        <family val="2"/>
      </rPr>
      <t xml:space="preserve">百萬美元）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</si>
  <si>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</si>
  <si>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</si>
  <si>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廣達有效份額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</si>
  <si>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</si>
  <si>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</si>
  <si>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</si>
  <si>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</si>
  <si>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</si>
  <si>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</si>
  <si>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隱含廣達出貨櫃數（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</si>
  <si>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</si>
  <si>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</si>
  <si>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</si>
  <si>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</si>
  <si>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</si>
  <si>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</si>
  <si>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其他廠商（鴻海、緯創、英業達、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− 廣達毛額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</si>
  <si>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有效份額遠低於整櫃櫃數份額（三家中約三分之一），因為本模型分母是全部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與其他組裝廠），且公司部分出貨為運算托盤而非整櫃。客供比例與份額相對值是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</si>
  <si>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廣達損益（十億新台幣；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</si>
  <si>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</si>
  <si>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</si>
  <si>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</si>
  <si>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</si>
  <si>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</si>
  <si>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</si>
  <si>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</si>
  <si>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雲端伺服器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</si>
  <si>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伺服器營收</t>
    </r>
  </si>
  <si>
    <t xml:space="preserve">  筆電</t>
  </si>
  <si>
    <t xml:space="preserve">  其他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</si>
  <si>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營收（一般伺服器＋筆電＋其他）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</si>
  <si>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</si>
  <si>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</si>
  <si>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</si>
  <si>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</si>
  <si>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</si>
  <si>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</si>
  <si>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</si>
  <si>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</si>
  <si>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</si>
  <si>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</si>
  <si>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</si>
  <si>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</si>
  <si>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</si>
  <si>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</si>
  <si>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</si>
  <si>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</si>
  <si>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</si>
  <si>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</si>
  <si>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</si>
  <si>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</si>
  <si>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的少量客供已含在錨點與校準份額內，記為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</si>
  <si>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</si>
  <si>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</si>
  <si>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t xml:space="preserve">  雲端伺服器：一般伺服器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</si>
  <si>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＝伺服器占比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</si>
  <si>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Noto Sans CJK SC"/>
        <family val="2"/>
      </rPr>
      <t xml:space="preserve">雲端伺服器營收（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＋一般伺服器）</t>
    </r>
  </si>
  <si>
    <t xml:space="preserve">公司產品別：雲端伺服器</t>
  </si>
  <si>
    <t xml:space="preserve">筆電營收</t>
  </si>
  <si>
    <t xml:space="preserve">公司產品別：筆電</t>
  </si>
  <si>
    <r>
      <rPr>
        <sz val="11"/>
        <color theme="1"/>
        <rFont val="Noto Sans CJK SC"/>
        <family val="2"/>
      </rPr>
      <t xml:space="preserve">其他營收（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、穿戴、物聯網等；＝非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筆電 − 一般伺服器）</t>
    </r>
  </si>
  <si>
    <t xml:space="preserve">檢查：分部合計 − 合併營收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</si>
  <si>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</si>
  <si>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</si>
  <si>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隱含廣達出貨櫃數（毛額價值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</si>
  <si>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</si>
  <si>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</si>
  <si>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</si>
  <si>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</si>
  <si>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</si>
  <si>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</si>
  <si>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</si>
  <si>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</si>
  <si>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</si>
  <si>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</si>
  <si>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</si>
  <si>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</si>
  <si>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</si>
  <si>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</si>
  <si>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</si>
  <si>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</si>
  <si>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</si>
  <si>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</si>
  <si>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</si>
  <si>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</si>
  <si>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</si>
  <si>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</si>
  <si>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</si>
  <si>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</si>
  <si>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</si>
  <si>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</si>
  <si>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</si>
  <si>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</si>
  <si>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</si>
  <si>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</si>
  <si>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</si>
  <si>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</si>
  <si>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</si>
  <si>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</si>
  <si>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</si>
  <si>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請求）：淨利（歸屬母公司，延伸表）＋折舊與攤銷（營收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da_r</t>
    </r>
    <r>
      <rPr>
        <b val="true"/>
        <sz val="11"/>
        <rFont val="Noto Sans CJK SC"/>
        <family val="2"/>
      </rPr>
      <t xml:space="preserve">）− 資本支出（營收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cx_r</t>
    </r>
    <r>
      <rPr>
        <b val="true"/>
        <sz val="11"/>
        <rFont val="Noto Sans CJK SC"/>
        <family val="2"/>
      </rPr>
      <t xml:space="preserve">）；不含營運資金變動。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</si>
  <si>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</si>
  <si>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淨利、營收引用本頁延伸表同情境列；折舊、資本支出以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</si>
  <si>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</si>
  <si>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</si>
  <si>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</si>
  <si>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循環位置：廣達不是設備股，不套設備市場見頂年；以本模型營收最高的會計年度為見頂年（比照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</si>
  <si>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</si>
  <si>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</si>
  <si>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</si>
  <si>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</si>
  <si>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</si>
  <si>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</si>
  <si>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</si>
  <si>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</si>
  <si>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</si>
  <si>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</si>
  <si>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</si>
  <si>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</si>
  <si>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</si>
  <si>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Q9a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20x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</si>
  <si>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</si>
  <si>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</si>
  <si>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</si>
  <si>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</si>
  <si>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</si>
  <si>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</si>
  <si>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</si>
  <si>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</si>
  <si>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</si>
  <si>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</si>
  <si>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</si>
  <si>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</si>
  <si>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</si>
  <si>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</si>
  <si>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</si>
  <si>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</si>
  <si>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</si>
  <si>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</si>
  <si>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</si>
  <si>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</si>
  <si>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</si>
  <si>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</si>
  <si>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15x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</si>
  <si>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15x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</si>
  <si>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</si>
  <si>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</si>
  <si>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</si>
  <si>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</si>
  <si>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</si>
  <si>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</si>
  <si>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</si>
  <si>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</si>
  <si>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</si>
  <si>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</si>
  <si>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</si>
  <si>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</si>
  <si>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</si>
  <si>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</si>
  <si>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</si>
  <si>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年筆電代工期低倍數（約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</si>
  <si>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</si>
  <si>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疑用還原股價，數字較低）；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多年加權平均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12.02–20.7 </t>
    </r>
    <r>
      <rPr>
        <sz val="11"/>
        <color theme="1"/>
        <rFont val="Noto Sans CJK SC"/>
        <family val="2"/>
      </rPr>
      <t xml:space="preserve">只作量級核對。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年廣達為筆電代工為主的低成長公司（約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</si>
  <si>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</si>
  <si>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</si>
  <si>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</si>
  <si>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</si>
  <si>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</si>
  <si>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</si>
  <si>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</si>
  <si>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</si>
  <si>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</si>
  <si>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</si>
  <si>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</si>
  <si>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</si>
  <si>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</si>
  <si>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</si>
  <si>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</si>
  <si>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</si>
  <si>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</si>
  <si>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</si>
  <si>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</si>
  <si>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</si>
  <si>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</si>
  <si>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</si>
  <si>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</si>
  <si>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</si>
  <si>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</si>
  <si>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</si>
  <si>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</si>
  <si>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</si>
  <si>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</si>
  <si>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</si>
  <si>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</si>
  <si>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</si>
  <si>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</si>
  <si>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</si>
  <si>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</si>
  <si>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</si>
  <si>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</si>
  <si>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</si>
  <si>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</si>
  <si>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</si>
  <si>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</si>
  <si>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</si>
  <si>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</si>
  <si>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</si>
  <si>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</si>
  <si>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</si>
  <si>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</si>
  <si>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</si>
  <si>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</si>
  <si>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</si>
  <si>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</si>
  <si>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</si>
  <si>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</si>
  <si>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</si>
  <si>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</si>
  <si>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</si>
  <si>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</si>
  <si>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</si>
  <si>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</si>
  <si>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</si>
  <si>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</si>
  <si>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</si>
  <si>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</si>
  <si>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</si>
  <si>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</si>
  <si>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</si>
  <si>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</si>
  <si>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</si>
  <si>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</si>
  <si>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</si>
  <si>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</si>
  <si>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</si>
  <si>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</si>
  <si>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</si>
  <si>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</si>
  <si>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</si>
  <si>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</si>
  <si>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</si>
  <si>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</si>
  <si>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</si>
  <si>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</si>
  <si>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t xml:space="preserve">Super Micro</t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</si>
  <si>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</si>
  <si>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</si>
  <si>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</si>
  <si>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同業：緯創、緯穎、鴻海、英業達、</t>
    </r>
    <r>
      <rPr>
        <sz val="11"/>
        <color theme="1"/>
        <rFont val="Calibri"/>
        <family val="2"/>
        <charset val="1"/>
      </rPr>
      <t xml:space="preserve">Super Micro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</si>
  <si>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</si>
  <si>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</si>
  <si>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</si>
  <si>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</si>
  <si>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</si>
  <si>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</si>
  <si>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</si>
  <si>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</si>
  <si>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</si>
  <si>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</si>
  <si>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</si>
  <si>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</si>
  <si>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</si>
  <si>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</si>
  <si>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</si>
  <si>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</si>
  <si>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</si>
  <si>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</si>
  <si>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</si>
  <si>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</si>
  <si>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</si>
  <si>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</si>
  <si>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：緯創、緯穎、鴻海、英業達、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中位數；部分價格為 </t>
    </r>
    <r>
      <rPr>
        <sz val="11"/>
        <color theme="1"/>
        <rFont val="Calibri"/>
        <family val="2"/>
        <charset val="1"/>
      </rPr>
      <t xml:space="preserve">8–10 </t>
    </r>
    <r>
      <rPr>
        <sz val="11"/>
        <color theme="1"/>
        <rFont val="Noto Sans CJK SC"/>
        <family val="2"/>
      </rPr>
      <t xml:space="preserve">月初，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低倍數（約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）反映會計與治理折價，偏誤方向不明確。情境對應：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</si>
  <si>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</si>
  <si>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</si>
  <si>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123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</si>
  <si>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</si>
  <si>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</si>
  <si>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</si>
  <si>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</si>
  <si>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</si>
  <si>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</si>
  <si>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</si>
  <si>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</si>
  <si>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</si>
  <si>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</si>
  <si>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</si>
  <si>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</si>
  <si>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</si>
  <si>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</si>
  <si>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</si>
  <si>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</si>
  <si>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</si>
  <si>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</si>
  <si>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</si>
  <si>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</si>
  <si>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</si>
  <si>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</si>
  <si>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</si>
  <si>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兩家區間 </t>
    </r>
    <r>
      <rPr>
        <sz val="11"/>
        <color theme="1"/>
        <rFont val="Calibri"/>
        <family val="2"/>
        <charset val="1"/>
      </rPr>
      <t xml:space="preserve">31.75–32.09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</si>
  <si>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</si>
  <si>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Noto Sans CJK SC"/>
        <family val="2"/>
      </rPr>
      <t xml:space="preserve">模型含客供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，毛利率較高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</si>
  <si>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</si>
  <si>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</si>
  <si>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</si>
  <si>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</si>
  <si>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</si>
  <si>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</si>
  <si>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</si>
  <si>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隱含廣達出貨櫃數（千櫃，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</si>
  <si>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三家調查單月約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30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</si>
  <si>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</si>
  <si>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</si>
  <si>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</si>
  <si>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</si>
  <si>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</si>
  <si>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</si>
  <si>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</si>
  <si>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客供使毛利率上升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</si>
  <si>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</si>
  <si>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</si>
  <si>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</si>
  <si>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</si>
  <si>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</si>
  <si>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</si>
  <si>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</si>
  <si>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</si>
  <si>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</si>
  <si>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</si>
  <si>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</si>
  <si>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</si>
  <si>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</si>
  <si>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</si>
  <si>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</si>
  <si>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</si>
  <si>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</si>
  <si>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</si>
  <si>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</si>
  <si>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</si>
  <si>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</si>
  <si>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</si>
  <si>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</si>
  <si>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（鴻海、緯創搶單）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</si>
  <si>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</si>
  <si>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</si>
  <si>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</si>
  <si>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</si>
  <si>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</si>
  <si>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</si>
  <si>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</si>
  <si>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</si>
  <si>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</si>
  <si>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</si>
  <si>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</si>
  <si>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</si>
  <si>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</si>
  <si>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</si>
  <si>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</si>
  <si>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</si>
  <si>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</si>
  <si>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</si>
  <si>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</si>
  <si>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</si>
  <si>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</si>
  <si>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</si>
  <si>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</si>
  <si>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</si>
  <si>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Noto Sans CJK SC"/>
        <family val="2"/>
      </rPr>
      <t xml:space="preserve">只低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</si>
  <si>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</si>
  <si>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</si>
  <si>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</si>
  <si>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</si>
  <si>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</si>
  <si>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</si>
  <si>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</si>
  <si>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（券商隱含約 </t>
    </r>
    <r>
      <rPr>
        <sz val="11"/>
        <color theme="1"/>
        <rFont val="Calibri"/>
        <family val="2"/>
        <charset val="1"/>
      </rPr>
      <t xml:space="preserve">0.73–0.77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</si>
  <si>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</si>
  <si>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</si>
  <si>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</si>
  <si>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</si>
  <si>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恆等於錨點。「客供」案例同時改變營收與毛利率，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只受保留毛利比例影響：客供比例高、保留比例低時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才明顯下降。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</si>
  <si>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</si>
  <si>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</si>
  <si>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</si>
  <si>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</si>
  <si>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</si>
  <si>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</si>
  <si>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</si>
  <si>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</si>
  <si>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</si>
  <si>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</si>
  <si>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</si>
  <si>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</si>
  <si>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3.5pt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</si>
  <si>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</si>
  <si>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</si>
  <si>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</si>
  <si>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</si>
  <si>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</si>
  <si>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</si>
  <si>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</si>
  <si>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</si>
  <si>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</si>
  <si>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</si>
  <si>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</si>
  <si>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</si>
  <si>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</si>
  <si>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</si>
  <si>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</si>
  <si>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</si>
  <si>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</si>
  <si>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</si>
  <si>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</si>
  <si>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</si>
  <si>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</si>
  <si>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</si>
  <si>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</si>
  <si>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</si>
  <si>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占比、客供、產能、資本支出）</t>
    </r>
  </si>
  <si>
    <t xml:space="preserve">https://blog.fugle.tw/post/earnings-call-2382-2026-08-13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</si>
  <si>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占伺服器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、毛利率、能見度至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</si>
  <si>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https://uanalyze.com.tw/articles/5252953366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</si>
  <si>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4.78%</t>
    </r>
    <r>
      <rPr>
        <sz val="11"/>
        <color theme="1"/>
        <rFont val="Noto Sans CJK SC"/>
        <family val="2"/>
      </rPr>
      <t xml:space="preserve">、客供轉換協商）</t>
    </r>
  </si>
  <si>
    <t xml:space="preserve">https://www.taipeitimes.com/News/biz/archives/2026/05/15/2003857345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</si>
  <si>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749.8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19.45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</si>
  <si>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https://uanalyze.com.tw/articles/3341848159</t>
  </si>
  <si>
    <r>
      <rPr>
        <sz val="11"/>
        <color theme="1"/>
        <rFont val="Noto Sans CJK SC"/>
        <family val="2"/>
      </rPr>
      <t xml:space="preserve">二手：財報狗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時程、筆電占比）</t>
    </r>
  </si>
  <si>
    <t xml:space="preserve">https://statementdog.com/news/17848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</si>
  <si>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</si>
  <si>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32.09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每櫃價格）</t>
    </r>
  </si>
  <si>
    <t xml:space="preserve">https://www.ctee.com.tw/news/20261008700747-430201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</si>
  <si>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（同上；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）</t>
    </r>
  </si>
  <si>
    <t xml:space="preserve">https://www.ftnn.com.tw/news/585951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</si>
  <si>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</si>
  <si>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</si>
  <si>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</si>
  <si>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https://tw.stock.yahoo.com/quote/2382.TW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</si>
  <si>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</si>
  <si>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https://companiesmarketcap.com/quanta-computer/pe-ratio/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</si>
  <si>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</si>
  <si>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https://goodinfo.tw/tw/StockBzPerformance.asp?STOCK_ID=2382&amp;RPT_CAT=M_YEAR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</si>
  <si>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</si>
  <si>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）；業外與稅前利益；客供比例的量化；前瞻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</si>
  <si>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</si>
  <si>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</si>
  <si>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</si>
  <si>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120.81 </t>
    </r>
    <r>
      <rPr>
        <sz val="11"/>
        <color theme="1"/>
        <rFont val="Noto Sans CJK SC"/>
        <family val="2"/>
      </rPr>
      <t xml:space="preserve">億元、資本支出 </t>
    </r>
    <r>
      <rPr>
        <sz val="11"/>
        <color theme="1"/>
        <rFont val="Calibri"/>
        <family val="2"/>
        <charset val="1"/>
      </rPr>
      <t xml:space="preserve">147.57 </t>
    </r>
    <r>
      <rPr>
        <sz val="11"/>
        <color theme="1"/>
        <rFont val="Noto Sans CJK SC"/>
        <family val="2"/>
      </rPr>
      <t xml:space="preserve">億元、營業現金流 −</t>
    </r>
    <r>
      <rPr>
        <sz val="11"/>
        <color theme="1"/>
        <rFont val="Calibri"/>
        <family val="2"/>
        <charset val="1"/>
      </rPr>
      <t xml:space="preserve">103.65 </t>
    </r>
    <r>
      <rPr>
        <sz val="11"/>
        <color theme="1"/>
        <rFont val="Noto Sans CJK SC"/>
        <family val="2"/>
      </rPr>
      <t xml:space="preserve">億元（資料商轉載合併現金流量表）</t>
    </r>
  </si>
  <si>
    <t xml:space="preserve">https://stockanalysis.com/quote/tpe/2382/financials/cash-flow-statement/</t>
  </si>
  <si>
    <r>
      <rPr>
        <sz val="11"/>
        <color theme="1"/>
        <rFont val="Calibri"/>
        <family val="2"/>
        <charset val="1"/>
      </rPr>
      <t xml:space="preserve">[Assumed] 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</t>
    </r>
    <r>
      <rPr>
        <sz val="11"/>
        <color theme="1"/>
        <rFont val="Noto Sans CJK SC"/>
        <family val="2"/>
      </rPr>
      <t xml:space="preserve">）；自由現金流不含營運資金變動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</si>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</sst>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0%"/>
    <numFmt numFmtId="167" formatCode="#,##0.000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"投資建議："&amp;Val!B136&amp;"（依上檔空間固定規則）"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53</v>
      </c>
      <c r="H11" s="8" t="s">
        <v>54</v>
      </c>
      <c r="I11" s="4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4" t="s">
        <v>58</v>
      </c>
      <c r="E12" s="7" t="n">
        <v>6764</v>
      </c>
      <c r="G12" s="8" t="s">
        <v>33</v>
      </c>
      <c r="H12" s="8" t="s">
        <v>59</v>
      </c>
      <c r="I12" s="8" t="s">
        <v>60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4" t="s">
        <v>58</v>
      </c>
      <c r="E13" s="7" t="n">
        <v>4052</v>
      </c>
      <c r="G13" s="8" t="s">
        <v>33</v>
      </c>
      <c r="H13" s="8" t="s">
        <v>59</v>
      </c>
      <c r="I13" s="4" t="s">
        <v>38</v>
      </c>
    </row>
    <row r="14" customFormat="false" ht="17.15" hidden="false" customHeight="false" outlineLevel="0" collapsed="false">
      <c r="A14" s="0" t="s">
        <v>63</v>
      </c>
      <c r="B14" s="4" t="s">
        <v>64</v>
      </c>
      <c r="C14" s="0" t="s">
        <v>65</v>
      </c>
      <c r="E14" s="7" t="n">
        <v>4.3</v>
      </c>
      <c r="G14" s="8" t="s">
        <v>33</v>
      </c>
      <c r="H14" s="8" t="s">
        <v>66</v>
      </c>
      <c r="I14" s="8" t="s">
        <v>67</v>
      </c>
    </row>
    <row r="15" customFormat="false" ht="17.15" hidden="false" customHeight="false" outlineLevel="0" collapsed="false">
      <c r="A15" s="0" t="s">
        <v>68</v>
      </c>
      <c r="B15" s="4" t="s">
        <v>69</v>
      </c>
      <c r="C15" s="0" t="s">
        <v>65</v>
      </c>
      <c r="E15" s="7" t="n">
        <v>8.4</v>
      </c>
      <c r="G15" s="8" t="s">
        <v>33</v>
      </c>
      <c r="H15" s="8" t="s">
        <v>66</v>
      </c>
      <c r="I15" s="4" t="s">
        <v>38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72</v>
      </c>
      <c r="E16" s="7" t="n">
        <v>1</v>
      </c>
      <c r="G16" s="8" t="s">
        <v>73</v>
      </c>
      <c r="H16" s="8" t="s">
        <v>74</v>
      </c>
      <c r="I16" s="8" t="s">
        <v>75</v>
      </c>
    </row>
    <row r="17" customFormat="false" ht="17.15" hidden="false" customHeight="false" outlineLevel="0" collapsed="false">
      <c r="A17" s="0" t="s">
        <v>76</v>
      </c>
      <c r="B17" s="4" t="s">
        <v>77</v>
      </c>
      <c r="C17" s="0" t="s">
        <v>72</v>
      </c>
      <c r="E17" s="7" t="n">
        <v>1</v>
      </c>
      <c r="G17" s="8" t="s">
        <v>73</v>
      </c>
      <c r="H17" s="8" t="s">
        <v>78</v>
      </c>
      <c r="I17" s="4" t="s">
        <v>38</v>
      </c>
    </row>
    <row r="18" customFormat="false" ht="17.15" hidden="false" customHeight="false" outlineLevel="0" collapsed="false">
      <c r="A18" s="0" t="s">
        <v>79</v>
      </c>
      <c r="B18" s="4" t="s">
        <v>80</v>
      </c>
      <c r="C18" s="0" t="s">
        <v>72</v>
      </c>
      <c r="E18" s="7" t="n">
        <v>0.8</v>
      </c>
      <c r="G18" s="8" t="s">
        <v>73</v>
      </c>
      <c r="H18" s="8" t="s">
        <v>81</v>
      </c>
      <c r="I18" s="8" t="s">
        <v>75</v>
      </c>
    </row>
    <row r="19" customFormat="false" ht="17.15" hidden="false" customHeight="false" outlineLevel="0" collapsed="false">
      <c r="A19" s="0" t="s">
        <v>82</v>
      </c>
      <c r="B19" s="4" t="s">
        <v>83</v>
      </c>
      <c r="C19" s="0" t="s">
        <v>72</v>
      </c>
      <c r="E19" s="7" t="n">
        <v>0.85</v>
      </c>
      <c r="G19" s="8" t="s">
        <v>73</v>
      </c>
      <c r="H19" s="8" t="s">
        <v>84</v>
      </c>
      <c r="I19" s="4" t="s">
        <v>38</v>
      </c>
    </row>
    <row r="20" customFormat="false" ht="17.15" hidden="false" customHeight="false" outlineLevel="0" collapsed="false">
      <c r="A20" s="0" t="s">
        <v>85</v>
      </c>
      <c r="B20" s="4" t="s">
        <v>86</v>
      </c>
      <c r="C20" s="0" t="s">
        <v>72</v>
      </c>
      <c r="E20" s="7" t="n">
        <v>0.6</v>
      </c>
      <c r="G20" s="8" t="s">
        <v>73</v>
      </c>
      <c r="H20" s="8" t="s">
        <v>87</v>
      </c>
      <c r="I20" s="8" t="s">
        <v>75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0" t="s">
        <v>72</v>
      </c>
      <c r="E21" s="7" t="n">
        <v>0.6</v>
      </c>
      <c r="G21" s="8" t="s">
        <v>73</v>
      </c>
      <c r="H21" s="8" t="s">
        <v>90</v>
      </c>
      <c r="I21" s="4" t="s">
        <v>38</v>
      </c>
    </row>
    <row r="22" customFormat="false" ht="17.15" hidden="false" customHeight="false" outlineLevel="0" collapsed="false">
      <c r="A22" s="0" t="s">
        <v>91</v>
      </c>
      <c r="B22" s="4" t="s">
        <v>92</v>
      </c>
      <c r="C22" s="0" t="s">
        <v>93</v>
      </c>
      <c r="D22" s="7" t="n">
        <v>30.5</v>
      </c>
      <c r="E22" s="7" t="n">
        <v>32</v>
      </c>
      <c r="F22" s="7" t="n">
        <v>33</v>
      </c>
      <c r="G22" s="8" t="s">
        <v>33</v>
      </c>
      <c r="H22" s="4" t="s">
        <v>94</v>
      </c>
      <c r="I22" s="4" t="s">
        <v>95</v>
      </c>
    </row>
    <row r="23" customFormat="false" ht="17.15" hidden="false" customHeight="false" outlineLevel="0" collapsed="false">
      <c r="A23" s="6" t="s">
        <v>96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65</v>
      </c>
      <c r="D24" s="7" t="n">
        <v>3.6</v>
      </c>
      <c r="E24" s="7" t="n">
        <v>4</v>
      </c>
      <c r="F24" s="7" t="n">
        <v>4.3</v>
      </c>
      <c r="G24" s="8" t="s">
        <v>53</v>
      </c>
      <c r="H24" s="8" t="s">
        <v>99</v>
      </c>
      <c r="I24" s="8" t="s">
        <v>100</v>
      </c>
    </row>
    <row r="25" customFormat="false" ht="17.15" hidden="false" customHeight="false" outlineLevel="0" collapsed="false">
      <c r="A25" s="0" t="s">
        <v>101</v>
      </c>
      <c r="B25" s="0" t="s">
        <v>102</v>
      </c>
      <c r="C25" s="0" t="s">
        <v>65</v>
      </c>
      <c r="D25" s="7" t="n">
        <v>6.5</v>
      </c>
      <c r="E25" s="7" t="n">
        <v>6.75</v>
      </c>
      <c r="F25" s="7" t="n">
        <v>7</v>
      </c>
      <c r="G25" s="8" t="s">
        <v>53</v>
      </c>
      <c r="H25" s="8" t="s">
        <v>103</v>
      </c>
      <c r="I25" s="8" t="s">
        <v>104</v>
      </c>
    </row>
    <row r="26" customFormat="false" ht="17.15" hidden="false" customHeight="false" outlineLevel="0" collapsed="false">
      <c r="A26" s="0" t="s">
        <v>105</v>
      </c>
      <c r="B26" s="4" t="s">
        <v>106</v>
      </c>
      <c r="C26" s="0" t="s">
        <v>72</v>
      </c>
      <c r="D26" s="7" t="n">
        <v>0.85</v>
      </c>
      <c r="E26" s="7" t="n">
        <v>1</v>
      </c>
      <c r="F26" s="7" t="n">
        <v>1.2</v>
      </c>
      <c r="G26" s="8" t="s">
        <v>73</v>
      </c>
      <c r="H26" s="8" t="s">
        <v>107</v>
      </c>
      <c r="I26" s="4" t="s">
        <v>108</v>
      </c>
    </row>
    <row r="27" customFormat="false" ht="17.15" hidden="false" customHeight="false" outlineLevel="0" collapsed="false">
      <c r="A27" s="0" t="s">
        <v>109</v>
      </c>
      <c r="B27" s="4" t="s">
        <v>110</v>
      </c>
      <c r="C27" s="0" t="s">
        <v>72</v>
      </c>
      <c r="D27" s="7" t="n">
        <v>0.85</v>
      </c>
      <c r="E27" s="7" t="n">
        <v>1</v>
      </c>
      <c r="F27" s="7" t="n">
        <v>1.2</v>
      </c>
      <c r="G27" s="8" t="s">
        <v>73</v>
      </c>
      <c r="H27" s="4" t="s">
        <v>38</v>
      </c>
      <c r="I27" s="8" t="s">
        <v>111</v>
      </c>
    </row>
    <row r="28" customFormat="false" ht="17.15" hidden="false" customHeight="false" outlineLevel="0" collapsed="false">
      <c r="A28" s="0" t="s">
        <v>112</v>
      </c>
      <c r="B28" s="4" t="s">
        <v>113</v>
      </c>
      <c r="C28" s="0" t="s">
        <v>72</v>
      </c>
      <c r="D28" s="7" t="n">
        <v>0.85</v>
      </c>
      <c r="E28" s="7" t="n">
        <v>1</v>
      </c>
      <c r="F28" s="7" t="n">
        <v>1.1</v>
      </c>
      <c r="G28" s="8" t="s">
        <v>73</v>
      </c>
      <c r="H28" s="8" t="s">
        <v>114</v>
      </c>
      <c r="I28" s="4" t="s">
        <v>115</v>
      </c>
    </row>
    <row r="29" customFormat="false" ht="17.15" hidden="false" customHeight="false" outlineLevel="0" collapsed="false">
      <c r="A29" s="0" t="s">
        <v>116</v>
      </c>
      <c r="B29" s="4" t="s">
        <v>117</v>
      </c>
      <c r="C29" s="0" t="s">
        <v>72</v>
      </c>
      <c r="D29" s="7" t="n">
        <v>0.75</v>
      </c>
      <c r="E29" s="7" t="n">
        <v>0.95</v>
      </c>
      <c r="F29" s="7" t="n">
        <v>1.1</v>
      </c>
      <c r="G29" s="8" t="s">
        <v>73</v>
      </c>
      <c r="H29" s="4" t="s">
        <v>118</v>
      </c>
      <c r="I29" s="8" t="s">
        <v>111</v>
      </c>
    </row>
    <row r="30" customFormat="false" ht="17.15" hidden="false" customHeight="false" outlineLevel="0" collapsed="false">
      <c r="A30" s="0" t="s">
        <v>119</v>
      </c>
      <c r="B30" s="4" t="s">
        <v>120</v>
      </c>
      <c r="C30" s="0" t="s">
        <v>72</v>
      </c>
      <c r="D30" s="7" t="n">
        <v>0.7</v>
      </c>
      <c r="E30" s="7" t="n">
        <v>0.9</v>
      </c>
      <c r="F30" s="7" t="n">
        <v>1.1</v>
      </c>
      <c r="G30" s="8" t="s">
        <v>73</v>
      </c>
      <c r="H30" s="4" t="s">
        <v>38</v>
      </c>
      <c r="I30" s="8" t="s">
        <v>111</v>
      </c>
    </row>
    <row r="31" customFormat="false" ht="17.15" hidden="false" customHeight="false" outlineLevel="0" collapsed="false">
      <c r="A31" s="0" t="s">
        <v>121</v>
      </c>
      <c r="B31" s="4" t="s">
        <v>122</v>
      </c>
      <c r="C31" s="0" t="s">
        <v>52</v>
      </c>
      <c r="D31" s="7" t="n">
        <v>0</v>
      </c>
      <c r="E31" s="7" t="n">
        <v>0.1</v>
      </c>
      <c r="F31" s="7" t="n">
        <v>0.25</v>
      </c>
      <c r="G31" s="8" t="s">
        <v>73</v>
      </c>
      <c r="H31" s="8" t="s">
        <v>123</v>
      </c>
      <c r="I31" s="8" t="s">
        <v>124</v>
      </c>
    </row>
    <row r="32" customFormat="false" ht="17.15" hidden="false" customHeight="false" outlineLevel="0" collapsed="false">
      <c r="A32" s="0" t="s">
        <v>125</v>
      </c>
      <c r="B32" s="4" t="s">
        <v>126</v>
      </c>
      <c r="C32" s="0" t="s">
        <v>52</v>
      </c>
      <c r="D32" s="7" t="n">
        <v>0</v>
      </c>
      <c r="E32" s="7" t="n">
        <v>0.2</v>
      </c>
      <c r="F32" s="7" t="n">
        <v>0.4</v>
      </c>
      <c r="G32" s="8" t="s">
        <v>73</v>
      </c>
      <c r="H32" s="4" t="s">
        <v>127</v>
      </c>
      <c r="I32" s="8" t="s">
        <v>111</v>
      </c>
    </row>
    <row r="33" customFormat="false" ht="17.15" hidden="false" customHeight="false" outlineLevel="0" collapsed="false">
      <c r="A33" s="0" t="s">
        <v>128</v>
      </c>
      <c r="B33" s="4" t="s">
        <v>129</v>
      </c>
      <c r="C33" s="0" t="s">
        <v>52</v>
      </c>
      <c r="D33" s="7" t="n">
        <v>0</v>
      </c>
      <c r="E33" s="7" t="n">
        <v>0.25</v>
      </c>
      <c r="F33" s="7" t="n">
        <v>0.5</v>
      </c>
      <c r="G33" s="8" t="s">
        <v>73</v>
      </c>
      <c r="H33" s="4" t="s">
        <v>38</v>
      </c>
      <c r="I33" s="8" t="s">
        <v>111</v>
      </c>
    </row>
    <row r="34" customFormat="false" ht="17.15" hidden="false" customHeight="false" outlineLevel="0" collapsed="false">
      <c r="A34" s="0" t="s">
        <v>130</v>
      </c>
      <c r="B34" s="4" t="s">
        <v>131</v>
      </c>
      <c r="C34" s="0" t="s">
        <v>72</v>
      </c>
      <c r="D34" s="7" t="n">
        <v>0.7</v>
      </c>
      <c r="E34" s="7" t="n">
        <v>0.9</v>
      </c>
      <c r="F34" s="7" t="n">
        <v>1</v>
      </c>
      <c r="G34" s="8" t="s">
        <v>73</v>
      </c>
      <c r="H34" s="4" t="s">
        <v>132</v>
      </c>
      <c r="I34" s="4" t="s">
        <v>133</v>
      </c>
    </row>
    <row r="35" customFormat="false" ht="17.15" hidden="false" customHeight="false" outlineLevel="0" collapsed="false">
      <c r="A35" s="6" t="s">
        <v>134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52</v>
      </c>
      <c r="D36" s="7" t="n">
        <v>0.82</v>
      </c>
      <c r="E36" s="7" t="n">
        <v>0.85</v>
      </c>
      <c r="F36" s="7" t="n">
        <v>0.88</v>
      </c>
      <c r="G36" s="8" t="s">
        <v>53</v>
      </c>
      <c r="H36" s="8" t="s">
        <v>137</v>
      </c>
      <c r="I36" s="8" t="s">
        <v>138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52</v>
      </c>
      <c r="D37" s="7" t="n">
        <v>0.75</v>
      </c>
      <c r="E37" s="7" t="n">
        <v>0.8</v>
      </c>
      <c r="F37" s="7" t="n">
        <v>0.82</v>
      </c>
      <c r="G37" s="8" t="s">
        <v>53</v>
      </c>
      <c r="H37" s="8" t="s">
        <v>141</v>
      </c>
      <c r="I37" s="8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52</v>
      </c>
      <c r="D38" s="7" t="n">
        <v>-0.05</v>
      </c>
      <c r="E38" s="7" t="n">
        <v>0.05</v>
      </c>
      <c r="F38" s="7" t="n">
        <v>0.15</v>
      </c>
      <c r="G38" s="8" t="s">
        <v>73</v>
      </c>
      <c r="H38" s="4" t="s">
        <v>145</v>
      </c>
      <c r="I38" s="8" t="s">
        <v>146</v>
      </c>
    </row>
    <row r="39" customFormat="false" ht="17.15" hidden="false" customHeight="false" outlineLevel="0" collapsed="false">
      <c r="A39" s="0" t="s">
        <v>147</v>
      </c>
      <c r="B39" s="4" t="s">
        <v>148</v>
      </c>
      <c r="C39" s="0" t="s">
        <v>52</v>
      </c>
      <c r="D39" s="7" t="n">
        <v>-0.05</v>
      </c>
      <c r="E39" s="7" t="n">
        <v>0.03</v>
      </c>
      <c r="F39" s="7" t="n">
        <v>0.08</v>
      </c>
      <c r="G39" s="8" t="s">
        <v>73</v>
      </c>
      <c r="H39" s="4" t="s">
        <v>149</v>
      </c>
      <c r="I39" s="4" t="s">
        <v>150</v>
      </c>
    </row>
    <row r="40" customFormat="false" ht="17.15" hidden="false" customHeight="false" outlineLevel="0" collapsed="false">
      <c r="A40" s="0" t="s">
        <v>151</v>
      </c>
      <c r="B40" s="0" t="s">
        <v>152</v>
      </c>
      <c r="C40" s="0" t="s">
        <v>52</v>
      </c>
      <c r="D40" s="7" t="n">
        <v>0.68</v>
      </c>
      <c r="E40" s="7" t="n">
        <v>0.71</v>
      </c>
      <c r="F40" s="7" t="n">
        <v>0.73</v>
      </c>
      <c r="G40" s="8" t="s">
        <v>53</v>
      </c>
      <c r="H40" s="4" t="s">
        <v>153</v>
      </c>
      <c r="I40" s="4" t="s">
        <v>154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52</v>
      </c>
      <c r="D41" s="7" t="n">
        <v>0.2</v>
      </c>
      <c r="E41" s="7" t="n">
        <v>0.22</v>
      </c>
      <c r="F41" s="7" t="n">
        <v>0.25</v>
      </c>
      <c r="G41" s="8" t="s">
        <v>53</v>
      </c>
      <c r="H41" s="4" t="s">
        <v>157</v>
      </c>
      <c r="I41" s="4" t="s">
        <v>158</v>
      </c>
    </row>
    <row r="42" customFormat="false" ht="17.15" hidden="false" customHeight="false" outlineLevel="0" collapsed="false">
      <c r="A42" s="0" t="s">
        <v>159</v>
      </c>
      <c r="B42" s="0" t="s">
        <v>160</v>
      </c>
      <c r="C42" s="0" t="s">
        <v>52</v>
      </c>
      <c r="D42" s="7" t="n">
        <v>0.1</v>
      </c>
      <c r="E42" s="7" t="n">
        <v>0.11</v>
      </c>
      <c r="F42" s="7" t="n">
        <v>0.13</v>
      </c>
      <c r="G42" s="8" t="s">
        <v>53</v>
      </c>
      <c r="H42" s="4" t="s">
        <v>161</v>
      </c>
      <c r="I42" s="8" t="s">
        <v>111</v>
      </c>
    </row>
    <row r="43" customFormat="false" ht="17.15" hidden="false" customHeight="false" outlineLevel="0" collapsed="false">
      <c r="A43" s="0" t="s">
        <v>162</v>
      </c>
      <c r="B43" s="4" t="s">
        <v>163</v>
      </c>
      <c r="C43" s="0" t="s">
        <v>52</v>
      </c>
      <c r="D43" s="7" t="n">
        <v>-0.2</v>
      </c>
      <c r="E43" s="7" t="n">
        <v>-0.1</v>
      </c>
      <c r="F43" s="7" t="n">
        <v>0</v>
      </c>
      <c r="G43" s="8" t="s">
        <v>73</v>
      </c>
      <c r="H43" s="4" t="s">
        <v>164</v>
      </c>
      <c r="I43" s="4" t="s">
        <v>165</v>
      </c>
    </row>
    <row r="44" customFormat="false" ht="17.15" hidden="false" customHeight="false" outlineLevel="0" collapsed="false">
      <c r="A44" s="0" t="s">
        <v>166</v>
      </c>
      <c r="B44" s="4" t="s">
        <v>167</v>
      </c>
      <c r="C44" s="0" t="s">
        <v>52</v>
      </c>
      <c r="D44" s="7" t="n">
        <v>-0.15</v>
      </c>
      <c r="E44" s="7" t="n">
        <v>-0.05</v>
      </c>
      <c r="F44" s="7" t="n">
        <v>0.05</v>
      </c>
      <c r="G44" s="8" t="s">
        <v>73</v>
      </c>
      <c r="H44" s="4" t="s">
        <v>164</v>
      </c>
      <c r="I44" s="4" t="s">
        <v>165</v>
      </c>
    </row>
    <row r="45" customFormat="false" ht="17.15" hidden="false" customHeight="false" outlineLevel="0" collapsed="false">
      <c r="A45" s="0" t="s">
        <v>168</v>
      </c>
      <c r="B45" s="4" t="s">
        <v>169</v>
      </c>
      <c r="C45" s="0" t="s">
        <v>52</v>
      </c>
      <c r="D45" s="7" t="n">
        <v>-0.1</v>
      </c>
      <c r="E45" s="7" t="n">
        <v>-0.03</v>
      </c>
      <c r="F45" s="7" t="n">
        <v>0.05</v>
      </c>
      <c r="G45" s="8" t="s">
        <v>73</v>
      </c>
      <c r="H45" s="4" t="s">
        <v>164</v>
      </c>
      <c r="I45" s="4" t="s">
        <v>165</v>
      </c>
    </row>
    <row r="46" customFormat="false" ht="17.15" hidden="false" customHeight="false" outlineLevel="0" collapsed="false">
      <c r="A46" s="0" t="s">
        <v>170</v>
      </c>
      <c r="B46" s="4" t="s">
        <v>171</v>
      </c>
      <c r="C46" s="0" t="s">
        <v>52</v>
      </c>
      <c r="D46" s="7" t="n">
        <v>0</v>
      </c>
      <c r="E46" s="7" t="n">
        <v>0.1</v>
      </c>
      <c r="F46" s="7" t="n">
        <v>0.2</v>
      </c>
      <c r="G46" s="8" t="s">
        <v>73</v>
      </c>
      <c r="H46" s="4" t="s">
        <v>172</v>
      </c>
      <c r="I46" s="4" t="s">
        <v>173</v>
      </c>
    </row>
    <row r="47" customFormat="false" ht="17.15" hidden="false" customHeight="false" outlineLevel="0" collapsed="false">
      <c r="A47" s="0" t="s">
        <v>174</v>
      </c>
      <c r="B47" s="4" t="s">
        <v>175</v>
      </c>
      <c r="C47" s="0" t="s">
        <v>52</v>
      </c>
      <c r="D47" s="7" t="n">
        <v>-0.05</v>
      </c>
      <c r="E47" s="7" t="n">
        <v>0.05</v>
      </c>
      <c r="F47" s="7" t="n">
        <v>0.12</v>
      </c>
      <c r="G47" s="8" t="s">
        <v>73</v>
      </c>
      <c r="H47" s="4" t="s">
        <v>172</v>
      </c>
      <c r="I47" s="4" t="s">
        <v>173</v>
      </c>
    </row>
    <row r="48" customFormat="false" ht="17.15" hidden="false" customHeight="false" outlineLevel="0" collapsed="false">
      <c r="A48" s="0" t="s">
        <v>176</v>
      </c>
      <c r="B48" s="4" t="s">
        <v>177</v>
      </c>
      <c r="C48" s="0" t="s">
        <v>52</v>
      </c>
      <c r="D48" s="7" t="n">
        <v>-0.05</v>
      </c>
      <c r="E48" s="7" t="n">
        <v>0.05</v>
      </c>
      <c r="F48" s="7" t="n">
        <v>0.12</v>
      </c>
      <c r="G48" s="8" t="s">
        <v>73</v>
      </c>
      <c r="H48" s="4" t="s">
        <v>172</v>
      </c>
      <c r="I48" s="4" t="s">
        <v>173</v>
      </c>
    </row>
    <row r="49" customFormat="false" ht="17.15" hidden="false" customHeight="false" outlineLevel="0" collapsed="false">
      <c r="A49" s="0" t="s">
        <v>178</v>
      </c>
      <c r="B49" s="4" t="s">
        <v>179</v>
      </c>
      <c r="C49" s="0" t="s">
        <v>52</v>
      </c>
      <c r="D49" s="7" t="n">
        <v>-0.05</v>
      </c>
      <c r="E49" s="7" t="n">
        <v>0.02</v>
      </c>
      <c r="F49" s="7" t="n">
        <v>0.06</v>
      </c>
      <c r="G49" s="8" t="s">
        <v>73</v>
      </c>
      <c r="H49" s="4" t="s">
        <v>38</v>
      </c>
      <c r="I49" s="8" t="s">
        <v>111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52</v>
      </c>
      <c r="D50" s="7" t="n">
        <v>-0.05</v>
      </c>
      <c r="E50" s="7" t="n">
        <v>0.02</v>
      </c>
      <c r="F50" s="7" t="n">
        <v>0.06</v>
      </c>
      <c r="G50" s="8" t="s">
        <v>73</v>
      </c>
      <c r="H50" s="4" t="s">
        <v>38</v>
      </c>
      <c r="I50" s="8" t="s">
        <v>111</v>
      </c>
    </row>
    <row r="51" customFormat="false" ht="17.15" hidden="false" customHeight="false" outlineLevel="0" collapsed="false">
      <c r="A51" s="6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185</v>
      </c>
      <c r="D52" s="7" t="n">
        <v>-0.035</v>
      </c>
      <c r="E52" s="7" t="n">
        <v>-0.02</v>
      </c>
      <c r="F52" s="7" t="n">
        <v>-0.005</v>
      </c>
      <c r="G52" s="8" t="s">
        <v>73</v>
      </c>
      <c r="H52" s="4" t="s">
        <v>186</v>
      </c>
      <c r="I52" s="4" t="s">
        <v>187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0" t="s">
        <v>185</v>
      </c>
      <c r="D53" s="7" t="n">
        <v>-0.006</v>
      </c>
      <c r="E53" s="7" t="n">
        <v>-0.003</v>
      </c>
      <c r="F53" s="7" t="n">
        <v>0</v>
      </c>
      <c r="G53" s="8" t="s">
        <v>73</v>
      </c>
      <c r="H53" s="4" t="s">
        <v>190</v>
      </c>
      <c r="I53" s="4" t="s">
        <v>191</v>
      </c>
    </row>
    <row r="54" customFormat="false" ht="17.15" hidden="false" customHeight="false" outlineLevel="0" collapsed="false">
      <c r="A54" s="6" t="s">
        <v>192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0" t="s">
        <v>195</v>
      </c>
      <c r="E55" s="7" t="n">
        <v>1115.5</v>
      </c>
      <c r="G55" s="8" t="s">
        <v>196</v>
      </c>
      <c r="H55" s="8" t="s">
        <v>197</v>
      </c>
      <c r="I55" s="8" t="s">
        <v>198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52</v>
      </c>
      <c r="D56" s="7" t="n">
        <v>-0.15</v>
      </c>
      <c r="E56" s="7" t="n">
        <v>-0.07</v>
      </c>
      <c r="F56" s="7" t="n">
        <v>0.05</v>
      </c>
      <c r="G56" s="8" t="s">
        <v>53</v>
      </c>
      <c r="H56" s="8" t="s">
        <v>201</v>
      </c>
      <c r="I56" s="4" t="s">
        <v>202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52</v>
      </c>
      <c r="D57" s="7" t="n">
        <v>0.047</v>
      </c>
      <c r="E57" s="7" t="n">
        <v>0.05</v>
      </c>
      <c r="F57" s="7" t="n">
        <v>0.053</v>
      </c>
      <c r="G57" s="8" t="s">
        <v>53</v>
      </c>
      <c r="H57" s="8" t="s">
        <v>205</v>
      </c>
      <c r="I57" s="8" t="s">
        <v>206</v>
      </c>
    </row>
    <row r="58" customFormat="false" ht="17.15" hidden="false" customHeight="false" outlineLevel="0" collapsed="false">
      <c r="A58" s="0" t="s">
        <v>207</v>
      </c>
      <c r="B58" s="0" t="s">
        <v>208</v>
      </c>
      <c r="C58" s="0" t="s">
        <v>52</v>
      </c>
      <c r="D58" s="7" t="n">
        <v>0.0165</v>
      </c>
      <c r="E58" s="7" t="n">
        <v>0.0175</v>
      </c>
      <c r="F58" s="7" t="n">
        <v>0.019</v>
      </c>
      <c r="G58" s="8" t="s">
        <v>73</v>
      </c>
      <c r="H58" s="8" t="s">
        <v>209</v>
      </c>
      <c r="I58" s="8" t="s">
        <v>111</v>
      </c>
    </row>
    <row r="59" customFormat="false" ht="17.15" hidden="false" customHeight="false" outlineLevel="0" collapsed="false">
      <c r="A59" s="0" t="s">
        <v>210</v>
      </c>
      <c r="B59" s="0" t="s">
        <v>211</v>
      </c>
      <c r="C59" s="0" t="s">
        <v>52</v>
      </c>
      <c r="D59" s="7" t="n">
        <v>0.84</v>
      </c>
      <c r="E59" s="7" t="n">
        <v>0.87</v>
      </c>
      <c r="F59" s="7" t="n">
        <v>0.89</v>
      </c>
      <c r="G59" s="8" t="s">
        <v>33</v>
      </c>
      <c r="H59" s="8" t="s">
        <v>212</v>
      </c>
      <c r="I59" s="4" t="s">
        <v>213</v>
      </c>
    </row>
    <row r="60" customFormat="false" ht="17.15" hidden="false" customHeight="false" outlineLevel="0" collapsed="false">
      <c r="A60" s="0" t="s">
        <v>214</v>
      </c>
      <c r="B60" s="4" t="s">
        <v>215</v>
      </c>
      <c r="C60" s="4" t="s">
        <v>216</v>
      </c>
      <c r="E60" s="0" t="n">
        <f aca="false">49.84/12.93</f>
        <v>3.85460170146945</v>
      </c>
      <c r="G60" s="0" t="s">
        <v>33</v>
      </c>
      <c r="H60" s="0" t="s">
        <v>217</v>
      </c>
      <c r="I60" s="0" t="s">
        <v>218</v>
      </c>
    </row>
    <row r="61" customFormat="false" ht="17.15" hidden="false" customHeight="false" outlineLevel="0" collapsed="false">
      <c r="A61" s="6" t="s">
        <v>219</v>
      </c>
    </row>
    <row r="62" customFormat="false" ht="17.15" hidden="false" customHeight="false" outlineLevel="0" collapsed="false">
      <c r="A62" s="0" t="s">
        <v>220</v>
      </c>
      <c r="B62" s="4" t="s">
        <v>221</v>
      </c>
      <c r="C62" s="0" t="s">
        <v>72</v>
      </c>
      <c r="D62" s="7" t="n">
        <v>0.2</v>
      </c>
      <c r="E62" s="7" t="n">
        <v>0.4</v>
      </c>
      <c r="F62" s="7" t="n">
        <v>0.7</v>
      </c>
      <c r="G62" s="8" t="s">
        <v>33</v>
      </c>
      <c r="H62" s="8" t="s">
        <v>222</v>
      </c>
      <c r="I62" s="4" t="s">
        <v>223</v>
      </c>
    </row>
    <row r="63" customFormat="false" ht="17.15" hidden="false" customHeight="false" outlineLevel="0" collapsed="false">
      <c r="A63" s="0" t="s">
        <v>224</v>
      </c>
      <c r="B63" s="4" t="s">
        <v>225</v>
      </c>
      <c r="C63" s="0" t="s">
        <v>185</v>
      </c>
      <c r="D63" s="7" t="n">
        <v>-0.002</v>
      </c>
      <c r="E63" s="7" t="n">
        <v>0</v>
      </c>
      <c r="F63" s="7" t="n">
        <v>0.002</v>
      </c>
      <c r="G63" s="8" t="s">
        <v>73</v>
      </c>
      <c r="H63" s="4" t="s">
        <v>226</v>
      </c>
      <c r="I63" s="4" t="s">
        <v>227</v>
      </c>
    </row>
    <row r="64" customFormat="false" ht="17.15" hidden="false" customHeight="false" outlineLevel="0" collapsed="false">
      <c r="A64" s="0" t="s">
        <v>228</v>
      </c>
      <c r="B64" s="4" t="s">
        <v>229</v>
      </c>
      <c r="C64" s="0" t="s">
        <v>52</v>
      </c>
      <c r="D64" s="7" t="n">
        <v>0.75</v>
      </c>
      <c r="E64" s="7" t="n">
        <v>0.865</v>
      </c>
      <c r="F64" s="7" t="n">
        <v>0.89</v>
      </c>
      <c r="G64" s="8" t="s">
        <v>33</v>
      </c>
      <c r="H64" s="4" t="s">
        <v>230</v>
      </c>
      <c r="I64" s="4" t="s">
        <v>231</v>
      </c>
    </row>
    <row r="65" customFormat="false" ht="17.15" hidden="false" customHeight="false" outlineLevel="0" collapsed="false">
      <c r="A65" s="0" t="s">
        <v>232</v>
      </c>
      <c r="B65" s="4" t="s">
        <v>233</v>
      </c>
      <c r="C65" s="0" t="s">
        <v>52</v>
      </c>
      <c r="D65" s="7" t="n">
        <v>0</v>
      </c>
      <c r="E65" s="7" t="n">
        <v>0</v>
      </c>
      <c r="F65" s="7" t="n">
        <v>0.005</v>
      </c>
      <c r="G65" s="8" t="s">
        <v>73</v>
      </c>
      <c r="H65" s="8" t="s">
        <v>234</v>
      </c>
      <c r="I65" s="8" t="s">
        <v>111</v>
      </c>
    </row>
    <row r="66" customFormat="false" ht="17.15" hidden="false" customHeight="false" outlineLevel="0" collapsed="false">
      <c r="A66" s="0" t="s">
        <v>235</v>
      </c>
      <c r="B66" s="0" t="s">
        <v>236</v>
      </c>
      <c r="C66" s="0" t="s">
        <v>72</v>
      </c>
      <c r="D66" s="7" t="n">
        <v>0.8</v>
      </c>
      <c r="E66" s="7" t="n">
        <v>1</v>
      </c>
      <c r="F66" s="7" t="n">
        <v>1.2</v>
      </c>
      <c r="G66" s="8" t="s">
        <v>73</v>
      </c>
      <c r="H66" s="4" t="s">
        <v>237</v>
      </c>
      <c r="I66" s="8" t="s">
        <v>238</v>
      </c>
    </row>
    <row r="67" customFormat="false" ht="17.15" hidden="false" customHeight="false" outlineLevel="0" collapsed="false">
      <c r="A67" s="6" t="s">
        <v>239</v>
      </c>
    </row>
    <row r="68" customFormat="false" ht="17.15" hidden="false" customHeight="false" outlineLevel="0" collapsed="false">
      <c r="A68" s="0" t="s">
        <v>240</v>
      </c>
      <c r="B68" s="4" t="s">
        <v>241</v>
      </c>
      <c r="C68" s="0" t="s">
        <v>195</v>
      </c>
      <c r="E68" s="7" t="n">
        <v>4219.196</v>
      </c>
      <c r="G68" s="8" t="s">
        <v>53</v>
      </c>
      <c r="H68" s="8" t="s">
        <v>242</v>
      </c>
      <c r="I68" s="8" t="s">
        <v>243</v>
      </c>
    </row>
    <row r="69" customFormat="false" ht="17.15" hidden="false" customHeight="false" outlineLevel="0" collapsed="false">
      <c r="A69" s="0" t="s">
        <v>244</v>
      </c>
      <c r="B69" s="4" t="s">
        <v>245</v>
      </c>
      <c r="C69" s="0" t="s">
        <v>246</v>
      </c>
      <c r="E69" s="7" t="n">
        <v>27.06</v>
      </c>
      <c r="G69" s="8" t="s">
        <v>53</v>
      </c>
      <c r="H69" s="8" t="s">
        <v>242</v>
      </c>
      <c r="I69" s="8" t="s">
        <v>111</v>
      </c>
    </row>
    <row r="70" customFormat="false" ht="17.15" hidden="false" customHeight="false" outlineLevel="0" collapsed="false">
      <c r="A70" s="0" t="s">
        <v>247</v>
      </c>
      <c r="B70" s="4" t="s">
        <v>248</v>
      </c>
      <c r="C70" s="0" t="s">
        <v>195</v>
      </c>
      <c r="E70" s="7" t="n">
        <v>5220.407</v>
      </c>
      <c r="G70" s="8" t="s">
        <v>53</v>
      </c>
      <c r="H70" s="8" t="s">
        <v>242</v>
      </c>
      <c r="I70" s="8" t="s">
        <v>111</v>
      </c>
    </row>
    <row r="71" customFormat="false" ht="17.15" hidden="false" customHeight="false" outlineLevel="0" collapsed="false">
      <c r="A71" s="0" t="s">
        <v>249</v>
      </c>
      <c r="B71" s="4" t="s">
        <v>250</v>
      </c>
      <c r="C71" s="0" t="s">
        <v>195</v>
      </c>
      <c r="E71" s="7" t="n">
        <v>5300</v>
      </c>
      <c r="G71" s="8" t="s">
        <v>53</v>
      </c>
      <c r="H71" s="8" t="s">
        <v>251</v>
      </c>
      <c r="I71" s="8" t="s">
        <v>111</v>
      </c>
    </row>
    <row r="72" customFormat="false" ht="17.15" hidden="false" customHeight="false" outlineLevel="0" collapsed="false">
      <c r="A72" s="0" t="s">
        <v>252</v>
      </c>
      <c r="B72" s="4" t="s">
        <v>253</v>
      </c>
      <c r="C72" s="0" t="s">
        <v>246</v>
      </c>
      <c r="E72" s="7" t="n">
        <v>31.75</v>
      </c>
      <c r="G72" s="8" t="s">
        <v>53</v>
      </c>
      <c r="H72" s="8" t="s">
        <v>242</v>
      </c>
      <c r="I72" s="8" t="s">
        <v>111</v>
      </c>
    </row>
    <row r="73" customFormat="false" ht="17.15" hidden="false" customHeight="false" outlineLevel="0" collapsed="false">
      <c r="A73" s="0" t="s">
        <v>254</v>
      </c>
      <c r="B73" s="4" t="s">
        <v>255</v>
      </c>
      <c r="C73" s="0" t="s">
        <v>246</v>
      </c>
      <c r="E73" s="7" t="n">
        <v>32.09</v>
      </c>
      <c r="G73" s="8" t="s">
        <v>53</v>
      </c>
      <c r="H73" s="8" t="s">
        <v>256</v>
      </c>
      <c r="I73" s="8" t="s">
        <v>257</v>
      </c>
    </row>
    <row r="74" customFormat="false" ht="17.15" hidden="false" customHeight="false" outlineLevel="0" collapsed="false">
      <c r="A74" s="0" t="s">
        <v>258</v>
      </c>
      <c r="B74" s="4" t="s">
        <v>259</v>
      </c>
      <c r="C74" s="0" t="s">
        <v>52</v>
      </c>
      <c r="E74" s="7" t="n">
        <v>0.047</v>
      </c>
      <c r="G74" s="8" t="s">
        <v>53</v>
      </c>
      <c r="H74" s="8" t="s">
        <v>242</v>
      </c>
      <c r="I74" s="4" t="s">
        <v>260</v>
      </c>
    </row>
    <row r="75" customFormat="false" ht="17.15" hidden="false" customHeight="false" outlineLevel="0" collapsed="false">
      <c r="A75" s="0" t="s">
        <v>261</v>
      </c>
      <c r="B75" s="4" t="s">
        <v>262</v>
      </c>
      <c r="C75" s="0" t="s">
        <v>52</v>
      </c>
      <c r="E75" s="0" t="n">
        <f aca="false">2525/(2600+2525+2350)</f>
        <v>0.337792642140468</v>
      </c>
      <c r="G75" s="0" t="s">
        <v>53</v>
      </c>
      <c r="H75" s="4" t="s">
        <v>263</v>
      </c>
      <c r="I75" s="4" t="s">
        <v>264</v>
      </c>
    </row>
    <row r="76" customFormat="false" ht="17.15" hidden="false" customHeight="false" outlineLevel="0" collapsed="false">
      <c r="A76" s="0" t="s">
        <v>265</v>
      </c>
      <c r="B76" s="0" t="s">
        <v>266</v>
      </c>
      <c r="C76" s="0" t="s">
        <v>72</v>
      </c>
      <c r="E76" s="7" t="n">
        <v>15</v>
      </c>
      <c r="G76" s="8" t="s">
        <v>73</v>
      </c>
      <c r="H76" s="4" t="s">
        <v>267</v>
      </c>
      <c r="I76" s="4" t="s">
        <v>268</v>
      </c>
    </row>
    <row r="77" customFormat="false" ht="17.15" hidden="false" customHeight="false" outlineLevel="0" collapsed="false">
      <c r="A77" s="6" t="s">
        <v>269</v>
      </c>
    </row>
    <row r="78" customFormat="false" ht="17.15" hidden="false" customHeight="false" outlineLevel="0" collapsed="false">
      <c r="A78" s="0" t="s">
        <v>270</v>
      </c>
      <c r="B78" s="4" t="s">
        <v>271</v>
      </c>
      <c r="C78" s="0" t="s">
        <v>246</v>
      </c>
      <c r="E78" s="7" t="n">
        <v>322</v>
      </c>
      <c r="G78" s="8" t="s">
        <v>53</v>
      </c>
      <c r="H78" s="8" t="s">
        <v>272</v>
      </c>
      <c r="I78" s="4" t="s">
        <v>273</v>
      </c>
    </row>
    <row r="79" customFormat="false" ht="17.15" hidden="false" customHeight="false" outlineLevel="0" collapsed="false">
      <c r="A79" s="0" t="s">
        <v>274</v>
      </c>
      <c r="B79" s="4" t="s">
        <v>275</v>
      </c>
      <c r="C79" s="0" t="s">
        <v>72</v>
      </c>
      <c r="E79" s="7" t="n">
        <v>14.31</v>
      </c>
      <c r="G79" s="8" t="s">
        <v>53</v>
      </c>
      <c r="H79" s="8" t="s">
        <v>276</v>
      </c>
      <c r="I79" s="8" t="s">
        <v>111</v>
      </c>
    </row>
    <row r="80" customFormat="false" ht="17.15" hidden="false" customHeight="false" outlineLevel="0" collapsed="false">
      <c r="A80" s="6" t="s">
        <v>277</v>
      </c>
    </row>
    <row r="81" customFormat="false" ht="17.15" hidden="false" customHeight="false" outlineLevel="0" collapsed="false">
      <c r="A81" s="0" t="s">
        <v>278</v>
      </c>
      <c r="B81" s="4" t="s">
        <v>279</v>
      </c>
      <c r="C81" s="4" t="s">
        <v>280</v>
      </c>
      <c r="E81" s="9" t="n">
        <v>0.3</v>
      </c>
      <c r="G81" s="8" t="s">
        <v>73</v>
      </c>
      <c r="H81" s="8" t="s">
        <v>281</v>
      </c>
      <c r="I81" s="4" t="s">
        <v>282</v>
      </c>
    </row>
    <row r="82" customFormat="false" ht="17.15" hidden="false" customHeight="false" outlineLevel="0" collapsed="false">
      <c r="A82" s="0" t="s">
        <v>283</v>
      </c>
      <c r="B82" s="4" t="s">
        <v>284</v>
      </c>
      <c r="C82" s="4" t="s">
        <v>280</v>
      </c>
      <c r="E82" s="9" t="n">
        <v>0.5</v>
      </c>
      <c r="G82" s="8" t="s">
        <v>73</v>
      </c>
      <c r="H82" s="8" t="s">
        <v>281</v>
      </c>
      <c r="I82" s="4" t="s">
        <v>282</v>
      </c>
    </row>
    <row r="83" customFormat="false" ht="17.15" hidden="false" customHeight="false" outlineLevel="0" collapsed="false">
      <c r="A83" s="0" t="s">
        <v>285</v>
      </c>
      <c r="B83" s="4" t="s">
        <v>286</v>
      </c>
      <c r="C83" s="4" t="s">
        <v>280</v>
      </c>
      <c r="E83" s="9" t="n">
        <v>0.2</v>
      </c>
      <c r="G83" s="8" t="s">
        <v>73</v>
      </c>
      <c r="H83" s="8" t="s">
        <v>281</v>
      </c>
      <c r="I83" s="4" t="s">
        <v>282</v>
      </c>
    </row>
    <row r="84" customFormat="false" ht="17.15" hidden="false" customHeight="false" outlineLevel="0" collapsed="false">
      <c r="A84" s="6" t="s">
        <v>287</v>
      </c>
    </row>
    <row r="85" customFormat="false" ht="17.15" hidden="false" customHeight="false" outlineLevel="0" collapsed="false">
      <c r="A85" s="0" t="s">
        <v>288</v>
      </c>
      <c r="B85" s="4" t="s">
        <v>289</v>
      </c>
      <c r="C85" s="0" t="s">
        <v>52</v>
      </c>
      <c r="E85" s="9" t="n">
        <v>0.1</v>
      </c>
      <c r="G85" s="8" t="s">
        <v>73</v>
      </c>
      <c r="H85" s="8" t="s">
        <v>290</v>
      </c>
      <c r="I85" s="8" t="s">
        <v>291</v>
      </c>
    </row>
    <row r="86" customFormat="false" ht="17.15" hidden="false" customHeight="false" outlineLevel="0" collapsed="false">
      <c r="A86" s="0" t="s">
        <v>292</v>
      </c>
      <c r="B86" s="4" t="s">
        <v>293</v>
      </c>
      <c r="C86" s="0" t="s">
        <v>52</v>
      </c>
      <c r="E86" s="9" t="n">
        <v>0.04</v>
      </c>
      <c r="G86" s="8" t="s">
        <v>73</v>
      </c>
      <c r="H86" s="8" t="s">
        <v>294</v>
      </c>
      <c r="I86" s="8" t="s">
        <v>295</v>
      </c>
    </row>
    <row r="87" customFormat="false" ht="17.15" hidden="false" customHeight="false" outlineLevel="0" collapsed="false">
      <c r="A87" s="0" t="s">
        <v>296</v>
      </c>
      <c r="B87" s="0" t="s">
        <v>297</v>
      </c>
      <c r="C87" s="0" t="s">
        <v>52</v>
      </c>
      <c r="E87" s="10" t="n">
        <f aca="false">AVERAGE(0.2186,0.2842,0.3119)</f>
        <v>0.271566666666667</v>
      </c>
      <c r="G87" s="8" t="s">
        <v>33</v>
      </c>
      <c r="H87" s="8" t="s">
        <v>298</v>
      </c>
      <c r="I87" s="4" t="s">
        <v>299</v>
      </c>
    </row>
    <row r="88" customFormat="false" ht="17.15" hidden="false" customHeight="false" outlineLevel="0" collapsed="false">
      <c r="A88" s="0" t="s">
        <v>300</v>
      </c>
      <c r="B88" s="4" t="s">
        <v>301</v>
      </c>
      <c r="C88" s="0" t="s">
        <v>52</v>
      </c>
      <c r="E88" s="9" t="n">
        <v>0.5</v>
      </c>
      <c r="G88" s="8" t="s">
        <v>73</v>
      </c>
      <c r="H88" s="8" t="s">
        <v>302</v>
      </c>
      <c r="I88" s="8" t="s">
        <v>303</v>
      </c>
    </row>
    <row r="89" customFormat="false" ht="17.15" hidden="false" customHeight="false" outlineLevel="0" collapsed="false">
      <c r="A89" s="0" t="s">
        <v>304</v>
      </c>
      <c r="B89" s="4" t="s">
        <v>305</v>
      </c>
      <c r="C89" s="0" t="s">
        <v>52</v>
      </c>
      <c r="E89" s="10" t="n">
        <f aca="false">tp_g+0.02</f>
        <v>0.06</v>
      </c>
      <c r="G89" s="8" t="s">
        <v>73</v>
      </c>
      <c r="H89" s="4" t="s">
        <v>306</v>
      </c>
      <c r="I89" s="8" t="s">
        <v>307</v>
      </c>
    </row>
    <row r="90" customFormat="false" ht="17.15" hidden="false" customHeight="false" outlineLevel="0" collapsed="false">
      <c r="A90" s="0" t="s">
        <v>308</v>
      </c>
      <c r="B90" s="4" t="s">
        <v>309</v>
      </c>
      <c r="C90" s="0" t="s">
        <v>52</v>
      </c>
      <c r="E90" s="10" t="n">
        <f aca="false">tp_g</f>
        <v>0.04</v>
      </c>
      <c r="G90" s="8" t="s">
        <v>73</v>
      </c>
      <c r="H90" s="4" t="s">
        <v>38</v>
      </c>
      <c r="I90" s="8" t="s">
        <v>111</v>
      </c>
    </row>
    <row r="91" customFormat="false" ht="17.15" hidden="false" customHeight="false" outlineLevel="0" collapsed="false">
      <c r="A91" s="0" t="s">
        <v>310</v>
      </c>
      <c r="B91" s="4" t="s">
        <v>311</v>
      </c>
      <c r="C91" s="0" t="s">
        <v>52</v>
      </c>
      <c r="E91" s="10" t="n">
        <f aca="false">tp_g-0.02</f>
        <v>0.02</v>
      </c>
      <c r="G91" s="8" t="s">
        <v>73</v>
      </c>
      <c r="H91" s="4" t="s">
        <v>38</v>
      </c>
      <c r="I91" s="8" t="s">
        <v>111</v>
      </c>
    </row>
    <row r="92" customFormat="false" ht="17.15" hidden="false" customHeight="false" outlineLevel="0" collapsed="false">
      <c r="A92" s="0" t="s">
        <v>312</v>
      </c>
      <c r="B92" s="4" t="s">
        <v>313</v>
      </c>
      <c r="C92" s="0" t="s">
        <v>72</v>
      </c>
      <c r="E92" s="9" t="n">
        <v>0.8</v>
      </c>
      <c r="G92" s="8" t="s">
        <v>73</v>
      </c>
      <c r="H92" s="4" t="s">
        <v>314</v>
      </c>
      <c r="I92" s="4" t="s">
        <v>315</v>
      </c>
    </row>
    <row r="93" customFormat="false" ht="17.15" hidden="false" customHeight="false" outlineLevel="0" collapsed="false">
      <c r="A93" s="0" t="s">
        <v>316</v>
      </c>
      <c r="B93" s="4" t="s">
        <v>317</v>
      </c>
      <c r="C93" s="0" t="s">
        <v>246</v>
      </c>
      <c r="E93" s="7" t="n">
        <v>427.84</v>
      </c>
      <c r="G93" s="8" t="s">
        <v>53</v>
      </c>
      <c r="H93" s="8" t="s">
        <v>318</v>
      </c>
      <c r="I93" s="4" t="s">
        <v>319</v>
      </c>
    </row>
    <row r="94" customFormat="false" ht="17.15" hidden="false" customHeight="false" outlineLevel="0" collapsed="false">
      <c r="A94" s="0" t="s">
        <v>320</v>
      </c>
      <c r="B94" s="4" t="s">
        <v>321</v>
      </c>
      <c r="C94" s="0" t="s">
        <v>246</v>
      </c>
      <c r="E94" s="0" t="n">
        <f aca="false">323/11.31</f>
        <v>28.5587975243148</v>
      </c>
      <c r="G94" s="0" t="s">
        <v>53</v>
      </c>
      <c r="H94" s="0" t="s">
        <v>322</v>
      </c>
      <c r="I94" s="4" t="s">
        <v>323</v>
      </c>
    </row>
    <row r="96" customFormat="false" ht="17.15" hidden="false" customHeight="false" outlineLevel="0" collapsed="false">
      <c r="A96" s="6" t="s">
        <v>324</v>
      </c>
    </row>
    <row r="97" customFormat="false" ht="17.15" hidden="false" customHeight="false" outlineLevel="0" collapsed="false">
      <c r="A97" s="0" t="s">
        <v>325</v>
      </c>
      <c r="B97" s="4" t="s">
        <v>326</v>
      </c>
      <c r="C97" s="0" t="s">
        <v>52</v>
      </c>
      <c r="E97" s="11" t="n">
        <f aca="false">12.081/a25_rev</f>
        <v>0.00568868605525574</v>
      </c>
      <c r="G97" s="8" t="s">
        <v>327</v>
      </c>
      <c r="H97" s="8" t="s">
        <v>328</v>
      </c>
      <c r="I97" s="8" t="s">
        <v>329</v>
      </c>
    </row>
    <row r="98" customFormat="false" ht="17.15" hidden="false" customHeight="false" outlineLevel="0" collapsed="false">
      <c r="A98" s="0" t="s">
        <v>330</v>
      </c>
      <c r="B98" s="4" t="s">
        <v>331</v>
      </c>
      <c r="C98" s="0" t="s">
        <v>52</v>
      </c>
      <c r="E98" s="11" t="n">
        <f aca="false">14.757/a25_rev</f>
        <v>0.00694875756290116</v>
      </c>
      <c r="G98" s="8" t="s">
        <v>327</v>
      </c>
      <c r="H98" s="8" t="s">
        <v>332</v>
      </c>
      <c r="I98" s="8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333</v>
      </c>
    </row>
    <row r="2" customFormat="false" ht="17.15" hidden="false" customHeight="false" outlineLevel="0" collapsed="false">
      <c r="A2" s="0" t="s">
        <v>334</v>
      </c>
    </row>
    <row r="3" customFormat="false" ht="17.15" hidden="false" customHeight="false" outlineLevel="0" collapsed="false">
      <c r="A3" s="5" t="s">
        <v>21</v>
      </c>
      <c r="B3" s="12" t="s">
        <v>335</v>
      </c>
      <c r="C3" s="12" t="s">
        <v>336</v>
      </c>
      <c r="D3" s="12" t="s">
        <v>337</v>
      </c>
      <c r="E3" s="12" t="s">
        <v>338</v>
      </c>
      <c r="F3" s="12" t="s">
        <v>339</v>
      </c>
      <c r="G3" s="5" t="s">
        <v>26</v>
      </c>
      <c r="H3" s="5" t="s">
        <v>340</v>
      </c>
      <c r="I3" s="5" t="s">
        <v>28</v>
      </c>
    </row>
    <row r="4" customFormat="false" ht="17.15" hidden="false" customHeight="false" outlineLevel="0" collapsed="false">
      <c r="A4" s="4" t="s">
        <v>341</v>
      </c>
      <c r="B4" s="13" t="n">
        <v>2123.689</v>
      </c>
      <c r="C4" s="13" t="n">
        <v>1845.8</v>
      </c>
      <c r="D4" s="14" t="n">
        <f aca="false">q3_rev</f>
        <v>1115.5</v>
      </c>
      <c r="E4" s="14" t="n">
        <f aca="false">D4*(1+q4g)</f>
        <v>1037.415</v>
      </c>
      <c r="F4" s="14" t="n">
        <f aca="false">SUM(C4:E4)</f>
        <v>3998.715</v>
      </c>
      <c r="G4" s="8" t="s">
        <v>342</v>
      </c>
      <c r="H4" s="8" t="s">
        <v>343</v>
      </c>
      <c r="I4" s="8" t="s">
        <v>344</v>
      </c>
    </row>
    <row r="5" customFormat="false" ht="17.15" hidden="false" customHeight="false" outlineLevel="0" collapsed="false">
      <c r="A5" s="4" t="s">
        <v>345</v>
      </c>
      <c r="B5" s="14" t="n">
        <f aca="false">B4*0.0698</f>
        <v>148.2334922</v>
      </c>
      <c r="C5" s="14" t="n">
        <f aca="false">C4*0.0492</f>
        <v>90.81336</v>
      </c>
      <c r="D5" s="14" t="n">
        <f aca="false">D4*q_gm</f>
        <v>55.775</v>
      </c>
      <c r="E5" s="14" t="n">
        <f aca="false">E4*q_gm</f>
        <v>51.87075</v>
      </c>
      <c r="F5" s="14" t="n">
        <f aca="false">SUM(C5:E5)</f>
        <v>198.45911</v>
      </c>
      <c r="G5" s="8" t="s">
        <v>346</v>
      </c>
      <c r="H5" s="8" t="s">
        <v>343</v>
      </c>
      <c r="I5" s="8" t="s">
        <v>347</v>
      </c>
    </row>
    <row r="6" customFormat="false" ht="15" hidden="false" customHeight="false" outlineLevel="0" collapsed="false">
      <c r="A6" s="4" t="s">
        <v>348</v>
      </c>
      <c r="B6" s="11" t="n">
        <f aca="false">B5/B4</f>
        <v>0.0698</v>
      </c>
      <c r="C6" s="11" t="n">
        <f aca="false">C5/C4</f>
        <v>0.0492</v>
      </c>
      <c r="D6" s="11" t="n">
        <f aca="false">D5/D4</f>
        <v>0.05</v>
      </c>
      <c r="E6" s="11" t="n">
        <f aca="false">E5/E4</f>
        <v>0.05</v>
      </c>
      <c r="F6" s="11" t="n">
        <f aca="false">F5/F4</f>
        <v>0.0496307213692399</v>
      </c>
      <c r="G6" s="8" t="s">
        <v>33</v>
      </c>
      <c r="H6" s="8" t="s">
        <v>111</v>
      </c>
      <c r="I6" s="8" t="s">
        <v>111</v>
      </c>
    </row>
    <row r="7" customFormat="false" ht="17.15" hidden="false" customHeight="false" outlineLevel="0" collapsed="false">
      <c r="A7" s="4" t="s">
        <v>349</v>
      </c>
      <c r="B7" s="14" t="n">
        <f aca="false">B5-B8</f>
        <v>60.7375054</v>
      </c>
      <c r="C7" s="14" t="n">
        <f aca="false">C5-C8</f>
        <v>33.51336</v>
      </c>
      <c r="D7" s="14" t="n">
        <f aca="false">D4*q_opx</f>
        <v>19.52125</v>
      </c>
      <c r="E7" s="14" t="n">
        <f aca="false">E4*q_opx</f>
        <v>18.1547625</v>
      </c>
      <c r="F7" s="14" t="n">
        <f aca="false">SUM(C7:E7)</f>
        <v>71.1893725</v>
      </c>
      <c r="G7" s="8" t="s">
        <v>350</v>
      </c>
      <c r="H7" s="8" t="s">
        <v>343</v>
      </c>
      <c r="I7" s="8" t="s">
        <v>351</v>
      </c>
    </row>
    <row r="8" customFormat="false" ht="17.15" hidden="false" customHeight="false" outlineLevel="0" collapsed="false">
      <c r="A8" s="4" t="s">
        <v>352</v>
      </c>
      <c r="B8" s="14" t="n">
        <f aca="false">B4*0.0412</f>
        <v>87.4959868</v>
      </c>
      <c r="C8" s="13" t="n">
        <v>57.3</v>
      </c>
      <c r="D8" s="14" t="n">
        <f aca="false">D5-D7</f>
        <v>36.25375</v>
      </c>
      <c r="E8" s="14" t="n">
        <f aca="false">E5-E7</f>
        <v>33.7159875</v>
      </c>
      <c r="F8" s="14" t="n">
        <f aca="false">SUM(C8:E8)</f>
        <v>127.2697375</v>
      </c>
      <c r="G8" s="8" t="s">
        <v>353</v>
      </c>
      <c r="H8" s="8" t="s">
        <v>343</v>
      </c>
      <c r="I8" s="8" t="s">
        <v>354</v>
      </c>
    </row>
    <row r="9" customFormat="false" ht="15" hidden="false" customHeight="false" outlineLevel="0" collapsed="false">
      <c r="A9" s="4" t="s">
        <v>355</v>
      </c>
      <c r="B9" s="11" t="n">
        <f aca="false">B8/B4</f>
        <v>0.0412</v>
      </c>
      <c r="C9" s="11" t="n">
        <f aca="false">C8/C4</f>
        <v>0.0310434499945823</v>
      </c>
      <c r="D9" s="11" t="n">
        <f aca="false">D8/D4</f>
        <v>0.0325</v>
      </c>
      <c r="E9" s="11" t="n">
        <f aca="false">E8/E4</f>
        <v>0.0325</v>
      </c>
      <c r="F9" s="11" t="n">
        <f aca="false">F8/F4</f>
        <v>0.0318276590104571</v>
      </c>
      <c r="G9" s="8" t="s">
        <v>33</v>
      </c>
      <c r="H9" s="8" t="s">
        <v>111</v>
      </c>
      <c r="I9" s="8" t="s">
        <v>111</v>
      </c>
    </row>
    <row r="10" customFormat="false" ht="17.15" hidden="false" customHeight="false" outlineLevel="0" collapsed="false">
      <c r="A10" s="4" t="s">
        <v>356</v>
      </c>
      <c r="B10" s="13" t="n">
        <v>74.98</v>
      </c>
      <c r="C10" s="13" t="n">
        <v>49.84</v>
      </c>
      <c r="D10" s="14" t="n">
        <f aca="false">D8*q_nio</f>
        <v>31.5407625</v>
      </c>
      <c r="E10" s="14" t="n">
        <f aca="false">E8*q_nio</f>
        <v>29.332909125</v>
      </c>
      <c r="F10" s="14" t="n">
        <f aca="false">SUM(C10:E10)</f>
        <v>110.713671625</v>
      </c>
      <c r="G10" s="8" t="s">
        <v>357</v>
      </c>
      <c r="H10" s="8" t="s">
        <v>343</v>
      </c>
      <c r="I10" s="8" t="s">
        <v>358</v>
      </c>
    </row>
    <row r="11" customFormat="false" ht="17.15" hidden="false" customHeight="false" outlineLevel="0" collapsed="false">
      <c r="A11" s="4" t="s">
        <v>359</v>
      </c>
      <c r="B11" s="15" t="n">
        <f aca="false">B10/B8</f>
        <v>0.856953590013114</v>
      </c>
      <c r="C11" s="15" t="n">
        <f aca="false">C10/C8</f>
        <v>0.869808027923211</v>
      </c>
      <c r="D11" s="15" t="n">
        <f aca="false">D10/D8</f>
        <v>0.87</v>
      </c>
      <c r="E11" s="15" t="n">
        <f aca="false">E10/E8</f>
        <v>0.87</v>
      </c>
      <c r="F11" s="15" t="n">
        <f aca="false">F10/F8</f>
        <v>0.869913569398224</v>
      </c>
      <c r="G11" s="8" t="s">
        <v>33</v>
      </c>
      <c r="H11" s="8" t="s">
        <v>111</v>
      </c>
      <c r="I11" s="8" t="s">
        <v>111</v>
      </c>
    </row>
    <row r="12" customFormat="false" ht="17.15" hidden="false" customHeight="false" outlineLevel="0" collapsed="false">
      <c r="A12" s="4" t="s">
        <v>360</v>
      </c>
      <c r="B12" s="14" t="n">
        <f aca="false">74.98/19.45</f>
        <v>3.85501285347044</v>
      </c>
      <c r="C12" s="14" t="n">
        <f aca="false">q_sh</f>
        <v>3.85460170146945</v>
      </c>
      <c r="D12" s="14" t="n">
        <f aca="false">q_sh</f>
        <v>3.85460170146945</v>
      </c>
      <c r="E12" s="14" t="n">
        <f aca="false">q_sh</f>
        <v>3.85460170146945</v>
      </c>
      <c r="F12" s="14" t="n">
        <f aca="false">q_sh</f>
        <v>3.85460170146945</v>
      </c>
      <c r="G12" s="8" t="s">
        <v>33</v>
      </c>
      <c r="H12" s="8" t="s">
        <v>343</v>
      </c>
      <c r="I12" s="4" t="s">
        <v>361</v>
      </c>
    </row>
    <row r="13" customFormat="false" ht="17.15" hidden="false" customHeight="false" outlineLevel="0" collapsed="false">
      <c r="A13" s="0" t="s">
        <v>362</v>
      </c>
      <c r="B13" s="16" t="n">
        <f aca="false">B10/B12</f>
        <v>19.45</v>
      </c>
      <c r="C13" s="16" t="n">
        <f aca="false">C10/C12</f>
        <v>12.93</v>
      </c>
      <c r="D13" s="16" t="n">
        <f aca="false">D10/D12</f>
        <v>8.18262558436999</v>
      </c>
      <c r="E13" s="16" t="n">
        <f aca="false">E10/E12</f>
        <v>7.60984179346408</v>
      </c>
      <c r="F13" s="16" t="n">
        <f aca="false">F10/F12</f>
        <v>28.7224673778341</v>
      </c>
      <c r="G13" s="8" t="s">
        <v>33</v>
      </c>
      <c r="H13" s="4" t="s">
        <v>363</v>
      </c>
      <c r="I13" s="8" t="s">
        <v>111</v>
      </c>
    </row>
    <row r="14" customFormat="false" ht="17.15" hidden="false" customHeight="false" outlineLevel="0" collapsed="false">
      <c r="A14" s="4" t="s">
        <v>364</v>
      </c>
      <c r="B14" s="17" t="n">
        <v>19.45</v>
      </c>
      <c r="C14" s="17" t="n">
        <v>12.93</v>
      </c>
      <c r="G14" s="8" t="s">
        <v>196</v>
      </c>
      <c r="H14" s="8" t="s">
        <v>343</v>
      </c>
      <c r="I14" s="8" t="s">
        <v>365</v>
      </c>
    </row>
    <row r="15" customFormat="false" ht="17.15" hidden="false" customHeight="false" outlineLevel="0" collapsed="false">
      <c r="A15" s="0" t="s">
        <v>366</v>
      </c>
      <c r="B15" s="14" t="n">
        <f aca="false">B4-F16/(1+g_nai26)</f>
        <v>905.033</v>
      </c>
      <c r="F15" s="14" t="n">
        <f aca="false">F4*srv_26*ais_26</f>
        <v>2719.1262</v>
      </c>
      <c r="G15" s="8" t="s">
        <v>367</v>
      </c>
      <c r="H15" s="4" t="s">
        <v>368</v>
      </c>
      <c r="I15" s="4" t="s">
        <v>369</v>
      </c>
    </row>
    <row r="16" customFormat="false" ht="17.15" hidden="false" customHeight="false" outlineLevel="0" collapsed="false">
      <c r="A16" s="4" t="s">
        <v>370</v>
      </c>
      <c r="B16" s="14" t="n">
        <f aca="false">F16/(1+g_nai26)</f>
        <v>1218.656</v>
      </c>
      <c r="F16" s="14" t="n">
        <f aca="false">F4-F15</f>
        <v>1279.5888</v>
      </c>
      <c r="G16" s="8" t="s">
        <v>371</v>
      </c>
      <c r="H16" s="8" t="s">
        <v>111</v>
      </c>
      <c r="I16" s="8" t="s">
        <v>111</v>
      </c>
    </row>
    <row r="18" customFormat="false" ht="17.15" hidden="false" customHeight="false" outlineLevel="0" collapsed="false">
      <c r="A18" s="6" t="s">
        <v>372</v>
      </c>
    </row>
    <row r="19" customFormat="false" ht="17.15" hidden="false" customHeight="false" outlineLevel="0" collapsed="false">
      <c r="A19" s="0" t="s">
        <v>373</v>
      </c>
      <c r="B19" s="15" t="n">
        <f aca="false">F4/B4-1</f>
        <v>0.88290987993063</v>
      </c>
    </row>
    <row r="20" customFormat="false" ht="17.15" hidden="false" customHeight="false" outlineLevel="0" collapsed="false">
      <c r="A20" s="0" t="s">
        <v>374</v>
      </c>
      <c r="B20" s="15" t="n">
        <f aca="false">F7/B7-1</f>
        <v>0.172082587705356</v>
      </c>
    </row>
    <row r="21" customFormat="false" ht="17.15" hidden="false" customHeight="false" outlineLevel="0" collapsed="false">
      <c r="A21" s="4" t="s">
        <v>375</v>
      </c>
      <c r="B21" s="16" t="n">
        <f aca="false">B20/B19</f>
        <v>0.194903909919862</v>
      </c>
    </row>
    <row r="22" customFormat="false" ht="17.15" hidden="false" customHeight="false" outlineLevel="0" collapsed="false">
      <c r="A22" s="0" t="s">
        <v>376</v>
      </c>
      <c r="B22" s="15" t="n">
        <f aca="false">F4/b_rev26-1</f>
        <v>-0.0522566384685612</v>
      </c>
    </row>
    <row r="23" customFormat="false" ht="17.15" hidden="false" customHeight="false" outlineLevel="0" collapsed="false">
      <c r="A23" s="0" t="s">
        <v>377</v>
      </c>
      <c r="B23" s="15" t="n">
        <f aca="false">F13/b_eps26-1</f>
        <v>0.0614363406442746</v>
      </c>
    </row>
    <row r="24" customFormat="false" ht="17.15" hidden="false" customHeight="false" outlineLevel="0" collapsed="false">
      <c r="A24" s="0" t="s">
        <v>378</v>
      </c>
      <c r="B24" s="15" t="n">
        <f aca="false">F15/B15-1</f>
        <v>2.00444978249412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379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380</v>
      </c>
      <c r="D3" s="12" t="s">
        <v>381</v>
      </c>
      <c r="E3" s="12" t="s">
        <v>382</v>
      </c>
      <c r="F3" s="12" t="s">
        <v>383</v>
      </c>
      <c r="G3" s="5" t="s">
        <v>384</v>
      </c>
    </row>
    <row r="4" customFormat="false" ht="17.15" hidden="false" customHeight="false" outlineLevel="0" collapsed="false">
      <c r="A4" s="4" t="s">
        <v>385</v>
      </c>
      <c r="B4" s="0" t="s">
        <v>386</v>
      </c>
      <c r="C4" s="18" t="n">
        <f aca="false">PL!D77</f>
        <v>23.3995380420639</v>
      </c>
      <c r="D4" s="18" t="n">
        <f aca="false">PL!E77</f>
        <v>41.6467658260637</v>
      </c>
      <c r="E4" s="18" t="n">
        <f aca="false">PL!F77</f>
        <v>52.792138191248</v>
      </c>
      <c r="F4" s="18" t="n">
        <f aca="false">PL!G77</f>
        <v>60.1385917361116</v>
      </c>
      <c r="G4" s="8" t="s">
        <v>387</v>
      </c>
    </row>
    <row r="5" customFormat="false" ht="17.15" hidden="false" customHeight="false" outlineLevel="0" collapsed="false">
      <c r="A5" s="4" t="s">
        <v>388</v>
      </c>
      <c r="B5" s="0" t="s">
        <v>389</v>
      </c>
      <c r="C5" s="16" t="n">
        <f aca="false">PL!D78</f>
        <v>27.1209</v>
      </c>
      <c r="D5" s="16" t="n">
        <f aca="false">PL!E78</f>
        <v>27.351</v>
      </c>
      <c r="E5" s="16" t="n">
        <f aca="false">PL!F78</f>
        <v>27.351</v>
      </c>
      <c r="F5" s="16" t="n">
        <f aca="false">PL!G78</f>
        <v>27.351</v>
      </c>
      <c r="G5" s="4" t="s">
        <v>390</v>
      </c>
    </row>
    <row r="6" customFormat="false" ht="17.15" hidden="false" customHeight="false" outlineLevel="0" collapsed="false">
      <c r="A6" s="0" t="s">
        <v>391</v>
      </c>
      <c r="B6" s="0" t="s">
        <v>32</v>
      </c>
      <c r="C6" s="19" t="n">
        <f aca="false">PL!D79</f>
        <v>634.61653128501</v>
      </c>
      <c r="D6" s="19" t="n">
        <f aca="false">PL!E79</f>
        <v>1139.08069210867</v>
      </c>
      <c r="E6" s="19" t="n">
        <f aca="false">PL!F79</f>
        <v>1443.91777166882</v>
      </c>
      <c r="F6" s="19" t="n">
        <f aca="false">PL!G79</f>
        <v>1644.85062257439</v>
      </c>
      <c r="G6" s="4" t="s">
        <v>392</v>
      </c>
    </row>
    <row r="7" customFormat="false" ht="17.15" hidden="false" customHeight="false" outlineLevel="0" collapsed="false">
      <c r="A7" s="4" t="s">
        <v>393</v>
      </c>
      <c r="B7" s="0" t="s">
        <v>52</v>
      </c>
      <c r="C7" s="15" t="n">
        <f aca="false">PL!D83</f>
        <v>0.133896123975753</v>
      </c>
      <c r="D7" s="15" t="n">
        <f aca="false">PL!E83</f>
        <v>0.133896123975753</v>
      </c>
      <c r="E7" s="15" t="n">
        <f aca="false">PL!F83</f>
        <v>0.127201317776965</v>
      </c>
      <c r="F7" s="15" t="n">
        <f aca="false">PL!G83</f>
        <v>0.120506511578178</v>
      </c>
      <c r="G7" s="8" t="s">
        <v>394</v>
      </c>
    </row>
    <row r="8" customFormat="false" ht="17.15" hidden="false" customHeight="false" outlineLevel="0" collapsed="false">
      <c r="A8" s="4" t="s">
        <v>395</v>
      </c>
      <c r="B8" s="0" t="s">
        <v>32</v>
      </c>
      <c r="C8" s="19" t="n">
        <f aca="false">PL!D84/fx</f>
        <v>84.97269375</v>
      </c>
      <c r="D8" s="19" t="n">
        <f aca="false">PL!E84/fx</f>
        <v>152.518489568969</v>
      </c>
      <c r="E8" s="19" t="n">
        <f aca="false">PL!F84/fx</f>
        <v>183.668243317854</v>
      </c>
      <c r="F8" s="19" t="n">
        <f aca="false">PL!G84/fx</f>
        <v>198.215210593633</v>
      </c>
      <c r="G8" s="4" t="s">
        <v>396</v>
      </c>
    </row>
    <row r="9" customFormat="false" ht="17.15" hidden="false" customHeight="false" outlineLevel="0" collapsed="false">
      <c r="A9" s="4" t="s">
        <v>397</v>
      </c>
      <c r="B9" s="0" t="s">
        <v>52</v>
      </c>
      <c r="C9" s="15" t="n">
        <f aca="false">PL!D85</f>
        <v>0</v>
      </c>
      <c r="D9" s="15" t="n">
        <f aca="false">PL!E85</f>
        <v>0.1</v>
      </c>
      <c r="E9" s="15" t="n">
        <f aca="false">PL!F85</f>
        <v>0.2</v>
      </c>
      <c r="F9" s="15" t="n">
        <f aca="false">PL!G85</f>
        <v>0.25</v>
      </c>
      <c r="G9" s="8" t="s">
        <v>398</v>
      </c>
    </row>
    <row r="10" customFormat="false" ht="17.15" hidden="false" customHeight="false" outlineLevel="0" collapsed="false">
      <c r="A10" s="4" t="s">
        <v>399</v>
      </c>
      <c r="B10" s="0" t="s">
        <v>32</v>
      </c>
      <c r="C10" s="19" t="n">
        <f aca="false">PL!D86/fx</f>
        <v>84.97269375</v>
      </c>
      <c r="D10" s="19" t="n">
        <f aca="false">PL!E86/fx</f>
        <v>137.266640612072</v>
      </c>
      <c r="E10" s="19" t="n">
        <f aca="false">PL!F86/fx</f>
        <v>146.934594654283</v>
      </c>
      <c r="F10" s="19" t="n">
        <f aca="false">PL!G86/fx</f>
        <v>148.661407945225</v>
      </c>
    </row>
    <row r="11" customFormat="false" ht="17.15" hidden="false" customHeight="false" outlineLevel="0" collapsed="false">
      <c r="A11" s="4" t="s">
        <v>400</v>
      </c>
      <c r="B11" s="4" t="s">
        <v>401</v>
      </c>
      <c r="C11" s="19" t="n">
        <f aca="false">PL!D98</f>
        <v>18.4522679153094</v>
      </c>
      <c r="D11" s="19" t="n">
        <f aca="false">PL!E98</f>
        <v>22.5953317879953</v>
      </c>
      <c r="E11" s="19" t="n">
        <f aca="false">PL!F98</f>
        <v>27.2101101211635</v>
      </c>
      <c r="F11" s="19" t="n">
        <f aca="false">PL!G98</f>
        <v>29.3652163842419</v>
      </c>
      <c r="G11" s="4" t="s">
        <v>402</v>
      </c>
    </row>
    <row r="12" customFormat="false" ht="17.15" hidden="false" customHeight="false" outlineLevel="0" collapsed="false">
      <c r="A12" s="4" t="s">
        <v>403</v>
      </c>
      <c r="B12" s="0" t="s">
        <v>389</v>
      </c>
      <c r="C12" s="16" t="n">
        <f aca="false">PL!D97</f>
        <v>3.631383388734</v>
      </c>
      <c r="D12" s="16" t="n">
        <f aca="false">PL!E97</f>
        <v>3.29597359817473</v>
      </c>
      <c r="E12" s="16" t="n">
        <f aca="false">PL!F97</f>
        <v>2.78326659401422</v>
      </c>
      <c r="F12" s="16" t="n">
        <f aca="false">PL!G97</f>
        <v>2.47198019863105</v>
      </c>
      <c r="G12" s="4" t="s">
        <v>404</v>
      </c>
    </row>
    <row r="13" customFormat="false" ht="17.15" hidden="false" customHeight="false" outlineLevel="0" collapsed="false">
      <c r="A13" s="4" t="s">
        <v>405</v>
      </c>
      <c r="B13" s="0" t="s">
        <v>52</v>
      </c>
      <c r="C13" s="11" t="n">
        <f aca="false">PL!D104</f>
        <v>0.0432307213692399</v>
      </c>
      <c r="D13" s="11" t="n">
        <f aca="false">PL!E104</f>
        <v>0.0442537935061639</v>
      </c>
      <c r="E13" s="11" t="n">
        <f aca="false">PL!F104</f>
        <v>0.0492826336773188</v>
      </c>
      <c r="F13" s="11" t="n">
        <f aca="false">PL!G104</f>
        <v>0.0522999377800118</v>
      </c>
      <c r="G13" s="4" t="s">
        <v>406</v>
      </c>
    </row>
    <row r="14" customFormat="false" ht="17.15" hidden="false" customHeight="false" outlineLevel="0" collapsed="false">
      <c r="A14" s="4" t="s">
        <v>407</v>
      </c>
      <c r="B14" s="0" t="s">
        <v>32</v>
      </c>
      <c r="C14" s="19" t="n">
        <f aca="false">PL!D79-PL!D84/fx</f>
        <v>549.64383753501</v>
      </c>
      <c r="D14" s="19" t="n">
        <f aca="false">PL!E79-PL!E84/fx</f>
        <v>986.562202539699</v>
      </c>
      <c r="E14" s="19" t="n">
        <f aca="false">PL!F79-PL!F84/fx</f>
        <v>1260.24952835097</v>
      </c>
      <c r="F14" s="19" t="n">
        <f aca="false">PL!G79-PL!G84/fx</f>
        <v>1446.63541198075</v>
      </c>
    </row>
    <row r="16" customFormat="false" ht="17.15" hidden="false" customHeight="false" outlineLevel="0" collapsed="false">
      <c r="A16" s="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409</v>
      </c>
    </row>
    <row r="3" customFormat="false" ht="17.15" hidden="false" customHeight="false" outlineLevel="0" collapsed="false">
      <c r="A3" s="5" t="s">
        <v>410</v>
      </c>
      <c r="B3" s="5" t="s">
        <v>22</v>
      </c>
      <c r="C3" s="12" t="s">
        <v>335</v>
      </c>
      <c r="D3" s="12" t="s">
        <v>411</v>
      </c>
      <c r="E3" s="12" t="s">
        <v>412</v>
      </c>
      <c r="F3" s="12" t="s">
        <v>413</v>
      </c>
      <c r="G3" s="12" t="s">
        <v>414</v>
      </c>
      <c r="H3" s="5" t="s">
        <v>384</v>
      </c>
    </row>
    <row r="4" customFormat="false" ht="17.15" hidden="false" customHeight="false" outlineLevel="0" collapsed="false">
      <c r="A4" s="1" t="s">
        <v>415</v>
      </c>
    </row>
    <row r="5" customFormat="false" ht="15" hidden="false" customHeight="false" outlineLevel="0" collapsed="false">
      <c r="A5" s="4" t="s">
        <v>341</v>
      </c>
      <c r="B5" s="0" t="s">
        <v>195</v>
      </c>
      <c r="C5" s="19" t="n">
        <f aca="false">C89</f>
        <v>2123.689</v>
      </c>
      <c r="D5" s="19" t="n">
        <f aca="false">D89</f>
        <v>3998.715</v>
      </c>
      <c r="E5" s="19" t="n">
        <f aca="false">E89</f>
        <v>5710.50896358629</v>
      </c>
      <c r="F5" s="19" t="n">
        <f aca="false">F89</f>
        <v>6046.24302221705</v>
      </c>
      <c r="G5" s="19" t="n">
        <f aca="false">G89</f>
        <v>6128.38776739279</v>
      </c>
    </row>
    <row r="6" customFormat="false" ht="15" hidden="false" customHeight="false" outlineLevel="0" collapsed="false">
      <c r="A6" s="4" t="s">
        <v>416</v>
      </c>
      <c r="B6" s="0" t="s">
        <v>52</v>
      </c>
      <c r="D6" s="15" t="n">
        <f aca="false">D95</f>
        <v>0.88290987993063</v>
      </c>
      <c r="E6" s="15" t="n">
        <f aca="false">E95</f>
        <v>0.428086013528419</v>
      </c>
      <c r="F6" s="15" t="n">
        <f aca="false">F95</f>
        <v>0.0587923179477705</v>
      </c>
      <c r="G6" s="15" t="n">
        <f aca="false">G95</f>
        <v>0.0135860806245958</v>
      </c>
    </row>
    <row r="7" customFormat="false" ht="15" hidden="false" customHeight="false" outlineLevel="0" collapsed="false">
      <c r="A7" s="4" t="s">
        <v>417</v>
      </c>
      <c r="B7" s="0" t="s">
        <v>195</v>
      </c>
      <c r="C7" s="19" t="n">
        <f aca="false">C91</f>
        <v>1507.81919</v>
      </c>
      <c r="D7" s="19" t="n">
        <f aca="false">D91</f>
        <v>3398.90775</v>
      </c>
      <c r="E7" s="19" t="n">
        <f aca="false">E91</f>
        <v>5140.29220458629</v>
      </c>
      <c r="F7" s="19" t="n">
        <f aca="false">F91</f>
        <v>5487.05471918705</v>
      </c>
      <c r="G7" s="19" t="n">
        <f aca="false">G91</f>
        <v>5581.57012900969</v>
      </c>
    </row>
    <row r="8" customFormat="false" ht="17.15" hidden="false" customHeight="false" outlineLevel="0" collapsed="false">
      <c r="A8" s="0" t="s">
        <v>418</v>
      </c>
      <c r="B8" s="0" t="s">
        <v>195</v>
      </c>
      <c r="C8" s="19" t="n">
        <f aca="false">C86</f>
        <v>905.033</v>
      </c>
      <c r="D8" s="19" t="n">
        <f aca="false">D86</f>
        <v>2719.1262</v>
      </c>
      <c r="E8" s="19" t="n">
        <f aca="false">E86</f>
        <v>4392.53249958629</v>
      </c>
      <c r="F8" s="19" t="n">
        <f aca="false">F86</f>
        <v>4701.90702893705</v>
      </c>
      <c r="G8" s="19" t="n">
        <f aca="false">G86</f>
        <v>4757.16505424719</v>
      </c>
    </row>
    <row r="9" customFormat="false" ht="15" hidden="false" customHeight="false" outlineLevel="0" collapsed="false">
      <c r="A9" s="4" t="s">
        <v>419</v>
      </c>
      <c r="B9" s="0" t="s">
        <v>195</v>
      </c>
      <c r="C9" s="19" t="n">
        <f aca="false">C92</f>
        <v>467.21158</v>
      </c>
      <c r="D9" s="19" t="n">
        <f aca="false">D92</f>
        <v>439.85865</v>
      </c>
      <c r="E9" s="19" t="n">
        <f aca="false">E92</f>
        <v>395.872785</v>
      </c>
      <c r="F9" s="19" t="n">
        <f aca="false">F92</f>
        <v>376.07914575</v>
      </c>
      <c r="G9" s="19" t="n">
        <f aca="false">G92</f>
        <v>364.7967713775</v>
      </c>
    </row>
    <row r="10" customFormat="false" ht="15" hidden="false" customHeight="false" outlineLevel="0" collapsed="false">
      <c r="A10" s="4" t="s">
        <v>420</v>
      </c>
      <c r="B10" s="0" t="s">
        <v>195</v>
      </c>
      <c r="C10" s="19" t="n">
        <f aca="false">C93</f>
        <v>148.65823</v>
      </c>
      <c r="D10" s="19" t="n">
        <f aca="false">D93</f>
        <v>159.9486</v>
      </c>
      <c r="E10" s="19" t="n">
        <f aca="false">E93</f>
        <v>174.343974</v>
      </c>
      <c r="F10" s="19" t="n">
        <f aca="false">F93</f>
        <v>183.10915728</v>
      </c>
      <c r="G10" s="19" t="n">
        <f aca="false">G93</f>
        <v>182.0208670056</v>
      </c>
    </row>
    <row r="11" customFormat="false" ht="17.15" hidden="false" customHeight="false" outlineLevel="0" collapsed="false">
      <c r="A11" s="4" t="s">
        <v>421</v>
      </c>
      <c r="B11" s="0" t="s">
        <v>195</v>
      </c>
      <c r="C11" s="19" t="n">
        <f aca="false">C88</f>
        <v>1218.656</v>
      </c>
      <c r="D11" s="19" t="n">
        <f aca="false">D88</f>
        <v>1279.5888</v>
      </c>
      <c r="E11" s="19" t="n">
        <f aca="false">E88</f>
        <v>1317.976464</v>
      </c>
      <c r="F11" s="19" t="n">
        <f aca="false">F88</f>
        <v>1344.33599328</v>
      </c>
      <c r="G11" s="19" t="n">
        <f aca="false">G88</f>
        <v>1371.2227131456</v>
      </c>
    </row>
    <row r="12" customFormat="false" ht="17.15" hidden="false" customHeight="false" outlineLevel="0" collapsed="false">
      <c r="A12" s="0" t="s">
        <v>422</v>
      </c>
      <c r="B12" s="0" t="s">
        <v>52</v>
      </c>
      <c r="C12" s="15" t="n">
        <f aca="false">C96</f>
        <v>0.426160798497332</v>
      </c>
      <c r="D12" s="15" t="n">
        <f aca="false">D96</f>
        <v>0.68</v>
      </c>
      <c r="E12" s="15" t="n">
        <f aca="false">E96</f>
        <v>0.769201576881461</v>
      </c>
      <c r="F12" s="15" t="n">
        <f aca="false">F96</f>
        <v>0.777657631633362</v>
      </c>
      <c r="G12" s="15" t="n">
        <f aca="false">G96</f>
        <v>0.776250660827724</v>
      </c>
    </row>
    <row r="13" customFormat="false" ht="15" hidden="false" customHeight="false" outlineLevel="0" collapsed="false">
      <c r="A13" s="4" t="s">
        <v>345</v>
      </c>
      <c r="B13" s="0" t="s">
        <v>195</v>
      </c>
      <c r="C13" s="19" t="n">
        <f aca="false">C102</f>
        <v>148.2334922</v>
      </c>
      <c r="D13" s="19" t="n">
        <f aca="false">D102</f>
        <v>198.45911</v>
      </c>
      <c r="E13" s="19" t="n">
        <f aca="false">E102</f>
        <v>277.722828772206</v>
      </c>
      <c r="F13" s="19" t="n">
        <f aca="false">F102</f>
        <v>316.725696309643</v>
      </c>
      <c r="G13" s="19" t="n">
        <f aca="false">G102</f>
        <v>335.502837656457</v>
      </c>
    </row>
    <row r="14" customFormat="false" ht="15" hidden="false" customHeight="false" outlineLevel="0" collapsed="false">
      <c r="A14" s="4" t="s">
        <v>348</v>
      </c>
      <c r="B14" s="0" t="s">
        <v>52</v>
      </c>
      <c r="C14" s="11" t="n">
        <f aca="false">C103</f>
        <v>0.0698</v>
      </c>
      <c r="D14" s="11" t="n">
        <f aca="false">D103</f>
        <v>0.0496307213692399</v>
      </c>
      <c r="E14" s="11" t="n">
        <f aca="false">E103</f>
        <v>0.0486336385325961</v>
      </c>
      <c r="F14" s="11" t="n">
        <f aca="false">F103</f>
        <v>0.0523838845289261</v>
      </c>
      <c r="G14" s="11" t="n">
        <f aca="false">G103</f>
        <v>0.0547456933847368</v>
      </c>
    </row>
    <row r="15" customFormat="false" ht="15" hidden="false" customHeight="false" outlineLevel="0" collapsed="false">
      <c r="A15" s="4" t="s">
        <v>355</v>
      </c>
      <c r="B15" s="0" t="s">
        <v>52</v>
      </c>
      <c r="C15" s="11" t="n">
        <f aca="false">C108</f>
        <v>0.0412</v>
      </c>
      <c r="D15" s="11" t="n">
        <f aca="false">D108</f>
        <v>0.0318276590104571</v>
      </c>
      <c r="E15" s="11" t="n">
        <f aca="false">E108</f>
        <v>0.0340325858237527</v>
      </c>
      <c r="F15" s="11" t="n">
        <f aca="false">F108</f>
        <v>0.0382692896751384</v>
      </c>
      <c r="G15" s="11" t="n">
        <f aca="false">G108</f>
        <v>0.0407446135213378</v>
      </c>
    </row>
    <row r="16" customFormat="false" ht="15" hidden="false" customHeight="false" outlineLevel="0" collapsed="false">
      <c r="A16" s="4" t="s">
        <v>356</v>
      </c>
      <c r="B16" s="0" t="s">
        <v>195</v>
      </c>
      <c r="C16" s="19" t="n">
        <f aca="false">C110</f>
        <v>74.98</v>
      </c>
      <c r="D16" s="19" t="n">
        <f aca="false">D110</f>
        <v>110.713671625</v>
      </c>
      <c r="E16" s="19" t="n">
        <f aca="false">E110</f>
        <v>168.107029236484</v>
      </c>
      <c r="F16" s="19" t="n">
        <f aca="false">F110</f>
        <v>200.148393198935</v>
      </c>
      <c r="G16" s="19" t="n">
        <f aca="false">G110</f>
        <v>215.989454293986</v>
      </c>
    </row>
    <row r="17" customFormat="false" ht="15" hidden="false" customHeight="false" outlineLevel="0" collapsed="false">
      <c r="A17" s="0" t="s">
        <v>362</v>
      </c>
      <c r="B17" s="0" t="s">
        <v>246</v>
      </c>
      <c r="C17" s="16" t="n">
        <f aca="false">C112</f>
        <v>19.45</v>
      </c>
      <c r="D17" s="16" t="n">
        <f aca="false">D112</f>
        <v>28.7224673778341</v>
      </c>
      <c r="E17" s="16" t="n">
        <f aca="false">E112</f>
        <v>43.6120362766401</v>
      </c>
      <c r="F17" s="16" t="n">
        <f aca="false">F112</f>
        <v>51.9245329868024</v>
      </c>
      <c r="G17" s="16" t="n">
        <f aca="false">G112</f>
        <v>56.0341822636686</v>
      </c>
    </row>
    <row r="18" customFormat="false" ht="17.15" hidden="false" customHeight="false" outlineLevel="0" collapsed="false">
      <c r="A18" s="0" t="s">
        <v>423</v>
      </c>
      <c r="B18" s="0" t="s">
        <v>52</v>
      </c>
      <c r="D18" s="15" t="n">
        <f aca="false">D113</f>
        <v>0.476733541276816</v>
      </c>
      <c r="E18" s="15" t="n">
        <f aca="false">E113</f>
        <v>0.518394492469567</v>
      </c>
      <c r="F18" s="15" t="n">
        <f aca="false">F113</f>
        <v>0.190600976699058</v>
      </c>
      <c r="G18" s="15" t="n">
        <f aca="false">G113</f>
        <v>0.0791465814032593</v>
      </c>
    </row>
    <row r="20" customFormat="false" ht="17.15" hidden="false" customHeight="false" outlineLevel="0" collapsed="false">
      <c r="A20" s="1" t="s">
        <v>424</v>
      </c>
    </row>
    <row r="21" customFormat="false" ht="15" hidden="false" customHeight="false" outlineLevel="0" collapsed="false">
      <c r="A21" s="4" t="s">
        <v>341</v>
      </c>
      <c r="B21" s="0" t="s">
        <v>195</v>
      </c>
      <c r="C21" s="19" t="n">
        <f aca="false">C133</f>
        <v>2123.689</v>
      </c>
      <c r="D21" s="19" t="n">
        <f aca="false">D133</f>
        <v>3998.715</v>
      </c>
      <c r="E21" s="19" t="n">
        <f aca="false">E133</f>
        <v>5710.50896358629</v>
      </c>
      <c r="F21" s="19" t="n">
        <f aca="false">F133</f>
        <v>5105.86161642964</v>
      </c>
      <c r="G21" s="19" t="n">
        <f aca="false">G133</f>
        <v>5414.81300925571</v>
      </c>
    </row>
    <row r="22" customFormat="false" ht="15" hidden="false" customHeight="false" outlineLevel="0" collapsed="false">
      <c r="A22" s="4" t="s">
        <v>416</v>
      </c>
      <c r="B22" s="0" t="s">
        <v>52</v>
      </c>
      <c r="D22" s="15" t="n">
        <f aca="false">D139</f>
        <v>0.88290987993063</v>
      </c>
      <c r="E22" s="15" t="n">
        <f aca="false">E139</f>
        <v>0.428086013528419</v>
      </c>
      <c r="F22" s="15" t="n">
        <f aca="false">F139</f>
        <v>-0.105883267325602</v>
      </c>
      <c r="G22" s="15" t="n">
        <f aca="false">G139</f>
        <v>0.0605091590872593</v>
      </c>
    </row>
    <row r="23" customFormat="false" ht="15" hidden="false" customHeight="false" outlineLevel="0" collapsed="false">
      <c r="A23" s="4" t="s">
        <v>417</v>
      </c>
      <c r="B23" s="0" t="s">
        <v>195</v>
      </c>
      <c r="C23" s="19" t="n">
        <f aca="false">C135</f>
        <v>1507.81919</v>
      </c>
      <c r="D23" s="19" t="n">
        <f aca="false">D135</f>
        <v>3398.90775</v>
      </c>
      <c r="E23" s="19" t="n">
        <f aca="false">E135</f>
        <v>5140.29220458629</v>
      </c>
      <c r="F23" s="19" t="n">
        <f aca="false">F135</f>
        <v>4546.67331339964</v>
      </c>
      <c r="G23" s="19" t="n">
        <f aca="false">G135</f>
        <v>4867.99537087261</v>
      </c>
    </row>
    <row r="24" customFormat="false" ht="17.15" hidden="false" customHeight="false" outlineLevel="0" collapsed="false">
      <c r="A24" s="0" t="s">
        <v>418</v>
      </c>
      <c r="B24" s="0" t="s">
        <v>195</v>
      </c>
      <c r="C24" s="19" t="n">
        <f aca="false">C130</f>
        <v>905.033</v>
      </c>
      <c r="D24" s="19" t="n">
        <f aca="false">D130</f>
        <v>2719.1262</v>
      </c>
      <c r="E24" s="19" t="n">
        <f aca="false">E130</f>
        <v>4392.53249958629</v>
      </c>
      <c r="F24" s="19" t="n">
        <f aca="false">F130</f>
        <v>3761.52562314964</v>
      </c>
      <c r="G24" s="19" t="n">
        <f aca="false">G130</f>
        <v>4043.59029611011</v>
      </c>
    </row>
    <row r="25" customFormat="false" ht="15" hidden="false" customHeight="false" outlineLevel="0" collapsed="false">
      <c r="A25" s="4" t="s">
        <v>419</v>
      </c>
      <c r="B25" s="0" t="s">
        <v>195</v>
      </c>
      <c r="C25" s="19" t="n">
        <f aca="false">C136</f>
        <v>467.21158</v>
      </c>
      <c r="D25" s="19" t="n">
        <f aca="false">D136</f>
        <v>439.85865</v>
      </c>
      <c r="E25" s="19" t="n">
        <f aca="false">E136</f>
        <v>395.872785</v>
      </c>
      <c r="F25" s="19" t="n">
        <f aca="false">F136</f>
        <v>376.07914575</v>
      </c>
      <c r="G25" s="19" t="n">
        <f aca="false">G136</f>
        <v>364.7967713775</v>
      </c>
    </row>
    <row r="26" customFormat="false" ht="15" hidden="false" customHeight="false" outlineLevel="0" collapsed="false">
      <c r="A26" s="4" t="s">
        <v>420</v>
      </c>
      <c r="B26" s="0" t="s">
        <v>195</v>
      </c>
      <c r="C26" s="19" t="n">
        <f aca="false">C137</f>
        <v>148.65823</v>
      </c>
      <c r="D26" s="19" t="n">
        <f aca="false">D137</f>
        <v>159.9486</v>
      </c>
      <c r="E26" s="19" t="n">
        <f aca="false">E137</f>
        <v>174.343974</v>
      </c>
      <c r="F26" s="19" t="n">
        <f aca="false">F137</f>
        <v>183.10915728</v>
      </c>
      <c r="G26" s="19" t="n">
        <f aca="false">G137</f>
        <v>182.0208670056</v>
      </c>
    </row>
    <row r="27" customFormat="false" ht="17.15" hidden="false" customHeight="false" outlineLevel="0" collapsed="false">
      <c r="A27" s="4" t="s">
        <v>421</v>
      </c>
      <c r="B27" s="0" t="s">
        <v>195</v>
      </c>
      <c r="C27" s="19" t="n">
        <f aca="false">C132</f>
        <v>1218.656</v>
      </c>
      <c r="D27" s="19" t="n">
        <f aca="false">D132</f>
        <v>1279.5888</v>
      </c>
      <c r="E27" s="19" t="n">
        <f aca="false">E132</f>
        <v>1317.976464</v>
      </c>
      <c r="F27" s="19" t="n">
        <f aca="false">F132</f>
        <v>1344.33599328</v>
      </c>
      <c r="G27" s="19" t="n">
        <f aca="false">G132</f>
        <v>1371.2227131456</v>
      </c>
    </row>
    <row r="28" customFormat="false" ht="17.15" hidden="false" customHeight="false" outlineLevel="0" collapsed="false">
      <c r="A28" s="0" t="s">
        <v>422</v>
      </c>
      <c r="B28" s="0" t="s">
        <v>52</v>
      </c>
      <c r="C28" s="15" t="n">
        <f aca="false">C140</f>
        <v>0.426160798497332</v>
      </c>
      <c r="D28" s="15" t="n">
        <f aca="false">D140</f>
        <v>0.68</v>
      </c>
      <c r="E28" s="15" t="n">
        <f aca="false">E140</f>
        <v>0.769201576881461</v>
      </c>
      <c r="F28" s="15" t="n">
        <f aca="false">F140</f>
        <v>0.736707319102775</v>
      </c>
      <c r="G28" s="15" t="n">
        <f aca="false">G140</f>
        <v>0.746764530778491</v>
      </c>
    </row>
    <row r="29" customFormat="false" ht="15" hidden="false" customHeight="false" outlineLevel="0" collapsed="false">
      <c r="A29" s="4" t="s">
        <v>345</v>
      </c>
      <c r="B29" s="0" t="s">
        <v>195</v>
      </c>
      <c r="C29" s="19" t="n">
        <f aca="false">C146</f>
        <v>148.2334922</v>
      </c>
      <c r="D29" s="19" t="n">
        <f aca="false">D146</f>
        <v>198.45911</v>
      </c>
      <c r="E29" s="19" t="n">
        <f aca="false">E146</f>
        <v>277.722828772206</v>
      </c>
      <c r="F29" s="19" t="n">
        <f aca="false">F146</f>
        <v>270.38122397126</v>
      </c>
      <c r="G29" s="19" t="n">
        <f aca="false">G146</f>
        <v>298.182922204501</v>
      </c>
    </row>
    <row r="30" customFormat="false" ht="15" hidden="false" customHeight="false" outlineLevel="0" collapsed="false">
      <c r="A30" s="4" t="s">
        <v>348</v>
      </c>
      <c r="B30" s="0" t="s">
        <v>52</v>
      </c>
      <c r="C30" s="11" t="n">
        <f aca="false">C147</f>
        <v>0.0698</v>
      </c>
      <c r="D30" s="11" t="n">
        <f aca="false">D147</f>
        <v>0.0496307213692399</v>
      </c>
      <c r="E30" s="11" t="n">
        <f aca="false">E147</f>
        <v>0.0486336385325961</v>
      </c>
      <c r="F30" s="11" t="n">
        <f aca="false">F147</f>
        <v>0.0529550630791143</v>
      </c>
      <c r="G30" s="11" t="n">
        <f aca="false">G147</f>
        <v>0.0550679998911888</v>
      </c>
    </row>
    <row r="31" customFormat="false" ht="15" hidden="false" customHeight="false" outlineLevel="0" collapsed="false">
      <c r="A31" s="4" t="s">
        <v>355</v>
      </c>
      <c r="B31" s="0" t="s">
        <v>52</v>
      </c>
      <c r="C31" s="11" t="n">
        <f aca="false">C152</f>
        <v>0.0412</v>
      </c>
      <c r="D31" s="11" t="n">
        <f aca="false">D152</f>
        <v>0.0318276590104571</v>
      </c>
      <c r="E31" s="11" t="n">
        <f aca="false">E152</f>
        <v>0.0340325858237527</v>
      </c>
      <c r="F31" s="11" t="n">
        <f aca="false">F152</f>
        <v>0.0366249216386672</v>
      </c>
      <c r="G31" s="11" t="n">
        <f aca="false">G152</f>
        <v>0.0392969048962365</v>
      </c>
    </row>
    <row r="32" customFormat="false" ht="15" hidden="false" customHeight="false" outlineLevel="0" collapsed="false">
      <c r="A32" s="4" t="s">
        <v>356</v>
      </c>
      <c r="B32" s="0" t="s">
        <v>195</v>
      </c>
      <c r="C32" s="19" t="n">
        <f aca="false">C154</f>
        <v>74.98</v>
      </c>
      <c r="D32" s="19" t="n">
        <f aca="false">D154</f>
        <v>110.713671625</v>
      </c>
      <c r="E32" s="19" t="n">
        <f aca="false">E154</f>
        <v>168.107029236484</v>
      </c>
      <c r="F32" s="19" t="n">
        <f aca="false">F154</f>
        <v>161.756541083666</v>
      </c>
      <c r="G32" s="19" t="n">
        <f aca="false">G154</f>
        <v>184.059363955117</v>
      </c>
    </row>
    <row r="33" customFormat="false" ht="15" hidden="false" customHeight="false" outlineLevel="0" collapsed="false">
      <c r="A33" s="0" t="s">
        <v>362</v>
      </c>
      <c r="B33" s="0" t="s">
        <v>246</v>
      </c>
      <c r="C33" s="16" t="n">
        <f aca="false">C156</f>
        <v>19.45</v>
      </c>
      <c r="D33" s="16" t="n">
        <f aca="false">D156</f>
        <v>28.7224673778341</v>
      </c>
      <c r="E33" s="16" t="n">
        <f aca="false">E156</f>
        <v>43.6120362766401</v>
      </c>
      <c r="F33" s="16" t="n">
        <f aca="false">F156</f>
        <v>41.9645280138806</v>
      </c>
      <c r="G33" s="16" t="n">
        <f aca="false">G156</f>
        <v>47.750553289319</v>
      </c>
    </row>
    <row r="34" customFormat="false" ht="17.15" hidden="false" customHeight="false" outlineLevel="0" collapsed="false">
      <c r="A34" s="0" t="s">
        <v>423</v>
      </c>
      <c r="B34" s="0" t="s">
        <v>52</v>
      </c>
      <c r="D34" s="15" t="n">
        <f aca="false">D157</f>
        <v>0.476733541276816</v>
      </c>
      <c r="E34" s="15" t="n">
        <f aca="false">E157</f>
        <v>0.518394492469567</v>
      </c>
      <c r="F34" s="15" t="n">
        <f aca="false">F157</f>
        <v>-0.0377764581389645</v>
      </c>
      <c r="G34" s="15" t="n">
        <f aca="false">G157</f>
        <v>0.137878955138601</v>
      </c>
    </row>
    <row r="36" customFormat="false" ht="17.15" hidden="false" customHeight="false" outlineLevel="0" collapsed="false">
      <c r="A36" s="1" t="s">
        <v>425</v>
      </c>
    </row>
    <row r="37" customFormat="false" ht="15" hidden="false" customHeight="false" outlineLevel="0" collapsed="false">
      <c r="A37" s="4" t="s">
        <v>341</v>
      </c>
      <c r="B37" s="0" t="s">
        <v>195</v>
      </c>
      <c r="C37" s="19" t="n">
        <f aca="false">C177</f>
        <v>2123.689</v>
      </c>
      <c r="D37" s="19" t="n">
        <f aca="false">D177</f>
        <v>3998.715</v>
      </c>
      <c r="E37" s="19" t="n">
        <f aca="false">E177</f>
        <v>5710.50896358629</v>
      </c>
      <c r="F37" s="19" t="n">
        <f aca="false">F177</f>
        <v>4165.48021064223</v>
      </c>
      <c r="G37" s="19" t="n">
        <f aca="false">G177</f>
        <v>4225.52174569391</v>
      </c>
    </row>
    <row r="38" customFormat="false" ht="15" hidden="false" customHeight="false" outlineLevel="0" collapsed="false">
      <c r="A38" s="4" t="s">
        <v>416</v>
      </c>
      <c r="B38" s="0" t="s">
        <v>52</v>
      </c>
      <c r="D38" s="15" t="n">
        <f aca="false">D183</f>
        <v>0.88290987993063</v>
      </c>
      <c r="E38" s="15" t="n">
        <f aca="false">E183</f>
        <v>0.428086013528419</v>
      </c>
      <c r="F38" s="15" t="n">
        <f aca="false">F183</f>
        <v>-0.270558852598974</v>
      </c>
      <c r="G38" s="15" t="n">
        <f aca="false">G183</f>
        <v>0.0144140728116497</v>
      </c>
    </row>
    <row r="39" customFormat="false" ht="15" hidden="false" customHeight="false" outlineLevel="0" collapsed="false">
      <c r="A39" s="4" t="s">
        <v>417</v>
      </c>
      <c r="B39" s="0" t="s">
        <v>195</v>
      </c>
      <c r="C39" s="19" t="n">
        <f aca="false">C179</f>
        <v>1507.81919</v>
      </c>
      <c r="D39" s="19" t="n">
        <f aca="false">D179</f>
        <v>3398.90775</v>
      </c>
      <c r="E39" s="19" t="n">
        <f aca="false">E179</f>
        <v>5140.29220458629</v>
      </c>
      <c r="F39" s="19" t="n">
        <f aca="false">F179</f>
        <v>3606.29190761223</v>
      </c>
      <c r="G39" s="19" t="n">
        <f aca="false">G179</f>
        <v>3678.70410731081</v>
      </c>
    </row>
    <row r="40" customFormat="false" ht="17.15" hidden="false" customHeight="false" outlineLevel="0" collapsed="false">
      <c r="A40" s="0" t="s">
        <v>418</v>
      </c>
      <c r="B40" s="0" t="s">
        <v>195</v>
      </c>
      <c r="C40" s="19" t="n">
        <f aca="false">C174</f>
        <v>905.033</v>
      </c>
      <c r="D40" s="19" t="n">
        <f aca="false">D174</f>
        <v>2719.1262</v>
      </c>
      <c r="E40" s="19" t="n">
        <f aca="false">E174</f>
        <v>4392.53249958629</v>
      </c>
      <c r="F40" s="19" t="n">
        <f aca="false">F174</f>
        <v>2821.14421736223</v>
      </c>
      <c r="G40" s="19" t="n">
        <f aca="false">G174</f>
        <v>2854.29903254831</v>
      </c>
    </row>
    <row r="41" customFormat="false" ht="15" hidden="false" customHeight="false" outlineLevel="0" collapsed="false">
      <c r="A41" s="4" t="s">
        <v>419</v>
      </c>
      <c r="B41" s="0" t="s">
        <v>195</v>
      </c>
      <c r="C41" s="19" t="n">
        <f aca="false">C180</f>
        <v>467.21158</v>
      </c>
      <c r="D41" s="19" t="n">
        <f aca="false">D180</f>
        <v>439.85865</v>
      </c>
      <c r="E41" s="19" t="n">
        <f aca="false">E180</f>
        <v>395.872785</v>
      </c>
      <c r="F41" s="19" t="n">
        <f aca="false">F180</f>
        <v>376.07914575</v>
      </c>
      <c r="G41" s="19" t="n">
        <f aca="false">G180</f>
        <v>364.7967713775</v>
      </c>
    </row>
    <row r="42" customFormat="false" ht="15" hidden="false" customHeight="false" outlineLevel="0" collapsed="false">
      <c r="A42" s="4" t="s">
        <v>420</v>
      </c>
      <c r="B42" s="0" t="s">
        <v>195</v>
      </c>
      <c r="C42" s="19" t="n">
        <f aca="false">C181</f>
        <v>148.65823</v>
      </c>
      <c r="D42" s="19" t="n">
        <f aca="false">D181</f>
        <v>159.9486</v>
      </c>
      <c r="E42" s="19" t="n">
        <f aca="false">E181</f>
        <v>174.343974</v>
      </c>
      <c r="F42" s="19" t="n">
        <f aca="false">F181</f>
        <v>183.10915728</v>
      </c>
      <c r="G42" s="19" t="n">
        <f aca="false">G181</f>
        <v>182.0208670056</v>
      </c>
    </row>
    <row r="43" customFormat="false" ht="17.15" hidden="false" customHeight="false" outlineLevel="0" collapsed="false">
      <c r="A43" s="4" t="s">
        <v>421</v>
      </c>
      <c r="B43" s="0" t="s">
        <v>195</v>
      </c>
      <c r="C43" s="19" t="n">
        <f aca="false">C176</f>
        <v>1218.656</v>
      </c>
      <c r="D43" s="19" t="n">
        <f aca="false">D176</f>
        <v>1279.5888</v>
      </c>
      <c r="E43" s="19" t="n">
        <f aca="false">E176</f>
        <v>1317.976464</v>
      </c>
      <c r="F43" s="19" t="n">
        <f aca="false">F176</f>
        <v>1344.33599328</v>
      </c>
      <c r="G43" s="19" t="n">
        <f aca="false">G176</f>
        <v>1371.2227131456</v>
      </c>
    </row>
    <row r="44" customFormat="false" ht="17.15" hidden="false" customHeight="false" outlineLevel="0" collapsed="false">
      <c r="A44" s="0" t="s">
        <v>422</v>
      </c>
      <c r="B44" s="0" t="s">
        <v>52</v>
      </c>
      <c r="C44" s="15" t="n">
        <f aca="false">C184</f>
        <v>0.426160798497332</v>
      </c>
      <c r="D44" s="15" t="n">
        <f aca="false">D184</f>
        <v>0.68</v>
      </c>
      <c r="E44" s="15" t="n">
        <f aca="false">E184</f>
        <v>0.769201576881461</v>
      </c>
      <c r="F44" s="15" t="n">
        <f aca="false">F184</f>
        <v>0.677267463701927</v>
      </c>
      <c r="G44" s="15" t="n">
        <f aca="false">G184</f>
        <v>0.67549031914391</v>
      </c>
    </row>
    <row r="45" customFormat="false" ht="15" hidden="false" customHeight="false" outlineLevel="0" collapsed="false">
      <c r="A45" s="4" t="s">
        <v>345</v>
      </c>
      <c r="B45" s="0" t="s">
        <v>195</v>
      </c>
      <c r="C45" s="19" t="n">
        <f aca="false">C190</f>
        <v>148.2334922</v>
      </c>
      <c r="D45" s="19" t="n">
        <f aca="false">D190</f>
        <v>198.45911</v>
      </c>
      <c r="E45" s="19" t="n">
        <f aca="false">E190</f>
        <v>277.722828772206</v>
      </c>
      <c r="F45" s="19" t="n">
        <f aca="false">F190</f>
        <v>224.036751632877</v>
      </c>
      <c r="G45" s="19" t="n">
        <f aca="false">G190</f>
        <v>235.983063117907</v>
      </c>
    </row>
    <row r="46" customFormat="false" ht="15" hidden="false" customHeight="false" outlineLevel="0" collapsed="false">
      <c r="A46" s="4" t="s">
        <v>348</v>
      </c>
      <c r="B46" s="0" t="s">
        <v>52</v>
      </c>
      <c r="C46" s="11" t="n">
        <f aca="false">C191</f>
        <v>0.0698</v>
      </c>
      <c r="D46" s="11" t="n">
        <f aca="false">D191</f>
        <v>0.0496307213692399</v>
      </c>
      <c r="E46" s="11" t="n">
        <f aca="false">E191</f>
        <v>0.0486336385325961</v>
      </c>
      <c r="F46" s="11" t="n">
        <f aca="false">F191</f>
        <v>0.0537841353946405</v>
      </c>
      <c r="G46" s="11" t="n">
        <f aca="false">G191</f>
        <v>0.0558470828740592</v>
      </c>
    </row>
    <row r="47" customFormat="false" ht="15" hidden="false" customHeight="false" outlineLevel="0" collapsed="false">
      <c r="A47" s="4" t="s">
        <v>355</v>
      </c>
      <c r="B47" s="0" t="s">
        <v>52</v>
      </c>
      <c r="C47" s="11" t="n">
        <f aca="false">C196</f>
        <v>0.0412</v>
      </c>
      <c r="D47" s="11" t="n">
        <f aca="false">D196</f>
        <v>0.0318276590104571</v>
      </c>
      <c r="E47" s="11" t="n">
        <f aca="false">E196</f>
        <v>0.0340325858237527</v>
      </c>
      <c r="F47" s="11" t="n">
        <f aca="false">F196</f>
        <v>0.0337673694624382</v>
      </c>
      <c r="G47" s="11" t="n">
        <f aca="false">G196</f>
        <v>0.0360009709948716</v>
      </c>
    </row>
    <row r="48" customFormat="false" ht="15" hidden="false" customHeight="false" outlineLevel="0" collapsed="false">
      <c r="A48" s="4" t="s">
        <v>356</v>
      </c>
      <c r="B48" s="0" t="s">
        <v>195</v>
      </c>
      <c r="C48" s="19" t="n">
        <f aca="false">C198</f>
        <v>74.98</v>
      </c>
      <c r="D48" s="19" t="n">
        <f aca="false">D198</f>
        <v>110.713671625</v>
      </c>
      <c r="E48" s="19" t="n">
        <f aca="false">E198</f>
        <v>168.107029236484</v>
      </c>
      <c r="F48" s="19" t="n">
        <f aca="false">F198</f>
        <v>121.668572510965</v>
      </c>
      <c r="G48" s="19" t="n">
        <f aca="false">G198</f>
        <v>131.586296221261</v>
      </c>
    </row>
    <row r="49" customFormat="false" ht="15" hidden="false" customHeight="false" outlineLevel="0" collapsed="false">
      <c r="A49" s="0" t="s">
        <v>362</v>
      </c>
      <c r="B49" s="0" t="s">
        <v>246</v>
      </c>
      <c r="C49" s="16" t="n">
        <f aca="false">C200</f>
        <v>19.45</v>
      </c>
      <c r="D49" s="16" t="n">
        <f aca="false">D200</f>
        <v>28.7224673778341</v>
      </c>
      <c r="E49" s="16" t="n">
        <f aca="false">E200</f>
        <v>43.6120362766401</v>
      </c>
      <c r="F49" s="16" t="n">
        <f aca="false">F200</f>
        <v>31.5644992489322</v>
      </c>
      <c r="G49" s="16" t="n">
        <f aca="false">G200</f>
        <v>34.1374560622171</v>
      </c>
    </row>
    <row r="50" customFormat="false" ht="17.15" hidden="false" customHeight="false" outlineLevel="0" collapsed="false">
      <c r="A50" s="0" t="s">
        <v>423</v>
      </c>
      <c r="B50" s="0" t="s">
        <v>52</v>
      </c>
      <c r="D50" s="15" t="n">
        <f aca="false">D201</f>
        <v>0.476733541276816</v>
      </c>
      <c r="E50" s="15" t="n">
        <f aca="false">E201</f>
        <v>0.518394492469567</v>
      </c>
      <c r="F50" s="15" t="n">
        <f aca="false">F201</f>
        <v>-0.276243396462571</v>
      </c>
      <c r="G50" s="15" t="n">
        <f aca="false">G201</f>
        <v>0.081514260466907</v>
      </c>
    </row>
    <row r="52" customFormat="false" ht="17.15" hidden="false" customHeight="false" outlineLevel="0" collapsed="false">
      <c r="A52" s="1" t="s">
        <v>426</v>
      </c>
    </row>
    <row r="53" customFormat="false" ht="17.15" hidden="false" customHeight="false" outlineLevel="0" collapsed="false">
      <c r="A53" s="4" t="s">
        <v>427</v>
      </c>
      <c r="D53" s="20" t="n">
        <f aca="false">D89-a26_rev</f>
        <v>0</v>
      </c>
    </row>
    <row r="54" customFormat="false" ht="17.15" hidden="false" customHeight="false" outlineLevel="0" collapsed="false">
      <c r="A54" s="4" t="s">
        <v>428</v>
      </c>
      <c r="D54" s="20" t="n">
        <f aca="false">D86-a26_ai</f>
        <v>0</v>
      </c>
    </row>
    <row r="55" customFormat="false" ht="17.15" hidden="false" customHeight="false" outlineLevel="0" collapsed="false">
      <c r="A55" s="4" t="s">
        <v>429</v>
      </c>
      <c r="D55" s="20" t="n">
        <f aca="false">D100*D88+D101-a26_gp</f>
        <v>0</v>
      </c>
    </row>
    <row r="72" customFormat="false" ht="17.15" hidden="false" customHeight="false" outlineLevel="0" collapsed="false">
      <c r="A72" s="1" t="s">
        <v>430</v>
      </c>
    </row>
    <row r="73" customFormat="false" ht="17.15" hidden="false" customHeight="false" outlineLevel="0" collapsed="false">
      <c r="A73" s="5" t="s">
        <v>21</v>
      </c>
      <c r="B73" s="5" t="s">
        <v>22</v>
      </c>
      <c r="C73" s="12" t="s">
        <v>335</v>
      </c>
      <c r="D73" s="12" t="s">
        <v>411</v>
      </c>
      <c r="E73" s="12" t="s">
        <v>412</v>
      </c>
      <c r="F73" s="12" t="s">
        <v>413</v>
      </c>
      <c r="G73" s="12" t="s">
        <v>414</v>
      </c>
      <c r="H73" s="5" t="s">
        <v>384</v>
      </c>
    </row>
    <row r="74" customFormat="false" ht="17.15" hidden="false" customHeight="false" outlineLevel="0" collapsed="false">
      <c r="A74" s="6" t="s">
        <v>431</v>
      </c>
    </row>
    <row r="75" customFormat="false" ht="17.15" hidden="false" customHeight="false" outlineLevel="0" collapsed="false">
      <c r="A75" s="0" t="s">
        <v>432</v>
      </c>
      <c r="B75" s="0" t="s">
        <v>32</v>
      </c>
      <c r="D75" s="21" t="n">
        <f aca="false">itc_26*1</f>
        <v>781.872916666666</v>
      </c>
      <c r="E75" s="21" t="n">
        <f aca="false">itc_27*1*1</f>
        <v>1565.35</v>
      </c>
      <c r="F75" s="21" t="n">
        <f aca="false">itc_28*um28_A*1</f>
        <v>1984.26388888889</v>
      </c>
      <c r="G75" s="21" t="n">
        <f aca="false">itc_29*um29_A*1</f>
        <v>2260.39027777778</v>
      </c>
    </row>
    <row r="76" customFormat="false" ht="17.15" hidden="false" customHeight="false" outlineLevel="0" collapsed="false">
      <c r="A76" s="4" t="s">
        <v>433</v>
      </c>
      <c r="B76" s="0" t="s">
        <v>32</v>
      </c>
      <c r="D76" s="21" t="n">
        <f aca="false">itpg_gb*(1-vr26)+itpg_vr*vr26</f>
        <v>33.41403216</v>
      </c>
      <c r="E76" s="21" t="n">
        <f aca="false">itpg_vr</f>
        <v>37.586352</v>
      </c>
      <c r="F76" s="21" t="n">
        <f aca="false">itpg_vr</f>
        <v>37.586352</v>
      </c>
      <c r="G76" s="21" t="n">
        <f aca="false">itpg_vr</f>
        <v>37.586352</v>
      </c>
    </row>
    <row r="77" customFormat="false" ht="17.15" hidden="false" customHeight="false" outlineLevel="0" collapsed="false">
      <c r="A77" s="4" t="s">
        <v>434</v>
      </c>
      <c r="B77" s="0" t="s">
        <v>386</v>
      </c>
      <c r="D77" s="18" t="n">
        <f aca="false">D75/D76</f>
        <v>23.3995380420639</v>
      </c>
      <c r="E77" s="18" t="n">
        <f aca="false">E75/E76</f>
        <v>41.6467658260637</v>
      </c>
      <c r="F77" s="18" t="n">
        <f aca="false">F75/F76</f>
        <v>52.792138191248</v>
      </c>
      <c r="G77" s="18" t="n">
        <f aca="false">G75/G76</f>
        <v>60.1385917361116</v>
      </c>
    </row>
    <row r="78" customFormat="false" ht="17.15" hidden="false" customHeight="false" outlineLevel="0" collapsed="false">
      <c r="A78" s="4" t="s">
        <v>388</v>
      </c>
      <c r="B78" s="0" t="s">
        <v>389</v>
      </c>
      <c r="D78" s="16" t="n">
        <f aca="false">(racks_gb*odm_gb*(1-vr26)+racks_vr*odm_vr*vr26)/1000</f>
        <v>27.1209</v>
      </c>
      <c r="E78" s="16" t="n">
        <f aca="false">racks_vr*odm_vr/1000</f>
        <v>27.351</v>
      </c>
      <c r="F78" s="16" t="n">
        <f aca="false">$E78*vpg_28</f>
        <v>27.351</v>
      </c>
      <c r="G78" s="16" t="n">
        <f aca="false">$E78*vpg_29</f>
        <v>27.351</v>
      </c>
      <c r="H78" s="4" t="s">
        <v>435</v>
      </c>
    </row>
    <row r="79" customFormat="false" ht="17.15" hidden="false" customHeight="false" outlineLevel="0" collapsed="false">
      <c r="A79" s="0" t="s">
        <v>436</v>
      </c>
      <c r="B79" s="0" t="s">
        <v>32</v>
      </c>
      <c r="D79" s="19" t="n">
        <f aca="false">D77*D78</f>
        <v>634.61653128501</v>
      </c>
      <c r="E79" s="19" t="n">
        <f aca="false">E77*E78</f>
        <v>1139.08069210867</v>
      </c>
      <c r="F79" s="19" t="n">
        <f aca="false">F77*F78</f>
        <v>1443.91777166882</v>
      </c>
      <c r="G79" s="19" t="n">
        <f aca="false">G77*G78</f>
        <v>1644.85062257439</v>
      </c>
    </row>
    <row r="80" customFormat="false" ht="17.15" hidden="false" customHeight="false" outlineLevel="0" collapsed="false">
      <c r="A80" s="0" t="s">
        <v>437</v>
      </c>
      <c r="B80" s="0" t="s">
        <v>195</v>
      </c>
      <c r="D80" s="19" t="n">
        <f aca="false">D79*fx</f>
        <v>20307.7290011203</v>
      </c>
      <c r="E80" s="19" t="n">
        <f aca="false">E79*fx</f>
        <v>36450.5821474774</v>
      </c>
      <c r="F80" s="19" t="n">
        <f aca="false">F79*fx</f>
        <v>46205.3686934024</v>
      </c>
      <c r="G80" s="19" t="n">
        <f aca="false">G79*fx</f>
        <v>52635.2199223804</v>
      </c>
    </row>
    <row r="81" customFormat="false" ht="17.15" hidden="false" customHeight="false" outlineLevel="0" collapsed="false">
      <c r="A81" s="4" t="s">
        <v>438</v>
      </c>
      <c r="B81" s="0" t="s">
        <v>52</v>
      </c>
      <c r="D81" s="15" t="n">
        <f aca="false">a26_ai/D80</f>
        <v>0.133896123975753</v>
      </c>
      <c r="H81" s="8" t="s">
        <v>439</v>
      </c>
    </row>
    <row r="82" customFormat="false" ht="17.15" hidden="false" customHeight="false" outlineLevel="0" collapsed="false">
      <c r="A82" s="4" t="s">
        <v>440</v>
      </c>
      <c r="B82" s="0" t="s">
        <v>72</v>
      </c>
      <c r="D82" s="16" t="n">
        <f aca="false">1</f>
        <v>1</v>
      </c>
      <c r="E82" s="16" t="n">
        <f aca="false">rel_27</f>
        <v>1</v>
      </c>
      <c r="F82" s="16" t="n">
        <f aca="false">rel_28</f>
        <v>0.95</v>
      </c>
      <c r="G82" s="16" t="n">
        <f aca="false">rel_29</f>
        <v>0.9</v>
      </c>
    </row>
    <row r="83" customFormat="false" ht="15" hidden="false" customHeight="false" outlineLevel="0" collapsed="false">
      <c r="A83" s="4" t="s">
        <v>393</v>
      </c>
      <c r="B83" s="0" t="s">
        <v>52</v>
      </c>
      <c r="D83" s="15" t="n">
        <f aca="false">$D$81*D82</f>
        <v>0.133896123975753</v>
      </c>
      <c r="E83" s="15" t="n">
        <f aca="false">$D$81*E82</f>
        <v>0.133896123975753</v>
      </c>
      <c r="F83" s="15" t="n">
        <f aca="false">$D$81*F82</f>
        <v>0.127201317776965</v>
      </c>
      <c r="G83" s="15" t="n">
        <f aca="false">$D$81*G82</f>
        <v>0.120506511578178</v>
      </c>
    </row>
    <row r="84" customFormat="false" ht="17.15" hidden="false" customHeight="false" outlineLevel="0" collapsed="false">
      <c r="A84" s="0" t="s">
        <v>441</v>
      </c>
      <c r="B84" s="0" t="s">
        <v>195</v>
      </c>
      <c r="D84" s="19" t="n">
        <f aca="false">D80*D83</f>
        <v>2719.1262</v>
      </c>
      <c r="E84" s="19" t="n">
        <f aca="false">E80*E83</f>
        <v>4880.59166620699</v>
      </c>
      <c r="F84" s="19" t="n">
        <f aca="false">F80*F83</f>
        <v>5877.38378617131</v>
      </c>
      <c r="G84" s="19" t="n">
        <f aca="false">G80*G83</f>
        <v>6342.88673899626</v>
      </c>
    </row>
    <row r="85" customFormat="false" ht="17.15" hidden="false" customHeight="false" outlineLevel="0" collapsed="false">
      <c r="A85" s="4" t="s">
        <v>397</v>
      </c>
      <c r="B85" s="0" t="s">
        <v>52</v>
      </c>
      <c r="D85" s="15" t="n">
        <f aca="false">0</f>
        <v>0</v>
      </c>
      <c r="E85" s="15" t="n">
        <f aca="false">cs_27</f>
        <v>0.1</v>
      </c>
      <c r="F85" s="15" t="n">
        <f aca="false">cs_28</f>
        <v>0.2</v>
      </c>
      <c r="G85" s="15" t="n">
        <f aca="false">cs_29</f>
        <v>0.25</v>
      </c>
      <c r="H85" s="8" t="s">
        <v>442</v>
      </c>
    </row>
    <row r="86" customFormat="false" ht="17.15" hidden="false" customHeight="false" outlineLevel="0" collapsed="false">
      <c r="A86" s="0" t="s">
        <v>443</v>
      </c>
      <c r="B86" s="0" t="s">
        <v>195</v>
      </c>
      <c r="C86" s="19" t="n">
        <f aca="false">a25_ai</f>
        <v>905.033</v>
      </c>
      <c r="D86" s="19" t="n">
        <f aca="false">D84*(1-D85)</f>
        <v>2719.1262</v>
      </c>
      <c r="E86" s="19" t="n">
        <f aca="false">E84*(1-E85)</f>
        <v>4392.53249958629</v>
      </c>
      <c r="F86" s="19" t="n">
        <f aca="false">F84*(1-F85)</f>
        <v>4701.90702893705</v>
      </c>
      <c r="G86" s="19" t="n">
        <f aca="false">G84*(1-G85)</f>
        <v>4757.16505424719</v>
      </c>
    </row>
    <row r="87" customFormat="false" ht="17.15" hidden="false" customHeight="false" outlineLevel="0" collapsed="false">
      <c r="A87" s="6" t="s">
        <v>444</v>
      </c>
    </row>
    <row r="88" customFormat="false" ht="17.15" hidden="false" customHeight="false" outlineLevel="0" collapsed="false">
      <c r="A88" s="4" t="s">
        <v>370</v>
      </c>
      <c r="B88" s="0" t="s">
        <v>195</v>
      </c>
      <c r="C88" s="19" t="n">
        <f aca="false">a25_nai</f>
        <v>1218.656</v>
      </c>
      <c r="D88" s="19" t="n">
        <f aca="false">a26_nai</f>
        <v>1279.5888</v>
      </c>
      <c r="E88" s="19" t="n">
        <f aca="false">D88*(1+g_nai27)</f>
        <v>1317.976464</v>
      </c>
      <c r="F88" s="19" t="n">
        <f aca="false">E88*(1+g_nai28)</f>
        <v>1344.33599328</v>
      </c>
      <c r="G88" s="19" t="n">
        <f aca="false">F88*(1+g_nai29)</f>
        <v>1371.2227131456</v>
      </c>
    </row>
    <row r="89" customFormat="false" ht="15" hidden="false" customHeight="false" outlineLevel="0" collapsed="false">
      <c r="A89" s="4" t="s">
        <v>341</v>
      </c>
      <c r="B89" s="0" t="s">
        <v>195</v>
      </c>
      <c r="C89" s="19" t="n">
        <f aca="false">C86+C88</f>
        <v>2123.689</v>
      </c>
      <c r="D89" s="19" t="n">
        <f aca="false">D86+D88</f>
        <v>3998.715</v>
      </c>
      <c r="E89" s="19" t="n">
        <f aca="false">E86+E88</f>
        <v>5710.50896358629</v>
      </c>
      <c r="F89" s="19" t="n">
        <f aca="false">F86+F88</f>
        <v>6046.24302221705</v>
      </c>
      <c r="G89" s="19" t="n">
        <f aca="false">G86+G88</f>
        <v>6128.38776739279</v>
      </c>
    </row>
    <row r="90" customFormat="false" ht="17.15" hidden="false" customHeight="false" outlineLevel="0" collapsed="false">
      <c r="A90" s="4" t="s">
        <v>445</v>
      </c>
      <c r="B90" s="0" t="s">
        <v>195</v>
      </c>
      <c r="C90" s="19" t="n">
        <f aca="false">srv_25*C89-C86</f>
        <v>602.78619</v>
      </c>
      <c r="D90" s="19" t="n">
        <f aca="false">srv_26*D89-D86</f>
        <v>679.78155</v>
      </c>
      <c r="E90" s="19" t="n">
        <f aca="false">D90*(1+g_gs27)</f>
        <v>747.759705</v>
      </c>
      <c r="F90" s="19" t="n">
        <f aca="false">E90*(1+g_gs28)</f>
        <v>785.14769025</v>
      </c>
      <c r="G90" s="19" t="n">
        <f aca="false">F90*(1+g_gs29)</f>
        <v>824.4050747625</v>
      </c>
      <c r="H90" s="8" t="s">
        <v>446</v>
      </c>
    </row>
    <row r="91" customFormat="false" ht="17.15" hidden="false" customHeight="false" outlineLevel="0" collapsed="false">
      <c r="A91" s="4" t="s">
        <v>447</v>
      </c>
      <c r="B91" s="0" t="s">
        <v>195</v>
      </c>
      <c r="C91" s="19" t="n">
        <f aca="false">C86+C90</f>
        <v>1507.81919</v>
      </c>
      <c r="D91" s="19" t="n">
        <f aca="false">D86+D90</f>
        <v>3398.90775</v>
      </c>
      <c r="E91" s="19" t="n">
        <f aca="false">E86+E90</f>
        <v>5140.29220458629</v>
      </c>
      <c r="F91" s="19" t="n">
        <f aca="false">F86+F90</f>
        <v>5487.05471918705</v>
      </c>
      <c r="G91" s="19" t="n">
        <f aca="false">G86+G90</f>
        <v>5581.57012900969</v>
      </c>
      <c r="H91" s="4" t="s">
        <v>448</v>
      </c>
    </row>
    <row r="92" customFormat="false" ht="15" hidden="false" customHeight="false" outlineLevel="0" collapsed="false">
      <c r="A92" s="4" t="s">
        <v>449</v>
      </c>
      <c r="B92" s="0" t="s">
        <v>195</v>
      </c>
      <c r="C92" s="19" t="n">
        <f aca="false">nbsh_25*C89</f>
        <v>467.21158</v>
      </c>
      <c r="D92" s="19" t="n">
        <f aca="false">nbsh_26*D89</f>
        <v>439.85865</v>
      </c>
      <c r="E92" s="19" t="n">
        <f aca="false">D92*(1+g_nb27)</f>
        <v>395.872785</v>
      </c>
      <c r="F92" s="19" t="n">
        <f aca="false">E92*(1+g_nb28)</f>
        <v>376.07914575</v>
      </c>
      <c r="G92" s="19" t="n">
        <f aca="false">F92*(1+g_nb29)</f>
        <v>364.7967713775</v>
      </c>
      <c r="H92" s="4" t="s">
        <v>450</v>
      </c>
    </row>
    <row r="93" customFormat="false" ht="17.15" hidden="false" customHeight="false" outlineLevel="0" collapsed="false">
      <c r="A93" s="4" t="s">
        <v>451</v>
      </c>
      <c r="B93" s="0" t="s">
        <v>195</v>
      </c>
      <c r="C93" s="19" t="n">
        <f aca="false">C88-C92-C90</f>
        <v>148.65823</v>
      </c>
      <c r="D93" s="19" t="n">
        <f aca="false">D88-D92-D90</f>
        <v>159.9486</v>
      </c>
      <c r="E93" s="19" t="n">
        <f aca="false">E88-E92-E90</f>
        <v>174.343974</v>
      </c>
      <c r="F93" s="19" t="n">
        <f aca="false">F88-F92-F90</f>
        <v>183.10915728</v>
      </c>
      <c r="G93" s="19" t="n">
        <f aca="false">G88-G92-G90</f>
        <v>182.0208670056</v>
      </c>
    </row>
    <row r="94" customFormat="false" ht="15" hidden="false" customHeight="false" outlineLevel="0" collapsed="false">
      <c r="A94" s="4" t="s">
        <v>452</v>
      </c>
      <c r="B94" s="0" t="s">
        <v>195</v>
      </c>
      <c r="C94" s="22" t="n">
        <f aca="false">C91+C92+C93-C89</f>
        <v>0</v>
      </c>
      <c r="D94" s="22" t="n">
        <f aca="false">D91+D92+D93-D89</f>
        <v>0</v>
      </c>
      <c r="E94" s="22" t="n">
        <f aca="false">E91+E92+E93-E89</f>
        <v>0</v>
      </c>
      <c r="F94" s="22" t="n">
        <f aca="false">F91+F92+F93-F89</f>
        <v>0</v>
      </c>
      <c r="G94" s="22" t="n">
        <f aca="false">G91+G92+G93-G89</f>
        <v>0</v>
      </c>
    </row>
    <row r="95" customFormat="false" ht="15" hidden="false" customHeight="false" outlineLevel="0" collapsed="false">
      <c r="A95" s="4" t="s">
        <v>453</v>
      </c>
      <c r="B95" s="0" t="s">
        <v>52</v>
      </c>
      <c r="D95" s="15" t="n">
        <f aca="false">D89/C89-1</f>
        <v>0.88290987993063</v>
      </c>
      <c r="E95" s="15" t="n">
        <f aca="false">E89/D89-1</f>
        <v>0.428086013528419</v>
      </c>
      <c r="F95" s="15" t="n">
        <f aca="false">F89/E89-1</f>
        <v>0.0587923179477705</v>
      </c>
      <c r="G95" s="15" t="n">
        <f aca="false">G89/F89-1</f>
        <v>0.0135860806245958</v>
      </c>
    </row>
    <row r="96" customFormat="false" ht="17.15" hidden="false" customHeight="false" outlineLevel="0" collapsed="false">
      <c r="A96" s="0" t="s">
        <v>454</v>
      </c>
      <c r="B96" s="0" t="s">
        <v>52</v>
      </c>
      <c r="C96" s="15" t="n">
        <f aca="false">C86/C89</f>
        <v>0.426160798497332</v>
      </c>
      <c r="D96" s="15" t="n">
        <f aca="false">D86/D89</f>
        <v>0.68</v>
      </c>
      <c r="E96" s="15" t="n">
        <f aca="false">E86/E89</f>
        <v>0.769201576881461</v>
      </c>
      <c r="F96" s="15" t="n">
        <f aca="false">F86/F89</f>
        <v>0.777657631633362</v>
      </c>
      <c r="G96" s="15" t="n">
        <f aca="false">G86/G89</f>
        <v>0.776250660827724</v>
      </c>
    </row>
    <row r="97" customFormat="false" ht="17.15" hidden="false" customHeight="false" outlineLevel="0" collapsed="false">
      <c r="A97" s="4" t="s">
        <v>403</v>
      </c>
      <c r="B97" s="0" t="s">
        <v>389</v>
      </c>
      <c r="D97" s="16" t="n">
        <f aca="false">D86/fx/D77</f>
        <v>3.631383388734</v>
      </c>
      <c r="E97" s="16" t="n">
        <f aca="false">E86/fx/E77</f>
        <v>3.29597359817473</v>
      </c>
      <c r="F97" s="16" t="n">
        <f aca="false">F86/fx/F77</f>
        <v>2.78326659401422</v>
      </c>
      <c r="G97" s="16" t="n">
        <f aca="false">G86/fx/G77</f>
        <v>2.47198019863105</v>
      </c>
    </row>
    <row r="98" customFormat="false" ht="17.15" hidden="false" customHeight="false" outlineLevel="0" collapsed="false">
      <c r="A98" s="4" t="s">
        <v>455</v>
      </c>
      <c r="B98" s="4" t="s">
        <v>401</v>
      </c>
      <c r="D98" s="19" t="n">
        <f aca="false">D84/fx/(odm_gb*(1-vr26)+odm_vr*vr26)</f>
        <v>18.4522679153094</v>
      </c>
      <c r="E98" s="19" t="n">
        <f aca="false">E84/fx/odm_vr</f>
        <v>22.5953317879953</v>
      </c>
      <c r="F98" s="19" t="n">
        <f aca="false">F84/fx/odm_vr</f>
        <v>27.2101101211635</v>
      </c>
      <c r="G98" s="19" t="n">
        <f aca="false">G84/fx/odm_vr</f>
        <v>29.3652163842419</v>
      </c>
      <c r="H98" s="4" t="s">
        <v>456</v>
      </c>
    </row>
    <row r="99" customFormat="false" ht="17.15" hidden="false" customHeight="false" outlineLevel="0" collapsed="false">
      <c r="A99" s="6" t="s">
        <v>457</v>
      </c>
    </row>
    <row r="100" customFormat="false" ht="17.15" hidden="false" customHeight="false" outlineLevel="0" collapsed="false">
      <c r="A100" s="4" t="s">
        <v>458</v>
      </c>
      <c r="B100" s="0" t="s">
        <v>52</v>
      </c>
      <c r="D100" s="11" t="n">
        <f aca="false">a26_gp/D89-d_ai*D96</f>
        <v>0.0632307213692399</v>
      </c>
      <c r="H100" s="8" t="s">
        <v>459</v>
      </c>
    </row>
    <row r="101" customFormat="false" ht="17.15" hidden="false" customHeight="false" outlineLevel="0" collapsed="false">
      <c r="A101" s="0" t="s">
        <v>460</v>
      </c>
      <c r="B101" s="0" t="s">
        <v>195</v>
      </c>
      <c r="D101" s="21" t="n">
        <f aca="false">($D$100+d_ai)*D84*(1-D85*(1-keep))</f>
        <v>117.54978712</v>
      </c>
      <c r="E101" s="21" t="n">
        <f aca="false">($D$100+d_ai+vrd)*E84*(1-E85*(1-keep))</f>
        <v>194.386226205806</v>
      </c>
      <c r="F101" s="21" t="n">
        <f aca="false">($D$100+d_ai+vrd)*F84*(1-F85*(1-keep))</f>
        <v>231.722361691915</v>
      </c>
      <c r="G101" s="21" t="n">
        <f aca="false">($D$100+d_ai+vrd)*G84*(1-G85*(1-keep))</f>
        <v>248.799436346375</v>
      </c>
      <c r="H101" s="4" t="s">
        <v>461</v>
      </c>
    </row>
    <row r="102" customFormat="false" ht="15" hidden="false" customHeight="false" outlineLevel="0" collapsed="false">
      <c r="A102" s="4" t="s">
        <v>345</v>
      </c>
      <c r="B102" s="0" t="s">
        <v>195</v>
      </c>
      <c r="C102" s="19" t="n">
        <f aca="false">a25_gp</f>
        <v>148.2334922</v>
      </c>
      <c r="D102" s="19" t="n">
        <f aca="false">a26_gp</f>
        <v>198.45911</v>
      </c>
      <c r="E102" s="19" t="n">
        <f aca="false">$D$100*E88+E101</f>
        <v>277.722828772206</v>
      </c>
      <c r="F102" s="19" t="n">
        <f aca="false">$D$100*F88+F101</f>
        <v>316.725696309643</v>
      </c>
      <c r="G102" s="19" t="n">
        <f aca="false">$D$100*G88+G101</f>
        <v>335.502837656457</v>
      </c>
    </row>
    <row r="103" customFormat="false" ht="15" hidden="false" customHeight="false" outlineLevel="0" collapsed="false">
      <c r="A103" s="4" t="s">
        <v>348</v>
      </c>
      <c r="B103" s="0" t="s">
        <v>52</v>
      </c>
      <c r="C103" s="11" t="n">
        <f aca="false">C102/C89</f>
        <v>0.0698</v>
      </c>
      <c r="D103" s="11" t="n">
        <f aca="false">D102/D89</f>
        <v>0.0496307213692399</v>
      </c>
      <c r="E103" s="11" t="n">
        <f aca="false">E102/E89</f>
        <v>0.0486336385325961</v>
      </c>
      <c r="F103" s="11" t="n">
        <f aca="false">F102/F89</f>
        <v>0.0523838845289261</v>
      </c>
      <c r="G103" s="11" t="n">
        <f aca="false">G102/G89</f>
        <v>0.0547456933847368</v>
      </c>
    </row>
    <row r="104" customFormat="false" ht="17.15" hidden="false" customHeight="false" outlineLevel="0" collapsed="false">
      <c r="A104" s="0" t="s">
        <v>462</v>
      </c>
      <c r="B104" s="0" t="s">
        <v>52</v>
      </c>
      <c r="D104" s="11" t="n">
        <f aca="false">D101/D86</f>
        <v>0.0432307213692399</v>
      </c>
      <c r="E104" s="11" t="n">
        <f aca="false">E101/E86</f>
        <v>0.0442537935061639</v>
      </c>
      <c r="F104" s="11" t="n">
        <f aca="false">F101/F86</f>
        <v>0.0492826336773188</v>
      </c>
      <c r="G104" s="11" t="n">
        <f aca="false">G101/G86</f>
        <v>0.0522999377800118</v>
      </c>
      <c r="H104" s="4" t="s">
        <v>463</v>
      </c>
    </row>
    <row r="105" customFormat="false" ht="15" hidden="false" customHeight="false" outlineLevel="0" collapsed="false">
      <c r="A105" s="4" t="s">
        <v>464</v>
      </c>
      <c r="B105" s="0" t="s">
        <v>195</v>
      </c>
      <c r="C105" s="19" t="n">
        <f aca="false">a25_opx</f>
        <v>60.7375054</v>
      </c>
      <c r="D105" s="19" t="n">
        <f aca="false">a26_opx</f>
        <v>71.1893725</v>
      </c>
      <c r="E105" s="19" t="n">
        <f aca="false">D105*(1+MAX(0,phi*E95))</f>
        <v>83.3794423716459</v>
      </c>
      <c r="F105" s="19" t="n">
        <f aca="false">E105*(1+MAX(0,phi*F95))</f>
        <v>85.3402706461345</v>
      </c>
      <c r="G105" s="19" t="n">
        <f aca="false">F105*(1+MAX(0,phi*G95))</f>
        <v>85.8040465651438</v>
      </c>
    </row>
    <row r="106" customFormat="false" ht="15" hidden="false" customHeight="false" outlineLevel="0" collapsed="false">
      <c r="A106" s="4" t="s">
        <v>349</v>
      </c>
      <c r="B106" s="0" t="s">
        <v>195</v>
      </c>
      <c r="C106" s="19" t="n">
        <f aca="false">C105</f>
        <v>60.7375054</v>
      </c>
      <c r="D106" s="19" t="n">
        <f aca="false">D105</f>
        <v>71.1893725</v>
      </c>
      <c r="E106" s="19" t="n">
        <f aca="false">E105+0*E89</f>
        <v>83.3794423716459</v>
      </c>
      <c r="F106" s="19" t="n">
        <f aca="false">F105+0*F89</f>
        <v>85.3402706461345</v>
      </c>
      <c r="G106" s="19" t="n">
        <f aca="false">G105+0*G89</f>
        <v>85.8040465651438</v>
      </c>
    </row>
    <row r="107" customFormat="false" ht="15" hidden="false" customHeight="false" outlineLevel="0" collapsed="false">
      <c r="A107" s="4" t="s">
        <v>352</v>
      </c>
      <c r="B107" s="0" t="s">
        <v>195</v>
      </c>
      <c r="C107" s="19" t="n">
        <f aca="false">C102-C106</f>
        <v>87.4959868</v>
      </c>
      <c r="D107" s="19" t="n">
        <f aca="false">D102-D106</f>
        <v>127.2697375</v>
      </c>
      <c r="E107" s="19" t="n">
        <f aca="false">E102-E106</f>
        <v>194.34338640056</v>
      </c>
      <c r="F107" s="19" t="n">
        <f aca="false">F102-F106</f>
        <v>231.385425663509</v>
      </c>
      <c r="G107" s="19" t="n">
        <f aca="false">G102-G106</f>
        <v>249.698791091314</v>
      </c>
    </row>
    <row r="108" customFormat="false" ht="15" hidden="false" customHeight="false" outlineLevel="0" collapsed="false">
      <c r="A108" s="4" t="s">
        <v>355</v>
      </c>
      <c r="B108" s="0" t="s">
        <v>52</v>
      </c>
      <c r="C108" s="11" t="n">
        <f aca="false">C107/C89</f>
        <v>0.0412</v>
      </c>
      <c r="D108" s="11" t="n">
        <f aca="false">D107/D89</f>
        <v>0.0318276590104571</v>
      </c>
      <c r="E108" s="11" t="n">
        <f aca="false">E107/E89</f>
        <v>0.0340325858237527</v>
      </c>
      <c r="F108" s="11" t="n">
        <f aca="false">F107/F89</f>
        <v>0.0382692896751384</v>
      </c>
      <c r="G108" s="11" t="n">
        <f aca="false">G107/G89</f>
        <v>0.0407446135213378</v>
      </c>
    </row>
    <row r="109" customFormat="false" ht="17.15" hidden="false" customHeight="false" outlineLevel="0" collapsed="false">
      <c r="A109" s="4" t="s">
        <v>229</v>
      </c>
      <c r="B109" s="0" t="s">
        <v>52</v>
      </c>
      <c r="C109" s="15" t="n">
        <f aca="false">a25_ni/a25_oi</f>
        <v>0.856953590013114</v>
      </c>
      <c r="D109" s="15" t="n">
        <f aca="false">a26_ni/a26_oi</f>
        <v>0.869913569398224</v>
      </c>
      <c r="E109" s="15" t="n">
        <f aca="false">nio_f</f>
        <v>0.865</v>
      </c>
      <c r="F109" s="15" t="n">
        <f aca="false">nio_f</f>
        <v>0.865</v>
      </c>
      <c r="G109" s="15" t="n">
        <f aca="false">nio_f</f>
        <v>0.865</v>
      </c>
    </row>
    <row r="110" customFormat="false" ht="15" hidden="false" customHeight="false" outlineLevel="0" collapsed="false">
      <c r="A110" s="4" t="s">
        <v>356</v>
      </c>
      <c r="B110" s="0" t="s">
        <v>195</v>
      </c>
      <c r="C110" s="19" t="n">
        <f aca="false">a25_ni</f>
        <v>74.98</v>
      </c>
      <c r="D110" s="19" t="n">
        <f aca="false">a26_ni</f>
        <v>110.713671625</v>
      </c>
      <c r="E110" s="19" t="n">
        <f aca="false">E107*E109</f>
        <v>168.107029236484</v>
      </c>
      <c r="F110" s="19" t="n">
        <f aca="false">F107*F109</f>
        <v>200.148393198935</v>
      </c>
      <c r="G110" s="19" t="n">
        <f aca="false">G107*G109</f>
        <v>215.989454293986</v>
      </c>
    </row>
    <row r="111" customFormat="false" ht="15" hidden="false" customHeight="false" outlineLevel="0" collapsed="false">
      <c r="A111" s="4" t="s">
        <v>465</v>
      </c>
      <c r="B111" s="4" t="s">
        <v>216</v>
      </c>
      <c r="C111" s="22" t="n">
        <f aca="false">a25_sh</f>
        <v>3.85501285347044</v>
      </c>
      <c r="D111" s="22" t="n">
        <f aca="false">a26_sh</f>
        <v>3.85460170146945</v>
      </c>
      <c r="E111" s="22" t="n">
        <f aca="false">D111*(1+sh_g)</f>
        <v>3.85460170146945</v>
      </c>
      <c r="F111" s="22" t="n">
        <f aca="false">E111*(1+sh_g)</f>
        <v>3.85460170146945</v>
      </c>
      <c r="G111" s="22" t="n">
        <f aca="false">F111*(1+sh_g)</f>
        <v>3.85460170146945</v>
      </c>
    </row>
    <row r="112" customFormat="false" ht="15" hidden="false" customHeight="false" outlineLevel="0" collapsed="false">
      <c r="A112" s="0" t="s">
        <v>362</v>
      </c>
      <c r="B112" s="0" t="s">
        <v>246</v>
      </c>
      <c r="C112" s="21" t="n">
        <f aca="false">C110/C111</f>
        <v>19.45</v>
      </c>
      <c r="D112" s="21" t="n">
        <f aca="false">D110/D111</f>
        <v>28.7224673778341</v>
      </c>
      <c r="E112" s="21" t="n">
        <f aca="false">E110/E111</f>
        <v>43.6120362766401</v>
      </c>
      <c r="F112" s="21" t="n">
        <f aca="false">F110/F111</f>
        <v>51.9245329868024</v>
      </c>
      <c r="G112" s="21" t="n">
        <f aca="false">G110/G111</f>
        <v>56.0341822636686</v>
      </c>
    </row>
    <row r="113" customFormat="false" ht="17.15" hidden="false" customHeight="false" outlineLevel="0" collapsed="false">
      <c r="A113" s="0" t="s">
        <v>466</v>
      </c>
      <c r="B113" s="0" t="s">
        <v>52</v>
      </c>
      <c r="D113" s="15" t="n">
        <f aca="false">D112/C112-1</f>
        <v>0.476733541276816</v>
      </c>
      <c r="E113" s="15" t="n">
        <f aca="false">E112/D112-1</f>
        <v>0.518394492469567</v>
      </c>
      <c r="F113" s="15" t="n">
        <f aca="false">F112/E112-1</f>
        <v>0.190600976699058</v>
      </c>
      <c r="G113" s="15" t="n">
        <f aca="false">G112/F112-1</f>
        <v>0.0791465814032593</v>
      </c>
    </row>
    <row r="116" customFormat="false" ht="17.15" hidden="false" customHeight="false" outlineLevel="0" collapsed="false">
      <c r="A116" s="1" t="s">
        <v>467</v>
      </c>
    </row>
    <row r="117" customFormat="false" ht="17.15" hidden="false" customHeight="false" outlineLevel="0" collapsed="false">
      <c r="A117" s="5" t="s">
        <v>21</v>
      </c>
      <c r="B117" s="5" t="s">
        <v>22</v>
      </c>
      <c r="C117" s="12" t="s">
        <v>335</v>
      </c>
      <c r="D117" s="12" t="s">
        <v>411</v>
      </c>
      <c r="E117" s="12" t="s">
        <v>412</v>
      </c>
      <c r="F117" s="12" t="s">
        <v>413</v>
      </c>
      <c r="G117" s="12" t="s">
        <v>414</v>
      </c>
      <c r="H117" s="5" t="s">
        <v>384</v>
      </c>
    </row>
    <row r="118" customFormat="false" ht="17.15" hidden="false" customHeight="false" outlineLevel="0" collapsed="false">
      <c r="A118" s="6" t="s">
        <v>431</v>
      </c>
    </row>
    <row r="119" customFormat="false" ht="17.15" hidden="false" customHeight="false" outlineLevel="0" collapsed="false">
      <c r="A119" s="0" t="s">
        <v>432</v>
      </c>
      <c r="B119" s="0" t="s">
        <v>32</v>
      </c>
      <c r="D119" s="21" t="n">
        <f aca="false">itc_26*1</f>
        <v>781.872916666666</v>
      </c>
      <c r="E119" s="21" t="n">
        <f aca="false">itc_27*1*1</f>
        <v>1565.35</v>
      </c>
      <c r="F119" s="21" t="n">
        <f aca="false">itc_28*um28_B*1</f>
        <v>1587.41111111111</v>
      </c>
      <c r="G119" s="21" t="n">
        <f aca="false">itc_29*um29_B*1</f>
        <v>1921.33173611111</v>
      </c>
    </row>
    <row r="120" customFormat="false" ht="17.15" hidden="false" customHeight="false" outlineLevel="0" collapsed="false">
      <c r="A120" s="4" t="s">
        <v>433</v>
      </c>
      <c r="B120" s="0" t="s">
        <v>32</v>
      </c>
      <c r="D120" s="21" t="n">
        <f aca="false">itpg_gb*(1-vr26)+itpg_vr*vr26</f>
        <v>33.41403216</v>
      </c>
      <c r="E120" s="21" t="n">
        <f aca="false">itpg_vr</f>
        <v>37.586352</v>
      </c>
      <c r="F120" s="21" t="n">
        <f aca="false">itpg_vr</f>
        <v>37.586352</v>
      </c>
      <c r="G120" s="21" t="n">
        <f aca="false">itpg_vr</f>
        <v>37.586352</v>
      </c>
    </row>
    <row r="121" customFormat="false" ht="17.15" hidden="false" customHeight="false" outlineLevel="0" collapsed="false">
      <c r="A121" s="4" t="s">
        <v>434</v>
      </c>
      <c r="B121" s="0" t="s">
        <v>386</v>
      </c>
      <c r="D121" s="18" t="n">
        <f aca="false">D119/D120</f>
        <v>23.3995380420639</v>
      </c>
      <c r="E121" s="18" t="n">
        <f aca="false">E119/E120</f>
        <v>41.6467658260637</v>
      </c>
      <c r="F121" s="18" t="n">
        <f aca="false">F119/F120</f>
        <v>42.2337105529984</v>
      </c>
      <c r="G121" s="18" t="n">
        <f aca="false">G119/G120</f>
        <v>51.1178029756948</v>
      </c>
    </row>
    <row r="122" customFormat="false" ht="17.15" hidden="false" customHeight="false" outlineLevel="0" collapsed="false">
      <c r="A122" s="4" t="s">
        <v>388</v>
      </c>
      <c r="B122" s="0" t="s">
        <v>389</v>
      </c>
      <c r="D122" s="16" t="n">
        <f aca="false">(racks_gb*odm_gb*(1-vr26)+racks_vr*odm_vr*vr26)/1000</f>
        <v>27.1209</v>
      </c>
      <c r="E122" s="16" t="n">
        <f aca="false">racks_vr*odm_vr/1000</f>
        <v>27.351</v>
      </c>
      <c r="F122" s="16" t="n">
        <f aca="false">$E122*vpg_28</f>
        <v>27.351</v>
      </c>
      <c r="G122" s="16" t="n">
        <f aca="false">$E122*vpg_29</f>
        <v>27.351</v>
      </c>
      <c r="H122" s="4" t="s">
        <v>435</v>
      </c>
    </row>
    <row r="123" customFormat="false" ht="17.15" hidden="false" customHeight="false" outlineLevel="0" collapsed="false">
      <c r="A123" s="0" t="s">
        <v>436</v>
      </c>
      <c r="B123" s="0" t="s">
        <v>32</v>
      </c>
      <c r="D123" s="19" t="n">
        <f aca="false">D121*D122</f>
        <v>634.61653128501</v>
      </c>
      <c r="E123" s="19" t="n">
        <f aca="false">E121*E122</f>
        <v>1139.08069210867</v>
      </c>
      <c r="F123" s="19" t="n">
        <f aca="false">F121*F122</f>
        <v>1155.13421733506</v>
      </c>
      <c r="G123" s="19" t="n">
        <f aca="false">G121*G122</f>
        <v>1398.12302918823</v>
      </c>
    </row>
    <row r="124" customFormat="false" ht="17.15" hidden="false" customHeight="false" outlineLevel="0" collapsed="false">
      <c r="A124" s="0" t="s">
        <v>437</v>
      </c>
      <c r="B124" s="0" t="s">
        <v>195</v>
      </c>
      <c r="D124" s="19" t="n">
        <f aca="false">D123*fx</f>
        <v>20307.7290011203</v>
      </c>
      <c r="E124" s="19" t="n">
        <f aca="false">E123*fx</f>
        <v>36450.5821474774</v>
      </c>
      <c r="F124" s="19" t="n">
        <f aca="false">F123*fx</f>
        <v>36964.2949547219</v>
      </c>
      <c r="G124" s="19" t="n">
        <f aca="false">G123*fx</f>
        <v>44739.9369340233</v>
      </c>
    </row>
    <row r="125" customFormat="false" ht="17.15" hidden="false" customHeight="false" outlineLevel="0" collapsed="false">
      <c r="A125" s="4" t="s">
        <v>438</v>
      </c>
      <c r="B125" s="0" t="s">
        <v>52</v>
      </c>
      <c r="D125" s="15" t="n">
        <f aca="false">a26_ai/D124</f>
        <v>0.133896123975753</v>
      </c>
      <c r="H125" s="8" t="s">
        <v>439</v>
      </c>
    </row>
    <row r="126" customFormat="false" ht="17.15" hidden="false" customHeight="false" outlineLevel="0" collapsed="false">
      <c r="A126" s="4" t="s">
        <v>440</v>
      </c>
      <c r="B126" s="0" t="s">
        <v>72</v>
      </c>
      <c r="D126" s="16" t="n">
        <f aca="false">1</f>
        <v>1</v>
      </c>
      <c r="E126" s="16" t="n">
        <f aca="false">rel_27</f>
        <v>1</v>
      </c>
      <c r="F126" s="16" t="n">
        <f aca="false">rel_28</f>
        <v>0.95</v>
      </c>
      <c r="G126" s="16" t="n">
        <f aca="false">rel_29</f>
        <v>0.9</v>
      </c>
    </row>
    <row r="127" customFormat="false" ht="15" hidden="false" customHeight="false" outlineLevel="0" collapsed="false">
      <c r="A127" s="4" t="s">
        <v>393</v>
      </c>
      <c r="B127" s="0" t="s">
        <v>52</v>
      </c>
      <c r="D127" s="15" t="n">
        <f aca="false">$D$125*D126</f>
        <v>0.133896123975753</v>
      </c>
      <c r="E127" s="15" t="n">
        <f aca="false">$D$125*E126</f>
        <v>0.133896123975753</v>
      </c>
      <c r="F127" s="15" t="n">
        <f aca="false">$D$125*F126</f>
        <v>0.127201317776965</v>
      </c>
      <c r="G127" s="15" t="n">
        <f aca="false">$D$125*G126</f>
        <v>0.120506511578178</v>
      </c>
    </row>
    <row r="128" customFormat="false" ht="17.15" hidden="false" customHeight="false" outlineLevel="0" collapsed="false">
      <c r="A128" s="0" t="s">
        <v>441</v>
      </c>
      <c r="B128" s="0" t="s">
        <v>195</v>
      </c>
      <c r="D128" s="19" t="n">
        <f aca="false">D124*D127</f>
        <v>2719.1262</v>
      </c>
      <c r="E128" s="19" t="n">
        <f aca="false">E124*E127</f>
        <v>4880.59166620699</v>
      </c>
      <c r="F128" s="19" t="n">
        <f aca="false">F124*F127</f>
        <v>4701.90702893705</v>
      </c>
      <c r="G128" s="19" t="n">
        <f aca="false">G124*G127</f>
        <v>5391.45372814682</v>
      </c>
    </row>
    <row r="129" customFormat="false" ht="17.15" hidden="false" customHeight="false" outlineLevel="0" collapsed="false">
      <c r="A129" s="4" t="s">
        <v>397</v>
      </c>
      <c r="B129" s="0" t="s">
        <v>52</v>
      </c>
      <c r="D129" s="15" t="n">
        <f aca="false">0</f>
        <v>0</v>
      </c>
      <c r="E129" s="15" t="n">
        <f aca="false">cs_27</f>
        <v>0.1</v>
      </c>
      <c r="F129" s="15" t="n">
        <f aca="false">cs_28</f>
        <v>0.2</v>
      </c>
      <c r="G129" s="15" t="n">
        <f aca="false">cs_29</f>
        <v>0.25</v>
      </c>
      <c r="H129" s="8" t="s">
        <v>442</v>
      </c>
    </row>
    <row r="130" customFormat="false" ht="17.15" hidden="false" customHeight="false" outlineLevel="0" collapsed="false">
      <c r="A130" s="0" t="s">
        <v>443</v>
      </c>
      <c r="B130" s="0" t="s">
        <v>195</v>
      </c>
      <c r="C130" s="19" t="n">
        <f aca="false">a25_ai</f>
        <v>905.033</v>
      </c>
      <c r="D130" s="19" t="n">
        <f aca="false">D128*(1-D129)</f>
        <v>2719.1262</v>
      </c>
      <c r="E130" s="19" t="n">
        <f aca="false">E128*(1-E129)</f>
        <v>4392.53249958629</v>
      </c>
      <c r="F130" s="19" t="n">
        <f aca="false">F128*(1-F129)</f>
        <v>3761.52562314964</v>
      </c>
      <c r="G130" s="19" t="n">
        <f aca="false">G128*(1-G129)</f>
        <v>4043.59029611011</v>
      </c>
    </row>
    <row r="131" customFormat="false" ht="17.15" hidden="false" customHeight="false" outlineLevel="0" collapsed="false">
      <c r="A131" s="6" t="s">
        <v>444</v>
      </c>
    </row>
    <row r="132" customFormat="false" ht="17.15" hidden="false" customHeight="false" outlineLevel="0" collapsed="false">
      <c r="A132" s="4" t="s">
        <v>370</v>
      </c>
      <c r="B132" s="0" t="s">
        <v>195</v>
      </c>
      <c r="C132" s="19" t="n">
        <f aca="false">a25_nai</f>
        <v>1218.656</v>
      </c>
      <c r="D132" s="19" t="n">
        <f aca="false">a26_nai</f>
        <v>1279.5888</v>
      </c>
      <c r="E132" s="19" t="n">
        <f aca="false">D132*(1+g_nai27)</f>
        <v>1317.976464</v>
      </c>
      <c r="F132" s="19" t="n">
        <f aca="false">E132*(1+g_nai28)</f>
        <v>1344.33599328</v>
      </c>
      <c r="G132" s="19" t="n">
        <f aca="false">F132*(1+g_nai29)</f>
        <v>1371.2227131456</v>
      </c>
    </row>
    <row r="133" customFormat="false" ht="15" hidden="false" customHeight="false" outlineLevel="0" collapsed="false">
      <c r="A133" s="4" t="s">
        <v>341</v>
      </c>
      <c r="B133" s="0" t="s">
        <v>195</v>
      </c>
      <c r="C133" s="19" t="n">
        <f aca="false">C130+C132</f>
        <v>2123.689</v>
      </c>
      <c r="D133" s="19" t="n">
        <f aca="false">D130+D132</f>
        <v>3998.715</v>
      </c>
      <c r="E133" s="19" t="n">
        <f aca="false">E130+E132</f>
        <v>5710.50896358629</v>
      </c>
      <c r="F133" s="19" t="n">
        <f aca="false">F130+F132</f>
        <v>5105.86161642964</v>
      </c>
      <c r="G133" s="19" t="n">
        <f aca="false">G130+G132</f>
        <v>5414.81300925571</v>
      </c>
    </row>
    <row r="134" customFormat="false" ht="17.15" hidden="false" customHeight="false" outlineLevel="0" collapsed="false">
      <c r="A134" s="4" t="s">
        <v>445</v>
      </c>
      <c r="B134" s="0" t="s">
        <v>195</v>
      </c>
      <c r="C134" s="19" t="n">
        <f aca="false">srv_25*C133-C130</f>
        <v>602.78619</v>
      </c>
      <c r="D134" s="19" t="n">
        <f aca="false">srv_26*D133-D130</f>
        <v>679.78155</v>
      </c>
      <c r="E134" s="19" t="n">
        <f aca="false">D134*(1+g_gs27)</f>
        <v>747.759705</v>
      </c>
      <c r="F134" s="19" t="n">
        <f aca="false">E134*(1+g_gs28)</f>
        <v>785.14769025</v>
      </c>
      <c r="G134" s="19" t="n">
        <f aca="false">F134*(1+g_gs29)</f>
        <v>824.4050747625</v>
      </c>
      <c r="H134" s="8" t="s">
        <v>446</v>
      </c>
    </row>
    <row r="135" customFormat="false" ht="17.15" hidden="false" customHeight="false" outlineLevel="0" collapsed="false">
      <c r="A135" s="4" t="s">
        <v>447</v>
      </c>
      <c r="B135" s="0" t="s">
        <v>195</v>
      </c>
      <c r="C135" s="19" t="n">
        <f aca="false">C130+C134</f>
        <v>1507.81919</v>
      </c>
      <c r="D135" s="19" t="n">
        <f aca="false">D130+D134</f>
        <v>3398.90775</v>
      </c>
      <c r="E135" s="19" t="n">
        <f aca="false">E130+E134</f>
        <v>5140.29220458629</v>
      </c>
      <c r="F135" s="19" t="n">
        <f aca="false">F130+F134</f>
        <v>4546.67331339964</v>
      </c>
      <c r="G135" s="19" t="n">
        <f aca="false">G130+G134</f>
        <v>4867.99537087261</v>
      </c>
      <c r="H135" s="4" t="s">
        <v>448</v>
      </c>
    </row>
    <row r="136" customFormat="false" ht="15" hidden="false" customHeight="false" outlineLevel="0" collapsed="false">
      <c r="A136" s="4" t="s">
        <v>449</v>
      </c>
      <c r="B136" s="0" t="s">
        <v>195</v>
      </c>
      <c r="C136" s="19" t="n">
        <f aca="false">nbsh_25*C133</f>
        <v>467.21158</v>
      </c>
      <c r="D136" s="19" t="n">
        <f aca="false">nbsh_26*D133</f>
        <v>439.85865</v>
      </c>
      <c r="E136" s="19" t="n">
        <f aca="false">D136*(1+g_nb27)</f>
        <v>395.872785</v>
      </c>
      <c r="F136" s="19" t="n">
        <f aca="false">E136*(1+g_nb28)</f>
        <v>376.07914575</v>
      </c>
      <c r="G136" s="19" t="n">
        <f aca="false">F136*(1+g_nb29)</f>
        <v>364.7967713775</v>
      </c>
      <c r="H136" s="4" t="s">
        <v>450</v>
      </c>
    </row>
    <row r="137" customFormat="false" ht="17.15" hidden="false" customHeight="false" outlineLevel="0" collapsed="false">
      <c r="A137" s="4" t="s">
        <v>451</v>
      </c>
      <c r="B137" s="0" t="s">
        <v>195</v>
      </c>
      <c r="C137" s="19" t="n">
        <f aca="false">C132-C136-C134</f>
        <v>148.65823</v>
      </c>
      <c r="D137" s="19" t="n">
        <f aca="false">D132-D136-D134</f>
        <v>159.9486</v>
      </c>
      <c r="E137" s="19" t="n">
        <f aca="false">E132-E136-E134</f>
        <v>174.343974</v>
      </c>
      <c r="F137" s="19" t="n">
        <f aca="false">F132-F136-F134</f>
        <v>183.10915728</v>
      </c>
      <c r="G137" s="19" t="n">
        <f aca="false">G132-G136-G134</f>
        <v>182.0208670056</v>
      </c>
    </row>
    <row r="138" customFormat="false" ht="15" hidden="false" customHeight="false" outlineLevel="0" collapsed="false">
      <c r="A138" s="4" t="s">
        <v>452</v>
      </c>
      <c r="B138" s="0" t="s">
        <v>195</v>
      </c>
      <c r="C138" s="22" t="n">
        <f aca="false">C135+C136+C137-C133</f>
        <v>0</v>
      </c>
      <c r="D138" s="22" t="n">
        <f aca="false">D135+D136+D137-D133</f>
        <v>0</v>
      </c>
      <c r="E138" s="22" t="n">
        <f aca="false">E135+E136+E137-E133</f>
        <v>0</v>
      </c>
      <c r="F138" s="22" t="n">
        <f aca="false">F135+F136+F137-F133</f>
        <v>0</v>
      </c>
      <c r="G138" s="22" t="n">
        <f aca="false">G135+G136+G137-G133</f>
        <v>0</v>
      </c>
    </row>
    <row r="139" customFormat="false" ht="15" hidden="false" customHeight="false" outlineLevel="0" collapsed="false">
      <c r="A139" s="4" t="s">
        <v>453</v>
      </c>
      <c r="B139" s="0" t="s">
        <v>52</v>
      </c>
      <c r="D139" s="15" t="n">
        <f aca="false">D133/C133-1</f>
        <v>0.88290987993063</v>
      </c>
      <c r="E139" s="15" t="n">
        <f aca="false">E133/D133-1</f>
        <v>0.428086013528419</v>
      </c>
      <c r="F139" s="15" t="n">
        <f aca="false">F133/E133-1</f>
        <v>-0.105883267325602</v>
      </c>
      <c r="G139" s="15" t="n">
        <f aca="false">G133/F133-1</f>
        <v>0.0605091590872593</v>
      </c>
    </row>
    <row r="140" customFormat="false" ht="17.15" hidden="false" customHeight="false" outlineLevel="0" collapsed="false">
      <c r="A140" s="0" t="s">
        <v>454</v>
      </c>
      <c r="B140" s="0" t="s">
        <v>52</v>
      </c>
      <c r="C140" s="15" t="n">
        <f aca="false">C130/C133</f>
        <v>0.426160798497332</v>
      </c>
      <c r="D140" s="15" t="n">
        <f aca="false">D130/D133</f>
        <v>0.68</v>
      </c>
      <c r="E140" s="15" t="n">
        <f aca="false">E130/E133</f>
        <v>0.769201576881461</v>
      </c>
      <c r="F140" s="15" t="n">
        <f aca="false">F130/F133</f>
        <v>0.736707319102775</v>
      </c>
      <c r="G140" s="15" t="n">
        <f aca="false">G130/G133</f>
        <v>0.746764530778491</v>
      </c>
    </row>
    <row r="141" customFormat="false" ht="17.15" hidden="false" customHeight="false" outlineLevel="0" collapsed="false">
      <c r="A141" s="4" t="s">
        <v>403</v>
      </c>
      <c r="B141" s="0" t="s">
        <v>389</v>
      </c>
      <c r="D141" s="16" t="n">
        <f aca="false">D130/fx/D121</f>
        <v>3.631383388734</v>
      </c>
      <c r="E141" s="16" t="n">
        <f aca="false">E130/fx/E121</f>
        <v>3.29597359817473</v>
      </c>
      <c r="F141" s="16" t="n">
        <f aca="false">F130/fx/F121</f>
        <v>2.78326659401422</v>
      </c>
      <c r="G141" s="16" t="n">
        <f aca="false">G130/fx/G121</f>
        <v>2.47198019863105</v>
      </c>
    </row>
    <row r="142" customFormat="false" ht="17.15" hidden="false" customHeight="false" outlineLevel="0" collapsed="false">
      <c r="A142" s="4" t="s">
        <v>455</v>
      </c>
      <c r="B142" s="4" t="s">
        <v>401</v>
      </c>
      <c r="D142" s="19" t="n">
        <f aca="false">D128/fx/(odm_gb*(1-vr26)+odm_vr*vr26)</f>
        <v>18.4522679153094</v>
      </c>
      <c r="E142" s="19" t="n">
        <f aca="false">E128/fx/odm_vr</f>
        <v>22.5953317879953</v>
      </c>
      <c r="F142" s="19" t="n">
        <f aca="false">F128/fx/odm_vr</f>
        <v>21.7680880969308</v>
      </c>
      <c r="G142" s="19" t="n">
        <f aca="false">G128/fx/odm_vr</f>
        <v>24.9604339266056</v>
      </c>
      <c r="H142" s="4" t="s">
        <v>456</v>
      </c>
    </row>
    <row r="143" customFormat="false" ht="17.15" hidden="false" customHeight="false" outlineLevel="0" collapsed="false">
      <c r="A143" s="6" t="s">
        <v>457</v>
      </c>
    </row>
    <row r="144" customFormat="false" ht="17.15" hidden="false" customHeight="false" outlineLevel="0" collapsed="false">
      <c r="A144" s="4" t="s">
        <v>458</v>
      </c>
      <c r="B144" s="0" t="s">
        <v>52</v>
      </c>
      <c r="D144" s="11" t="n">
        <f aca="false">a26_gp/D133-d_ai*D140</f>
        <v>0.0632307213692399</v>
      </c>
      <c r="H144" s="8" t="s">
        <v>459</v>
      </c>
    </row>
    <row r="145" customFormat="false" ht="17.15" hidden="false" customHeight="false" outlineLevel="0" collapsed="false">
      <c r="A145" s="0" t="s">
        <v>460</v>
      </c>
      <c r="B145" s="0" t="s">
        <v>195</v>
      </c>
      <c r="D145" s="21" t="n">
        <f aca="false">($D$144+d_ai)*D128*(1-D129*(1-keep))</f>
        <v>117.54978712</v>
      </c>
      <c r="E145" s="21" t="n">
        <f aca="false">($D$144+d_ai+vrd)*E128*(1-E129*(1-keep))</f>
        <v>194.386226205806</v>
      </c>
      <c r="F145" s="21" t="n">
        <f aca="false">($D$144+d_ai+vrd)*F128*(1-F129*(1-keep))</f>
        <v>185.377889353532</v>
      </c>
      <c r="G145" s="21" t="n">
        <f aca="false">($D$144+d_ai+vrd)*G128*(1-G129*(1-keep))</f>
        <v>211.479520894419</v>
      </c>
      <c r="H145" s="4" t="s">
        <v>461</v>
      </c>
    </row>
    <row r="146" customFormat="false" ht="15" hidden="false" customHeight="false" outlineLevel="0" collapsed="false">
      <c r="A146" s="4" t="s">
        <v>345</v>
      </c>
      <c r="B146" s="0" t="s">
        <v>195</v>
      </c>
      <c r="C146" s="19" t="n">
        <f aca="false">a25_gp</f>
        <v>148.2334922</v>
      </c>
      <c r="D146" s="19" t="n">
        <f aca="false">a26_gp</f>
        <v>198.45911</v>
      </c>
      <c r="E146" s="19" t="n">
        <f aca="false">$D$144*E132+E145</f>
        <v>277.722828772206</v>
      </c>
      <c r="F146" s="19" t="n">
        <f aca="false">$D$144*F132+F145</f>
        <v>270.38122397126</v>
      </c>
      <c r="G146" s="19" t="n">
        <f aca="false">$D$144*G132+G145</f>
        <v>298.182922204501</v>
      </c>
    </row>
    <row r="147" customFormat="false" ht="15" hidden="false" customHeight="false" outlineLevel="0" collapsed="false">
      <c r="A147" s="4" t="s">
        <v>348</v>
      </c>
      <c r="B147" s="0" t="s">
        <v>52</v>
      </c>
      <c r="C147" s="11" t="n">
        <f aca="false">C146/C133</f>
        <v>0.0698</v>
      </c>
      <c r="D147" s="11" t="n">
        <f aca="false">D146/D133</f>
        <v>0.0496307213692399</v>
      </c>
      <c r="E147" s="11" t="n">
        <f aca="false">E146/E133</f>
        <v>0.0486336385325961</v>
      </c>
      <c r="F147" s="11" t="n">
        <f aca="false">F146/F133</f>
        <v>0.0529550630791143</v>
      </c>
      <c r="G147" s="11" t="n">
        <f aca="false">G146/G133</f>
        <v>0.0550679998911888</v>
      </c>
    </row>
    <row r="148" customFormat="false" ht="17.15" hidden="false" customHeight="false" outlineLevel="0" collapsed="false">
      <c r="A148" s="0" t="s">
        <v>462</v>
      </c>
      <c r="B148" s="0" t="s">
        <v>52</v>
      </c>
      <c r="D148" s="11" t="n">
        <f aca="false">D145/D130</f>
        <v>0.0432307213692399</v>
      </c>
      <c r="E148" s="11" t="n">
        <f aca="false">E145/E130</f>
        <v>0.0442537935061639</v>
      </c>
      <c r="F148" s="11" t="n">
        <f aca="false">F145/F130</f>
        <v>0.0492826336773188</v>
      </c>
      <c r="G148" s="11" t="n">
        <f aca="false">G145/G130</f>
        <v>0.0522999377800118</v>
      </c>
      <c r="H148" s="4" t="s">
        <v>463</v>
      </c>
    </row>
    <row r="149" customFormat="false" ht="15" hidden="false" customHeight="false" outlineLevel="0" collapsed="false">
      <c r="A149" s="4" t="s">
        <v>464</v>
      </c>
      <c r="B149" s="0" t="s">
        <v>195</v>
      </c>
      <c r="C149" s="19" t="n">
        <f aca="false">a25_opx</f>
        <v>60.7375054</v>
      </c>
      <c r="D149" s="19" t="n">
        <f aca="false">a26_opx</f>
        <v>71.1893725</v>
      </c>
      <c r="E149" s="19" t="n">
        <f aca="false">D149*(1+MAX(0,phi*E139))</f>
        <v>83.3794423716459</v>
      </c>
      <c r="F149" s="19" t="n">
        <f aca="false">E149*(1+MAX(0,phi*F139))</f>
        <v>83.3794423716459</v>
      </c>
      <c r="G149" s="19" t="n">
        <f aca="false">F149*(1+MAX(0,phi*G139))</f>
        <v>85.397530348875</v>
      </c>
    </row>
    <row r="150" customFormat="false" ht="15" hidden="false" customHeight="false" outlineLevel="0" collapsed="false">
      <c r="A150" s="4" t="s">
        <v>349</v>
      </c>
      <c r="B150" s="0" t="s">
        <v>195</v>
      </c>
      <c r="C150" s="19" t="n">
        <f aca="false">C149</f>
        <v>60.7375054</v>
      </c>
      <c r="D150" s="19" t="n">
        <f aca="false">D149</f>
        <v>71.1893725</v>
      </c>
      <c r="E150" s="19" t="n">
        <f aca="false">E149+0*E133</f>
        <v>83.3794423716459</v>
      </c>
      <c r="F150" s="19" t="n">
        <f aca="false">F149+0*F133</f>
        <v>83.3794423716459</v>
      </c>
      <c r="G150" s="19" t="n">
        <f aca="false">G149+0*G133</f>
        <v>85.397530348875</v>
      </c>
    </row>
    <row r="151" customFormat="false" ht="15" hidden="false" customHeight="false" outlineLevel="0" collapsed="false">
      <c r="A151" s="4" t="s">
        <v>352</v>
      </c>
      <c r="B151" s="0" t="s">
        <v>195</v>
      </c>
      <c r="C151" s="19" t="n">
        <f aca="false">C146-C150</f>
        <v>87.4959868</v>
      </c>
      <c r="D151" s="19" t="n">
        <f aca="false">D146-D150</f>
        <v>127.2697375</v>
      </c>
      <c r="E151" s="19" t="n">
        <f aca="false">E146-E150</f>
        <v>194.34338640056</v>
      </c>
      <c r="F151" s="19" t="n">
        <f aca="false">F146-F150</f>
        <v>187.001781599614</v>
      </c>
      <c r="G151" s="19" t="n">
        <f aca="false">G146-G150</f>
        <v>212.785391855626</v>
      </c>
    </row>
    <row r="152" customFormat="false" ht="15" hidden="false" customHeight="false" outlineLevel="0" collapsed="false">
      <c r="A152" s="4" t="s">
        <v>355</v>
      </c>
      <c r="B152" s="0" t="s">
        <v>52</v>
      </c>
      <c r="C152" s="11" t="n">
        <f aca="false">C151/C133</f>
        <v>0.0412</v>
      </c>
      <c r="D152" s="11" t="n">
        <f aca="false">D151/D133</f>
        <v>0.0318276590104571</v>
      </c>
      <c r="E152" s="11" t="n">
        <f aca="false">E151/E133</f>
        <v>0.0340325858237527</v>
      </c>
      <c r="F152" s="11" t="n">
        <f aca="false">F151/F133</f>
        <v>0.0366249216386672</v>
      </c>
      <c r="G152" s="11" t="n">
        <f aca="false">G151/G133</f>
        <v>0.0392969048962365</v>
      </c>
    </row>
    <row r="153" customFormat="false" ht="17.15" hidden="false" customHeight="false" outlineLevel="0" collapsed="false">
      <c r="A153" s="4" t="s">
        <v>229</v>
      </c>
      <c r="B153" s="0" t="s">
        <v>52</v>
      </c>
      <c r="C153" s="15" t="n">
        <f aca="false">a25_ni/a25_oi</f>
        <v>0.856953590013114</v>
      </c>
      <c r="D153" s="15" t="n">
        <f aca="false">a26_ni/a26_oi</f>
        <v>0.869913569398224</v>
      </c>
      <c r="E153" s="15" t="n">
        <f aca="false">nio_f</f>
        <v>0.865</v>
      </c>
      <c r="F153" s="15" t="n">
        <f aca="false">nio_f</f>
        <v>0.865</v>
      </c>
      <c r="G153" s="15" t="n">
        <f aca="false">nio_f</f>
        <v>0.865</v>
      </c>
    </row>
    <row r="154" customFormat="false" ht="15" hidden="false" customHeight="false" outlineLevel="0" collapsed="false">
      <c r="A154" s="4" t="s">
        <v>356</v>
      </c>
      <c r="B154" s="0" t="s">
        <v>195</v>
      </c>
      <c r="C154" s="19" t="n">
        <f aca="false">a25_ni</f>
        <v>74.98</v>
      </c>
      <c r="D154" s="19" t="n">
        <f aca="false">a26_ni</f>
        <v>110.713671625</v>
      </c>
      <c r="E154" s="19" t="n">
        <f aca="false">E151*E153</f>
        <v>168.107029236484</v>
      </c>
      <c r="F154" s="19" t="n">
        <f aca="false">F151*F153</f>
        <v>161.756541083666</v>
      </c>
      <c r="G154" s="19" t="n">
        <f aca="false">G151*G153</f>
        <v>184.059363955117</v>
      </c>
    </row>
    <row r="155" customFormat="false" ht="15" hidden="false" customHeight="false" outlineLevel="0" collapsed="false">
      <c r="A155" s="4" t="s">
        <v>465</v>
      </c>
      <c r="B155" s="4" t="s">
        <v>216</v>
      </c>
      <c r="C155" s="22" t="n">
        <f aca="false">a25_sh</f>
        <v>3.85501285347044</v>
      </c>
      <c r="D155" s="22" t="n">
        <f aca="false">a26_sh</f>
        <v>3.85460170146945</v>
      </c>
      <c r="E155" s="22" t="n">
        <f aca="false">D155*(1+sh_g)</f>
        <v>3.85460170146945</v>
      </c>
      <c r="F155" s="22" t="n">
        <f aca="false">E155*(1+sh_g)</f>
        <v>3.85460170146945</v>
      </c>
      <c r="G155" s="22" t="n">
        <f aca="false">F155*(1+sh_g)</f>
        <v>3.85460170146945</v>
      </c>
    </row>
    <row r="156" customFormat="false" ht="15" hidden="false" customHeight="false" outlineLevel="0" collapsed="false">
      <c r="A156" s="0" t="s">
        <v>362</v>
      </c>
      <c r="B156" s="0" t="s">
        <v>246</v>
      </c>
      <c r="C156" s="21" t="n">
        <f aca="false">C154/C155</f>
        <v>19.45</v>
      </c>
      <c r="D156" s="21" t="n">
        <f aca="false">D154/D155</f>
        <v>28.7224673778341</v>
      </c>
      <c r="E156" s="21" t="n">
        <f aca="false">E154/E155</f>
        <v>43.6120362766401</v>
      </c>
      <c r="F156" s="21" t="n">
        <f aca="false">F154/F155</f>
        <v>41.9645280138806</v>
      </c>
      <c r="G156" s="21" t="n">
        <f aca="false">G154/G155</f>
        <v>47.750553289319</v>
      </c>
    </row>
    <row r="157" customFormat="false" ht="17.15" hidden="false" customHeight="false" outlineLevel="0" collapsed="false">
      <c r="A157" s="0" t="s">
        <v>466</v>
      </c>
      <c r="B157" s="0" t="s">
        <v>52</v>
      </c>
      <c r="D157" s="15" t="n">
        <f aca="false">D156/C156-1</f>
        <v>0.476733541276816</v>
      </c>
      <c r="E157" s="15" t="n">
        <f aca="false">E156/D156-1</f>
        <v>0.518394492469567</v>
      </c>
      <c r="F157" s="15" t="n">
        <f aca="false">F156/E156-1</f>
        <v>-0.0377764581389645</v>
      </c>
      <c r="G157" s="15" t="n">
        <f aca="false">G156/F156-1</f>
        <v>0.137878955138601</v>
      </c>
    </row>
    <row r="160" customFormat="false" ht="17.15" hidden="false" customHeight="false" outlineLevel="0" collapsed="false">
      <c r="A160" s="1" t="s">
        <v>468</v>
      </c>
    </row>
    <row r="161" customFormat="false" ht="17.15" hidden="false" customHeight="false" outlineLevel="0" collapsed="false">
      <c r="A161" s="5" t="s">
        <v>21</v>
      </c>
      <c r="B161" s="5" t="s">
        <v>22</v>
      </c>
      <c r="C161" s="12" t="s">
        <v>335</v>
      </c>
      <c r="D161" s="12" t="s">
        <v>411</v>
      </c>
      <c r="E161" s="12" t="s">
        <v>412</v>
      </c>
      <c r="F161" s="12" t="s">
        <v>413</v>
      </c>
      <c r="G161" s="12" t="s">
        <v>414</v>
      </c>
      <c r="H161" s="5" t="s">
        <v>384</v>
      </c>
    </row>
    <row r="162" customFormat="false" ht="17.15" hidden="false" customHeight="false" outlineLevel="0" collapsed="false">
      <c r="A162" s="6" t="s">
        <v>431</v>
      </c>
    </row>
    <row r="163" customFormat="false" ht="17.15" hidden="false" customHeight="false" outlineLevel="0" collapsed="false">
      <c r="A163" s="0" t="s">
        <v>432</v>
      </c>
      <c r="B163" s="0" t="s">
        <v>32</v>
      </c>
      <c r="D163" s="21" t="n">
        <f aca="false">itc_26*1</f>
        <v>781.872916666666</v>
      </c>
      <c r="E163" s="21" t="n">
        <f aca="false">itc_27*1*1</f>
        <v>1565.35</v>
      </c>
      <c r="F163" s="21" t="n">
        <f aca="false">itc_28*um28_C*1</f>
        <v>1190.55833333333</v>
      </c>
      <c r="G163" s="21" t="n">
        <f aca="false">itc_29*um29_C*1</f>
        <v>1356.23416666667</v>
      </c>
    </row>
    <row r="164" customFormat="false" ht="17.15" hidden="false" customHeight="false" outlineLevel="0" collapsed="false">
      <c r="A164" s="4" t="s">
        <v>433</v>
      </c>
      <c r="B164" s="0" t="s">
        <v>32</v>
      </c>
      <c r="D164" s="21" t="n">
        <f aca="false">itpg_gb*(1-vr26)+itpg_vr*vr26</f>
        <v>33.41403216</v>
      </c>
      <c r="E164" s="21" t="n">
        <f aca="false">itpg_vr</f>
        <v>37.586352</v>
      </c>
      <c r="F164" s="21" t="n">
        <f aca="false">itpg_vr</f>
        <v>37.586352</v>
      </c>
      <c r="G164" s="21" t="n">
        <f aca="false">itpg_vr</f>
        <v>37.586352</v>
      </c>
    </row>
    <row r="165" customFormat="false" ht="17.15" hidden="false" customHeight="false" outlineLevel="0" collapsed="false">
      <c r="A165" s="4" t="s">
        <v>434</v>
      </c>
      <c r="B165" s="0" t="s">
        <v>386</v>
      </c>
      <c r="D165" s="18" t="n">
        <f aca="false">D163/D164</f>
        <v>23.3995380420639</v>
      </c>
      <c r="E165" s="18" t="n">
        <f aca="false">E163/E164</f>
        <v>41.6467658260637</v>
      </c>
      <c r="F165" s="18" t="n">
        <f aca="false">F163/F164</f>
        <v>31.6752829147488</v>
      </c>
      <c r="G165" s="18" t="n">
        <f aca="false">G163/G164</f>
        <v>36.0831550416669</v>
      </c>
    </row>
    <row r="166" customFormat="false" ht="17.15" hidden="false" customHeight="false" outlineLevel="0" collapsed="false">
      <c r="A166" s="4" t="s">
        <v>388</v>
      </c>
      <c r="B166" s="0" t="s">
        <v>389</v>
      </c>
      <c r="D166" s="16" t="n">
        <f aca="false">(racks_gb*odm_gb*(1-vr26)+racks_vr*odm_vr*vr26)/1000</f>
        <v>27.1209</v>
      </c>
      <c r="E166" s="16" t="n">
        <f aca="false">racks_vr*odm_vr/1000</f>
        <v>27.351</v>
      </c>
      <c r="F166" s="16" t="n">
        <f aca="false">$E166*vpg_28</f>
        <v>27.351</v>
      </c>
      <c r="G166" s="16" t="n">
        <f aca="false">$E166*vpg_29</f>
        <v>27.351</v>
      </c>
      <c r="H166" s="4" t="s">
        <v>435</v>
      </c>
    </row>
    <row r="167" customFormat="false" ht="17.15" hidden="false" customHeight="false" outlineLevel="0" collapsed="false">
      <c r="A167" s="0" t="s">
        <v>436</v>
      </c>
      <c r="B167" s="0" t="s">
        <v>32</v>
      </c>
      <c r="D167" s="19" t="n">
        <f aca="false">D165*D166</f>
        <v>634.61653128501</v>
      </c>
      <c r="E167" s="19" t="n">
        <f aca="false">E165*E166</f>
        <v>1139.08069210867</v>
      </c>
      <c r="F167" s="19" t="n">
        <f aca="false">F165*F166</f>
        <v>866.350663001294</v>
      </c>
      <c r="G167" s="19" t="n">
        <f aca="false">G165*G166</f>
        <v>986.910373544632</v>
      </c>
    </row>
    <row r="168" customFormat="false" ht="17.15" hidden="false" customHeight="false" outlineLevel="0" collapsed="false">
      <c r="A168" s="0" t="s">
        <v>437</v>
      </c>
      <c r="B168" s="0" t="s">
        <v>195</v>
      </c>
      <c r="D168" s="19" t="n">
        <f aca="false">D167*fx</f>
        <v>20307.7290011203</v>
      </c>
      <c r="E168" s="19" t="n">
        <f aca="false">E167*fx</f>
        <v>36450.5821474774</v>
      </c>
      <c r="F168" s="19" t="n">
        <f aca="false">F167*fx</f>
        <v>27723.2212160414</v>
      </c>
      <c r="G168" s="19" t="n">
        <f aca="false">G167*fx</f>
        <v>31581.1319534282</v>
      </c>
    </row>
    <row r="169" customFormat="false" ht="17.15" hidden="false" customHeight="false" outlineLevel="0" collapsed="false">
      <c r="A169" s="4" t="s">
        <v>438</v>
      </c>
      <c r="B169" s="0" t="s">
        <v>52</v>
      </c>
      <c r="D169" s="15" t="n">
        <f aca="false">a26_ai/D168</f>
        <v>0.133896123975753</v>
      </c>
      <c r="H169" s="8" t="s">
        <v>439</v>
      </c>
    </row>
    <row r="170" customFormat="false" ht="17.15" hidden="false" customHeight="false" outlineLevel="0" collapsed="false">
      <c r="A170" s="4" t="s">
        <v>440</v>
      </c>
      <c r="B170" s="0" t="s">
        <v>72</v>
      </c>
      <c r="D170" s="16" t="n">
        <f aca="false">1</f>
        <v>1</v>
      </c>
      <c r="E170" s="16" t="n">
        <f aca="false">rel_27</f>
        <v>1</v>
      </c>
      <c r="F170" s="16" t="n">
        <f aca="false">rel_28</f>
        <v>0.95</v>
      </c>
      <c r="G170" s="16" t="n">
        <f aca="false">rel_29</f>
        <v>0.9</v>
      </c>
    </row>
    <row r="171" customFormat="false" ht="15" hidden="false" customHeight="false" outlineLevel="0" collapsed="false">
      <c r="A171" s="4" t="s">
        <v>393</v>
      </c>
      <c r="B171" s="0" t="s">
        <v>52</v>
      </c>
      <c r="D171" s="15" t="n">
        <f aca="false">$D$169*D170</f>
        <v>0.133896123975753</v>
      </c>
      <c r="E171" s="15" t="n">
        <f aca="false">$D$169*E170</f>
        <v>0.133896123975753</v>
      </c>
      <c r="F171" s="15" t="n">
        <f aca="false">$D$169*F170</f>
        <v>0.127201317776965</v>
      </c>
      <c r="G171" s="15" t="n">
        <f aca="false">$D$169*G170</f>
        <v>0.120506511578178</v>
      </c>
    </row>
    <row r="172" customFormat="false" ht="17.15" hidden="false" customHeight="false" outlineLevel="0" collapsed="false">
      <c r="A172" s="0" t="s">
        <v>441</v>
      </c>
      <c r="B172" s="0" t="s">
        <v>195</v>
      </c>
      <c r="D172" s="19" t="n">
        <f aca="false">D168*D171</f>
        <v>2719.1262</v>
      </c>
      <c r="E172" s="19" t="n">
        <f aca="false">E168*E171</f>
        <v>4880.59166620699</v>
      </c>
      <c r="F172" s="19" t="n">
        <f aca="false">F168*F171</f>
        <v>3526.43027170279</v>
      </c>
      <c r="G172" s="19" t="n">
        <f aca="false">G168*G171</f>
        <v>3805.73204339775</v>
      </c>
    </row>
    <row r="173" customFormat="false" ht="17.15" hidden="false" customHeight="false" outlineLevel="0" collapsed="false">
      <c r="A173" s="4" t="s">
        <v>397</v>
      </c>
      <c r="B173" s="0" t="s">
        <v>52</v>
      </c>
      <c r="D173" s="15" t="n">
        <f aca="false">0</f>
        <v>0</v>
      </c>
      <c r="E173" s="15" t="n">
        <f aca="false">cs_27</f>
        <v>0.1</v>
      </c>
      <c r="F173" s="15" t="n">
        <f aca="false">cs_28</f>
        <v>0.2</v>
      </c>
      <c r="G173" s="15" t="n">
        <f aca="false">cs_29</f>
        <v>0.25</v>
      </c>
      <c r="H173" s="8" t="s">
        <v>442</v>
      </c>
    </row>
    <row r="174" customFormat="false" ht="17.15" hidden="false" customHeight="false" outlineLevel="0" collapsed="false">
      <c r="A174" s="0" t="s">
        <v>443</v>
      </c>
      <c r="B174" s="0" t="s">
        <v>195</v>
      </c>
      <c r="C174" s="19" t="n">
        <f aca="false">a25_ai</f>
        <v>905.033</v>
      </c>
      <c r="D174" s="19" t="n">
        <f aca="false">D172*(1-D173)</f>
        <v>2719.1262</v>
      </c>
      <c r="E174" s="19" t="n">
        <f aca="false">E172*(1-E173)</f>
        <v>4392.53249958629</v>
      </c>
      <c r="F174" s="19" t="n">
        <f aca="false">F172*(1-F173)</f>
        <v>2821.14421736223</v>
      </c>
      <c r="G174" s="19" t="n">
        <f aca="false">G172*(1-G173)</f>
        <v>2854.29903254831</v>
      </c>
    </row>
    <row r="175" customFormat="false" ht="17.15" hidden="false" customHeight="false" outlineLevel="0" collapsed="false">
      <c r="A175" s="6" t="s">
        <v>444</v>
      </c>
    </row>
    <row r="176" customFormat="false" ht="17.15" hidden="false" customHeight="false" outlineLevel="0" collapsed="false">
      <c r="A176" s="4" t="s">
        <v>370</v>
      </c>
      <c r="B176" s="0" t="s">
        <v>195</v>
      </c>
      <c r="C176" s="19" t="n">
        <f aca="false">a25_nai</f>
        <v>1218.656</v>
      </c>
      <c r="D176" s="19" t="n">
        <f aca="false">a26_nai</f>
        <v>1279.5888</v>
      </c>
      <c r="E176" s="19" t="n">
        <f aca="false">D176*(1+g_nai27)</f>
        <v>1317.976464</v>
      </c>
      <c r="F176" s="19" t="n">
        <f aca="false">E176*(1+g_nai28)</f>
        <v>1344.33599328</v>
      </c>
      <c r="G176" s="19" t="n">
        <f aca="false">F176*(1+g_nai29)</f>
        <v>1371.2227131456</v>
      </c>
    </row>
    <row r="177" customFormat="false" ht="15" hidden="false" customHeight="false" outlineLevel="0" collapsed="false">
      <c r="A177" s="4" t="s">
        <v>341</v>
      </c>
      <c r="B177" s="0" t="s">
        <v>195</v>
      </c>
      <c r="C177" s="19" t="n">
        <f aca="false">C174+C176</f>
        <v>2123.689</v>
      </c>
      <c r="D177" s="19" t="n">
        <f aca="false">D174+D176</f>
        <v>3998.715</v>
      </c>
      <c r="E177" s="19" t="n">
        <f aca="false">E174+E176</f>
        <v>5710.50896358629</v>
      </c>
      <c r="F177" s="19" t="n">
        <f aca="false">F174+F176</f>
        <v>4165.48021064223</v>
      </c>
      <c r="G177" s="19" t="n">
        <f aca="false">G174+G176</f>
        <v>4225.52174569391</v>
      </c>
    </row>
    <row r="178" customFormat="false" ht="17.15" hidden="false" customHeight="false" outlineLevel="0" collapsed="false">
      <c r="A178" s="4" t="s">
        <v>445</v>
      </c>
      <c r="B178" s="0" t="s">
        <v>195</v>
      </c>
      <c r="C178" s="19" t="n">
        <f aca="false">srv_25*C177-C174</f>
        <v>602.78619</v>
      </c>
      <c r="D178" s="19" t="n">
        <f aca="false">srv_26*D177-D174</f>
        <v>679.78155</v>
      </c>
      <c r="E178" s="19" t="n">
        <f aca="false">D178*(1+g_gs27)</f>
        <v>747.759705</v>
      </c>
      <c r="F178" s="19" t="n">
        <f aca="false">E178*(1+g_gs28)</f>
        <v>785.14769025</v>
      </c>
      <c r="G178" s="19" t="n">
        <f aca="false">F178*(1+g_gs29)</f>
        <v>824.4050747625</v>
      </c>
      <c r="H178" s="8" t="s">
        <v>446</v>
      </c>
    </row>
    <row r="179" customFormat="false" ht="17.15" hidden="false" customHeight="false" outlineLevel="0" collapsed="false">
      <c r="A179" s="4" t="s">
        <v>447</v>
      </c>
      <c r="B179" s="0" t="s">
        <v>195</v>
      </c>
      <c r="C179" s="19" t="n">
        <f aca="false">C174+C178</f>
        <v>1507.81919</v>
      </c>
      <c r="D179" s="19" t="n">
        <f aca="false">D174+D178</f>
        <v>3398.90775</v>
      </c>
      <c r="E179" s="19" t="n">
        <f aca="false">E174+E178</f>
        <v>5140.29220458629</v>
      </c>
      <c r="F179" s="19" t="n">
        <f aca="false">F174+F178</f>
        <v>3606.29190761223</v>
      </c>
      <c r="G179" s="19" t="n">
        <f aca="false">G174+G178</f>
        <v>3678.70410731081</v>
      </c>
      <c r="H179" s="4" t="s">
        <v>448</v>
      </c>
    </row>
    <row r="180" customFormat="false" ht="15" hidden="false" customHeight="false" outlineLevel="0" collapsed="false">
      <c r="A180" s="4" t="s">
        <v>449</v>
      </c>
      <c r="B180" s="0" t="s">
        <v>195</v>
      </c>
      <c r="C180" s="19" t="n">
        <f aca="false">nbsh_25*C177</f>
        <v>467.21158</v>
      </c>
      <c r="D180" s="19" t="n">
        <f aca="false">nbsh_26*D177</f>
        <v>439.85865</v>
      </c>
      <c r="E180" s="19" t="n">
        <f aca="false">D180*(1+g_nb27)</f>
        <v>395.872785</v>
      </c>
      <c r="F180" s="19" t="n">
        <f aca="false">E180*(1+g_nb28)</f>
        <v>376.07914575</v>
      </c>
      <c r="G180" s="19" t="n">
        <f aca="false">F180*(1+g_nb29)</f>
        <v>364.7967713775</v>
      </c>
      <c r="H180" s="4" t="s">
        <v>450</v>
      </c>
    </row>
    <row r="181" customFormat="false" ht="17.15" hidden="false" customHeight="false" outlineLevel="0" collapsed="false">
      <c r="A181" s="4" t="s">
        <v>451</v>
      </c>
      <c r="B181" s="0" t="s">
        <v>195</v>
      </c>
      <c r="C181" s="19" t="n">
        <f aca="false">C176-C180-C178</f>
        <v>148.65823</v>
      </c>
      <c r="D181" s="19" t="n">
        <f aca="false">D176-D180-D178</f>
        <v>159.9486</v>
      </c>
      <c r="E181" s="19" t="n">
        <f aca="false">E176-E180-E178</f>
        <v>174.343974</v>
      </c>
      <c r="F181" s="19" t="n">
        <f aca="false">F176-F180-F178</f>
        <v>183.10915728</v>
      </c>
      <c r="G181" s="19" t="n">
        <f aca="false">G176-G180-G178</f>
        <v>182.0208670056</v>
      </c>
    </row>
    <row r="182" customFormat="false" ht="15" hidden="false" customHeight="false" outlineLevel="0" collapsed="false">
      <c r="A182" s="4" t="s">
        <v>452</v>
      </c>
      <c r="B182" s="0" t="s">
        <v>195</v>
      </c>
      <c r="C182" s="22" t="n">
        <f aca="false">C179+C180+C181-C177</f>
        <v>0</v>
      </c>
      <c r="D182" s="22" t="n">
        <f aca="false">D179+D180+D181-D177</f>
        <v>0</v>
      </c>
      <c r="E182" s="22" t="n">
        <f aca="false">E179+E180+E181-E177</f>
        <v>0</v>
      </c>
      <c r="F182" s="22" t="n">
        <f aca="false">F179+F180+F181-F177</f>
        <v>0</v>
      </c>
      <c r="G182" s="22" t="n">
        <f aca="false">G179+G180+G181-G177</f>
        <v>0</v>
      </c>
    </row>
    <row r="183" customFormat="false" ht="15" hidden="false" customHeight="false" outlineLevel="0" collapsed="false">
      <c r="A183" s="4" t="s">
        <v>453</v>
      </c>
      <c r="B183" s="0" t="s">
        <v>52</v>
      </c>
      <c r="D183" s="15" t="n">
        <f aca="false">D177/C177-1</f>
        <v>0.88290987993063</v>
      </c>
      <c r="E183" s="15" t="n">
        <f aca="false">E177/D177-1</f>
        <v>0.428086013528419</v>
      </c>
      <c r="F183" s="15" t="n">
        <f aca="false">F177/E177-1</f>
        <v>-0.270558852598974</v>
      </c>
      <c r="G183" s="15" t="n">
        <f aca="false">G177/F177-1</f>
        <v>0.0144140728116497</v>
      </c>
    </row>
    <row r="184" customFormat="false" ht="17.15" hidden="false" customHeight="false" outlineLevel="0" collapsed="false">
      <c r="A184" s="0" t="s">
        <v>454</v>
      </c>
      <c r="B184" s="0" t="s">
        <v>52</v>
      </c>
      <c r="C184" s="15" t="n">
        <f aca="false">C174/C177</f>
        <v>0.426160798497332</v>
      </c>
      <c r="D184" s="15" t="n">
        <f aca="false">D174/D177</f>
        <v>0.68</v>
      </c>
      <c r="E184" s="15" t="n">
        <f aca="false">E174/E177</f>
        <v>0.769201576881461</v>
      </c>
      <c r="F184" s="15" t="n">
        <f aca="false">F174/F177</f>
        <v>0.677267463701927</v>
      </c>
      <c r="G184" s="15" t="n">
        <f aca="false">G174/G177</f>
        <v>0.67549031914391</v>
      </c>
    </row>
    <row r="185" customFormat="false" ht="17.15" hidden="false" customHeight="false" outlineLevel="0" collapsed="false">
      <c r="A185" s="4" t="s">
        <v>403</v>
      </c>
      <c r="B185" s="0" t="s">
        <v>389</v>
      </c>
      <c r="D185" s="16" t="n">
        <f aca="false">D174/fx/D165</f>
        <v>3.631383388734</v>
      </c>
      <c r="E185" s="16" t="n">
        <f aca="false">E174/fx/E165</f>
        <v>3.29597359817473</v>
      </c>
      <c r="F185" s="16" t="n">
        <f aca="false">F174/fx/F165</f>
        <v>2.78326659401422</v>
      </c>
      <c r="G185" s="16" t="n">
        <f aca="false">G174/fx/G165</f>
        <v>2.47198019863105</v>
      </c>
    </row>
    <row r="186" customFormat="false" ht="17.15" hidden="false" customHeight="false" outlineLevel="0" collapsed="false">
      <c r="A186" s="4" t="s">
        <v>455</v>
      </c>
      <c r="B186" s="4" t="s">
        <v>401</v>
      </c>
      <c r="D186" s="19" t="n">
        <f aca="false">D172/fx/(odm_gb*(1-vr26)+odm_vr*vr26)</f>
        <v>18.4522679153094</v>
      </c>
      <c r="E186" s="19" t="n">
        <f aca="false">E172/fx/odm_vr</f>
        <v>22.5953317879953</v>
      </c>
      <c r="F186" s="19" t="n">
        <f aca="false">F172/fx/odm_vr</f>
        <v>16.3260660726981</v>
      </c>
      <c r="G186" s="19" t="n">
        <f aca="false">G172/fx/odm_vr</f>
        <v>17.6191298305452</v>
      </c>
      <c r="H186" s="4" t="s">
        <v>456</v>
      </c>
    </row>
    <row r="187" customFormat="false" ht="17.15" hidden="false" customHeight="false" outlineLevel="0" collapsed="false">
      <c r="A187" s="6" t="s">
        <v>457</v>
      </c>
    </row>
    <row r="188" customFormat="false" ht="17.15" hidden="false" customHeight="false" outlineLevel="0" collapsed="false">
      <c r="A188" s="4" t="s">
        <v>458</v>
      </c>
      <c r="B188" s="0" t="s">
        <v>52</v>
      </c>
      <c r="D188" s="11" t="n">
        <f aca="false">a26_gp/D177-d_ai*D184</f>
        <v>0.0632307213692399</v>
      </c>
      <c r="H188" s="8" t="s">
        <v>459</v>
      </c>
    </row>
    <row r="189" customFormat="false" ht="17.15" hidden="false" customHeight="false" outlineLevel="0" collapsed="false">
      <c r="A189" s="0" t="s">
        <v>460</v>
      </c>
      <c r="B189" s="0" t="s">
        <v>195</v>
      </c>
      <c r="D189" s="21" t="n">
        <f aca="false">($D$188+d_ai)*D172*(1-D173*(1-keep))</f>
        <v>117.54978712</v>
      </c>
      <c r="E189" s="21" t="n">
        <f aca="false">($D$188+d_ai+vrd)*E172*(1-E173*(1-keep))</f>
        <v>194.386226205806</v>
      </c>
      <c r="F189" s="21" t="n">
        <f aca="false">($D$188+d_ai+vrd)*F172*(1-F173*(1-keep))</f>
        <v>139.033417015149</v>
      </c>
      <c r="G189" s="21" t="n">
        <f aca="false">($D$188+d_ai+vrd)*G172*(1-G173*(1-keep))</f>
        <v>149.279661807825</v>
      </c>
      <c r="H189" s="4" t="s">
        <v>461</v>
      </c>
    </row>
    <row r="190" customFormat="false" ht="15" hidden="false" customHeight="false" outlineLevel="0" collapsed="false">
      <c r="A190" s="4" t="s">
        <v>345</v>
      </c>
      <c r="B190" s="0" t="s">
        <v>195</v>
      </c>
      <c r="C190" s="19" t="n">
        <f aca="false">a25_gp</f>
        <v>148.2334922</v>
      </c>
      <c r="D190" s="19" t="n">
        <f aca="false">a26_gp</f>
        <v>198.45911</v>
      </c>
      <c r="E190" s="19" t="n">
        <f aca="false">$D$188*E176+E189</f>
        <v>277.722828772206</v>
      </c>
      <c r="F190" s="19" t="n">
        <f aca="false">$D$188*F176+F189</f>
        <v>224.036751632877</v>
      </c>
      <c r="G190" s="19" t="n">
        <f aca="false">$D$188*G176+G189</f>
        <v>235.983063117907</v>
      </c>
    </row>
    <row r="191" customFormat="false" ht="15" hidden="false" customHeight="false" outlineLevel="0" collapsed="false">
      <c r="A191" s="4" t="s">
        <v>348</v>
      </c>
      <c r="B191" s="0" t="s">
        <v>52</v>
      </c>
      <c r="C191" s="11" t="n">
        <f aca="false">C190/C177</f>
        <v>0.0698</v>
      </c>
      <c r="D191" s="11" t="n">
        <f aca="false">D190/D177</f>
        <v>0.0496307213692399</v>
      </c>
      <c r="E191" s="11" t="n">
        <f aca="false">E190/E177</f>
        <v>0.0486336385325961</v>
      </c>
      <c r="F191" s="11" t="n">
        <f aca="false">F190/F177</f>
        <v>0.0537841353946405</v>
      </c>
      <c r="G191" s="11" t="n">
        <f aca="false">G190/G177</f>
        <v>0.0558470828740592</v>
      </c>
    </row>
    <row r="192" customFormat="false" ht="17.15" hidden="false" customHeight="false" outlineLevel="0" collapsed="false">
      <c r="A192" s="0" t="s">
        <v>462</v>
      </c>
      <c r="B192" s="0" t="s">
        <v>52</v>
      </c>
      <c r="D192" s="11" t="n">
        <f aca="false">D189/D174</f>
        <v>0.0432307213692399</v>
      </c>
      <c r="E192" s="11" t="n">
        <f aca="false">E189/E174</f>
        <v>0.0442537935061639</v>
      </c>
      <c r="F192" s="11" t="n">
        <f aca="false">F189/F174</f>
        <v>0.0492826336773188</v>
      </c>
      <c r="G192" s="11" t="n">
        <f aca="false">G189/G174</f>
        <v>0.0522999377800118</v>
      </c>
      <c r="H192" s="4" t="s">
        <v>463</v>
      </c>
    </row>
    <row r="193" customFormat="false" ht="15" hidden="false" customHeight="false" outlineLevel="0" collapsed="false">
      <c r="A193" s="4" t="s">
        <v>464</v>
      </c>
      <c r="B193" s="0" t="s">
        <v>195</v>
      </c>
      <c r="C193" s="19" t="n">
        <f aca="false">a25_opx</f>
        <v>60.7375054</v>
      </c>
      <c r="D193" s="19" t="n">
        <f aca="false">a26_opx</f>
        <v>71.1893725</v>
      </c>
      <c r="E193" s="19" t="n">
        <f aca="false">D193*(1+MAX(0,phi*E183))</f>
        <v>83.3794423716459</v>
      </c>
      <c r="F193" s="19" t="n">
        <f aca="false">E193*(1+MAX(0,phi*F183))</f>
        <v>83.3794423716459</v>
      </c>
      <c r="G193" s="19" t="n">
        <f aca="false">F193*(1+MAX(0,phi*G183))</f>
        <v>83.8601773129818</v>
      </c>
    </row>
    <row r="194" customFormat="false" ht="15" hidden="false" customHeight="false" outlineLevel="0" collapsed="false">
      <c r="A194" s="4" t="s">
        <v>349</v>
      </c>
      <c r="B194" s="0" t="s">
        <v>195</v>
      </c>
      <c r="C194" s="19" t="n">
        <f aca="false">C193</f>
        <v>60.7375054</v>
      </c>
      <c r="D194" s="19" t="n">
        <f aca="false">D193</f>
        <v>71.1893725</v>
      </c>
      <c r="E194" s="19" t="n">
        <f aca="false">E193+0*E177</f>
        <v>83.3794423716459</v>
      </c>
      <c r="F194" s="19" t="n">
        <f aca="false">F193+0*F177</f>
        <v>83.3794423716459</v>
      </c>
      <c r="G194" s="19" t="n">
        <f aca="false">G193+0*G177</f>
        <v>83.8601773129818</v>
      </c>
    </row>
    <row r="195" customFormat="false" ht="15" hidden="false" customHeight="false" outlineLevel="0" collapsed="false">
      <c r="A195" s="4" t="s">
        <v>352</v>
      </c>
      <c r="B195" s="0" t="s">
        <v>195</v>
      </c>
      <c r="C195" s="19" t="n">
        <f aca="false">C190-C194</f>
        <v>87.4959868</v>
      </c>
      <c r="D195" s="19" t="n">
        <f aca="false">D190-D194</f>
        <v>127.2697375</v>
      </c>
      <c r="E195" s="19" t="n">
        <f aca="false">E190-E194</f>
        <v>194.34338640056</v>
      </c>
      <c r="F195" s="19" t="n">
        <f aca="false">F190-F194</f>
        <v>140.657309261231</v>
      </c>
      <c r="G195" s="19" t="n">
        <f aca="false">G190-G194</f>
        <v>152.122885804926</v>
      </c>
    </row>
    <row r="196" customFormat="false" ht="15" hidden="false" customHeight="false" outlineLevel="0" collapsed="false">
      <c r="A196" s="4" t="s">
        <v>355</v>
      </c>
      <c r="B196" s="0" t="s">
        <v>52</v>
      </c>
      <c r="C196" s="11" t="n">
        <f aca="false">C195/C177</f>
        <v>0.0412</v>
      </c>
      <c r="D196" s="11" t="n">
        <f aca="false">D195/D177</f>
        <v>0.0318276590104571</v>
      </c>
      <c r="E196" s="11" t="n">
        <f aca="false">E195/E177</f>
        <v>0.0340325858237527</v>
      </c>
      <c r="F196" s="11" t="n">
        <f aca="false">F195/F177</f>
        <v>0.0337673694624382</v>
      </c>
      <c r="G196" s="11" t="n">
        <f aca="false">G195/G177</f>
        <v>0.0360009709948716</v>
      </c>
    </row>
    <row r="197" customFormat="false" ht="17.15" hidden="false" customHeight="false" outlineLevel="0" collapsed="false">
      <c r="A197" s="4" t="s">
        <v>229</v>
      </c>
      <c r="B197" s="0" t="s">
        <v>52</v>
      </c>
      <c r="C197" s="15" t="n">
        <f aca="false">a25_ni/a25_oi</f>
        <v>0.856953590013114</v>
      </c>
      <c r="D197" s="15" t="n">
        <f aca="false">a26_ni/a26_oi</f>
        <v>0.869913569398224</v>
      </c>
      <c r="E197" s="15" t="n">
        <f aca="false">nio_f</f>
        <v>0.865</v>
      </c>
      <c r="F197" s="15" t="n">
        <f aca="false">nio_f</f>
        <v>0.865</v>
      </c>
      <c r="G197" s="15" t="n">
        <f aca="false">nio_f</f>
        <v>0.865</v>
      </c>
    </row>
    <row r="198" customFormat="false" ht="15" hidden="false" customHeight="false" outlineLevel="0" collapsed="false">
      <c r="A198" s="4" t="s">
        <v>356</v>
      </c>
      <c r="B198" s="0" t="s">
        <v>195</v>
      </c>
      <c r="C198" s="19" t="n">
        <f aca="false">a25_ni</f>
        <v>74.98</v>
      </c>
      <c r="D198" s="19" t="n">
        <f aca="false">a26_ni</f>
        <v>110.713671625</v>
      </c>
      <c r="E198" s="19" t="n">
        <f aca="false">E195*E197</f>
        <v>168.107029236484</v>
      </c>
      <c r="F198" s="19" t="n">
        <f aca="false">F195*F197</f>
        <v>121.668572510965</v>
      </c>
      <c r="G198" s="19" t="n">
        <f aca="false">G195*G197</f>
        <v>131.586296221261</v>
      </c>
    </row>
    <row r="199" customFormat="false" ht="15" hidden="false" customHeight="false" outlineLevel="0" collapsed="false">
      <c r="A199" s="4" t="s">
        <v>465</v>
      </c>
      <c r="B199" s="4" t="s">
        <v>216</v>
      </c>
      <c r="C199" s="22" t="n">
        <f aca="false">a25_sh</f>
        <v>3.85501285347044</v>
      </c>
      <c r="D199" s="22" t="n">
        <f aca="false">a26_sh</f>
        <v>3.85460170146945</v>
      </c>
      <c r="E199" s="22" t="n">
        <f aca="false">D199*(1+sh_g)</f>
        <v>3.85460170146945</v>
      </c>
      <c r="F199" s="22" t="n">
        <f aca="false">E199*(1+sh_g)</f>
        <v>3.85460170146945</v>
      </c>
      <c r="G199" s="22" t="n">
        <f aca="false">F199*(1+sh_g)</f>
        <v>3.85460170146945</v>
      </c>
    </row>
    <row r="200" customFormat="false" ht="15" hidden="false" customHeight="false" outlineLevel="0" collapsed="false">
      <c r="A200" s="0" t="s">
        <v>362</v>
      </c>
      <c r="B200" s="0" t="s">
        <v>246</v>
      </c>
      <c r="C200" s="21" t="n">
        <f aca="false">C198/C199</f>
        <v>19.45</v>
      </c>
      <c r="D200" s="21" t="n">
        <f aca="false">D198/D199</f>
        <v>28.7224673778341</v>
      </c>
      <c r="E200" s="21" t="n">
        <f aca="false">E198/E199</f>
        <v>43.6120362766401</v>
      </c>
      <c r="F200" s="21" t="n">
        <f aca="false">F198/F199</f>
        <v>31.5644992489322</v>
      </c>
      <c r="G200" s="21" t="n">
        <f aca="false">G198/G199</f>
        <v>34.1374560622171</v>
      </c>
    </row>
    <row r="201" customFormat="false" ht="17.15" hidden="false" customHeight="false" outlineLevel="0" collapsed="false">
      <c r="A201" s="0" t="s">
        <v>466</v>
      </c>
      <c r="B201" s="0" t="s">
        <v>52</v>
      </c>
      <c r="D201" s="15" t="n">
        <f aca="false">D200/C200-1</f>
        <v>0.476733541276816</v>
      </c>
      <c r="E201" s="15" t="n">
        <f aca="false">E200/D200-1</f>
        <v>0.518394492469567</v>
      </c>
      <c r="F201" s="15" t="n">
        <f aca="false">F200/E200-1</f>
        <v>-0.276243396462571</v>
      </c>
      <c r="G201" s="15" t="n">
        <f aca="false">G200/F200-1</f>
        <v>0.081514260466907</v>
      </c>
    </row>
    <row r="204" customFormat="false" ht="17.15" hidden="false" customHeight="false" outlineLevel="0" collapsed="false">
      <c r="A204" s="1" t="s">
        <v>469</v>
      </c>
    </row>
    <row r="205" customFormat="false" ht="17.15" hidden="false" customHeight="false" outlineLevel="0" collapsed="false">
      <c r="A205" s="1" t="s">
        <v>470</v>
      </c>
    </row>
    <row r="206" customFormat="false" ht="17.15" hidden="false" customHeight="false" outlineLevel="0" collapsed="false">
      <c r="A206" s="5" t="s">
        <v>21</v>
      </c>
      <c r="B206" s="5" t="s">
        <v>22</v>
      </c>
      <c r="C206" s="12" t="s">
        <v>335</v>
      </c>
      <c r="D206" s="12" t="s">
        <v>411</v>
      </c>
      <c r="E206" s="12" t="s">
        <v>412</v>
      </c>
      <c r="F206" s="12" t="s">
        <v>413</v>
      </c>
      <c r="G206" s="12" t="s">
        <v>414</v>
      </c>
      <c r="H206" s="12" t="s">
        <v>471</v>
      </c>
      <c r="I206" s="12" t="s">
        <v>472</v>
      </c>
      <c r="J206" s="12" t="s">
        <v>473</v>
      </c>
      <c r="K206" s="5" t="s">
        <v>384</v>
      </c>
    </row>
    <row r="207" customFormat="false" ht="17.15" hidden="false" customHeight="false" outlineLevel="0" collapsed="false">
      <c r="A207" s="4" t="s">
        <v>474</v>
      </c>
      <c r="B207" s="0" t="s">
        <v>195</v>
      </c>
      <c r="C207" s="19" t="n">
        <f aca="false">C89</f>
        <v>2123.689</v>
      </c>
      <c r="D207" s="19" t="n">
        <f aca="false">D89</f>
        <v>3998.715</v>
      </c>
      <c r="E207" s="19" t="n">
        <f aca="false">E89</f>
        <v>5710.50896358629</v>
      </c>
      <c r="F207" s="19" t="n">
        <f aca="false">F89</f>
        <v>6046.24302221705</v>
      </c>
      <c r="G207" s="19" t="n">
        <f aca="false">G89</f>
        <v>6128.38776739279</v>
      </c>
      <c r="H207" s="23" t="n">
        <f aca="false">G207*(1+H208)</f>
        <v>6306.46270294504</v>
      </c>
      <c r="I207" s="23" t="n">
        <f aca="false">H207*(1+I208)</f>
        <v>6587.28124797558</v>
      </c>
      <c r="J207" s="23" t="n">
        <f aca="false">I207*(1+J208)</f>
        <v>6982.51812285411</v>
      </c>
      <c r="K207" s="8" t="s">
        <v>475</v>
      </c>
    </row>
    <row r="208" customFormat="false" ht="15" hidden="false" customHeight="false" outlineLevel="0" collapsed="false">
      <c r="A208" s="4" t="s">
        <v>416</v>
      </c>
      <c r="B208" s="0" t="s">
        <v>52</v>
      </c>
      <c r="C208" s="15"/>
      <c r="D208" s="15" t="n">
        <f aca="false">D207/C207-1</f>
        <v>0.88290987993063</v>
      </c>
      <c r="E208" s="15" t="n">
        <f aca="false">E207/D207-1</f>
        <v>0.428086013528419</v>
      </c>
      <c r="F208" s="15" t="n">
        <f aca="false">F207/E207-1</f>
        <v>0.0587923179477705</v>
      </c>
      <c r="G208" s="15" t="n">
        <f aca="false">G207/F207-1</f>
        <v>0.0135860806245958</v>
      </c>
      <c r="H208" s="24" t="n">
        <f aca="false">$G$208+($C$214-$G$208)*1/3</f>
        <v>0.0290573870830638</v>
      </c>
      <c r="I208" s="24" t="n">
        <f aca="false">$G$208+($C$214-$G$208)*2/3</f>
        <v>0.0445286935415319</v>
      </c>
      <c r="J208" s="24" t="n">
        <f aca="false">$G$208+($C$214-$G$208)*3/3</f>
        <v>0.06</v>
      </c>
    </row>
    <row r="209" customFormat="false" ht="15" hidden="false" customHeight="false" outlineLevel="0" collapsed="false">
      <c r="A209" s="4" t="s">
        <v>476</v>
      </c>
      <c r="B209" s="0" t="s">
        <v>195</v>
      </c>
      <c r="C209" s="19" t="n">
        <f aca="false">C110</f>
        <v>74.98</v>
      </c>
      <c r="D209" s="19" t="n">
        <f aca="false">D110</f>
        <v>110.713671625</v>
      </c>
      <c r="E209" s="19" t="n">
        <f aca="false">E110</f>
        <v>168.107029236484</v>
      </c>
      <c r="F209" s="19" t="n">
        <f aca="false">F110</f>
        <v>200.148393198935</v>
      </c>
      <c r="G209" s="19" t="n">
        <f aca="false">G110</f>
        <v>215.989454293986</v>
      </c>
      <c r="H209" s="23" t="n">
        <f aca="false">H207*H210</f>
        <v>222.265543473266</v>
      </c>
      <c r="I209" s="23" t="n">
        <f aca="false">I207*I210</f>
        <v>232.162737743429</v>
      </c>
      <c r="J209" s="23" t="n">
        <f aca="false">J207*J210</f>
        <v>246.092502008035</v>
      </c>
    </row>
    <row r="210" customFormat="false" ht="15" hidden="false" customHeight="false" outlineLevel="0" collapsed="false">
      <c r="A210" s="4" t="s">
        <v>477</v>
      </c>
      <c r="B210" s="0" t="s">
        <v>52</v>
      </c>
      <c r="C210" s="15" t="n">
        <f aca="false">C209/C207</f>
        <v>0.0353064879085403</v>
      </c>
      <c r="D210" s="15" t="n">
        <f aca="false">D209/D207</f>
        <v>0.0276873124553763</v>
      </c>
      <c r="E210" s="15" t="n">
        <f aca="false">E209/E207</f>
        <v>0.0294381867375461</v>
      </c>
      <c r="F210" s="15" t="n">
        <f aca="false">F209/F207</f>
        <v>0.0331029355689948</v>
      </c>
      <c r="G210" s="15" t="n">
        <f aca="false">G209/G207</f>
        <v>0.0352440906959572</v>
      </c>
      <c r="H210" s="24" t="n">
        <f aca="false">$G$210+($C$215-$G$210)*1/3</f>
        <v>0.0352440906959572</v>
      </c>
      <c r="I210" s="24" t="n">
        <f aca="false">$G$210+($C$215-$G$210)*2/3</f>
        <v>0.0352440906959572</v>
      </c>
      <c r="J210" s="24" t="n">
        <f aca="false">$G$210+($C$215-$G$210)*3/3</f>
        <v>0.0352440906959572</v>
      </c>
    </row>
    <row r="211" customFormat="false" ht="17.15" hidden="false" customHeight="false" outlineLevel="0" collapsed="false">
      <c r="A211" s="4" t="s">
        <v>478</v>
      </c>
      <c r="B211" s="4" t="s">
        <v>216</v>
      </c>
      <c r="C211" s="20" t="n">
        <f aca="false">C111</f>
        <v>3.85501285347044</v>
      </c>
      <c r="D211" s="20" t="n">
        <f aca="false">D111</f>
        <v>3.85460170146945</v>
      </c>
      <c r="E211" s="20" t="n">
        <f aca="false">E111</f>
        <v>3.85460170146945</v>
      </c>
      <c r="F211" s="20" t="n">
        <f aca="false">F111</f>
        <v>3.85460170146945</v>
      </c>
      <c r="G211" s="20" t="n">
        <f aca="false">G111</f>
        <v>3.85460170146945</v>
      </c>
      <c r="H211" s="25" t="n">
        <f aca="false">G211*(1+sh_g)</f>
        <v>3.85460170146945</v>
      </c>
      <c r="I211" s="25" t="n">
        <f aca="false">H211*(1+sh_g)</f>
        <v>3.85460170146945</v>
      </c>
      <c r="J211" s="25" t="n">
        <f aca="false">I211*(1+sh_g)</f>
        <v>3.85460170146945</v>
      </c>
      <c r="K211" s="8" t="s">
        <v>479</v>
      </c>
    </row>
    <row r="212" customFormat="false" ht="17.15" hidden="false" customHeight="false" outlineLevel="0" collapsed="false">
      <c r="A212" s="0" t="s">
        <v>480</v>
      </c>
      <c r="B212" s="0" t="s">
        <v>246</v>
      </c>
      <c r="C212" s="16" t="n">
        <f aca="false">C112</f>
        <v>19.45</v>
      </c>
      <c r="D212" s="16" t="n">
        <f aca="false">D112</f>
        <v>28.7224673778341</v>
      </c>
      <c r="E212" s="16" t="n">
        <f aca="false">E112</f>
        <v>43.6120362766401</v>
      </c>
      <c r="F212" s="16" t="n">
        <f aca="false">F112</f>
        <v>51.9245329868024</v>
      </c>
      <c r="G212" s="16" t="n">
        <f aca="false">G112</f>
        <v>56.0341822636686</v>
      </c>
      <c r="H212" s="26" t="n">
        <f aca="false">H209/H211</f>
        <v>57.6623891875869</v>
      </c>
      <c r="I212" s="26" t="n">
        <f aca="false">I209/I211</f>
        <v>60.2300200445935</v>
      </c>
      <c r="J212" s="26" t="n">
        <f aca="false">J209/J211</f>
        <v>63.8438212472691</v>
      </c>
    </row>
    <row r="213" customFormat="false" ht="17.15" hidden="false" customHeight="false" outlineLevel="0" collapsed="false">
      <c r="A213" s="0" t="s">
        <v>423</v>
      </c>
      <c r="B213" s="0" t="s">
        <v>52</v>
      </c>
      <c r="C213" s="15"/>
      <c r="D213" s="15" t="n">
        <f aca="false">D212/C212-1</f>
        <v>0.476733541276816</v>
      </c>
      <c r="E213" s="15" t="n">
        <f aca="false">E212/D212-1</f>
        <v>0.518394492469567</v>
      </c>
      <c r="F213" s="15" t="n">
        <f aca="false">F212/E212-1</f>
        <v>0.190600976699058</v>
      </c>
      <c r="G213" s="15" t="n">
        <f aca="false">G212/F212-1</f>
        <v>0.0791465814032593</v>
      </c>
      <c r="H213" s="24" t="n">
        <f aca="false">H212/G212-1</f>
        <v>0.0290573870830639</v>
      </c>
      <c r="I213" s="24" t="n">
        <f aca="false">I212/H212-1</f>
        <v>0.0445286935415317</v>
      </c>
      <c r="J213" s="24" t="n">
        <f aca="false">J212/I212-1</f>
        <v>0.0600000000000001</v>
      </c>
    </row>
    <row r="214" customFormat="false" ht="17.15" hidden="false" customHeight="false" outlineLevel="0" collapsed="false">
      <c r="A214" s="4" t="s">
        <v>481</v>
      </c>
      <c r="B214" s="0" t="s">
        <v>52</v>
      </c>
      <c r="C214" s="15" t="n">
        <f aca="false">fade_gA</f>
        <v>0.06</v>
      </c>
      <c r="K214" s="8" t="s">
        <v>482</v>
      </c>
    </row>
    <row r="215" customFormat="false" ht="17.15" hidden="false" customHeight="false" outlineLevel="0" collapsed="false">
      <c r="A215" s="4" t="s">
        <v>483</v>
      </c>
      <c r="B215" s="0" t="s">
        <v>52</v>
      </c>
      <c r="C215" s="15" t="n">
        <f aca="false">G210</f>
        <v>0.0352440906959572</v>
      </c>
      <c r="K215" s="4" t="s">
        <v>484</v>
      </c>
    </row>
    <row r="217" customFormat="false" ht="17.15" hidden="false" customHeight="false" outlineLevel="0" collapsed="false">
      <c r="A217" s="1" t="s">
        <v>485</v>
      </c>
    </row>
    <row r="218" customFormat="false" ht="17.15" hidden="false" customHeight="false" outlineLevel="0" collapsed="false">
      <c r="A218" s="5" t="s">
        <v>21</v>
      </c>
      <c r="B218" s="5" t="s">
        <v>22</v>
      </c>
      <c r="C218" s="12" t="s">
        <v>335</v>
      </c>
      <c r="D218" s="12" t="s">
        <v>411</v>
      </c>
      <c r="E218" s="12" t="s">
        <v>412</v>
      </c>
      <c r="F218" s="12" t="s">
        <v>413</v>
      </c>
      <c r="G218" s="12" t="s">
        <v>414</v>
      </c>
      <c r="H218" s="12" t="s">
        <v>471</v>
      </c>
      <c r="I218" s="12" t="s">
        <v>472</v>
      </c>
      <c r="J218" s="12" t="s">
        <v>473</v>
      </c>
      <c r="K218" s="5" t="s">
        <v>384</v>
      </c>
    </row>
    <row r="219" customFormat="false" ht="17.15" hidden="false" customHeight="false" outlineLevel="0" collapsed="false">
      <c r="A219" s="4" t="s">
        <v>474</v>
      </c>
      <c r="B219" s="0" t="s">
        <v>195</v>
      </c>
      <c r="C219" s="19" t="n">
        <f aca="false">C133</f>
        <v>2123.689</v>
      </c>
      <c r="D219" s="19" t="n">
        <f aca="false">D133</f>
        <v>3998.715</v>
      </c>
      <c r="E219" s="19" t="n">
        <f aca="false">E133</f>
        <v>5710.50896358629</v>
      </c>
      <c r="F219" s="19" t="n">
        <f aca="false">F133</f>
        <v>5105.86161642964</v>
      </c>
      <c r="G219" s="19" t="n">
        <f aca="false">G133</f>
        <v>5414.81300925571</v>
      </c>
      <c r="H219" s="23" t="n">
        <f aca="false">G219*(1+H220)</f>
        <v>5705.441037249</v>
      </c>
      <c r="I219" s="23" t="n">
        <f aca="false">H219*(1+I220)</f>
        <v>5972.6632780376</v>
      </c>
      <c r="J219" s="23" t="n">
        <f aca="false">I219*(1+J220)</f>
        <v>6211.5698091591</v>
      </c>
      <c r="K219" s="8" t="s">
        <v>475</v>
      </c>
    </row>
    <row r="220" customFormat="false" ht="15" hidden="false" customHeight="false" outlineLevel="0" collapsed="false">
      <c r="A220" s="4" t="s">
        <v>416</v>
      </c>
      <c r="B220" s="0" t="s">
        <v>52</v>
      </c>
      <c r="C220" s="15"/>
      <c r="D220" s="15" t="n">
        <f aca="false">D219/C219-1</f>
        <v>0.88290987993063</v>
      </c>
      <c r="E220" s="15" t="n">
        <f aca="false">E219/D219-1</f>
        <v>0.428086013528419</v>
      </c>
      <c r="F220" s="15" t="n">
        <f aca="false">F219/E219-1</f>
        <v>-0.105883267325602</v>
      </c>
      <c r="G220" s="15" t="n">
        <f aca="false">G219/F219-1</f>
        <v>0.0605091590872593</v>
      </c>
      <c r="H220" s="24" t="n">
        <f aca="false">$G$220+($C$226-$G$220)*1/3</f>
        <v>0.0536727727248395</v>
      </c>
      <c r="I220" s="24" t="n">
        <f aca="false">$G$220+($C$226-$G$220)*2/3</f>
        <v>0.0468363863624198</v>
      </c>
      <c r="J220" s="24" t="n">
        <f aca="false">$G$220+($C$226-$G$220)*3/3</f>
        <v>0.04</v>
      </c>
    </row>
    <row r="221" customFormat="false" ht="15" hidden="false" customHeight="false" outlineLevel="0" collapsed="false">
      <c r="A221" s="4" t="s">
        <v>476</v>
      </c>
      <c r="B221" s="0" t="s">
        <v>195</v>
      </c>
      <c r="C221" s="19" t="n">
        <f aca="false">C154</f>
        <v>74.98</v>
      </c>
      <c r="D221" s="19" t="n">
        <f aca="false">D154</f>
        <v>110.713671625</v>
      </c>
      <c r="E221" s="19" t="n">
        <f aca="false">E154</f>
        <v>168.107029236484</v>
      </c>
      <c r="F221" s="19" t="n">
        <f aca="false">F154</f>
        <v>161.756541083666</v>
      </c>
      <c r="G221" s="19" t="n">
        <f aca="false">G154</f>
        <v>184.059363955117</v>
      </c>
      <c r="H221" s="23" t="n">
        <f aca="false">H219*H222</f>
        <v>187.473729019073</v>
      </c>
      <c r="I221" s="23" t="n">
        <f aca="false">I219*I222</f>
        <v>189.486930644068</v>
      </c>
      <c r="J221" s="23" t="n">
        <f aca="false">J219*J222</f>
        <v>190.02832187448</v>
      </c>
    </row>
    <row r="222" customFormat="false" ht="15" hidden="false" customHeight="false" outlineLevel="0" collapsed="false">
      <c r="A222" s="4" t="s">
        <v>477</v>
      </c>
      <c r="B222" s="0" t="s">
        <v>52</v>
      </c>
      <c r="C222" s="15" t="n">
        <f aca="false">C221/C219</f>
        <v>0.0353064879085403</v>
      </c>
      <c r="D222" s="15" t="n">
        <f aca="false">D221/D219</f>
        <v>0.0276873124553763</v>
      </c>
      <c r="E222" s="15" t="n">
        <f aca="false">E221/E219</f>
        <v>0.0294381867375461</v>
      </c>
      <c r="F222" s="15" t="n">
        <f aca="false">F221/F219</f>
        <v>0.0316805572174472</v>
      </c>
      <c r="G222" s="15" t="n">
        <f aca="false">G221/G219</f>
        <v>0.0339918227352446</v>
      </c>
      <c r="H222" s="24" t="n">
        <f aca="false">$G$222+($C$227-$G$222)*1/3</f>
        <v>0.0328587619774031</v>
      </c>
      <c r="I222" s="24" t="n">
        <f aca="false">$G$222+($C$227-$G$222)*2/3</f>
        <v>0.0317257012195616</v>
      </c>
      <c r="J222" s="24" t="n">
        <f aca="false">$G$222+($C$227-$G$222)*3/3</f>
        <v>0.0305926404617201</v>
      </c>
    </row>
    <row r="223" customFormat="false" ht="17.15" hidden="false" customHeight="false" outlineLevel="0" collapsed="false">
      <c r="A223" s="4" t="s">
        <v>478</v>
      </c>
      <c r="B223" s="4" t="s">
        <v>216</v>
      </c>
      <c r="C223" s="20" t="n">
        <f aca="false">C155</f>
        <v>3.85501285347044</v>
      </c>
      <c r="D223" s="20" t="n">
        <f aca="false">D155</f>
        <v>3.85460170146945</v>
      </c>
      <c r="E223" s="20" t="n">
        <f aca="false">E155</f>
        <v>3.85460170146945</v>
      </c>
      <c r="F223" s="20" t="n">
        <f aca="false">F155</f>
        <v>3.85460170146945</v>
      </c>
      <c r="G223" s="20" t="n">
        <f aca="false">G155</f>
        <v>3.85460170146945</v>
      </c>
      <c r="H223" s="25" t="n">
        <f aca="false">G223*(1+sh_g)</f>
        <v>3.85460170146945</v>
      </c>
      <c r="I223" s="25" t="n">
        <f aca="false">H223*(1+sh_g)</f>
        <v>3.85460170146945</v>
      </c>
      <c r="J223" s="25" t="n">
        <f aca="false">I223*(1+sh_g)</f>
        <v>3.85460170146945</v>
      </c>
      <c r="K223" s="8" t="s">
        <v>479</v>
      </c>
    </row>
    <row r="224" customFormat="false" ht="17.15" hidden="false" customHeight="false" outlineLevel="0" collapsed="false">
      <c r="A224" s="0" t="s">
        <v>480</v>
      </c>
      <c r="B224" s="0" t="s">
        <v>246</v>
      </c>
      <c r="C224" s="16" t="n">
        <f aca="false">C156</f>
        <v>19.45</v>
      </c>
      <c r="D224" s="16" t="n">
        <f aca="false">D156</f>
        <v>28.7224673778341</v>
      </c>
      <c r="E224" s="16" t="n">
        <f aca="false">E156</f>
        <v>43.6120362766401</v>
      </c>
      <c r="F224" s="16" t="n">
        <f aca="false">F156</f>
        <v>41.9645280138806</v>
      </c>
      <c r="G224" s="16" t="n">
        <f aca="false">G156</f>
        <v>47.750553289319</v>
      </c>
      <c r="H224" s="26" t="n">
        <f aca="false">H221/H223</f>
        <v>48.6363426207185</v>
      </c>
      <c r="I224" s="26" t="n">
        <f aca="false">I221/I223</f>
        <v>49.1586278737521</v>
      </c>
      <c r="J224" s="26" t="n">
        <f aca="false">J221/J223</f>
        <v>49.2990810962485</v>
      </c>
    </row>
    <row r="225" customFormat="false" ht="17.15" hidden="false" customHeight="false" outlineLevel="0" collapsed="false">
      <c r="A225" s="0" t="s">
        <v>423</v>
      </c>
      <c r="B225" s="0" t="s">
        <v>52</v>
      </c>
      <c r="C225" s="15"/>
      <c r="D225" s="15" t="n">
        <f aca="false">D224/C224-1</f>
        <v>0.476733541276816</v>
      </c>
      <c r="E225" s="15" t="n">
        <f aca="false">E224/D224-1</f>
        <v>0.518394492469567</v>
      </c>
      <c r="F225" s="15" t="n">
        <f aca="false">F224/E224-1</f>
        <v>-0.0377764581389645</v>
      </c>
      <c r="G225" s="15" t="n">
        <f aca="false">G224/F224-1</f>
        <v>0.137878955138601</v>
      </c>
      <c r="H225" s="24" t="n">
        <f aca="false">H224/G224-1</f>
        <v>0.0185503469673449</v>
      </c>
      <c r="I225" s="24" t="n">
        <f aca="false">I224/H224-1</f>
        <v>0.0107385799361295</v>
      </c>
      <c r="J225" s="24" t="n">
        <f aca="false">J224/I224-1</f>
        <v>0.00285714285714289</v>
      </c>
    </row>
    <row r="226" customFormat="false" ht="17.15" hidden="false" customHeight="false" outlineLevel="0" collapsed="false">
      <c r="A226" s="4" t="s">
        <v>481</v>
      </c>
      <c r="B226" s="0" t="s">
        <v>52</v>
      </c>
      <c r="C226" s="15" t="n">
        <f aca="false">fade_gB</f>
        <v>0.04</v>
      </c>
      <c r="K226" s="8" t="s">
        <v>486</v>
      </c>
    </row>
    <row r="227" customFormat="false" ht="17.15" hidden="false" customHeight="false" outlineLevel="0" collapsed="false">
      <c r="A227" s="4" t="s">
        <v>483</v>
      </c>
      <c r="B227" s="0" t="s">
        <v>52</v>
      </c>
      <c r="C227" s="15" t="n">
        <f aca="false">G222*(1+nim10_f)/2</f>
        <v>0.0305926404617201</v>
      </c>
      <c r="K227" s="4" t="s">
        <v>487</v>
      </c>
    </row>
    <row r="229" customFormat="false" ht="17.15" hidden="false" customHeight="false" outlineLevel="0" collapsed="false">
      <c r="A229" s="1" t="s">
        <v>488</v>
      </c>
    </row>
    <row r="230" customFormat="false" ht="17.15" hidden="false" customHeight="false" outlineLevel="0" collapsed="false">
      <c r="A230" s="5" t="s">
        <v>21</v>
      </c>
      <c r="B230" s="5" t="s">
        <v>22</v>
      </c>
      <c r="C230" s="12" t="s">
        <v>335</v>
      </c>
      <c r="D230" s="12" t="s">
        <v>411</v>
      </c>
      <c r="E230" s="12" t="s">
        <v>412</v>
      </c>
      <c r="F230" s="12" t="s">
        <v>413</v>
      </c>
      <c r="G230" s="12" t="s">
        <v>414</v>
      </c>
      <c r="H230" s="12" t="s">
        <v>471</v>
      </c>
      <c r="I230" s="12" t="s">
        <v>472</v>
      </c>
      <c r="J230" s="12" t="s">
        <v>473</v>
      </c>
      <c r="K230" s="5" t="s">
        <v>384</v>
      </c>
    </row>
    <row r="231" customFormat="false" ht="17.15" hidden="false" customHeight="false" outlineLevel="0" collapsed="false">
      <c r="A231" s="4" t="s">
        <v>474</v>
      </c>
      <c r="B231" s="0" t="s">
        <v>195</v>
      </c>
      <c r="C231" s="19" t="n">
        <f aca="false">C177</f>
        <v>2123.689</v>
      </c>
      <c r="D231" s="19" t="n">
        <f aca="false">D177</f>
        <v>3998.715</v>
      </c>
      <c r="E231" s="19" t="n">
        <f aca="false">E177</f>
        <v>5710.50896358629</v>
      </c>
      <c r="F231" s="19" t="n">
        <f aca="false">F177</f>
        <v>4165.48021064223</v>
      </c>
      <c r="G231" s="19" t="n">
        <f aca="false">G177</f>
        <v>4225.52174569391</v>
      </c>
      <c r="H231" s="23" t="n">
        <f aca="false">G231*(1+H232)</f>
        <v>4294.2965427383</v>
      </c>
      <c r="I231" s="23" t="n">
        <f aca="false">H231*(1+I232)</f>
        <v>4372.18659765543</v>
      </c>
      <c r="J231" s="23" t="n">
        <f aca="false">I231*(1+J232)</f>
        <v>4459.63032960854</v>
      </c>
      <c r="K231" s="8" t="s">
        <v>475</v>
      </c>
    </row>
    <row r="232" customFormat="false" ht="15" hidden="false" customHeight="false" outlineLevel="0" collapsed="false">
      <c r="A232" s="4" t="s">
        <v>416</v>
      </c>
      <c r="B232" s="0" t="s">
        <v>52</v>
      </c>
      <c r="C232" s="15"/>
      <c r="D232" s="15" t="n">
        <f aca="false">D231/C231-1</f>
        <v>0.88290987993063</v>
      </c>
      <c r="E232" s="15" t="n">
        <f aca="false">E231/D231-1</f>
        <v>0.428086013528419</v>
      </c>
      <c r="F232" s="15" t="n">
        <f aca="false">F231/E231-1</f>
        <v>-0.270558852598974</v>
      </c>
      <c r="G232" s="15" t="n">
        <f aca="false">G231/F231-1</f>
        <v>0.0144140728116497</v>
      </c>
      <c r="H232" s="24" t="n">
        <f aca="false">$G$232+($C$238-$G$232)*1/3</f>
        <v>0.0162760485410998</v>
      </c>
      <c r="I232" s="24" t="n">
        <f aca="false">$G$232+($C$238-$G$232)*2/3</f>
        <v>0.0181380242705499</v>
      </c>
      <c r="J232" s="24" t="n">
        <f aca="false">$G$232+($C$238-$G$232)*3/3</f>
        <v>0.02</v>
      </c>
    </row>
    <row r="233" customFormat="false" ht="15" hidden="false" customHeight="false" outlineLevel="0" collapsed="false">
      <c r="A233" s="4" t="s">
        <v>476</v>
      </c>
      <c r="B233" s="0" t="s">
        <v>195</v>
      </c>
      <c r="C233" s="19" t="n">
        <f aca="false">C198</f>
        <v>74.98</v>
      </c>
      <c r="D233" s="19" t="n">
        <f aca="false">D198</f>
        <v>110.713671625</v>
      </c>
      <c r="E233" s="19" t="n">
        <f aca="false">E198</f>
        <v>168.107029236484</v>
      </c>
      <c r="F233" s="19" t="n">
        <f aca="false">F198</f>
        <v>121.668572510965</v>
      </c>
      <c r="G233" s="19" t="n">
        <f aca="false">G198</f>
        <v>131.586296221261</v>
      </c>
      <c r="H233" s="23" t="n">
        <f aca="false">H231*H234</f>
        <v>124.812801088175</v>
      </c>
      <c r="I233" s="23" t="n">
        <f aca="false">I231*I234</f>
        <v>117.999754510474</v>
      </c>
      <c r="J233" s="23" t="n">
        <f aca="false">J231*J234</f>
        <v>111.101307323708</v>
      </c>
    </row>
    <row r="234" customFormat="false" ht="15" hidden="false" customHeight="false" outlineLevel="0" collapsed="false">
      <c r="A234" s="4" t="s">
        <v>477</v>
      </c>
      <c r="B234" s="0" t="s">
        <v>52</v>
      </c>
      <c r="C234" s="15" t="n">
        <f aca="false">C233/C231</f>
        <v>0.0353064879085403</v>
      </c>
      <c r="D234" s="15" t="n">
        <f aca="false">D233/D231</f>
        <v>0.0276873124553763</v>
      </c>
      <c r="E234" s="15" t="n">
        <f aca="false">E233/E231</f>
        <v>0.0294381867375461</v>
      </c>
      <c r="F234" s="15" t="n">
        <f aca="false">F233/F231</f>
        <v>0.0292087745850091</v>
      </c>
      <c r="G234" s="15" t="n">
        <f aca="false">G233/G231</f>
        <v>0.0311408399105639</v>
      </c>
      <c r="H234" s="24" t="n">
        <f aca="false">$G$234+($C$239-$G$234)*1/3</f>
        <v>0.0290647839165263</v>
      </c>
      <c r="I234" s="24" t="n">
        <f aca="false">$G$234+($C$239-$G$234)*2/3</f>
        <v>0.0269887279224887</v>
      </c>
      <c r="J234" s="24" t="n">
        <f aca="false">$G$234+($C$239-$G$234)*3/3</f>
        <v>0.0249126719284511</v>
      </c>
    </row>
    <row r="235" customFormat="false" ht="17.15" hidden="false" customHeight="false" outlineLevel="0" collapsed="false">
      <c r="A235" s="4" t="s">
        <v>478</v>
      </c>
      <c r="B235" s="4" t="s">
        <v>216</v>
      </c>
      <c r="C235" s="20" t="n">
        <f aca="false">C199</f>
        <v>3.85501285347044</v>
      </c>
      <c r="D235" s="20" t="n">
        <f aca="false">D199</f>
        <v>3.85460170146945</v>
      </c>
      <c r="E235" s="20" t="n">
        <f aca="false">E199</f>
        <v>3.85460170146945</v>
      </c>
      <c r="F235" s="20" t="n">
        <f aca="false">F199</f>
        <v>3.85460170146945</v>
      </c>
      <c r="G235" s="20" t="n">
        <f aca="false">G199</f>
        <v>3.85460170146945</v>
      </c>
      <c r="H235" s="25" t="n">
        <f aca="false">G235*(1+sh_g)</f>
        <v>3.85460170146945</v>
      </c>
      <c r="I235" s="25" t="n">
        <f aca="false">H235*(1+sh_g)</f>
        <v>3.85460170146945</v>
      </c>
      <c r="J235" s="25" t="n">
        <f aca="false">I235*(1+sh_g)</f>
        <v>3.85460170146945</v>
      </c>
      <c r="K235" s="8" t="s">
        <v>479</v>
      </c>
    </row>
    <row r="236" customFormat="false" ht="17.15" hidden="false" customHeight="false" outlineLevel="0" collapsed="false">
      <c r="A236" s="0" t="s">
        <v>480</v>
      </c>
      <c r="B236" s="0" t="s">
        <v>246</v>
      </c>
      <c r="C236" s="16" t="n">
        <f aca="false">C200</f>
        <v>19.45</v>
      </c>
      <c r="D236" s="16" t="n">
        <f aca="false">D200</f>
        <v>28.7224673778341</v>
      </c>
      <c r="E236" s="16" t="n">
        <f aca="false">E200</f>
        <v>43.6120362766401</v>
      </c>
      <c r="F236" s="16" t="n">
        <f aca="false">F200</f>
        <v>31.5644992489322</v>
      </c>
      <c r="G236" s="16" t="n">
        <f aca="false">G200</f>
        <v>34.1374560622171</v>
      </c>
      <c r="H236" s="26" t="n">
        <f aca="false">H233/H235</f>
        <v>32.3802070238784</v>
      </c>
      <c r="I236" s="26" t="n">
        <f aca="false">I233/I235</f>
        <v>30.6126971472799</v>
      </c>
      <c r="J236" s="26" t="n">
        <f aca="false">J233/J235</f>
        <v>28.8230317755927</v>
      </c>
    </row>
    <row r="237" customFormat="false" ht="17.15" hidden="false" customHeight="false" outlineLevel="0" collapsed="false">
      <c r="A237" s="0" t="s">
        <v>423</v>
      </c>
      <c r="B237" s="0" t="s">
        <v>52</v>
      </c>
      <c r="C237" s="15"/>
      <c r="D237" s="15" t="n">
        <f aca="false">D236/C236-1</f>
        <v>0.476733541276816</v>
      </c>
      <c r="E237" s="15" t="n">
        <f aca="false">E236/D236-1</f>
        <v>0.518394492469567</v>
      </c>
      <c r="F237" s="15" t="n">
        <f aca="false">F236/E236-1</f>
        <v>-0.276243396462571</v>
      </c>
      <c r="G237" s="15" t="n">
        <f aca="false">G236/F236-1</f>
        <v>0.081514260466907</v>
      </c>
      <c r="H237" s="24" t="n">
        <f aca="false">H236/G236-1</f>
        <v>-0.0514756880283066</v>
      </c>
      <c r="I237" s="24" t="n">
        <f aca="false">I236/H236-1</f>
        <v>-0.0545861203202037</v>
      </c>
      <c r="J237" s="24" t="n">
        <f aca="false">J236/I236-1</f>
        <v>-0.0584615384615382</v>
      </c>
    </row>
    <row r="238" customFormat="false" ht="17.15" hidden="false" customHeight="false" outlineLevel="0" collapsed="false">
      <c r="A238" s="4" t="s">
        <v>481</v>
      </c>
      <c r="B238" s="0" t="s">
        <v>52</v>
      </c>
      <c r="C238" s="15" t="n">
        <f aca="false">fade_gC</f>
        <v>0.02</v>
      </c>
      <c r="K238" s="8" t="s">
        <v>489</v>
      </c>
    </row>
    <row r="239" customFormat="false" ht="17.15" hidden="false" customHeight="false" outlineLevel="0" collapsed="false">
      <c r="A239" s="4" t="s">
        <v>483</v>
      </c>
      <c r="B239" s="0" t="s">
        <v>52</v>
      </c>
      <c r="C239" s="15" t="n">
        <f aca="false">G234*nim10_f</f>
        <v>0.0249126719284511</v>
      </c>
      <c r="K239" s="4" t="s">
        <v>490</v>
      </c>
    </row>
    <row r="242" customFormat="false" ht="17.15" hidden="false" customHeight="false" outlineLevel="0" collapsed="false">
      <c r="A242" s="1" t="s">
        <v>491</v>
      </c>
    </row>
    <row r="243" customFormat="false" ht="17.15" hidden="false" customHeight="false" outlineLevel="0" collapsed="false">
      <c r="A243" s="5" t="s">
        <v>21</v>
      </c>
      <c r="B243" s="5" t="s">
        <v>22</v>
      </c>
      <c r="C243" s="12" t="s">
        <v>335</v>
      </c>
      <c r="D243" s="12" t="s">
        <v>411</v>
      </c>
      <c r="E243" s="12" t="s">
        <v>412</v>
      </c>
      <c r="F243" s="12" t="s">
        <v>413</v>
      </c>
      <c r="G243" s="12" t="s">
        <v>414</v>
      </c>
      <c r="H243" s="12" t="s">
        <v>471</v>
      </c>
      <c r="I243" s="12" t="s">
        <v>472</v>
      </c>
      <c r="J243" s="12" t="s">
        <v>473</v>
      </c>
      <c r="K243" s="5" t="s">
        <v>384</v>
      </c>
    </row>
    <row r="244" customFormat="false" ht="17.15" hidden="false" customHeight="false" outlineLevel="0" collapsed="false">
      <c r="A244" s="4" t="s">
        <v>492</v>
      </c>
      <c r="B244" s="0" t="s">
        <v>195</v>
      </c>
      <c r="D244" s="19" t="n">
        <f aca="false">D209+D207*da_r-D207*cx_r</f>
        <v>105.675004786306</v>
      </c>
      <c r="E244" s="19" t="n">
        <f aca="false">E209+E207*da_r-E207*cx_r</f>
        <v>160.911379597315</v>
      </c>
      <c r="F244" s="19" t="n">
        <f aca="false">F209+F207*da_r-F207*cx_r</f>
        <v>192.52969463834</v>
      </c>
      <c r="G244" s="19" t="n">
        <f aca="false">G209+G207*da_r-G207*cx_r</f>
        <v>208.267247480492</v>
      </c>
      <c r="H244" s="23" t="n">
        <f aca="false">H209+H207*da_r-H207*cx_r</f>
        <v>214.318949507257</v>
      </c>
      <c r="I244" s="23" t="n">
        <f aca="false">I209+I207*da_r-I207*cx_r</f>
        <v>223.862292330008</v>
      </c>
      <c r="J244" s="23" t="n">
        <f aca="false">J209+J207*da_r-J207*cx_r</f>
        <v>237.294029869809</v>
      </c>
      <c r="K244" s="4" t="s">
        <v>493</v>
      </c>
    </row>
    <row r="245" customFormat="false" ht="17.15" hidden="false" customHeight="false" outlineLevel="0" collapsed="false">
      <c r="A245" s="4" t="s">
        <v>494</v>
      </c>
      <c r="B245" s="0" t="s">
        <v>195</v>
      </c>
      <c r="D245" s="19" t="n">
        <f aca="false">D221+D219*da_r-D219*cx_r</f>
        <v>105.675004786306</v>
      </c>
      <c r="E245" s="19" t="n">
        <f aca="false">E221+E219*da_r-E219*cx_r</f>
        <v>160.911379597315</v>
      </c>
      <c r="F245" s="19" t="n">
        <f aca="false">F221+F219*da_r-F219*cx_r</f>
        <v>155.322790338823</v>
      </c>
      <c r="G245" s="19" t="n">
        <f aca="false">G221+G219*da_r-G219*cx_r</f>
        <v>177.236312362926</v>
      </c>
      <c r="H245" s="23" t="n">
        <f aca="false">H221+H219*da_r-H219*cx_r</f>
        <v>180.284465329484</v>
      </c>
      <c r="I245" s="23" t="n">
        <f aca="false">I221+I219*da_r-I219*cx_r</f>
        <v>181.960947822653</v>
      </c>
      <c r="J245" s="23" t="n">
        <f aca="false">J221+J219*da_r-J219*cx_r</f>
        <v>182.201299740208</v>
      </c>
      <c r="K245" s="4" t="s">
        <v>493</v>
      </c>
    </row>
    <row r="246" customFormat="false" ht="17.15" hidden="false" customHeight="false" outlineLevel="0" collapsed="false">
      <c r="A246" s="4" t="s">
        <v>495</v>
      </c>
      <c r="B246" s="0" t="s">
        <v>195</v>
      </c>
      <c r="D246" s="19" t="n">
        <f aca="false">D233+D231*da_r-D231*cx_r</f>
        <v>105.675004786306</v>
      </c>
      <c r="E246" s="19" t="n">
        <f aca="false">E233+E231*da_r-E231*cx_r</f>
        <v>160.911379597315</v>
      </c>
      <c r="F246" s="19" t="n">
        <f aca="false">F233+F231*da_r-F231*cx_r</f>
        <v>116.419769581874</v>
      </c>
      <c r="G246" s="19" t="n">
        <f aca="false">G233+G231*da_r-G231*cx_r</f>
        <v>126.261836664576</v>
      </c>
      <c r="H246" s="23" t="n">
        <f aca="false">H233+H231*da_r-H231*cx_r</f>
        <v>119.40168036929</v>
      </c>
      <c r="I246" s="23" t="n">
        <f aca="false">I233+I231*da_r-I231*cx_r</f>
        <v>112.490486752659</v>
      </c>
      <c r="J246" s="23" t="n">
        <f aca="false">J233+J231*da_r-J231*cx_r</f>
        <v>105.481854210737</v>
      </c>
      <c r="K246" s="4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496</v>
      </c>
    </row>
    <row r="2" customFormat="false" ht="17.15" hidden="false" customHeight="false" outlineLevel="0" collapsed="false">
      <c r="A2" s="4" t="s">
        <v>497</v>
      </c>
    </row>
    <row r="3" customFormat="false" ht="17.15" hidden="false" customHeight="false" outlineLevel="0" collapsed="false">
      <c r="A3" s="4" t="s">
        <v>498</v>
      </c>
    </row>
    <row r="4" customFormat="false" ht="17.15" hidden="false" customHeight="false" outlineLevel="0" collapsed="false">
      <c r="A4" s="6" t="s">
        <v>499</v>
      </c>
    </row>
    <row r="5" customFormat="false" ht="15" hidden="false" customHeight="false" outlineLevel="0" collapsed="false">
      <c r="A5" s="5" t="s">
        <v>21</v>
      </c>
      <c r="B5" s="12" t="s">
        <v>500</v>
      </c>
      <c r="C5" s="12" t="s">
        <v>501</v>
      </c>
      <c r="D5" s="12" t="s">
        <v>502</v>
      </c>
      <c r="E5" s="5" t="s">
        <v>384</v>
      </c>
    </row>
    <row r="6" customFormat="false" ht="17.15" hidden="false" customHeight="false" outlineLevel="0" collapsed="false">
      <c r="A6" s="4" t="s">
        <v>503</v>
      </c>
      <c r="B6" s="27" t="n">
        <f aca="false">px</f>
        <v>322</v>
      </c>
    </row>
    <row r="7" customFormat="false" ht="17.15" hidden="false" customHeight="false" outlineLevel="0" collapsed="false">
      <c r="A7" s="4" t="s">
        <v>504</v>
      </c>
      <c r="B7" s="18" t="n">
        <f aca="false">px/PL!D17</f>
        <v>11.2107360333707</v>
      </c>
      <c r="C7" s="18" t="n">
        <f aca="false">px/PL!D33</f>
        <v>11.2107360333707</v>
      </c>
      <c r="D7" s="18" t="n">
        <f aca="false">px/PL!D49</f>
        <v>11.2107360333707</v>
      </c>
    </row>
    <row r="8" customFormat="false" ht="17.15" hidden="false" customHeight="false" outlineLevel="0" collapsed="false">
      <c r="A8" s="4" t="s">
        <v>505</v>
      </c>
      <c r="B8" s="18" t="n">
        <f aca="false">px/PL!E17</f>
        <v>7.3832828615818</v>
      </c>
      <c r="C8" s="18" t="n">
        <f aca="false">px/PL!E33</f>
        <v>7.3832828615818</v>
      </c>
      <c r="D8" s="18" t="n">
        <f aca="false">px/PL!E49</f>
        <v>7.3832828615818</v>
      </c>
      <c r="E8" s="8" t="s">
        <v>506</v>
      </c>
    </row>
    <row r="9" customFormat="false" ht="17.15" hidden="false" customHeight="false" outlineLevel="0" collapsed="false">
      <c r="A9" s="4" t="s">
        <v>507</v>
      </c>
      <c r="B9" s="18" t="n">
        <f aca="false">px/PL!F17</f>
        <v>6.20130758001892</v>
      </c>
      <c r="C9" s="18" t="n">
        <f aca="false">px/PL!F33</f>
        <v>7.67314718501046</v>
      </c>
      <c r="D9" s="18" t="n">
        <f aca="false">px/PL!F49</f>
        <v>10.2013340196073</v>
      </c>
    </row>
    <row r="10" customFormat="false" ht="17.15" hidden="false" customHeight="false" outlineLevel="0" collapsed="false">
      <c r="A10" s="4" t="s">
        <v>508</v>
      </c>
      <c r="B10" s="18" t="n">
        <f aca="false">px/PL!G17</f>
        <v>5.74649235505625</v>
      </c>
      <c r="C10" s="18" t="n">
        <f aca="false">px/PL!G33</f>
        <v>6.74337736044676</v>
      </c>
      <c r="D10" s="18" t="n">
        <f aca="false">px/PL!G49</f>
        <v>9.43245446916548</v>
      </c>
    </row>
    <row r="11" customFormat="false" ht="17.15" hidden="false" customHeight="false" outlineLevel="0" collapsed="false">
      <c r="A11" s="4" t="s">
        <v>509</v>
      </c>
      <c r="B11" s="16" t="n">
        <f aca="false">0.2*PL!D17+0.8*PL!E17</f>
        <v>40.6341224968789</v>
      </c>
    </row>
    <row r="12" customFormat="false" ht="17.15" hidden="false" customHeight="false" outlineLevel="0" collapsed="false">
      <c r="A12" s="4" t="s">
        <v>510</v>
      </c>
      <c r="B12" s="18" t="n">
        <f aca="false">px/B11</f>
        <v>7.92437439801323</v>
      </c>
      <c r="E12" s="8" t="s">
        <v>511</v>
      </c>
    </row>
    <row r="13" customFormat="false" ht="17.15" hidden="false" customHeight="false" outlineLevel="0" collapsed="false">
      <c r="A13" s="4" t="s">
        <v>512</v>
      </c>
      <c r="B13" s="18" t="n">
        <f aca="false">pe_ttm</f>
        <v>14.31</v>
      </c>
    </row>
    <row r="15" customFormat="false" ht="17.15" hidden="false" customHeight="false" outlineLevel="0" collapsed="false">
      <c r="A15" s="6" t="s">
        <v>513</v>
      </c>
    </row>
    <row r="16" customFormat="false" ht="17.15" hidden="false" customHeight="false" outlineLevel="0" collapsed="false">
      <c r="A16" s="5" t="s">
        <v>514</v>
      </c>
      <c r="B16" s="5" t="s">
        <v>515</v>
      </c>
      <c r="C16" s="12" t="s">
        <v>516</v>
      </c>
      <c r="D16" s="5" t="s">
        <v>517</v>
      </c>
      <c r="E16" s="5" t="s">
        <v>518</v>
      </c>
      <c r="F16" s="5" t="s">
        <v>384</v>
      </c>
    </row>
    <row r="17" customFormat="false" ht="17.15" hidden="false" customHeight="false" outlineLevel="0" collapsed="false">
      <c r="A17" s="0" t="s">
        <v>500</v>
      </c>
      <c r="B17" s="0" t="n">
        <f aca="false">INDEX({2026,2027,2028,2029},MATCH(MAX(PL!D89:G89),PL!D89:G89,0))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12.27</v>
      </c>
      <c r="E17" s="0" t="str">
        <f aca="false">IF(B17=2029,"是：營收到觀測期末仍在增加","否")</f>
        <v>是：營收到觀測期末仍在增加</v>
      </c>
      <c r="F17" s="8" t="s">
        <v>519</v>
      </c>
    </row>
    <row r="18" customFormat="false" ht="15" hidden="false" customHeight="false" outlineLevel="0" collapsed="false">
      <c r="A18" s="0" t="s">
        <v>501</v>
      </c>
      <c r="B18" s="0" t="n">
        <f aca="false">INDEX({2026,2027,2028,2029},MATCH(MAX(PL!D133:G133),PL!D133:G133,0))</f>
        <v>2027</v>
      </c>
      <c r="C18" s="0" t="str">
        <f aca="false">IF(B18=2029,"中段",IF(2027&lt;B18,"中段",IF(2027=B18,"見頂","谷底")))</f>
        <v>見頂</v>
      </c>
      <c r="D18" s="18" t="n">
        <f aca="false">IF(C18="見頂",pe_peak,IF(C18="谷底",pe_trough,pe_mid))</f>
        <v>10.81</v>
      </c>
      <c r="E18" s="0" t="str">
        <f aca="false">IF(B18=2029,"是：營收到觀測期末仍在增加","否")</f>
        <v>否</v>
      </c>
      <c r="F18" s="4" t="s">
        <v>38</v>
      </c>
    </row>
    <row r="19" customFormat="false" ht="15" hidden="false" customHeight="false" outlineLevel="0" collapsed="false">
      <c r="A19" s="0" t="s">
        <v>502</v>
      </c>
      <c r="B19" s="0" t="n">
        <f aca="false">INDEX({2026,2027,2028,2029},MATCH(MAX(PL!D177:G177),PL!D177:G177,0))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10.81</v>
      </c>
      <c r="E19" s="0" t="str">
        <f aca="false">IF(B19=2029,"是：營收到觀測期末仍在增加","否")</f>
        <v>否</v>
      </c>
      <c r="F19" s="4" t="s">
        <v>38</v>
      </c>
    </row>
    <row r="21" customFormat="false" ht="17.15" hidden="false" customHeight="false" outlineLevel="0" collapsed="false">
      <c r="A21" s="6" t="s">
        <v>520</v>
      </c>
    </row>
    <row r="22" customFormat="false" ht="17.15" hidden="false" customHeight="false" outlineLevel="0" collapsed="false">
      <c r="A22" s="5" t="s">
        <v>514</v>
      </c>
      <c r="B22" s="12" t="s">
        <v>521</v>
      </c>
      <c r="C22" s="5" t="s">
        <v>522</v>
      </c>
      <c r="D22" s="5" t="s">
        <v>523</v>
      </c>
      <c r="E22" s="5" t="s">
        <v>524</v>
      </c>
      <c r="F22" s="5" t="s">
        <v>525</v>
      </c>
      <c r="G22" s="5" t="s">
        <v>526</v>
      </c>
    </row>
    <row r="23" customFormat="false" ht="15" hidden="false" customHeight="false" outlineLevel="0" collapsed="false">
      <c r="A23" s="10" t="s">
        <v>500</v>
      </c>
      <c r="B23" s="28" t="n">
        <f aca="false">PL!E17</f>
        <v>43.6120362766401</v>
      </c>
      <c r="C23" s="28" t="n">
        <f aca="false">B23</f>
        <v>43.6120362766401</v>
      </c>
      <c r="D23" s="29" t="n">
        <f aca="false">D17</f>
        <v>12.27</v>
      </c>
      <c r="E23" s="30" t="n">
        <f aca="false">C23*D23</f>
        <v>535.119685114373</v>
      </c>
      <c r="F23" s="31" t="n">
        <f aca="false">E23/px-1</f>
        <v>0.661862376131595</v>
      </c>
      <c r="G23" s="29" t="n">
        <f aca="false">px/C23</f>
        <v>7.3832828615818</v>
      </c>
    </row>
    <row r="24" customFormat="false" ht="15" hidden="false" customHeight="false" outlineLevel="0" collapsed="false">
      <c r="A24" s="10" t="s">
        <v>501</v>
      </c>
      <c r="B24" s="28" t="n">
        <f aca="false">PL!E33</f>
        <v>43.6120362766401</v>
      </c>
      <c r="C24" s="28" t="n">
        <f aca="false">B24</f>
        <v>43.6120362766401</v>
      </c>
      <c r="D24" s="29" t="n">
        <f aca="false">D18</f>
        <v>10.81</v>
      </c>
      <c r="E24" s="30" t="n">
        <f aca="false">C24*D24</f>
        <v>471.446112150479</v>
      </c>
      <c r="F24" s="31" t="n">
        <f aca="false">E24/px-1</f>
        <v>0.464118360715773</v>
      </c>
      <c r="G24" s="29" t="n">
        <f aca="false">px/C24</f>
        <v>7.3832828615818</v>
      </c>
    </row>
    <row r="25" customFormat="false" ht="15" hidden="false" customHeight="false" outlineLevel="0" collapsed="false">
      <c r="A25" s="10" t="s">
        <v>502</v>
      </c>
      <c r="B25" s="28" t="n">
        <f aca="false">PL!E49</f>
        <v>43.6120362766401</v>
      </c>
      <c r="C25" s="28" t="n">
        <f aca="false">B25</f>
        <v>43.6120362766401</v>
      </c>
      <c r="D25" s="29" t="n">
        <f aca="false">D19</f>
        <v>10.81</v>
      </c>
      <c r="E25" s="30" t="n">
        <f aca="false">C25*D25</f>
        <v>471.446112150479</v>
      </c>
      <c r="F25" s="31" t="n">
        <f aca="false">E25/px-1</f>
        <v>0.464118360715773</v>
      </c>
      <c r="G25" s="29" t="n">
        <f aca="false">px/C25</f>
        <v>7.3832828615818</v>
      </c>
    </row>
    <row r="26" customFormat="false" ht="17.15" hidden="false" customHeight="false" outlineLevel="0" collapsed="false">
      <c r="A26" s="6" t="s">
        <v>527</v>
      </c>
    </row>
    <row r="27" customFormat="false" ht="17.15" hidden="false" customHeight="false" outlineLevel="0" collapsed="false">
      <c r="A27" s="12" t="s">
        <v>528</v>
      </c>
      <c r="B27" s="5" t="s">
        <v>529</v>
      </c>
      <c r="C27" s="5" t="s">
        <v>530</v>
      </c>
      <c r="D27" s="5" t="s">
        <v>531</v>
      </c>
      <c r="E27" s="5" t="s">
        <v>532</v>
      </c>
    </row>
    <row r="28" customFormat="false" ht="15" hidden="false" customHeight="false" outlineLevel="0" collapsed="false">
      <c r="A28" s="17" t="n">
        <v>1</v>
      </c>
      <c r="B28" s="18" t="n">
        <f aca="false">px*A28/PL!F17</f>
        <v>6.20130758001892</v>
      </c>
      <c r="C28" s="18" t="n">
        <f aca="false">px*A28/PL!F49</f>
        <v>10.2013340196073</v>
      </c>
      <c r="D28" s="18" t="n">
        <f aca="false">pe_fair_andy</f>
        <v>15</v>
      </c>
      <c r="E28" s="18" t="n">
        <f aca="false">pe_mid</f>
        <v>12.27</v>
      </c>
    </row>
    <row r="29" customFormat="false" ht="15" hidden="false" customHeight="false" outlineLevel="0" collapsed="false">
      <c r="A29" s="17" t="n">
        <v>1.1</v>
      </c>
      <c r="B29" s="18" t="n">
        <f aca="false">px*A29/PL!F17</f>
        <v>6.82143833802081</v>
      </c>
      <c r="C29" s="18" t="n">
        <f aca="false">px*A29/PL!F49</f>
        <v>11.221467421568</v>
      </c>
      <c r="D29" s="18" t="n">
        <f aca="false">pe_fair_andy</f>
        <v>15</v>
      </c>
      <c r="E29" s="18" t="n">
        <f aca="false">pe_mid</f>
        <v>12.27</v>
      </c>
    </row>
    <row r="30" customFormat="false" ht="15" hidden="false" customHeight="false" outlineLevel="0" collapsed="false">
      <c r="A30" s="17" t="n">
        <v>1.21</v>
      </c>
      <c r="B30" s="18" t="n">
        <f aca="false">px*A30/PL!F17</f>
        <v>7.50358217182289</v>
      </c>
      <c r="C30" s="18" t="n">
        <f aca="false">px*A30/PL!F49</f>
        <v>12.3436141637248</v>
      </c>
      <c r="D30" s="18" t="n">
        <f aca="false">pe_fair_andy</f>
        <v>15</v>
      </c>
      <c r="E30" s="18" t="n">
        <f aca="false">pe_mid</f>
        <v>12.27</v>
      </c>
    </row>
    <row r="31" customFormat="false" ht="15" hidden="false" customHeight="false" outlineLevel="0" collapsed="false">
      <c r="A31" s="17" t="n">
        <v>1.5</v>
      </c>
      <c r="B31" s="18" t="n">
        <f aca="false">px*A31/PL!F17</f>
        <v>9.30196137002838</v>
      </c>
      <c r="C31" s="18" t="n">
        <f aca="false">px*A31/PL!F49</f>
        <v>15.3020010294109</v>
      </c>
      <c r="D31" s="18" t="n">
        <f aca="false">pe_fair_andy</f>
        <v>15</v>
      </c>
      <c r="E31" s="18" t="n">
        <f aca="false">pe_mid</f>
        <v>12.27</v>
      </c>
    </row>
    <row r="32" customFormat="false" ht="15" hidden="false" customHeight="false" outlineLevel="0" collapsed="false">
      <c r="A32" s="17" t="n">
        <v>2</v>
      </c>
      <c r="B32" s="18" t="n">
        <f aca="false">px*A32/PL!F17</f>
        <v>12.4026151600378</v>
      </c>
      <c r="C32" s="18" t="n">
        <f aca="false">px*A32/PL!F49</f>
        <v>20.4026680392146</v>
      </c>
      <c r="D32" s="18" t="n">
        <f aca="false">pe_fair_andy</f>
        <v>15</v>
      </c>
      <c r="E32" s="18" t="n">
        <f aca="false">pe_mid</f>
        <v>12.27</v>
      </c>
    </row>
    <row r="33" customFormat="false" ht="17.15" hidden="false" customHeight="false" outlineLevel="0" collapsed="false">
      <c r="A33" s="4" t="s">
        <v>533</v>
      </c>
    </row>
    <row r="35" customFormat="false" ht="17.15" hidden="false" customHeight="false" outlineLevel="0" collapsed="false">
      <c r="A35" s="6" t="s">
        <v>534</v>
      </c>
    </row>
    <row r="36" customFormat="false" ht="15" hidden="false" customHeight="false" outlineLevel="0" collapsed="false">
      <c r="A36" s="5" t="s">
        <v>514</v>
      </c>
      <c r="B36" s="12" t="s">
        <v>521</v>
      </c>
      <c r="C36" s="12" t="s">
        <v>535</v>
      </c>
      <c r="D36" s="5" t="s">
        <v>525</v>
      </c>
      <c r="E36" s="12" t="s">
        <v>536</v>
      </c>
      <c r="F36" s="12" t="s">
        <v>535</v>
      </c>
      <c r="G36" s="5" t="s">
        <v>525</v>
      </c>
    </row>
    <row r="37" customFormat="false" ht="15" hidden="false" customHeight="false" outlineLevel="0" collapsed="false">
      <c r="A37" s="0" t="s">
        <v>500</v>
      </c>
      <c r="B37" s="16" t="n">
        <f aca="false">PL!E17</f>
        <v>43.6120362766401</v>
      </c>
      <c r="C37" s="27" t="n">
        <f aca="false">B37*pe_fair_andy</f>
        <v>654.180544149601</v>
      </c>
      <c r="D37" s="32" t="n">
        <f aca="false">C37/px-1</f>
        <v>1.03161659673789</v>
      </c>
      <c r="E37" s="16" t="n">
        <f aca="false">PL!F17</f>
        <v>51.9245329868024</v>
      </c>
      <c r="F37" s="27" t="n">
        <f aca="false">E37*pe_fair_andy</f>
        <v>778.867994802036</v>
      </c>
      <c r="G37" s="32" t="n">
        <f aca="false">F37/px-1</f>
        <v>1.41884470435415</v>
      </c>
    </row>
    <row r="38" customFormat="false" ht="15" hidden="false" customHeight="false" outlineLevel="0" collapsed="false">
      <c r="A38" s="0" t="s">
        <v>501</v>
      </c>
      <c r="B38" s="16" t="n">
        <f aca="false">PL!E33</f>
        <v>43.6120362766401</v>
      </c>
      <c r="C38" s="27" t="n">
        <f aca="false">B38*pe_fair_andy</f>
        <v>654.180544149601</v>
      </c>
      <c r="D38" s="32" t="n">
        <f aca="false">C38/px-1</f>
        <v>1.03161659673789</v>
      </c>
      <c r="E38" s="16" t="n">
        <f aca="false">PL!F33</f>
        <v>41.9645280138806</v>
      </c>
      <c r="F38" s="27" t="n">
        <f aca="false">E38*pe_fair_andy</f>
        <v>629.467920208208</v>
      </c>
      <c r="G38" s="32" t="n">
        <f aca="false">F38/px-1</f>
        <v>0.954869317416796</v>
      </c>
    </row>
    <row r="39" customFormat="false" ht="15" hidden="false" customHeight="false" outlineLevel="0" collapsed="false">
      <c r="A39" s="0" t="s">
        <v>502</v>
      </c>
      <c r="B39" s="16" t="n">
        <f aca="false">PL!E49</f>
        <v>43.6120362766401</v>
      </c>
      <c r="C39" s="27" t="n">
        <f aca="false">B39*pe_fair_andy</f>
        <v>654.180544149601</v>
      </c>
      <c r="D39" s="32" t="n">
        <f aca="false">C39/px-1</f>
        <v>1.03161659673789</v>
      </c>
      <c r="E39" s="16" t="n">
        <f aca="false">PL!F49</f>
        <v>31.5644992489322</v>
      </c>
      <c r="F39" s="27" t="n">
        <f aca="false">E39*pe_fair_andy</f>
        <v>473.467488733982</v>
      </c>
      <c r="G39" s="32" t="n">
        <f aca="false">F39/px-1</f>
        <v>0.470395927745287</v>
      </c>
    </row>
    <row r="41" customFormat="false" ht="17.15" hidden="false" customHeight="false" outlineLevel="0" collapsed="false">
      <c r="A41" s="1" t="s">
        <v>537</v>
      </c>
    </row>
    <row r="42" customFormat="false" ht="17.15" hidden="false" customHeight="false" outlineLevel="0" collapsed="false">
      <c r="A42" s="33" t="s">
        <v>538</v>
      </c>
      <c r="B42" s="30" t="n">
        <f aca="false">tp_wA*B44+tp_wB*B45+tp_wC*B46</f>
        <v>490.548184039647</v>
      </c>
      <c r="C42" s="10"/>
      <c r="D42" s="10"/>
      <c r="E42" s="34" t="s">
        <v>539</v>
      </c>
    </row>
    <row r="43" customFormat="false" ht="17.15" hidden="false" customHeight="false" outlineLevel="0" collapsed="false">
      <c r="A43" s="34" t="s">
        <v>540</v>
      </c>
      <c r="B43" s="35" t="n">
        <f aca="false">B42/px-1</f>
        <v>0.523441565340519</v>
      </c>
      <c r="C43" s="34"/>
      <c r="D43" s="34"/>
      <c r="E43" s="34" t="s">
        <v>541</v>
      </c>
    </row>
    <row r="44" customFormat="false" ht="17.15" hidden="false" customHeight="false" outlineLevel="0" collapsed="false">
      <c r="A44" s="4" t="s">
        <v>542</v>
      </c>
      <c r="B44" s="27" t="n">
        <f aca="false">E23</f>
        <v>535.119685114373</v>
      </c>
      <c r="E44" s="4" t="s">
        <v>543</v>
      </c>
    </row>
    <row r="45" customFormat="false" ht="17.15" hidden="false" customHeight="false" outlineLevel="0" collapsed="false">
      <c r="A45" s="4" t="s">
        <v>544</v>
      </c>
      <c r="B45" s="27" t="n">
        <f aca="false">E24</f>
        <v>471.446112150479</v>
      </c>
      <c r="E45" s="4" t="s">
        <v>545</v>
      </c>
    </row>
    <row r="46" customFormat="false" ht="17.15" hidden="false" customHeight="false" outlineLevel="0" collapsed="false">
      <c r="A46" s="4" t="s">
        <v>546</v>
      </c>
      <c r="B46" s="27" t="n">
        <f aca="false">E25</f>
        <v>471.446112150479</v>
      </c>
      <c r="E46" s="4" t="s">
        <v>547</v>
      </c>
    </row>
    <row r="47" customFormat="false" ht="17.15" hidden="false" customHeight="false" outlineLevel="0" collapsed="false">
      <c r="A47" s="4" t="s">
        <v>548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549</v>
      </c>
    </row>
    <row r="48" customFormat="false" ht="17.15" hidden="false" customHeight="false" outlineLevel="0" collapsed="false">
      <c r="A48" s="4" t="s">
        <v>550</v>
      </c>
      <c r="B48" s="0" t="s">
        <v>551</v>
      </c>
    </row>
    <row r="50" customFormat="false" ht="17.15" hidden="false" customHeight="false" outlineLevel="0" collapsed="false">
      <c r="A50" s="6" t="s">
        <v>552</v>
      </c>
    </row>
    <row r="51" customFormat="false" ht="17.15" hidden="false" customHeight="false" outlineLevel="0" collapsed="false">
      <c r="A51" s="4" t="s">
        <v>553</v>
      </c>
    </row>
    <row r="53" customFormat="false" ht="17.15" hidden="false" customHeight="false" outlineLevel="0" collapsed="false">
      <c r="A53" s="6" t="s">
        <v>554</v>
      </c>
    </row>
    <row r="54" customFormat="false" ht="17.15" hidden="false" customHeight="false" outlineLevel="0" collapsed="false">
      <c r="A54" s="5" t="s">
        <v>555</v>
      </c>
      <c r="B54" s="12" t="s">
        <v>556</v>
      </c>
      <c r="C54" s="12" t="s">
        <v>557</v>
      </c>
      <c r="D54" s="5" t="s">
        <v>558</v>
      </c>
    </row>
    <row r="55" customFormat="false" ht="17.15" hidden="false" customHeight="false" outlineLevel="0" collapsed="false">
      <c r="A55" s="0" t="s">
        <v>559</v>
      </c>
      <c r="B55" s="17" t="n">
        <v>9.26</v>
      </c>
      <c r="C55" s="16" t="n">
        <f aca="false">60.3/3.93</f>
        <v>15.3435114503817</v>
      </c>
      <c r="D55" s="8" t="s">
        <v>560</v>
      </c>
    </row>
    <row r="56" customFormat="false" ht="15" hidden="false" customHeight="false" outlineLevel="0" collapsed="false">
      <c r="A56" s="0" t="s">
        <v>561</v>
      </c>
      <c r="B56" s="17" t="n">
        <v>10.5</v>
      </c>
      <c r="C56" s="16" t="n">
        <f aca="false">61.9/3.73</f>
        <v>16.5951742627346</v>
      </c>
    </row>
    <row r="57" customFormat="false" ht="15" hidden="false" customHeight="false" outlineLevel="0" collapsed="false">
      <c r="A57" s="0" t="s">
        <v>562</v>
      </c>
      <c r="B57" s="17" t="n">
        <v>8.95</v>
      </c>
      <c r="C57" s="16" t="n">
        <f aca="false">52.7/3.92</f>
        <v>13.4438775510204</v>
      </c>
    </row>
    <row r="58" customFormat="false" ht="15" hidden="false" customHeight="false" outlineLevel="0" collapsed="false">
      <c r="A58" s="0" t="s">
        <v>563</v>
      </c>
      <c r="B58" s="17" t="n">
        <v>11.1</v>
      </c>
      <c r="C58" s="16" t="n">
        <f aca="false">64.3/4.14</f>
        <v>15.5314009661836</v>
      </c>
    </row>
    <row r="59" customFormat="false" ht="15" hidden="false" customHeight="false" outlineLevel="0" collapsed="false">
      <c r="A59" s="0" t="s">
        <v>564</v>
      </c>
      <c r="B59" s="17" t="n">
        <v>9.23</v>
      </c>
      <c r="C59" s="16" t="n">
        <f aca="false">80.9/6.57</f>
        <v>12.3135464231355</v>
      </c>
    </row>
    <row r="60" customFormat="false" ht="15" hidden="false" customHeight="false" outlineLevel="0" collapsed="false">
      <c r="A60" s="0" t="s">
        <v>565</v>
      </c>
      <c r="B60" s="17" t="n">
        <v>8.62</v>
      </c>
      <c r="C60" s="16" t="n">
        <f aca="false">94.7/8.73</f>
        <v>10.8476517754868</v>
      </c>
    </row>
    <row r="61" customFormat="false" ht="15" hidden="false" customHeight="false" outlineLevel="0" collapsed="false">
      <c r="A61" s="0" t="s">
        <v>566</v>
      </c>
      <c r="B61" s="17" t="n">
        <v>8.3</v>
      </c>
      <c r="C61" s="16" t="n">
        <f aca="false">72.3/7.51</f>
        <v>9.6271637816245</v>
      </c>
    </row>
    <row r="62" customFormat="false" ht="15" hidden="false" customHeight="false" outlineLevel="0" collapsed="false">
      <c r="A62" s="0" t="s">
        <v>567</v>
      </c>
      <c r="B62" s="17" t="n">
        <v>20.2</v>
      </c>
      <c r="C62" s="16" t="n">
        <f aca="false">224.5/10.29</f>
        <v>21.8172983479106</v>
      </c>
    </row>
    <row r="63" customFormat="false" ht="15" hidden="false" customHeight="false" outlineLevel="0" collapsed="false">
      <c r="A63" s="0" t="s">
        <v>568</v>
      </c>
      <c r="B63" s="17" t="n">
        <v>17.7</v>
      </c>
      <c r="C63" s="16" t="n">
        <f aca="false">287/15.49</f>
        <v>18.5280826339574</v>
      </c>
    </row>
    <row r="64" customFormat="false" ht="15" hidden="false" customHeight="false" outlineLevel="0" collapsed="false">
      <c r="A64" s="0" t="s">
        <v>569</v>
      </c>
      <c r="B64" s="17" t="n">
        <v>13.5</v>
      </c>
      <c r="C64" s="16" t="n">
        <f aca="false">272/19.45</f>
        <v>13.9845758354756</v>
      </c>
    </row>
    <row r="65" customFormat="false" ht="17.15" hidden="false" customHeight="false" outlineLevel="0" collapsed="false">
      <c r="A65" s="0" t="s">
        <v>570</v>
      </c>
      <c r="B65" s="16" t="n">
        <f aca="false">PERCENTILE(B55:B64,0.25)</f>
        <v>9.02</v>
      </c>
      <c r="C65" s="16" t="n">
        <f aca="false">PERCENTILE(C55:C64,0.25)</f>
        <v>12.5961292051067</v>
      </c>
    </row>
    <row r="66" customFormat="false" ht="15" hidden="false" customHeight="false" outlineLevel="0" collapsed="false">
      <c r="A66" s="4" t="s">
        <v>571</v>
      </c>
      <c r="B66" s="16" t="n">
        <f aca="false">MEDIAN(B55:B64)</f>
        <v>9.88</v>
      </c>
      <c r="C66" s="16" t="n">
        <f aca="false">MEDIAN(C55:C64)</f>
        <v>14.6640436429286</v>
      </c>
    </row>
    <row r="67" customFormat="false" ht="17.15" hidden="false" customHeight="false" outlineLevel="0" collapsed="false">
      <c r="A67" s="0" t="s">
        <v>572</v>
      </c>
      <c r="B67" s="16" t="n">
        <f aca="false">PERCENTILE(B55:B64,0.75)</f>
        <v>12.9</v>
      </c>
      <c r="C67" s="16" t="n">
        <f aca="false">PERCENTILE(C55:C64,0.75)</f>
        <v>16.3292309385968</v>
      </c>
    </row>
    <row r="68" customFormat="false" ht="15" hidden="false" customHeight="false" outlineLevel="0" collapsed="false">
      <c r="A68" s="4" t="s">
        <v>573</v>
      </c>
      <c r="B68" s="16" t="n">
        <f aca="false">MIN(B55:B64)</f>
        <v>8.3</v>
      </c>
      <c r="C68" s="16" t="n">
        <f aca="false">MIN(C55:C64)</f>
        <v>9.6271637816245</v>
      </c>
    </row>
    <row r="69" customFormat="false" ht="15" hidden="false" customHeight="false" outlineLevel="0" collapsed="false">
      <c r="A69" s="4" t="s">
        <v>574</v>
      </c>
      <c r="B69" s="16" t="n">
        <f aca="false">MAX(B55:B64)</f>
        <v>20.2</v>
      </c>
      <c r="C69" s="16" t="n">
        <f aca="false">MAX(C55:C64)</f>
        <v>21.8172983479106</v>
      </c>
    </row>
    <row r="70" customFormat="false" ht="17.15" hidden="false" customHeight="false" outlineLevel="0" collapsed="false">
      <c r="A70" s="1" t="s">
        <v>575</v>
      </c>
      <c r="B70" s="16" t="n">
        <f aca="false">ROUND(AVERAGE(B65,C65),2)</f>
        <v>10.81</v>
      </c>
    </row>
    <row r="71" customFormat="false" ht="17.15" hidden="false" customHeight="false" outlineLevel="0" collapsed="false">
      <c r="A71" s="1" t="s">
        <v>576</v>
      </c>
      <c r="B71" s="16" t="n">
        <f aca="false">ROUND(AVERAGE(B66,C66),2)</f>
        <v>12.27</v>
      </c>
    </row>
    <row r="72" customFormat="false" ht="17.15" hidden="false" customHeight="false" outlineLevel="0" collapsed="false">
      <c r="A72" s="1" t="s">
        <v>577</v>
      </c>
      <c r="B72" s="16" t="n">
        <f aca="false">ROUND(AVERAGE(B67,C67),2)</f>
        <v>14.61</v>
      </c>
    </row>
    <row r="73" customFormat="false" ht="17.15" hidden="false" customHeight="false" outlineLevel="0" collapsed="false">
      <c r="A73" s="1" t="s">
        <v>578</v>
      </c>
      <c r="B73" s="16" t="n">
        <f aca="false">ROUND(MIN(B68,C68),2)</f>
        <v>8.3</v>
      </c>
    </row>
    <row r="74" customFormat="false" ht="17.15" hidden="false" customHeight="false" outlineLevel="0" collapsed="false">
      <c r="A74" s="1" t="s">
        <v>579</v>
      </c>
      <c r="B74" s="16" t="n">
        <f aca="false">ROUND(MAX(B69,C69),2)</f>
        <v>21.82</v>
      </c>
    </row>
    <row r="76" customFormat="false" ht="17.15" hidden="false" customHeight="false" outlineLevel="0" collapsed="false">
      <c r="A76" s="6" t="s">
        <v>580</v>
      </c>
    </row>
    <row r="77" customFormat="false" ht="17.15" hidden="false" customHeight="false" outlineLevel="0" collapsed="false">
      <c r="A77" s="5" t="s">
        <v>581</v>
      </c>
      <c r="B77" s="5" t="s">
        <v>582</v>
      </c>
      <c r="C77" s="5" t="s">
        <v>583</v>
      </c>
      <c r="D77" s="5" t="s">
        <v>24</v>
      </c>
      <c r="E77" s="5" t="s">
        <v>584</v>
      </c>
      <c r="F77" s="5" t="s">
        <v>524</v>
      </c>
      <c r="G77" s="5" t="s">
        <v>585</v>
      </c>
      <c r="H77" s="5" t="s">
        <v>586</v>
      </c>
    </row>
    <row r="78" customFormat="false" ht="17.15" hidden="false" customHeight="false" outlineLevel="0" collapsed="false">
      <c r="A78" s="4" t="s">
        <v>587</v>
      </c>
      <c r="B78" s="0" t="s">
        <v>588</v>
      </c>
      <c r="C78" s="16" t="n">
        <f aca="false">B70</f>
        <v>10.81</v>
      </c>
      <c r="D78" s="8" t="s">
        <v>589</v>
      </c>
      <c r="E78" s="21" t="n">
        <f aca="false">C23</f>
        <v>43.6120362766401</v>
      </c>
      <c r="F78" s="19" t="n">
        <f aca="false">C78*E78</f>
        <v>471.446112150479</v>
      </c>
      <c r="G78" s="15" t="n">
        <f aca="false">F78/px-1</f>
        <v>0.464118360715773</v>
      </c>
      <c r="H78" s="16" t="n">
        <f aca="false">px/E78</f>
        <v>7.3832828615818</v>
      </c>
    </row>
    <row r="79" customFormat="false" ht="17.15" hidden="false" customHeight="false" outlineLevel="0" collapsed="false">
      <c r="A79" s="4" t="s">
        <v>590</v>
      </c>
      <c r="B79" s="4" t="s">
        <v>591</v>
      </c>
      <c r="C79" s="16" t="n">
        <f aca="false">B71</f>
        <v>12.27</v>
      </c>
      <c r="D79" s="8" t="s">
        <v>589</v>
      </c>
      <c r="E79" s="21" t="n">
        <f aca="false">C23</f>
        <v>43.6120362766401</v>
      </c>
      <c r="F79" s="19" t="n">
        <f aca="false">C79*E79</f>
        <v>535.119685114373</v>
      </c>
      <c r="G79" s="15" t="n">
        <f aca="false">F79/px-1</f>
        <v>0.661862376131595</v>
      </c>
      <c r="H79" s="16" t="n">
        <f aca="false">px/E79</f>
        <v>7.3832828615818</v>
      </c>
    </row>
    <row r="80" customFormat="false" ht="17.15" hidden="false" customHeight="false" outlineLevel="0" collapsed="false">
      <c r="A80" s="4" t="s">
        <v>592</v>
      </c>
      <c r="B80" s="0" t="s">
        <v>593</v>
      </c>
      <c r="C80" s="16" t="n">
        <f aca="false">B72</f>
        <v>14.61</v>
      </c>
      <c r="D80" s="8" t="s">
        <v>589</v>
      </c>
      <c r="E80" s="21" t="n">
        <f aca="false">C23</f>
        <v>43.6120362766401</v>
      </c>
      <c r="F80" s="19" t="n">
        <f aca="false">C80*E80</f>
        <v>637.171850001711</v>
      </c>
      <c r="G80" s="15" t="n">
        <f aca="false">F80/px-1</f>
        <v>0.978794565222705</v>
      </c>
      <c r="H80" s="16" t="n">
        <f aca="false">px/E80</f>
        <v>7.3832828615818</v>
      </c>
    </row>
    <row r="85" customFormat="false" ht="17.15" hidden="false" customHeight="false" outlineLevel="0" collapsed="false">
      <c r="A85" s="6" t="s">
        <v>594</v>
      </c>
    </row>
    <row r="86" customFormat="false" ht="17.15" hidden="false" customHeight="false" outlineLevel="0" collapsed="false">
      <c r="A86" s="6" t="s">
        <v>595</v>
      </c>
    </row>
    <row r="87" customFormat="false" ht="17.15" hidden="false" customHeight="false" outlineLevel="0" collapsed="false">
      <c r="A87" s="5" t="s">
        <v>21</v>
      </c>
      <c r="B87" s="12" t="s">
        <v>596</v>
      </c>
      <c r="C87" s="12" t="s">
        <v>597</v>
      </c>
      <c r="D87" s="12" t="s">
        <v>598</v>
      </c>
      <c r="E87" s="5" t="s">
        <v>384</v>
      </c>
    </row>
    <row r="88" customFormat="false" ht="17.15" hidden="false" customHeight="false" outlineLevel="0" collapsed="false">
      <c r="A88" s="4" t="s">
        <v>599</v>
      </c>
      <c r="E88" s="0" t="s">
        <v>600</v>
      </c>
    </row>
    <row r="89" customFormat="false" ht="15" hidden="false" customHeight="false" outlineLevel="0" collapsed="false">
      <c r="A89" s="0" t="s">
        <v>601</v>
      </c>
      <c r="B89" s="16" t="n">
        <f aca="false">PL!E212</f>
        <v>43.6120362766401</v>
      </c>
      <c r="C89" s="16" t="n">
        <f aca="false">PL!E224</f>
        <v>43.6120362766401</v>
      </c>
      <c r="D89" s="16" t="n">
        <f aca="false">PL!E236</f>
        <v>43.6120362766401</v>
      </c>
    </row>
    <row r="90" customFormat="false" ht="15" hidden="false" customHeight="false" outlineLevel="0" collapsed="false">
      <c r="A90" s="0" t="s">
        <v>602</v>
      </c>
      <c r="B90" s="16" t="n">
        <f aca="false">PL!F212</f>
        <v>51.9245329868024</v>
      </c>
      <c r="C90" s="16" t="n">
        <f aca="false">PL!F224</f>
        <v>41.9645280138806</v>
      </c>
      <c r="D90" s="16" t="n">
        <f aca="false">PL!F236</f>
        <v>31.5644992489322</v>
      </c>
    </row>
    <row r="91" customFormat="false" ht="15" hidden="false" customHeight="false" outlineLevel="0" collapsed="false">
      <c r="A91" s="0" t="s">
        <v>603</v>
      </c>
      <c r="B91" s="16" t="n">
        <f aca="false">PL!G212</f>
        <v>56.0341822636686</v>
      </c>
      <c r="C91" s="16" t="n">
        <f aca="false">PL!G224</f>
        <v>47.750553289319</v>
      </c>
      <c r="D91" s="16" t="n">
        <f aca="false">PL!G236</f>
        <v>34.1374560622171</v>
      </c>
    </row>
    <row r="92" customFormat="false" ht="15" hidden="false" customHeight="false" outlineLevel="0" collapsed="false">
      <c r="A92" s="0" t="s">
        <v>604</v>
      </c>
      <c r="B92" s="16" t="n">
        <f aca="false">PL!H212</f>
        <v>57.6623891875869</v>
      </c>
      <c r="C92" s="16" t="n">
        <f aca="false">PL!H224</f>
        <v>48.6363426207185</v>
      </c>
      <c r="D92" s="16" t="n">
        <f aca="false">PL!H236</f>
        <v>32.3802070238784</v>
      </c>
    </row>
    <row r="93" customFormat="false" ht="15" hidden="false" customHeight="false" outlineLevel="0" collapsed="false">
      <c r="A93" s="0" t="s">
        <v>605</v>
      </c>
      <c r="B93" s="16" t="n">
        <f aca="false">PL!I212</f>
        <v>60.2300200445935</v>
      </c>
      <c r="C93" s="16" t="n">
        <f aca="false">PL!I224</f>
        <v>49.1586278737521</v>
      </c>
      <c r="D93" s="16" t="n">
        <f aca="false">PL!I236</f>
        <v>30.6126971472799</v>
      </c>
    </row>
    <row r="94" customFormat="false" ht="15" hidden="false" customHeight="false" outlineLevel="0" collapsed="false">
      <c r="A94" s="0" t="s">
        <v>606</v>
      </c>
      <c r="B94" s="16" t="n">
        <f aca="false">PL!J212</f>
        <v>63.8438212472691</v>
      </c>
      <c r="C94" s="16" t="n">
        <f aca="false">PL!J224</f>
        <v>49.2990810962485</v>
      </c>
      <c r="D94" s="16" t="n">
        <f aca="false">PL!J236</f>
        <v>28.8230317755927</v>
      </c>
    </row>
    <row r="95" customFormat="false" ht="17.15" hidden="false" customHeight="false" outlineLevel="0" collapsed="false">
      <c r="A95" s="4" t="s">
        <v>607</v>
      </c>
    </row>
    <row r="96" customFormat="false" ht="17.15" hidden="false" customHeight="false" outlineLevel="0" collapsed="false">
      <c r="A96" s="4" t="s">
        <v>608</v>
      </c>
      <c r="B96" s="15" t="n">
        <f aca="false">MIN(tp_g/tp_roe,0.8)</f>
        <v>0.14729348226341</v>
      </c>
      <c r="E96" s="8" t="s">
        <v>609</v>
      </c>
    </row>
    <row r="97" customFormat="false" ht="15" hidden="false" customHeight="false" outlineLevel="0" collapsed="false">
      <c r="A97" s="0" t="s">
        <v>601</v>
      </c>
      <c r="B97" s="16" t="n">
        <f aca="false">B89*(1-$B$96)</f>
        <v>37.1882675848556</v>
      </c>
      <c r="C97" s="16" t="n">
        <f aca="false">C89*(1-$B$96)</f>
        <v>37.1882675848556</v>
      </c>
      <c r="D97" s="16" t="n">
        <f aca="false">D89*(1-$B$96)</f>
        <v>37.1882675848556</v>
      </c>
    </row>
    <row r="98" customFormat="false" ht="15" hidden="false" customHeight="false" outlineLevel="0" collapsed="false">
      <c r="A98" s="0" t="s">
        <v>602</v>
      </c>
      <c r="B98" s="16" t="n">
        <f aca="false">B90*(1-$B$96)</f>
        <v>44.276387708275</v>
      </c>
      <c r="C98" s="16" t="n">
        <f aca="false">C90*(1-$B$96)</f>
        <v>35.7834265511757</v>
      </c>
      <c r="D98" s="16" t="n">
        <f aca="false">D90*(1-$B$96)</f>
        <v>26.9152542386562</v>
      </c>
    </row>
    <row r="99" customFormat="false" ht="15" hidden="false" customHeight="false" outlineLevel="0" collapsed="false">
      <c r="A99" s="0" t="s">
        <v>603</v>
      </c>
      <c r="B99" s="16" t="n">
        <f aca="false">B91*(1-$B$96)</f>
        <v>47.7807124322702</v>
      </c>
      <c r="C99" s="16" t="n">
        <f aca="false">C91*(1-$B$96)</f>
        <v>40.7172080153306</v>
      </c>
      <c r="D99" s="16" t="n">
        <f aca="false">D91*(1-$B$96)</f>
        <v>29.109231283199</v>
      </c>
    </row>
    <row r="100" customFormat="false" ht="15" hidden="false" customHeight="false" outlineLevel="0" collapsed="false">
      <c r="A100" s="0" t="s">
        <v>604</v>
      </c>
      <c r="B100" s="16" t="n">
        <f aca="false">B92*(1-$B$96)</f>
        <v>49.1690950885193</v>
      </c>
      <c r="C100" s="16" t="n">
        <f aca="false">C92*(1-$B$96)</f>
        <v>41.4725263515566</v>
      </c>
      <c r="D100" s="16" t="n">
        <f aca="false">D92*(1-$B$96)</f>
        <v>27.6108135749212</v>
      </c>
    </row>
    <row r="101" customFormat="false" ht="15" hidden="false" customHeight="false" outlineLevel="0" collapsed="false">
      <c r="A101" s="0" t="s">
        <v>605</v>
      </c>
      <c r="B101" s="16" t="n">
        <f aca="false">B93*(1-$B$96)</f>
        <v>51.3585306554304</v>
      </c>
      <c r="C101" s="16" t="n">
        <f aca="false">C93*(1-$B$96)</f>
        <v>41.917882390936</v>
      </c>
      <c r="D101" s="16" t="n">
        <f aca="false">D93*(1-$B$96)</f>
        <v>26.1036463829819</v>
      </c>
    </row>
    <row r="102" customFormat="false" ht="15" hidden="false" customHeight="false" outlineLevel="0" collapsed="false">
      <c r="A102" s="0" t="s">
        <v>606</v>
      </c>
      <c r="B102" s="16" t="n">
        <f aca="false">B94*(1-$B$96)</f>
        <v>54.4400424947562</v>
      </c>
      <c r="C102" s="16" t="n">
        <f aca="false">C94*(1-$B$96)</f>
        <v>42.0376477691958</v>
      </c>
      <c r="D102" s="16" t="n">
        <f aca="false">D94*(1-$B$96)</f>
        <v>24.5775870559768</v>
      </c>
    </row>
    <row r="103" customFormat="false" ht="17.15" hidden="false" customHeight="false" outlineLevel="0" collapsed="false">
      <c r="A103" s="0" t="s">
        <v>610</v>
      </c>
      <c r="B103" s="27" t="n">
        <f aca="false">SUMPRODUCT(B97:B102,1/(1+tp_r)^{1;2;3;4;5;6})+B102*(1+tp_g)/(tp_r-tp_g)/(1+tp_r)^6</f>
        <v>735.153742284009</v>
      </c>
      <c r="C103" s="27" t="n">
        <f aca="false">SUMPRODUCT(C97:C102,1/(1+tp_r)^{1;2;3;4;5;6})+C102*(1+tp_g)/(tp_r-tp_g)/(1+tp_r)^6</f>
        <v>583.360568519742</v>
      </c>
      <c r="D103" s="27" t="n">
        <f aca="false">SUMPRODUCT(D97:D102,1/(1+tp_r)^{1;2;3;4;5;6})+D102*(1+tp_g)/(tp_r-tp_g)/(1+tp_r)^6</f>
        <v>367.334389766999</v>
      </c>
      <c r="E103" s="8" t="s">
        <v>611</v>
      </c>
    </row>
    <row r="104" customFormat="false" ht="17.15" hidden="false" customHeight="false" outlineLevel="0" collapsed="false">
      <c r="A104" s="0" t="s">
        <v>612</v>
      </c>
      <c r="B104" s="27" t="n">
        <f aca="false">B103*(1+tp_r)</f>
        <v>808.66911651241</v>
      </c>
      <c r="C104" s="27" t="n">
        <f aca="false">C103*(1+tp_r)</f>
        <v>641.696625371717</v>
      </c>
      <c r="D104" s="27" t="n">
        <f aca="false">D103*(1+tp_r)</f>
        <v>404.067828743699</v>
      </c>
    </row>
    <row r="105" customFormat="false" ht="17.15" hidden="false" customHeight="false" outlineLevel="0" collapsed="false">
      <c r="A105" s="0" t="s">
        <v>613</v>
      </c>
      <c r="B105" s="30" t="n">
        <f aca="false">tp_wA*B104+tp_wB*C104+tp_wC*D104</f>
        <v>644.262613388321</v>
      </c>
      <c r="E105" s="8" t="s">
        <v>614</v>
      </c>
    </row>
    <row r="107" customFormat="false" ht="17.15" hidden="false" customHeight="false" outlineLevel="0" collapsed="false">
      <c r="A107" s="6" t="s">
        <v>615</v>
      </c>
    </row>
    <row r="108" customFormat="false" ht="17.15" hidden="false" customHeight="false" outlineLevel="0" collapsed="false">
      <c r="A108" s="5" t="s">
        <v>616</v>
      </c>
      <c r="B108" s="5" t="s">
        <v>617</v>
      </c>
      <c r="C108" s="5" t="s">
        <v>618</v>
      </c>
      <c r="D108" s="5" t="s">
        <v>619</v>
      </c>
      <c r="E108" s="5" t="s">
        <v>620</v>
      </c>
      <c r="F108" s="5" t="s">
        <v>26</v>
      </c>
    </row>
    <row r="109" customFormat="false" ht="17.15" hidden="false" customHeight="false" outlineLevel="0" collapsed="false">
      <c r="A109" s="4" t="s">
        <v>621</v>
      </c>
      <c r="B109" s="0" t="s">
        <v>622</v>
      </c>
      <c r="C109" s="36" t="n">
        <v>9.93</v>
      </c>
      <c r="D109" s="8" t="s">
        <v>623</v>
      </c>
      <c r="E109" s="8" t="s">
        <v>624</v>
      </c>
      <c r="F109" s="8" t="s">
        <v>625</v>
      </c>
    </row>
    <row r="110" customFormat="false" ht="17.15" hidden="false" customHeight="false" outlineLevel="0" collapsed="false">
      <c r="A110" s="4" t="s">
        <v>626</v>
      </c>
      <c r="B110" s="0" t="s">
        <v>627</v>
      </c>
      <c r="C110" s="36" t="n">
        <v>13.87</v>
      </c>
      <c r="D110" s="8" t="s">
        <v>628</v>
      </c>
      <c r="E110" s="8" t="s">
        <v>624</v>
      </c>
      <c r="F110" s="8" t="s">
        <v>625</v>
      </c>
    </row>
    <row r="111" customFormat="false" ht="17.15" hidden="false" customHeight="false" outlineLevel="0" collapsed="false">
      <c r="A111" s="4" t="s">
        <v>629</v>
      </c>
      <c r="B111" s="0" t="s">
        <v>630</v>
      </c>
      <c r="C111" s="36" t="n">
        <v>11.37</v>
      </c>
      <c r="D111" s="8" t="s">
        <v>631</v>
      </c>
      <c r="E111" s="8" t="s">
        <v>624</v>
      </c>
      <c r="F111" s="8" t="s">
        <v>625</v>
      </c>
    </row>
    <row r="112" customFormat="false" ht="17.15" hidden="false" customHeight="false" outlineLevel="0" collapsed="false">
      <c r="A112" s="4" t="s">
        <v>632</v>
      </c>
      <c r="B112" s="0" t="s">
        <v>633</v>
      </c>
      <c r="C112" s="36" t="n">
        <v>18</v>
      </c>
      <c r="D112" s="8" t="s">
        <v>634</v>
      </c>
      <c r="E112" s="8" t="s">
        <v>624</v>
      </c>
      <c r="F112" s="8" t="s">
        <v>625</v>
      </c>
    </row>
    <row r="113" customFormat="false" ht="17.15" hidden="false" customHeight="false" outlineLevel="0" collapsed="false">
      <c r="A113" s="0" t="s">
        <v>635</v>
      </c>
      <c r="B113" s="0" t="s">
        <v>636</v>
      </c>
      <c r="C113" s="36" t="n">
        <v>7.06</v>
      </c>
      <c r="D113" s="8" t="s">
        <v>637</v>
      </c>
      <c r="E113" s="8" t="s">
        <v>624</v>
      </c>
      <c r="F113" s="8" t="s">
        <v>625</v>
      </c>
    </row>
    <row r="114" customFormat="false" ht="17.15" hidden="false" customHeight="false" outlineLevel="0" collapsed="false">
      <c r="A114" s="4" t="s">
        <v>638</v>
      </c>
      <c r="B114" s="18" t="n">
        <f aca="false">MEDIAN(C109:C113)</f>
        <v>11.37</v>
      </c>
      <c r="E114" s="8" t="s">
        <v>639</v>
      </c>
    </row>
    <row r="115" customFormat="false" ht="17.15" hidden="false" customHeight="false" outlineLevel="0" collapsed="false">
      <c r="A115" s="0" t="s">
        <v>640</v>
      </c>
      <c r="B115" s="16" t="n">
        <f aca="false">tp_wA*(0.166666666666667*B89+0.833333333333333*B90)+tp_wB*(0.166666666666667*C89+0.833333333333333*C90)+tp_wC*(0.166666666666667*D89+0.833333333333333*D90)</f>
        <v>42.9957758400795</v>
      </c>
      <c r="E115" s="4" t="s">
        <v>641</v>
      </c>
    </row>
    <row r="116" customFormat="false" ht="17.15" hidden="false" customHeight="false" outlineLevel="0" collapsed="false">
      <c r="A116" s="0" t="s">
        <v>642</v>
      </c>
      <c r="B116" s="30" t="n">
        <f aca="false">B114*B115</f>
        <v>488.861971301704</v>
      </c>
      <c r="E116" s="4" t="s">
        <v>643</v>
      </c>
    </row>
    <row r="118" customFormat="false" ht="17.15" hidden="false" customHeight="false" outlineLevel="0" collapsed="false">
      <c r="A118" s="6" t="s">
        <v>644</v>
      </c>
    </row>
    <row r="119" customFormat="false" ht="15" hidden="false" customHeight="false" outlineLevel="0" collapsed="false">
      <c r="A119" s="5" t="s">
        <v>21</v>
      </c>
      <c r="B119" s="5" t="s">
        <v>645</v>
      </c>
      <c r="C119" s="5"/>
      <c r="D119" s="5"/>
      <c r="E119" s="5" t="s">
        <v>384</v>
      </c>
    </row>
    <row r="120" customFormat="false" ht="17.15" hidden="false" customHeight="false" outlineLevel="0" collapsed="false">
      <c r="A120" s="1" t="s">
        <v>646</v>
      </c>
      <c r="B120" s="30" t="n">
        <f aca="false">tp_w_dcf*B105+(1-tp_w_dcf)*B116</f>
        <v>566.562292345013</v>
      </c>
      <c r="E120" s="8" t="s">
        <v>647</v>
      </c>
    </row>
    <row r="121" customFormat="false" ht="17.15" hidden="false" customHeight="false" outlineLevel="0" collapsed="false">
      <c r="A121" s="0" t="s">
        <v>648</v>
      </c>
      <c r="B121" s="27" t="n">
        <f aca="false">B116</f>
        <v>488.861971301704</v>
      </c>
      <c r="E121" s="4" t="s">
        <v>649</v>
      </c>
    </row>
    <row r="122" customFormat="false" ht="17.15" hidden="false" customHeight="false" outlineLevel="0" collapsed="false">
      <c r="A122" s="4" t="s">
        <v>650</v>
      </c>
      <c r="B122" s="27" t="n">
        <f aca="false">cons_tp</f>
        <v>427.84</v>
      </c>
      <c r="E122" s="8" t="s">
        <v>318</v>
      </c>
    </row>
    <row r="123" customFormat="false" ht="17.15" hidden="false" customHeight="false" outlineLevel="0" collapsed="false">
      <c r="A123" s="4" t="s">
        <v>651</v>
      </c>
      <c r="B123" s="15" t="n">
        <f aca="false">B120/px-1</f>
        <v>0.759510224673953</v>
      </c>
      <c r="E123" s="4" t="s">
        <v>652</v>
      </c>
    </row>
    <row r="124" customFormat="false" ht="17.15" hidden="false" customHeight="false" outlineLevel="0" collapsed="false">
      <c r="A124" s="4" t="s">
        <v>653</v>
      </c>
      <c r="B124" s="15" t="n">
        <f aca="false">B121/px-1</f>
        <v>0.518204879818957</v>
      </c>
    </row>
    <row r="125" customFormat="false" ht="17.15" hidden="false" customHeight="false" outlineLevel="0" collapsed="false">
      <c r="A125" s="4" t="s">
        <v>654</v>
      </c>
      <c r="B125" s="15" t="n">
        <f aca="false">B115/cons_feps-1</f>
        <v>0.505517723688234</v>
      </c>
      <c r="E125" s="4" t="s">
        <v>655</v>
      </c>
    </row>
    <row r="126" customFormat="false" ht="17.15" hidden="false" customHeight="false" outlineLevel="0" collapsed="false">
      <c r="A126" s="4" t="s">
        <v>656</v>
      </c>
      <c r="B126" s="15" t="n">
        <f aca="false">(cons_tp/cons_feps)/B114-1</f>
        <v>0.317592164486959</v>
      </c>
      <c r="E126" s="0" t="str">
        <f aca="false">"共識目標價 ÷ 共識前瞻 EPS 隱含 "&amp;TEXT(cons_tp/cons_feps,"0.0")&amp;"x，同業中位數 "&amp;TEXT(B114,"0.0")&amp;"x"</f>
        <v>共識目標價 ÷ 共識前瞻 EPS 隱含 15.0x，同業中位數 11.4x</v>
      </c>
    </row>
    <row r="127" customFormat="false" ht="17.15" hidden="false" customHeight="false" outlineLevel="0" collapsed="false">
      <c r="A127" s="4" t="s">
        <v>657</v>
      </c>
      <c r="B127" s="37" t="str">
        <f aca="false">TEXT(D104,"#,##0")&amp;"～"&amp;TEXT(B104,"#,##0")</f>
        <v>404～809</v>
      </c>
      <c r="E127" s="8" t="s">
        <v>658</v>
      </c>
    </row>
    <row r="128" customFormat="false" ht="17.15" hidden="false" customHeight="false" outlineLevel="0" collapsed="false">
      <c r="A128" s="4" t="s">
        <v>659</v>
      </c>
      <c r="B128" s="32" t="n">
        <f aca="false">IF(px/B90&lt;=MIN($B$132:$K$132),0,IF(px/B90&gt;=MAX($B$132:$K$132),1,PERCENTRANK($B$132:$K$132,px/B90)))</f>
        <v>0</v>
      </c>
      <c r="C128" s="32" t="n">
        <f aca="false">IF(px/C90&lt;=MIN($B$132:$K$132),0,IF(px/C90&gt;=MAX($B$132:$K$132),1,PERCENTRANK($B$132:$K$132,px/C90)))</f>
        <v>0</v>
      </c>
      <c r="D128" s="32" t="n">
        <f aca="false">IF(px/D90&lt;=MIN($B$132:$K$132),0,IF(px/D90&gt;=MAX($B$132:$K$132),1,PERCENTRANK($B$132:$K$132,px/D90)))</f>
        <v>0.161</v>
      </c>
      <c r="E128" s="4" t="s">
        <v>660</v>
      </c>
    </row>
    <row r="129" customFormat="false" ht="17.15" hidden="false" customHeight="false" outlineLevel="0" collapsed="false">
      <c r="A129" s="4" t="s">
        <v>661</v>
      </c>
      <c r="B129" s="0" t="s">
        <v>662</v>
      </c>
    </row>
    <row r="131" customFormat="false" ht="17.15" hidden="false" customHeight="false" outlineLevel="0" collapsed="false">
      <c r="A131" s="1" t="s">
        <v>663</v>
      </c>
      <c r="B131" s="8" t="s">
        <v>559</v>
      </c>
      <c r="C131" s="8" t="s">
        <v>561</v>
      </c>
      <c r="D131" s="8" t="s">
        <v>562</v>
      </c>
      <c r="E131" s="8" t="s">
        <v>563</v>
      </c>
      <c r="F131" s="8" t="s">
        <v>564</v>
      </c>
      <c r="G131" s="8" t="s">
        <v>565</v>
      </c>
      <c r="H131" s="8" t="s">
        <v>566</v>
      </c>
      <c r="I131" s="8" t="s">
        <v>567</v>
      </c>
      <c r="J131" s="8" t="s">
        <v>568</v>
      </c>
      <c r="K131" s="8" t="s">
        <v>569</v>
      </c>
    </row>
    <row r="132" customFormat="false" ht="17.15" hidden="false" customHeight="false" outlineLevel="0" collapsed="false">
      <c r="A132" s="4" t="s">
        <v>664</v>
      </c>
      <c r="B132" s="36" t="n">
        <f aca="false">(9.26+60.3/3.93)/2</f>
        <v>12.3017557251908</v>
      </c>
      <c r="C132" s="36" t="n">
        <f aca="false">(10.5+61.9/3.73)/2</f>
        <v>13.5475871313673</v>
      </c>
      <c r="D132" s="36" t="n">
        <f aca="false">(8.95+52.7/3.92)/2</f>
        <v>11.1969387755102</v>
      </c>
      <c r="E132" s="36" t="n">
        <f aca="false">(11.1+64.3/4.14)/2</f>
        <v>13.3157004830918</v>
      </c>
      <c r="F132" s="36" t="n">
        <f aca="false">(9.23+80.9/6.57)/2</f>
        <v>10.7717732115677</v>
      </c>
      <c r="G132" s="36" t="n">
        <f aca="false">(8.62+94.7/8.73)/2</f>
        <v>9.73382588774341</v>
      </c>
      <c r="H132" s="36" t="n">
        <f aca="false">(8.3+72.3/7.51)/2</f>
        <v>8.96358189081225</v>
      </c>
      <c r="I132" s="36" t="n">
        <f aca="false">(20.2+224.5/10.29)/2</f>
        <v>21.0086491739553</v>
      </c>
      <c r="J132" s="36" t="n">
        <f aca="false">(17.7+287/15.49)/2</f>
        <v>18.1140413169787</v>
      </c>
      <c r="K132" s="36" t="n">
        <f aca="false">(13.5+272/19.45)/2</f>
        <v>13.7422879177378</v>
      </c>
    </row>
    <row r="134" customFormat="false" ht="17.15" hidden="false" customHeight="false" outlineLevel="0" collapsed="false">
      <c r="A134" s="6" t="s">
        <v>665</v>
      </c>
    </row>
    <row r="135" customFormat="false" ht="17.15" hidden="false" customHeight="false" outlineLevel="0" collapsed="false">
      <c r="A135" s="4" t="s">
        <v>666</v>
      </c>
      <c r="B135" s="0" t="str">
        <f aca="false">IF(B123&gt;0.5,"大於 50%",IF(B123&gt;0.25,"25%–50%",IF(B123&gt;=0,"0%–25%",IF(B123&gt;=-0.25,"0%～−25%",IF(B123&gt;=-0.5,"−25%～−50%","小於 −50%")))))</f>
        <v>大於 50%</v>
      </c>
      <c r="E135" s="4" t="s">
        <v>667</v>
      </c>
    </row>
    <row r="136" customFormat="false" ht="17.15" hidden="false" customHeight="false" outlineLevel="0" collapsed="false">
      <c r="A136" s="4" t="s">
        <v>668</v>
      </c>
      <c r="B136" s="0" t="str">
        <f aca="false">IF(B123&gt;0.5,"強力買進",IF(B123&gt;0.25,"買進",IF(B123&gt;=-0.25,"中立",IF(B123&gt;=-0.5,"放空","強力放空"))))</f>
        <v>強力買進</v>
      </c>
      <c r="E136" s="4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670</v>
      </c>
    </row>
    <row r="3" customFormat="false" ht="17.15" hidden="false" customHeight="false" outlineLevel="0" collapsed="false">
      <c r="A3" s="5" t="s">
        <v>21</v>
      </c>
      <c r="B3" s="5" t="s">
        <v>671</v>
      </c>
      <c r="C3" s="5" t="s">
        <v>672</v>
      </c>
      <c r="D3" s="5" t="s">
        <v>673</v>
      </c>
      <c r="E3" s="5" t="s">
        <v>674</v>
      </c>
      <c r="F3" s="5" t="s">
        <v>675</v>
      </c>
      <c r="G3" s="5" t="s">
        <v>676</v>
      </c>
      <c r="H3" s="5" t="s">
        <v>677</v>
      </c>
      <c r="I3" s="5" t="s">
        <v>678</v>
      </c>
      <c r="J3" s="5" t="s">
        <v>384</v>
      </c>
    </row>
    <row r="4" customFormat="false" ht="17.15" hidden="false" customHeight="false" outlineLevel="0" collapsed="false">
      <c r="A4" s="6" t="s">
        <v>679</v>
      </c>
    </row>
    <row r="5" customFormat="false" ht="17.15" hidden="false" customHeight="false" outlineLevel="0" collapsed="false">
      <c r="A5" s="0" t="s">
        <v>680</v>
      </c>
      <c r="B5" s="19" t="n">
        <f aca="false">b_rev26</f>
        <v>4219.196</v>
      </c>
      <c r="C5" s="19" t="n">
        <f aca="false">PL!D89</f>
        <v>3998.715</v>
      </c>
      <c r="D5" s="15" t="n">
        <f aca="false">C5/B5-1</f>
        <v>-0.0522566384685612</v>
      </c>
      <c r="E5" s="19" t="n">
        <f aca="false">PL!D133</f>
        <v>3998.715</v>
      </c>
      <c r="F5" s="15" t="n">
        <f aca="false">E5/B5-1</f>
        <v>-0.0522566384685612</v>
      </c>
      <c r="G5" s="19" t="n">
        <f aca="false">PL!D177</f>
        <v>3998.715</v>
      </c>
      <c r="H5" s="15" t="n">
        <f aca="false">G5/B5-1</f>
        <v>-0.0522566384685612</v>
      </c>
      <c r="I5" s="4" t="s">
        <v>681</v>
      </c>
      <c r="J5" s="8" t="s">
        <v>682</v>
      </c>
    </row>
    <row r="6" customFormat="false" ht="17.15" hidden="false" customHeight="false" outlineLevel="0" collapsed="false">
      <c r="A6" s="0" t="s">
        <v>683</v>
      </c>
      <c r="B6" s="21" t="n">
        <f aca="false">b_eps26</f>
        <v>27.06</v>
      </c>
      <c r="C6" s="21" t="n">
        <f aca="false">PL!D112</f>
        <v>28.7224673778341</v>
      </c>
      <c r="D6" s="15" t="n">
        <f aca="false">C6/B6-1</f>
        <v>0.0614363406442746</v>
      </c>
      <c r="E6" s="21" t="n">
        <f aca="false">PL!D156</f>
        <v>28.7224673778341</v>
      </c>
      <c r="F6" s="15" t="n">
        <f aca="false">E6/B6-1</f>
        <v>0.0614363406442746</v>
      </c>
      <c r="G6" s="21" t="n">
        <f aca="false">PL!D200</f>
        <v>28.7224673778341</v>
      </c>
      <c r="H6" s="15" t="n">
        <f aca="false">G6/B6-1</f>
        <v>0.0614363406442746</v>
      </c>
      <c r="I6" s="4" t="s">
        <v>681</v>
      </c>
    </row>
    <row r="7" customFormat="false" ht="17.15" hidden="false" customHeight="false" outlineLevel="0" collapsed="false">
      <c r="A7" s="0" t="s">
        <v>684</v>
      </c>
      <c r="B7" s="19" t="n">
        <f aca="false">b_rev27a</f>
        <v>5220.407</v>
      </c>
      <c r="C7" s="19" t="n">
        <f aca="false">PL!E89</f>
        <v>5710.50896358629</v>
      </c>
      <c r="D7" s="15" t="n">
        <f aca="false">C7/B7-1</f>
        <v>0.093881945140732</v>
      </c>
      <c r="E7" s="19" t="n">
        <f aca="false">PL!E133</f>
        <v>5710.50896358629</v>
      </c>
      <c r="F7" s="15" t="n">
        <f aca="false">E7/B7-1</f>
        <v>0.093881945140732</v>
      </c>
      <c r="G7" s="19" t="n">
        <f aca="false">PL!E177</f>
        <v>5710.50896358629</v>
      </c>
      <c r="H7" s="15" t="n">
        <f aca="false">G7/B7-1</f>
        <v>0.093881945140732</v>
      </c>
      <c r="I7" s="4" t="s">
        <v>681</v>
      </c>
    </row>
    <row r="8" customFormat="false" ht="17.15" hidden="false" customHeight="false" outlineLevel="0" collapsed="false">
      <c r="A8" s="0" t="s">
        <v>685</v>
      </c>
      <c r="B8" s="19" t="n">
        <f aca="false">b_rev27b</f>
        <v>5300</v>
      </c>
      <c r="C8" s="19" t="n">
        <f aca="false">PL!E89</f>
        <v>5710.50896358629</v>
      </c>
      <c r="D8" s="15" t="n">
        <f aca="false">C8/B8-1</f>
        <v>0.077454521431376</v>
      </c>
      <c r="E8" s="19" t="n">
        <f aca="false">PL!E133</f>
        <v>5710.50896358629</v>
      </c>
      <c r="F8" s="15" t="n">
        <f aca="false">E8/B8-1</f>
        <v>0.077454521431376</v>
      </c>
      <c r="G8" s="19" t="n">
        <f aca="false">PL!E177</f>
        <v>5710.50896358629</v>
      </c>
      <c r="H8" s="15" t="n">
        <f aca="false">G8/B8-1</f>
        <v>0.077454521431376</v>
      </c>
      <c r="I8" s="4" t="s">
        <v>686</v>
      </c>
    </row>
    <row r="9" customFormat="false" ht="17.15" hidden="false" customHeight="false" outlineLevel="0" collapsed="false">
      <c r="A9" s="0" t="s">
        <v>687</v>
      </c>
      <c r="B9" s="21" t="n">
        <f aca="false">b_eps27a</f>
        <v>31.75</v>
      </c>
      <c r="C9" s="21" t="n">
        <f aca="false">PL!E112</f>
        <v>43.6120362766401</v>
      </c>
      <c r="D9" s="15" t="n">
        <f aca="false">C9/B9-1</f>
        <v>0.373607441783939</v>
      </c>
      <c r="E9" s="21" t="n">
        <f aca="false">PL!E156</f>
        <v>43.6120362766401</v>
      </c>
      <c r="F9" s="15" t="n">
        <f aca="false">E9/B9-1</f>
        <v>0.373607441783939</v>
      </c>
      <c r="G9" s="21" t="n">
        <f aca="false">PL!E200</f>
        <v>43.6120362766401</v>
      </c>
      <c r="H9" s="15" t="n">
        <f aca="false">G9/B9-1</f>
        <v>0.373607441783939</v>
      </c>
      <c r="I9" s="4" t="s">
        <v>681</v>
      </c>
    </row>
    <row r="10" customFormat="false" ht="17.15" hidden="false" customHeight="false" outlineLevel="0" collapsed="false">
      <c r="A10" s="0" t="s">
        <v>688</v>
      </c>
      <c r="B10" s="21" t="n">
        <f aca="false">b_eps27b</f>
        <v>32.09</v>
      </c>
      <c r="C10" s="21" t="n">
        <f aca="false">PL!E112</f>
        <v>43.6120362766401</v>
      </c>
      <c r="D10" s="15" t="n">
        <f aca="false">C10/B10-1</f>
        <v>0.359053794846994</v>
      </c>
      <c r="E10" s="21" t="n">
        <f aca="false">PL!E156</f>
        <v>43.6120362766401</v>
      </c>
      <c r="F10" s="15" t="n">
        <f aca="false">E10/B10-1</f>
        <v>0.359053794846994</v>
      </c>
      <c r="G10" s="21" t="n">
        <f aca="false">PL!E200</f>
        <v>43.6120362766401</v>
      </c>
      <c r="H10" s="15" t="n">
        <f aca="false">G10/B10-1</f>
        <v>0.359053794846994</v>
      </c>
      <c r="I10" s="4" t="s">
        <v>686</v>
      </c>
      <c r="J10" s="4" t="s">
        <v>689</v>
      </c>
    </row>
    <row r="11" customFormat="false" ht="17.15" hidden="false" customHeight="false" outlineLevel="0" collapsed="false">
      <c r="A11" s="0" t="s">
        <v>690</v>
      </c>
      <c r="B11" s="11" t="n">
        <f aca="false">b_gm27</f>
        <v>0.047</v>
      </c>
      <c r="C11" s="11" t="n">
        <f aca="false">PL!E103</f>
        <v>0.0486336385325961</v>
      </c>
      <c r="D11" s="15" t="n">
        <f aca="false">C11-B11</f>
        <v>0.00163363853259607</v>
      </c>
      <c r="E11" s="11" t="n">
        <f aca="false">PL!E147</f>
        <v>0.0486336385325961</v>
      </c>
      <c r="F11" s="15" t="n">
        <f aca="false">E11-B11</f>
        <v>0.00163363853259607</v>
      </c>
      <c r="G11" s="11" t="n">
        <f aca="false">PL!E191</f>
        <v>0.0486336385325961</v>
      </c>
      <c r="H11" s="15" t="n">
        <f aca="false">G11-B11</f>
        <v>0.00163363853259607</v>
      </c>
      <c r="I11" s="4" t="s">
        <v>681</v>
      </c>
      <c r="J11" s="4" t="s">
        <v>691</v>
      </c>
    </row>
    <row r="12" customFormat="false" ht="17.15" hidden="false" customHeight="false" outlineLevel="0" collapsed="false">
      <c r="A12" s="0" t="s">
        <v>692</v>
      </c>
      <c r="C12" s="15" t="n">
        <f aca="false">PL!E95</f>
        <v>0.428086013528419</v>
      </c>
      <c r="E12" s="15" t="n">
        <f aca="false">PL!E139</f>
        <v>0.428086013528419</v>
      </c>
      <c r="G12" s="15" t="n">
        <f aca="false">PL!E183</f>
        <v>0.428086013528419</v>
      </c>
      <c r="I12" s="8" t="s">
        <v>111</v>
      </c>
    </row>
    <row r="13" customFormat="false" ht="17.15" hidden="false" customHeight="false" outlineLevel="0" collapsed="false">
      <c r="A13" s="6" t="s">
        <v>693</v>
      </c>
    </row>
    <row r="14" customFormat="false" ht="17.15" hidden="false" customHeight="false" outlineLevel="0" collapsed="false">
      <c r="A14" s="0" t="s">
        <v>694</v>
      </c>
      <c r="B14" s="15" t="n">
        <f aca="false">rk_sh</f>
        <v>0.337792642140468</v>
      </c>
      <c r="C14" s="15" t="n">
        <f aca="false">PL!D81</f>
        <v>0.133896123975753</v>
      </c>
      <c r="D14" s="15" t="n">
        <f aca="false">C14-B14</f>
        <v>-0.203896518164715</v>
      </c>
      <c r="E14" s="15" t="n">
        <f aca="false">PL!D125</f>
        <v>0.133896123975753</v>
      </c>
      <c r="F14" s="15" t="n">
        <f aca="false">E14-B14</f>
        <v>-0.203896518164715</v>
      </c>
      <c r="G14" s="15" t="n">
        <f aca="false">PL!D169</f>
        <v>0.133896123975753</v>
      </c>
      <c r="H14" s="15" t="n">
        <f aca="false">G14-B14</f>
        <v>-0.203896518164715</v>
      </c>
      <c r="I14" s="4" t="s">
        <v>695</v>
      </c>
      <c r="J14" s="4" t="s">
        <v>696</v>
      </c>
    </row>
    <row r="15" customFormat="false" ht="17.15" hidden="false" customHeight="false" outlineLevel="0" collapsed="false">
      <c r="A15" s="0" t="s">
        <v>697</v>
      </c>
      <c r="C15" s="16" t="n">
        <f aca="false">PL!D97</f>
        <v>3.631383388734</v>
      </c>
      <c r="E15" s="16" t="n">
        <f aca="false">PL!D141</f>
        <v>3.631383388734</v>
      </c>
      <c r="G15" s="16" t="n">
        <f aca="false">PL!D185</f>
        <v>3.631383388734</v>
      </c>
      <c r="I15" s="8" t="s">
        <v>111</v>
      </c>
      <c r="J15" s="4" t="s">
        <v>698</v>
      </c>
    </row>
    <row r="16" customFormat="false" ht="17.15" hidden="false" customHeight="false" outlineLevel="0" collapsed="false">
      <c r="A16" s="0" t="s">
        <v>699</v>
      </c>
      <c r="C16" s="19" t="n">
        <f aca="false">PL!D98</f>
        <v>18.4522679153094</v>
      </c>
      <c r="E16" s="19" t="n">
        <f aca="false">PL!D142</f>
        <v>18.4522679153094</v>
      </c>
      <c r="G16" s="19" t="n">
        <f aca="false">PL!D186</f>
        <v>18.4522679153094</v>
      </c>
      <c r="I16" s="8" t="s">
        <v>111</v>
      </c>
      <c r="J16" s="4" t="s">
        <v>700</v>
      </c>
    </row>
    <row r="17" customFormat="false" ht="17.15" hidden="false" customHeight="false" outlineLevel="0" collapsed="false">
      <c r="A17" s="0" t="s">
        <v>701</v>
      </c>
      <c r="C17" s="15" t="n">
        <f aca="false">PL!E96</f>
        <v>0.769201576881461</v>
      </c>
      <c r="E17" s="15" t="n">
        <f aca="false">PL!E140</f>
        <v>0.769201576881461</v>
      </c>
      <c r="G17" s="15" t="n">
        <f aca="false">PL!E184</f>
        <v>0.769201576881461</v>
      </c>
      <c r="I17" s="8" t="s">
        <v>111</v>
      </c>
    </row>
    <row r="18" customFormat="false" ht="17.15" hidden="false" customHeight="false" outlineLevel="0" collapsed="false">
      <c r="A18" s="6" t="s">
        <v>702</v>
      </c>
    </row>
    <row r="19" customFormat="false" ht="17.15" hidden="false" customHeight="false" outlineLevel="0" collapsed="false">
      <c r="A19" s="4" t="s">
        <v>703</v>
      </c>
      <c r="C19" s="11" t="n">
        <f aca="false">PL!D100</f>
        <v>0.0632307213692399</v>
      </c>
      <c r="E19" s="11" t="n">
        <f aca="false">PL!D144</f>
        <v>0.0632307213692399</v>
      </c>
      <c r="G19" s="11" t="n">
        <f aca="false">PL!D188</f>
        <v>0.0632307213692399</v>
      </c>
      <c r="I19" s="8" t="s">
        <v>704</v>
      </c>
      <c r="J19" s="8" t="s">
        <v>705</v>
      </c>
    </row>
    <row r="20" customFormat="false" ht="17.15" hidden="false" customHeight="false" outlineLevel="0" collapsed="false">
      <c r="A20" s="0" t="s">
        <v>706</v>
      </c>
      <c r="B20" s="11" t="n">
        <f aca="false">a26_gp/a26_rev</f>
        <v>0.0496307213692399</v>
      </c>
      <c r="C20" s="11" t="n">
        <f aca="false">PL!E103</f>
        <v>0.0486336385325961</v>
      </c>
      <c r="D20" s="15" t="n">
        <f aca="false">C20-B20</f>
        <v>-0.000997082836643799</v>
      </c>
      <c r="E20" s="11" t="n">
        <f aca="false">PL!E147</f>
        <v>0.0486336385325961</v>
      </c>
      <c r="F20" s="15" t="n">
        <f aca="false">E20-B20</f>
        <v>-0.000997082836643799</v>
      </c>
      <c r="G20" s="11" t="n">
        <f aca="false">PL!E191</f>
        <v>0.0486336385325961</v>
      </c>
      <c r="H20" s="15" t="n">
        <f aca="false">G20-B20</f>
        <v>-0.000997082836643799</v>
      </c>
      <c r="I20" s="4" t="s">
        <v>707</v>
      </c>
      <c r="J20" s="4" t="s">
        <v>708</v>
      </c>
    </row>
    <row r="21" customFormat="false" ht="17.15" hidden="false" customHeight="false" outlineLevel="0" collapsed="false">
      <c r="A21" s="0" t="s">
        <v>709</v>
      </c>
      <c r="C21" s="16" t="n">
        <f aca="false">Q!E13</f>
        <v>7.60984179346408</v>
      </c>
      <c r="E21" s="16" t="n">
        <f aca="false">Q!E13</f>
        <v>7.60984179346408</v>
      </c>
      <c r="G21" s="16" t="n">
        <f aca="false">Q!E13</f>
        <v>7.60984179346408</v>
      </c>
      <c r="I21" s="8" t="s">
        <v>111</v>
      </c>
    </row>
    <row r="22" customFormat="false" ht="17.15" hidden="false" customHeight="false" outlineLevel="0" collapsed="false">
      <c r="A22" s="6" t="s">
        <v>710</v>
      </c>
    </row>
    <row r="23" customFormat="false" ht="17.15" hidden="false" customHeight="false" outlineLevel="0" collapsed="false">
      <c r="A23" s="0" t="s">
        <v>711</v>
      </c>
      <c r="J23" s="4" t="s">
        <v>712</v>
      </c>
    </row>
    <row r="25" customFormat="false" ht="17.15" hidden="false" customHeight="false" outlineLevel="0" collapsed="false">
      <c r="A25" s="6" t="s">
        <v>713</v>
      </c>
    </row>
    <row r="26" customFormat="false" ht="17.15" hidden="false" customHeight="false" outlineLevel="0" collapsed="false">
      <c r="A26" s="0" t="s">
        <v>714</v>
      </c>
      <c r="B26" s="16" t="n">
        <f aca="false">cons_feps</f>
        <v>28.5587975243148</v>
      </c>
      <c r="C26" s="16" t="n">
        <f aca="false">Val!B115</f>
        <v>42.9957758400795</v>
      </c>
      <c r="D26" s="15" t="n">
        <f aca="false">C26/B26-1</f>
        <v>0.505517723688234</v>
      </c>
      <c r="I26" s="8" t="s">
        <v>322</v>
      </c>
      <c r="J26" s="4" t="s">
        <v>715</v>
      </c>
    </row>
    <row r="27" customFormat="false" ht="17.15" hidden="false" customHeight="false" outlineLevel="0" collapsed="false">
      <c r="A27" s="4" t="s">
        <v>716</v>
      </c>
      <c r="B27" s="16" t="n">
        <f aca="false">cons_tp</f>
        <v>427.84</v>
      </c>
      <c r="C27" s="16" t="n">
        <f aca="false">Val!B120</f>
        <v>566.562292345013</v>
      </c>
      <c r="D27" s="15" t="n">
        <f aca="false">C27/B27-1</f>
        <v>0.324238716214035</v>
      </c>
      <c r="I27" s="8" t="s">
        <v>318</v>
      </c>
      <c r="J27" s="4" t="s">
        <v>715</v>
      </c>
    </row>
    <row r="28" customFormat="false" ht="17.15" hidden="false" customHeight="false" outlineLevel="0" collapsed="false">
      <c r="A28" s="0" t="s">
        <v>717</v>
      </c>
      <c r="B28" s="16" t="n">
        <f aca="false">cons_tp</f>
        <v>427.84</v>
      </c>
      <c r="C28" s="16" t="n">
        <f aca="false">Val!B116</f>
        <v>488.861971301704</v>
      </c>
      <c r="D28" s="15" t="n">
        <f aca="false">C28/B28-1</f>
        <v>0.142628018188351</v>
      </c>
      <c r="I28" s="4" t="s">
        <v>38</v>
      </c>
      <c r="J28" s="4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718</v>
      </c>
    </row>
    <row r="3" customFormat="false" ht="17.15" hidden="false" customHeight="false" outlineLevel="0" collapsed="false">
      <c r="A3" s="5" t="s">
        <v>719</v>
      </c>
      <c r="B3" s="5" t="s">
        <v>720</v>
      </c>
      <c r="C3" s="12" t="s">
        <v>721</v>
      </c>
      <c r="D3" s="12" t="s">
        <v>722</v>
      </c>
      <c r="E3" s="12" t="s">
        <v>723</v>
      </c>
      <c r="F3" s="12" t="s">
        <v>521</v>
      </c>
      <c r="G3" s="12" t="s">
        <v>724</v>
      </c>
      <c r="H3" s="12" t="s">
        <v>725</v>
      </c>
      <c r="I3" s="12" t="s">
        <v>726</v>
      </c>
      <c r="J3" s="12" t="s">
        <v>727</v>
      </c>
      <c r="K3" s="12" t="s">
        <v>536</v>
      </c>
      <c r="L3" s="12" t="s">
        <v>728</v>
      </c>
    </row>
    <row r="4" customFormat="false" ht="17.15" hidden="false" customHeight="false" outlineLevel="0" collapsed="false">
      <c r="A4" s="4" t="s">
        <v>729</v>
      </c>
      <c r="B4" s="0" t="s">
        <v>730</v>
      </c>
      <c r="C4" s="19" t="n">
        <f aca="false">PL!E89</f>
        <v>5710.50896358629</v>
      </c>
      <c r="D4" s="19" t="n">
        <f aca="false">PL!E86</f>
        <v>4392.53249958629</v>
      </c>
      <c r="E4" s="11" t="n">
        <f aca="false">PL!E103</f>
        <v>0.0486336385325961</v>
      </c>
      <c r="F4" s="16" t="n">
        <f aca="false">PL!E112</f>
        <v>43.6120362766401</v>
      </c>
      <c r="G4" s="15" t="n">
        <f aca="false">F4/F$4-1</f>
        <v>0</v>
      </c>
      <c r="H4" s="19" t="n">
        <f aca="false">PL!F89</f>
        <v>6046.24302221705</v>
      </c>
      <c r="I4" s="19" t="n">
        <f aca="false">PL!F86</f>
        <v>4701.90702893705</v>
      </c>
      <c r="J4" s="11" t="n">
        <f aca="false">PL!F103</f>
        <v>0.0523838845289261</v>
      </c>
      <c r="K4" s="16" t="n">
        <f aca="false">PL!F112</f>
        <v>51.9245329868024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731</v>
      </c>
      <c r="B5" s="4" t="s">
        <v>732</v>
      </c>
      <c r="C5" s="19" t="n">
        <f aca="false">E57</f>
        <v>5051.62908864835</v>
      </c>
      <c r="D5" s="19" t="n">
        <f aca="false">E54</f>
        <v>3733.65262464835</v>
      </c>
      <c r="E5" s="11" t="n">
        <f aca="false">E71</f>
        <v>0.0492048981584756</v>
      </c>
      <c r="F5" s="16" t="n">
        <f aca="false">E80</f>
        <v>38.1217140638486</v>
      </c>
      <c r="G5" s="15" t="n">
        <f aca="false">F5/F$4-1</f>
        <v>-0.125890068007035</v>
      </c>
      <c r="H5" s="19" t="n">
        <f aca="false">F57</f>
        <v>5056.3678582303</v>
      </c>
      <c r="I5" s="19" t="n">
        <f aca="false">F54</f>
        <v>3712.0318649503</v>
      </c>
      <c r="J5" s="11" t="n">
        <f aca="false">F71</f>
        <v>0.0529910102921955</v>
      </c>
      <c r="K5" s="16" t="n">
        <f aca="false">F80</f>
        <v>42.4634575768042</v>
      </c>
      <c r="L5" s="15" t="n">
        <f aca="false">K5/K$4-1</f>
        <v>-0.182208194581219</v>
      </c>
    </row>
    <row r="6" customFormat="false" ht="17.15" hidden="false" customHeight="false" outlineLevel="0" collapsed="false">
      <c r="A6" s="4" t="s">
        <v>733</v>
      </c>
      <c r="B6" s="4" t="s">
        <v>734</v>
      </c>
      <c r="C6" s="19" t="n">
        <f aca="false">E101</f>
        <v>6149.76221354492</v>
      </c>
      <c r="D6" s="19" t="n">
        <f aca="false">E98</f>
        <v>4831.78574954492</v>
      </c>
      <c r="E6" s="11" t="n">
        <f aca="false">E115</f>
        <v>0.0483208034837973</v>
      </c>
      <c r="F6" s="16" t="n">
        <f aca="false">E124</f>
        <v>47.2722510851677</v>
      </c>
      <c r="G6" s="15" t="n">
        <f aca="false">F6/F$4-1</f>
        <v>0.0839267120046903</v>
      </c>
      <c r="H6" s="19" t="n">
        <f aca="false">F101</f>
        <v>6788.64939520711</v>
      </c>
      <c r="I6" s="19" t="n">
        <f aca="false">F98</f>
        <v>5444.31340192711</v>
      </c>
      <c r="J6" s="11" t="n">
        <f aca="false">F115</f>
        <v>0.0520447318842042</v>
      </c>
      <c r="K6" s="16" t="n">
        <f aca="false">F124</f>
        <v>59.0664482683205</v>
      </c>
      <c r="L6" s="15" t="n">
        <f aca="false">K6/K$4-1</f>
        <v>0.137544140904134</v>
      </c>
    </row>
    <row r="7" customFormat="false" ht="17.15" hidden="false" customHeight="false" outlineLevel="0" collapsed="false">
      <c r="A7" s="4" t="s">
        <v>735</v>
      </c>
      <c r="B7" s="4" t="s">
        <v>736</v>
      </c>
      <c r="C7" s="19" t="n">
        <f aca="false">E145</f>
        <v>6198.56813020699</v>
      </c>
      <c r="D7" s="19" t="n">
        <f aca="false">E142</f>
        <v>4880.59166620699</v>
      </c>
      <c r="E7" s="11" t="n">
        <f aca="false">E159</f>
        <v>0.0451211183182184</v>
      </c>
      <c r="F7" s="16" t="n">
        <f aca="false">E168</f>
        <v>43.2727143635681</v>
      </c>
      <c r="G7" s="15" t="n">
        <f aca="false">F7/F$4-1</f>
        <v>-0.0077804647992028</v>
      </c>
      <c r="H7" s="19" t="n">
        <f aca="false">F145</f>
        <v>7221.71977945131</v>
      </c>
      <c r="I7" s="19" t="n">
        <f aca="false">F142</f>
        <v>5877.38378617131</v>
      </c>
      <c r="J7" s="11" t="n">
        <f aca="false">F159</f>
        <v>0.0445122123145711</v>
      </c>
      <c r="K7" s="16" t="n">
        <f aca="false">F168</f>
        <v>51.3589533415677</v>
      </c>
      <c r="L7" s="15" t="n">
        <f aca="false">K7/K$4-1</f>
        <v>-0.0108923395686275</v>
      </c>
    </row>
    <row r="8" customFormat="false" ht="17.15" hidden="false" customHeight="false" outlineLevel="0" collapsed="false">
      <c r="A8" s="4" t="s">
        <v>737</v>
      </c>
      <c r="B8" s="4" t="s">
        <v>738</v>
      </c>
      <c r="C8" s="19" t="n">
        <f aca="false">E189</f>
        <v>4978.42021365524</v>
      </c>
      <c r="D8" s="19" t="n">
        <f aca="false">E186</f>
        <v>3660.44374965524</v>
      </c>
      <c r="E8" s="11" t="n">
        <f aca="false">E203</f>
        <v>0.0551937303658937</v>
      </c>
      <c r="F8" s="16" t="n">
        <f aca="false">E212</f>
        <v>44.121019146248</v>
      </c>
      <c r="G8" s="15" t="n">
        <f aca="false">F8/F$4-1</f>
        <v>0.0116706971988048</v>
      </c>
      <c r="H8" s="19" t="n">
        <f aca="false">F189</f>
        <v>4870.76626498279</v>
      </c>
      <c r="I8" s="19" t="n">
        <f aca="false">F186</f>
        <v>3526.43027170279</v>
      </c>
      <c r="J8" s="11" t="n">
        <f aca="false">F203</f>
        <v>0.0640549456792944</v>
      </c>
      <c r="K8" s="16" t="n">
        <f aca="false">F212</f>
        <v>52.4732463118242</v>
      </c>
      <c r="L8" s="15" t="n">
        <f aca="false">K8/K$4-1</f>
        <v>0.0105675158438365</v>
      </c>
    </row>
    <row r="9" customFormat="false" ht="17.15" hidden="false" customHeight="false" outlineLevel="0" collapsed="false">
      <c r="A9" s="4" t="s">
        <v>739</v>
      </c>
      <c r="B9" s="4" t="s">
        <v>740</v>
      </c>
      <c r="C9" s="19" t="n">
        <f aca="false">E233</f>
        <v>5710.50896358629</v>
      </c>
      <c r="D9" s="19" t="n">
        <f aca="false">E230</f>
        <v>4392.53249958629</v>
      </c>
      <c r="E9" s="11" t="n">
        <f aca="false">E247</f>
        <v>0.0479459599922339</v>
      </c>
      <c r="F9" s="16" t="n">
        <f aca="false">E256</f>
        <v>42.7307908254639</v>
      </c>
      <c r="G9" s="15" t="n">
        <f aca="false">F9/F$4-1</f>
        <v>-0.0202064734053276</v>
      </c>
      <c r="H9" s="19" t="n">
        <f aca="false">F233</f>
        <v>6046.24302221705</v>
      </c>
      <c r="I9" s="19" t="n">
        <f aca="false">F230</f>
        <v>4701.90702893705</v>
      </c>
      <c r="J9" s="11" t="n">
        <f aca="false">F247</f>
        <v>0.0508195981539809</v>
      </c>
      <c r="K9" s="16" t="n">
        <f aca="false">F256</f>
        <v>49.8020781368129</v>
      </c>
      <c r="L9" s="15" t="n">
        <f aca="false">K9/K$4-1</f>
        <v>-0.0408757619549306</v>
      </c>
    </row>
    <row r="10" customFormat="false" ht="17.15" hidden="false" customHeight="false" outlineLevel="0" collapsed="false">
      <c r="A10" s="4" t="s">
        <v>741</v>
      </c>
      <c r="B10" s="4" t="s">
        <v>742</v>
      </c>
      <c r="C10" s="19" t="n">
        <f aca="false">E277</f>
        <v>5710.50896358629</v>
      </c>
      <c r="D10" s="19" t="n">
        <f aca="false">E274</f>
        <v>4392.53249958629</v>
      </c>
      <c r="E10" s="11" t="n">
        <f aca="false">E291</f>
        <v>0.0489774778027772</v>
      </c>
      <c r="F10" s="16" t="n">
        <f aca="false">E300</f>
        <v>44.0526590022281</v>
      </c>
      <c r="G10" s="15" t="n">
        <f aca="false">F10/F$4-1</f>
        <v>0.0101032367026639</v>
      </c>
      <c r="H10" s="19" t="n">
        <f aca="false">F277</f>
        <v>6046.24302221705</v>
      </c>
      <c r="I10" s="19" t="n">
        <f aca="false">F274</f>
        <v>4701.90702893705</v>
      </c>
      <c r="J10" s="11" t="n">
        <f aca="false">F291</f>
        <v>0.0531660277163987</v>
      </c>
      <c r="K10" s="16" t="n">
        <f aca="false">F300</f>
        <v>52.9857604117971</v>
      </c>
      <c r="L10" s="15" t="n">
        <f aca="false">K10/K$4-1</f>
        <v>0.020437880977465</v>
      </c>
    </row>
    <row r="11" customFormat="false" ht="17.15" hidden="false" customHeight="false" outlineLevel="0" collapsed="false">
      <c r="A11" s="4" t="s">
        <v>743</v>
      </c>
      <c r="B11" s="0" t="s">
        <v>744</v>
      </c>
      <c r="C11" s="19" t="n">
        <f aca="false">E321</f>
        <v>5710.50896358629</v>
      </c>
      <c r="D11" s="19" t="n">
        <f aca="false">E318</f>
        <v>4392.53249958629</v>
      </c>
      <c r="E11" s="11" t="n">
        <f aca="false">E335</f>
        <v>0.0486336385325961</v>
      </c>
      <c r="F11" s="16" t="n">
        <f aca="false">E344</f>
        <v>43.6120362766401</v>
      </c>
      <c r="G11" s="15" t="n">
        <f aca="false">F11/F$4-1</f>
        <v>0</v>
      </c>
      <c r="H11" s="19" t="n">
        <f aca="false">F321</f>
        <v>5340.95696787649</v>
      </c>
      <c r="I11" s="19" t="n">
        <f aca="false">F318</f>
        <v>3996.62097459649</v>
      </c>
      <c r="J11" s="11" t="n">
        <f aca="false">F335</f>
        <v>0.0527934120704895</v>
      </c>
      <c r="K11" s="16" t="n">
        <f aca="false">F344</f>
        <v>44.5645352051177</v>
      </c>
      <c r="L11" s="15" t="n">
        <f aca="false">K11/K$4-1</f>
        <v>-0.141744130535664</v>
      </c>
    </row>
    <row r="12" customFormat="false" ht="17.15" hidden="false" customHeight="false" outlineLevel="0" collapsed="false">
      <c r="A12" s="4" t="s">
        <v>745</v>
      </c>
      <c r="B12" s="0" t="s">
        <v>746</v>
      </c>
      <c r="C12" s="19" t="n">
        <f aca="false">E365</f>
        <v>5710.50896358629</v>
      </c>
      <c r="D12" s="19" t="n">
        <f aca="false">E362</f>
        <v>4392.53249958629</v>
      </c>
      <c r="E12" s="11" t="n">
        <f aca="false">E379</f>
        <v>0.0486336385325961</v>
      </c>
      <c r="F12" s="16" t="n">
        <f aca="false">E388</f>
        <v>43.6120362766401</v>
      </c>
      <c r="G12" s="15" t="n">
        <f aca="false">F12/F$4-1</f>
        <v>0</v>
      </c>
      <c r="H12" s="19" t="n">
        <f aca="false">F365</f>
        <v>6986.62442800446</v>
      </c>
      <c r="I12" s="19" t="n">
        <f aca="false">F362</f>
        <v>5642.28843472446</v>
      </c>
      <c r="J12" s="11" t="n">
        <f aca="false">F379</f>
        <v>0.0519664642617304</v>
      </c>
      <c r="K12" s="16" t="n">
        <f aca="false">F388</f>
        <v>61.0920678135026</v>
      </c>
      <c r="L12" s="15" t="n">
        <f aca="false">K12/K$4-1</f>
        <v>0.176554978915849</v>
      </c>
    </row>
    <row r="13" customFormat="false" ht="17.15" hidden="false" customHeight="false" outlineLevel="0" collapsed="false">
      <c r="A13" s="0" t="s">
        <v>747</v>
      </c>
      <c r="B13" s="0" t="s">
        <v>748</v>
      </c>
      <c r="C13" s="19" t="n">
        <f aca="false">E409</f>
        <v>4832.00246366904</v>
      </c>
      <c r="D13" s="19" t="n">
        <f aca="false">E406</f>
        <v>3514.02599966904</v>
      </c>
      <c r="E13" s="11" t="n">
        <f aca="false">E423</f>
        <v>0.0494299382764976</v>
      </c>
      <c r="F13" s="16" t="n">
        <f aca="false">E432</f>
        <v>36.2916066595847</v>
      </c>
      <c r="G13" s="15" t="n">
        <f aca="false">F13/F$4-1</f>
        <v>-0.16785342400938</v>
      </c>
      <c r="H13" s="19" t="n">
        <f aca="false">F409</f>
        <v>5105.86161642964</v>
      </c>
      <c r="I13" s="19" t="n">
        <f aca="false">F406</f>
        <v>3761.52562314964</v>
      </c>
      <c r="J13" s="11" t="n">
        <f aca="false">F423</f>
        <v>0.0529550630791143</v>
      </c>
      <c r="K13" s="16" t="n">
        <f aca="false">F432</f>
        <v>42.9760700398282</v>
      </c>
      <c r="L13" s="15" t="n">
        <f aca="false">K13/K$4-1</f>
        <v>-0.172335935101209</v>
      </c>
    </row>
    <row r="14" customFormat="false" ht="17.15" hidden="false" customHeight="false" outlineLevel="0" collapsed="false">
      <c r="A14" s="0" t="s">
        <v>749</v>
      </c>
      <c r="B14" s="0" t="s">
        <v>746</v>
      </c>
      <c r="C14" s="19" t="n">
        <f aca="false">E453</f>
        <v>6589.01546350355</v>
      </c>
      <c r="D14" s="19" t="n">
        <f aca="false">E450</f>
        <v>5271.03899950355</v>
      </c>
      <c r="E14" s="11" t="n">
        <f aca="false">E467</f>
        <v>0.0480496784029434</v>
      </c>
      <c r="F14" s="16" t="n">
        <f aca="false">E476</f>
        <v>50.9324658936954</v>
      </c>
      <c r="G14" s="15" t="n">
        <f aca="false">F14/F$4-1</f>
        <v>0.167853424009381</v>
      </c>
      <c r="H14" s="19" t="n">
        <f aca="false">F453</f>
        <v>6986.62442800446</v>
      </c>
      <c r="I14" s="19" t="n">
        <f aca="false">F450</f>
        <v>5642.28843472446</v>
      </c>
      <c r="J14" s="11" t="n">
        <f aca="false">F467</f>
        <v>0.0519664642617304</v>
      </c>
      <c r="K14" s="16" t="n">
        <f aca="false">F476</f>
        <v>60.8751595174092</v>
      </c>
      <c r="L14" s="15" t="n">
        <f aca="false">K14/K$4-1</f>
        <v>0.17237760295084</v>
      </c>
    </row>
    <row r="15" customFormat="false" ht="17.15" hidden="false" customHeight="false" outlineLevel="0" collapsed="false">
      <c r="A15" s="4" t="s">
        <v>750</v>
      </c>
      <c r="B15" s="0" t="s">
        <v>751</v>
      </c>
      <c r="C15" s="19" t="n">
        <f aca="false">E497</f>
        <v>5608.14185958629</v>
      </c>
      <c r="D15" s="19" t="n">
        <f aca="false">E494</f>
        <v>4392.53249958629</v>
      </c>
      <c r="E15" s="11" t="n">
        <f aca="false">E511</f>
        <v>0.0483671935791252</v>
      </c>
      <c r="F15" s="16" t="n">
        <f aca="false">E520</f>
        <v>42.3230942426172</v>
      </c>
      <c r="G15" s="15" t="n">
        <f aca="false">F15/F$4-1</f>
        <v>-0.0295547317682401</v>
      </c>
      <c r="H15" s="19" t="n">
        <f aca="false">F497</f>
        <v>5856.73592093705</v>
      </c>
      <c r="I15" s="19" t="n">
        <f aca="false">F494</f>
        <v>4701.90702893705</v>
      </c>
      <c r="J15" s="11" t="n">
        <f aca="false">F511</f>
        <v>0.0520329121382611</v>
      </c>
      <c r="K15" s="16" t="n">
        <f aca="false">F520</f>
        <v>49.5102865044815</v>
      </c>
      <c r="L15" s="15" t="n">
        <f aca="false">K15/K$4-1</f>
        <v>-0.0464952950647543</v>
      </c>
    </row>
    <row r="16" customFormat="false" ht="17.15" hidden="false" customHeight="false" outlineLevel="0" collapsed="false">
      <c r="A16" s="4" t="s">
        <v>752</v>
      </c>
      <c r="B16" s="0" t="s">
        <v>753</v>
      </c>
      <c r="C16" s="19" t="n">
        <f aca="false">E541</f>
        <v>5774.48840358629</v>
      </c>
      <c r="D16" s="19" t="n">
        <f aca="false">E538</f>
        <v>4392.53249958629</v>
      </c>
      <c r="E16" s="11" t="n">
        <f aca="false">E555</f>
        <v>0.0487953694289543</v>
      </c>
      <c r="F16" s="16" t="n">
        <f aca="false">E564</f>
        <v>44.4176250479043</v>
      </c>
      <c r="G16" s="15" t="n">
        <f aca="false">F16/F$4-1</f>
        <v>0.0184717073551501</v>
      </c>
      <c r="H16" s="19" t="n">
        <f aca="false">F541</f>
        <v>6166.78028717705</v>
      </c>
      <c r="I16" s="19" t="n">
        <f aca="false">F538</f>
        <v>4701.90702893705</v>
      </c>
      <c r="J16" s="11" t="n">
        <f aca="false">F555</f>
        <v>0.0525958992246528</v>
      </c>
      <c r="K16" s="16" t="n">
        <f aca="false">F564</f>
        <v>53.4614364288284</v>
      </c>
      <c r="L16" s="15" t="n">
        <f aca="false">K16/K$4-1</f>
        <v>0.0295987918161273</v>
      </c>
    </row>
    <row r="17" customFormat="false" ht="17.15" hidden="false" customHeight="false" outlineLevel="0" collapsed="false">
      <c r="A17" s="0" t="s">
        <v>754</v>
      </c>
      <c r="B17" s="0" t="s">
        <v>755</v>
      </c>
      <c r="C17" s="19" t="n">
        <f aca="false">E585</f>
        <v>5710.50896358629</v>
      </c>
      <c r="D17" s="19" t="n">
        <f aca="false">E582</f>
        <v>4392.53249958629</v>
      </c>
      <c r="E17" s="11" t="n">
        <f aca="false">E599</f>
        <v>0.0469263981224711</v>
      </c>
      <c r="F17" s="16" t="n">
        <f aca="false">E608</f>
        <v>41.4242439330047</v>
      </c>
      <c r="G17" s="15" t="n">
        <f aca="false">F17/F$4-1</f>
        <v>-0.0501648748927407</v>
      </c>
      <c r="H17" s="19" t="n">
        <f aca="false">F585</f>
        <v>6046.24302221705</v>
      </c>
      <c r="I17" s="19" t="n">
        <f aca="false">F582</f>
        <v>4701.90702893705</v>
      </c>
      <c r="J17" s="11" t="n">
        <f aca="false">F599</f>
        <v>0.0500791498122617</v>
      </c>
      <c r="K17" s="16" t="n">
        <f aca="false">F608</f>
        <v>48.7974231073886</v>
      </c>
      <c r="L17" s="15" t="n">
        <f aca="false">K17/K$4-1</f>
        <v>-0.0602241310520515</v>
      </c>
    </row>
    <row r="18" customFormat="false" ht="17.15" hidden="false" customHeight="false" outlineLevel="0" collapsed="false">
      <c r="A18" s="0" t="s">
        <v>756</v>
      </c>
      <c r="B18" s="4" t="s">
        <v>757</v>
      </c>
      <c r="C18" s="19" t="n">
        <f aca="false">E629</f>
        <v>5710.50896358629</v>
      </c>
      <c r="D18" s="19" t="n">
        <f aca="false">E626</f>
        <v>4392.53249958629</v>
      </c>
      <c r="E18" s="11" t="n">
        <f aca="false">E643</f>
        <v>0.0503408789427211</v>
      </c>
      <c r="F18" s="16" t="n">
        <f aca="false">E652</f>
        <v>45.7998286202754</v>
      </c>
      <c r="G18" s="15" t="n">
        <f aca="false">F18/F$4-1</f>
        <v>0.0501648748927408</v>
      </c>
      <c r="H18" s="19" t="n">
        <f aca="false">F629</f>
        <v>6046.24302221705</v>
      </c>
      <c r="I18" s="19" t="n">
        <f aca="false">F626</f>
        <v>4701.90702893705</v>
      </c>
      <c r="J18" s="11" t="n">
        <f aca="false">F643</f>
        <v>0.0546886192455906</v>
      </c>
      <c r="K18" s="16" t="n">
        <f aca="false">F652</f>
        <v>55.0516428662161</v>
      </c>
      <c r="L18" s="15" t="n">
        <f aca="false">K18/K$4-1</f>
        <v>0.060224131052051</v>
      </c>
    </row>
    <row r="19" customFormat="false" ht="17.15" hidden="false" customHeight="false" outlineLevel="0" collapsed="false">
      <c r="A19" s="0" t="s">
        <v>758</v>
      </c>
      <c r="B19" s="0" t="s">
        <v>759</v>
      </c>
      <c r="C19" s="19" t="n">
        <f aca="false">E673</f>
        <v>5710.50896358629</v>
      </c>
      <c r="D19" s="19" t="n">
        <f aca="false">E670</f>
        <v>4392.53249958629</v>
      </c>
      <c r="E19" s="11" t="n">
        <f aca="false">E687</f>
        <v>0.0460952733288873</v>
      </c>
      <c r="F19" s="16" t="n">
        <f aca="false">E696</f>
        <v>40.359175153456</v>
      </c>
      <c r="G19" s="15" t="n">
        <f aca="false">F19/F$4-1</f>
        <v>-0.0745863160928896</v>
      </c>
      <c r="H19" s="19" t="n">
        <f aca="false">F673</f>
        <v>6046.24302221705</v>
      </c>
      <c r="I19" s="19" t="n">
        <f aca="false">F670</f>
        <v>4701.90702893705</v>
      </c>
      <c r="J19" s="11" t="n">
        <f aca="false">F687</f>
        <v>0.0495259927326735</v>
      </c>
      <c r="K19" s="16" t="n">
        <f aca="false">F696</f>
        <v>48.0468885855886</v>
      </c>
      <c r="L19" s="15" t="n">
        <f aca="false">K19/K$4-1</f>
        <v>-0.0746784646517551</v>
      </c>
    </row>
    <row r="20" customFormat="false" ht="17.15" hidden="false" customHeight="false" outlineLevel="0" collapsed="false">
      <c r="A20" s="0" t="s">
        <v>760</v>
      </c>
      <c r="B20" s="0" t="s">
        <v>761</v>
      </c>
      <c r="C20" s="19" t="n">
        <f aca="false">E717</f>
        <v>5710.50896358629</v>
      </c>
      <c r="D20" s="19" t="n">
        <f aca="false">E714</f>
        <v>4392.53249958629</v>
      </c>
      <c r="E20" s="11" t="n">
        <f aca="false">E731</f>
        <v>0.0511720037363049</v>
      </c>
      <c r="F20" s="16" t="n">
        <f aca="false">E740</f>
        <v>46.8648973998241</v>
      </c>
      <c r="G20" s="15" t="n">
        <f aca="false">F20/F$4-1</f>
        <v>0.0745863160928899</v>
      </c>
      <c r="H20" s="19" t="n">
        <f aca="false">F717</f>
        <v>6046.24302221705</v>
      </c>
      <c r="I20" s="19" t="n">
        <f aca="false">F714</f>
        <v>4701.90702893705</v>
      </c>
      <c r="J20" s="11" t="n">
        <f aca="false">F731</f>
        <v>0.0552417763251787</v>
      </c>
      <c r="K20" s="16" t="n">
        <f aca="false">F740</f>
        <v>55.8021773880162</v>
      </c>
      <c r="L20" s="15" t="n">
        <f aca="false">K20/K$4-1</f>
        <v>0.0746784646517553</v>
      </c>
    </row>
    <row r="21" customFormat="false" ht="17.15" hidden="false" customHeight="false" outlineLevel="0" collapsed="false">
      <c r="A21" s="4" t="s">
        <v>762</v>
      </c>
      <c r="B21" s="4" t="s">
        <v>763</v>
      </c>
      <c r="C21" s="19" t="n">
        <f aca="false">E761</f>
        <v>5710.50896358629</v>
      </c>
      <c r="D21" s="19" t="n">
        <f aca="false">E758</f>
        <v>4392.53249958629</v>
      </c>
      <c r="E21" s="11" t="n">
        <f aca="false">E775</f>
        <v>0.0486336385325961</v>
      </c>
      <c r="F21" s="16" t="n">
        <f aca="false">E784</f>
        <v>41.0490787333903</v>
      </c>
      <c r="G21" s="15" t="n">
        <f aca="false">F21/F$4-1</f>
        <v>-0.0587672065342774</v>
      </c>
      <c r="H21" s="19" t="n">
        <f aca="false">F761</f>
        <v>6046.24302221705</v>
      </c>
      <c r="I21" s="19" t="n">
        <f aca="false">F758</f>
        <v>4701.90702893705</v>
      </c>
      <c r="J21" s="11" t="n">
        <f aca="false">F775</f>
        <v>0.0523838845289261</v>
      </c>
      <c r="K21" s="16" t="n">
        <f aca="false">F784</f>
        <v>49.2108932287833</v>
      </c>
      <c r="L21" s="15" t="n">
        <f aca="false">K21/K$4-1</f>
        <v>-0.0522612260895791</v>
      </c>
    </row>
    <row r="22" customFormat="false" ht="17.15" hidden="false" customHeight="false" outlineLevel="0" collapsed="false">
      <c r="A22" s="4" t="s">
        <v>764</v>
      </c>
      <c r="B22" s="0" t="s">
        <v>765</v>
      </c>
      <c r="C22" s="19" t="n">
        <f aca="false">E805</f>
        <v>5710.50896358629</v>
      </c>
      <c r="D22" s="19" t="n">
        <f aca="false">E802</f>
        <v>4392.53249958629</v>
      </c>
      <c r="E22" s="11" t="n">
        <f aca="false">E819</f>
        <v>0.0486336385325961</v>
      </c>
      <c r="F22" s="16" t="n">
        <f aca="false">E828</f>
        <v>37.8139042861041</v>
      </c>
      <c r="G22" s="15" t="n">
        <f aca="false">F22/F$4-1</f>
        <v>-0.132947976878613</v>
      </c>
      <c r="H22" s="19" t="n">
        <f aca="false">F805</f>
        <v>6046.24302221705</v>
      </c>
      <c r="I22" s="19" t="n">
        <f aca="false">F802</f>
        <v>4701.90702893705</v>
      </c>
      <c r="J22" s="11" t="n">
        <f aca="false">F819</f>
        <v>0.0523838845289261</v>
      </c>
      <c r="K22" s="16" t="n">
        <f aca="false">F828</f>
        <v>45.0212713758402</v>
      </c>
      <c r="L22" s="15" t="n">
        <f aca="false">K22/K$4-1</f>
        <v>-0.132947976878613</v>
      </c>
    </row>
    <row r="23" customFormat="false" ht="17.15" hidden="false" customHeight="false" outlineLevel="0" collapsed="false">
      <c r="A23" s="4" t="s">
        <v>766</v>
      </c>
      <c r="B23" s="0" t="s">
        <v>767</v>
      </c>
      <c r="C23" s="19" t="n">
        <f aca="false">PL!E133</f>
        <v>5710.50896358629</v>
      </c>
      <c r="D23" s="19" t="n">
        <f aca="false">PL!E130</f>
        <v>4392.53249958629</v>
      </c>
      <c r="E23" s="11" t="n">
        <f aca="false">PL!E147</f>
        <v>0.0486336385325961</v>
      </c>
      <c r="F23" s="16" t="n">
        <f aca="false">PL!E156</f>
        <v>43.6120362766401</v>
      </c>
      <c r="G23" s="15" t="n">
        <f aca="false">F23/F$4-1</f>
        <v>0</v>
      </c>
      <c r="H23" s="19" t="n">
        <f aca="false">PL!F133</f>
        <v>5105.86161642964</v>
      </c>
      <c r="I23" s="19" t="n">
        <f aca="false">PL!F130</f>
        <v>3761.52562314964</v>
      </c>
      <c r="J23" s="11" t="n">
        <f aca="false">PL!F147</f>
        <v>0.0529550630791143</v>
      </c>
      <c r="K23" s="16" t="n">
        <f aca="false">PL!F156</f>
        <v>41.9645280138806</v>
      </c>
      <c r="L23" s="15" t="n">
        <f aca="false">K23/K$4-1</f>
        <v>-0.191816938930454</v>
      </c>
    </row>
    <row r="24" customFormat="false" ht="17.15" hidden="false" customHeight="false" outlineLevel="0" collapsed="false">
      <c r="A24" s="4" t="s">
        <v>768</v>
      </c>
      <c r="B24" s="0" t="s">
        <v>769</v>
      </c>
      <c r="C24" s="19" t="n">
        <f aca="false">PL!E177</f>
        <v>5710.50896358629</v>
      </c>
      <c r="D24" s="19" t="n">
        <f aca="false">PL!E174</f>
        <v>4392.53249958629</v>
      </c>
      <c r="E24" s="11" t="n">
        <f aca="false">PL!E191</f>
        <v>0.0486336385325961</v>
      </c>
      <c r="F24" s="16" t="n">
        <f aca="false">PL!E200</f>
        <v>43.6120362766401</v>
      </c>
      <c r="G24" s="15" t="n">
        <f aca="false">F24/F$4-1</f>
        <v>0</v>
      </c>
      <c r="H24" s="19" t="n">
        <f aca="false">PL!F177</f>
        <v>4165.48021064223</v>
      </c>
      <c r="I24" s="19" t="n">
        <f aca="false">PL!F174</f>
        <v>2821.14421736223</v>
      </c>
      <c r="J24" s="11" t="n">
        <f aca="false">PL!F191</f>
        <v>0.0537841353946405</v>
      </c>
      <c r="K24" s="16" t="n">
        <f aca="false">PL!F200</f>
        <v>31.5644992489322</v>
      </c>
      <c r="L24" s="15" t="n">
        <f aca="false">K24/K$4-1</f>
        <v>-0.392108172509614</v>
      </c>
    </row>
    <row r="26" customFormat="false" ht="17.15" hidden="false" customHeight="false" outlineLevel="0" collapsed="false">
      <c r="A26" s="4" t="s">
        <v>770</v>
      </c>
    </row>
    <row r="40" customFormat="false" ht="17.15" hidden="false" customHeight="false" outlineLevel="0" collapsed="false">
      <c r="A40" s="1" t="s">
        <v>771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335</v>
      </c>
      <c r="D41" s="12" t="s">
        <v>411</v>
      </c>
      <c r="E41" s="12" t="s">
        <v>412</v>
      </c>
      <c r="F41" s="12" t="s">
        <v>413</v>
      </c>
      <c r="G41" s="12" t="s">
        <v>414</v>
      </c>
      <c r="H41" s="5" t="s">
        <v>384</v>
      </c>
    </row>
    <row r="42" customFormat="false" ht="17.15" hidden="false" customHeight="false" outlineLevel="0" collapsed="false">
      <c r="A42" s="6" t="s">
        <v>431</v>
      </c>
    </row>
    <row r="43" customFormat="false" ht="17.15" hidden="false" customHeight="false" outlineLevel="0" collapsed="false">
      <c r="A43" s="0" t="s">
        <v>432</v>
      </c>
      <c r="B43" s="0" t="s">
        <v>32</v>
      </c>
      <c r="D43" s="21" t="n">
        <f aca="false">itc_26*1</f>
        <v>781.872916666666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433</v>
      </c>
      <c r="B44" s="0" t="s">
        <v>32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434</v>
      </c>
      <c r="B45" s="0" t="s">
        <v>386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388</v>
      </c>
      <c r="B46" s="0" t="s">
        <v>389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435</v>
      </c>
    </row>
    <row r="47" customFormat="false" ht="17.15" hidden="false" customHeight="false" outlineLevel="0" collapsed="false">
      <c r="A47" s="0" t="s">
        <v>436</v>
      </c>
      <c r="B47" s="0" t="s">
        <v>32</v>
      </c>
      <c r="D47" s="19" t="n">
        <f aca="false">D45*D46</f>
        <v>634.61653128501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437</v>
      </c>
      <c r="B48" s="0" t="s">
        <v>195</v>
      </c>
      <c r="D48" s="19" t="n">
        <f aca="false">D47*fx</f>
        <v>20307.7290011203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438</v>
      </c>
      <c r="B49" s="0" t="s">
        <v>52</v>
      </c>
      <c r="D49" s="15" t="n">
        <f aca="false">a26_ai/D48</f>
        <v>0.133896123975753</v>
      </c>
      <c r="H49" s="8" t="s">
        <v>439</v>
      </c>
    </row>
    <row r="50" customFormat="false" ht="17.15" hidden="false" customHeight="false" outlineLevel="0" collapsed="false">
      <c r="A50" s="4" t="s">
        <v>440</v>
      </c>
      <c r="B50" s="0" t="s">
        <v>72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393</v>
      </c>
      <c r="B51" s="0" t="s">
        <v>52</v>
      </c>
      <c r="D51" s="15" t="n">
        <f aca="false">$D$49*D50</f>
        <v>0.133896123975753</v>
      </c>
      <c r="E51" s="15" t="n">
        <f aca="false">$D$49*E50</f>
        <v>0.11381170537939</v>
      </c>
      <c r="F51" s="15" t="n">
        <f aca="false">$D$49*F50</f>
        <v>0.100422092981815</v>
      </c>
      <c r="G51" s="15" t="n">
        <f aca="false">$D$49*G50</f>
        <v>0.093727286783027</v>
      </c>
    </row>
    <row r="52" customFormat="false" ht="17.15" hidden="false" customHeight="false" outlineLevel="0" collapsed="false">
      <c r="A52" s="0" t="s">
        <v>441</v>
      </c>
      <c r="B52" s="0" t="s">
        <v>195</v>
      </c>
      <c r="D52" s="19" t="n">
        <f aca="false">D48*D51</f>
        <v>2719.1262</v>
      </c>
      <c r="E52" s="19" t="n">
        <f aca="false">E48*E51</f>
        <v>4148.50291627594</v>
      </c>
      <c r="F52" s="19" t="n">
        <f aca="false">F48*F51</f>
        <v>4640.03983118788</v>
      </c>
      <c r="G52" s="19" t="n">
        <f aca="false">G48*G51</f>
        <v>4933.35635255264</v>
      </c>
    </row>
    <row r="53" customFormat="false" ht="17.15" hidden="false" customHeight="false" outlineLevel="0" collapsed="false">
      <c r="A53" s="4" t="s">
        <v>397</v>
      </c>
      <c r="B53" s="0" t="s">
        <v>52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442</v>
      </c>
    </row>
    <row r="54" customFormat="false" ht="17.15" hidden="false" customHeight="false" outlineLevel="0" collapsed="false">
      <c r="A54" s="0" t="s">
        <v>443</v>
      </c>
      <c r="B54" s="0" t="s">
        <v>195</v>
      </c>
      <c r="C54" s="19" t="n">
        <f aca="false">a25_ai</f>
        <v>905.033</v>
      </c>
      <c r="D54" s="19" t="n">
        <f aca="false">D52*(1-D53)</f>
        <v>2719.1262</v>
      </c>
      <c r="E54" s="19" t="n">
        <f aca="false">E52*(1-E53)</f>
        <v>3733.65262464835</v>
      </c>
      <c r="F54" s="19" t="n">
        <f aca="false">F52*(1-F53)</f>
        <v>3712.0318649503</v>
      </c>
      <c r="G54" s="19" t="n">
        <f aca="false">G52*(1-G53)</f>
        <v>3700.01726441448</v>
      </c>
    </row>
    <row r="55" customFormat="false" ht="17.15" hidden="false" customHeight="false" outlineLevel="0" collapsed="false">
      <c r="A55" s="6" t="s">
        <v>444</v>
      </c>
    </row>
    <row r="56" customFormat="false" ht="17.15" hidden="false" customHeight="false" outlineLevel="0" collapsed="false">
      <c r="A56" s="4" t="s">
        <v>370</v>
      </c>
      <c r="B56" s="0" t="s">
        <v>195</v>
      </c>
      <c r="C56" s="19" t="n">
        <f aca="false">a25_nai</f>
        <v>1218.656</v>
      </c>
      <c r="D56" s="19" t="n">
        <f aca="false">a26_nai</f>
        <v>1279.5888</v>
      </c>
      <c r="E56" s="19" t="n">
        <f aca="false">D56*(1+g_nai27)</f>
        <v>1317.976464</v>
      </c>
      <c r="F56" s="19" t="n">
        <f aca="false">E56*(1+g_nai28)</f>
        <v>1344.33599328</v>
      </c>
      <c r="G56" s="19" t="n">
        <f aca="false">F56*(1+g_nai29)</f>
        <v>1371.2227131456</v>
      </c>
    </row>
    <row r="57" customFormat="false" ht="15" hidden="false" customHeight="false" outlineLevel="0" collapsed="false">
      <c r="A57" s="4" t="s">
        <v>341</v>
      </c>
      <c r="B57" s="0" t="s">
        <v>195</v>
      </c>
      <c r="C57" s="19" t="n">
        <f aca="false">C54+C56</f>
        <v>2123.689</v>
      </c>
      <c r="D57" s="19" t="n">
        <f aca="false">D54+D56</f>
        <v>3998.715</v>
      </c>
      <c r="E57" s="19" t="n">
        <f aca="false">E54+E56</f>
        <v>5051.62908864835</v>
      </c>
      <c r="F57" s="19" t="n">
        <f aca="false">F54+F56</f>
        <v>5056.3678582303</v>
      </c>
      <c r="G57" s="19" t="n">
        <f aca="false">G54+G56</f>
        <v>5071.23997756008</v>
      </c>
    </row>
    <row r="58" customFormat="false" ht="17.15" hidden="false" customHeight="false" outlineLevel="0" collapsed="false">
      <c r="A58" s="4" t="s">
        <v>445</v>
      </c>
      <c r="B58" s="0" t="s">
        <v>195</v>
      </c>
      <c r="C58" s="19" t="n">
        <f aca="false">srv_25*C57-C54</f>
        <v>602.78619</v>
      </c>
      <c r="D58" s="19" t="n">
        <f aca="false">srv_26*D57-D54</f>
        <v>679.78155</v>
      </c>
      <c r="E58" s="19" t="n">
        <f aca="false">D58*(1+g_gs27)</f>
        <v>747.759705</v>
      </c>
      <c r="F58" s="19" t="n">
        <f aca="false">E58*(1+g_gs28)</f>
        <v>785.14769025</v>
      </c>
      <c r="G58" s="19" t="n">
        <f aca="false">F58*(1+g_gs29)</f>
        <v>824.4050747625</v>
      </c>
      <c r="H58" s="8" t="s">
        <v>446</v>
      </c>
    </row>
    <row r="59" customFormat="false" ht="17.15" hidden="false" customHeight="false" outlineLevel="0" collapsed="false">
      <c r="A59" s="4" t="s">
        <v>447</v>
      </c>
      <c r="B59" s="0" t="s">
        <v>195</v>
      </c>
      <c r="C59" s="19" t="n">
        <f aca="false">C54+C58</f>
        <v>1507.81919</v>
      </c>
      <c r="D59" s="19" t="n">
        <f aca="false">D54+D58</f>
        <v>3398.90775</v>
      </c>
      <c r="E59" s="19" t="n">
        <f aca="false">E54+E58</f>
        <v>4481.41232964835</v>
      </c>
      <c r="F59" s="19" t="n">
        <f aca="false">F54+F58</f>
        <v>4497.1795552003</v>
      </c>
      <c r="G59" s="19" t="n">
        <f aca="false">G54+G58</f>
        <v>4524.42233917698</v>
      </c>
      <c r="H59" s="4" t="s">
        <v>448</v>
      </c>
    </row>
    <row r="60" customFormat="false" ht="15" hidden="false" customHeight="false" outlineLevel="0" collapsed="false">
      <c r="A60" s="4" t="s">
        <v>449</v>
      </c>
      <c r="B60" s="0" t="s">
        <v>195</v>
      </c>
      <c r="C60" s="19" t="n">
        <f aca="false">nbsh_25*C57</f>
        <v>467.21158</v>
      </c>
      <c r="D60" s="19" t="n">
        <f aca="false">nbsh_26*D57</f>
        <v>439.85865</v>
      </c>
      <c r="E60" s="19" t="n">
        <f aca="false">D60*(1+g_nb27)</f>
        <v>395.872785</v>
      </c>
      <c r="F60" s="19" t="n">
        <f aca="false">E60*(1+g_nb28)</f>
        <v>376.07914575</v>
      </c>
      <c r="G60" s="19" t="n">
        <f aca="false">F60*(1+g_nb29)</f>
        <v>364.7967713775</v>
      </c>
      <c r="H60" s="4" t="s">
        <v>450</v>
      </c>
    </row>
    <row r="61" customFormat="false" ht="17.15" hidden="false" customHeight="false" outlineLevel="0" collapsed="false">
      <c r="A61" s="4" t="s">
        <v>451</v>
      </c>
      <c r="B61" s="0" t="s">
        <v>195</v>
      </c>
      <c r="C61" s="19" t="n">
        <f aca="false">C56-C60-C58</f>
        <v>148.65823</v>
      </c>
      <c r="D61" s="19" t="n">
        <f aca="false">D56-D60-D58</f>
        <v>159.9486</v>
      </c>
      <c r="E61" s="19" t="n">
        <f aca="false">E56-E60-E58</f>
        <v>174.343974</v>
      </c>
      <c r="F61" s="19" t="n">
        <f aca="false">F56-F60-F58</f>
        <v>183.10915728</v>
      </c>
      <c r="G61" s="19" t="n">
        <f aca="false">G56-G60-G58</f>
        <v>182.0208670056</v>
      </c>
    </row>
    <row r="62" customFormat="false" ht="15" hidden="false" customHeight="false" outlineLevel="0" collapsed="false">
      <c r="A62" s="4" t="s">
        <v>452</v>
      </c>
      <c r="B62" s="0" t="s">
        <v>195</v>
      </c>
      <c r="C62" s="22" t="n">
        <f aca="false">C59+C60+C61-C57</f>
        <v>0</v>
      </c>
      <c r="D62" s="22" t="n">
        <f aca="false">D59+D60+D61-D57</f>
        <v>0</v>
      </c>
      <c r="E62" s="22" t="n">
        <f aca="false">E59+E60+E61-E57</f>
        <v>0</v>
      </c>
      <c r="F62" s="22" t="n">
        <f aca="false">F59+F60+F61-F57</f>
        <v>0</v>
      </c>
      <c r="G62" s="22" t="n">
        <f aca="false">G59+G60+G61-G57</f>
        <v>0</v>
      </c>
    </row>
    <row r="63" customFormat="false" ht="15" hidden="false" customHeight="false" outlineLevel="0" collapsed="false">
      <c r="A63" s="4" t="s">
        <v>453</v>
      </c>
      <c r="B63" s="0" t="s">
        <v>52</v>
      </c>
      <c r="D63" s="15" t="n">
        <f aca="false">D57/C57-1</f>
        <v>0.88290987993063</v>
      </c>
      <c r="E63" s="15" t="n">
        <f aca="false">E57/D57-1</f>
        <v>0.263313111499156</v>
      </c>
      <c r="F63" s="15" t="n">
        <f aca="false">F57/E57-1</f>
        <v>0.000938067601321757</v>
      </c>
      <c r="G63" s="15" t="n">
        <f aca="false">G57/F57-1</f>
        <v>0.00294126530085648</v>
      </c>
    </row>
    <row r="64" customFormat="false" ht="17.15" hidden="false" customHeight="false" outlineLevel="0" collapsed="false">
      <c r="A64" s="0" t="s">
        <v>454</v>
      </c>
      <c r="B64" s="0" t="s">
        <v>52</v>
      </c>
      <c r="C64" s="15" t="n">
        <f aca="false">C54/C57</f>
        <v>0.426160798497332</v>
      </c>
      <c r="D64" s="15" t="n">
        <f aca="false">D54/D57</f>
        <v>0.68</v>
      </c>
      <c r="E64" s="15" t="n">
        <f aca="false">E54/E57</f>
        <v>0.739098726198711</v>
      </c>
      <c r="F64" s="15" t="n">
        <f aca="false">F54/F57</f>
        <v>0.734130104657672</v>
      </c>
      <c r="G64" s="15" t="n">
        <f aca="false">G54/G57</f>
        <v>0.729608001354072</v>
      </c>
    </row>
    <row r="65" customFormat="false" ht="17.15" hidden="false" customHeight="false" outlineLevel="0" collapsed="false">
      <c r="A65" s="4" t="s">
        <v>403</v>
      </c>
      <c r="B65" s="0" t="s">
        <v>389</v>
      </c>
      <c r="D65" s="16" t="n">
        <f aca="false">D54/fx/D45</f>
        <v>3.631383388734</v>
      </c>
      <c r="E65" s="16" t="n">
        <f aca="false">E54/fx/E45</f>
        <v>2.80157755844852</v>
      </c>
      <c r="F65" s="16" t="n">
        <f aca="false">F54/fx/F45</f>
        <v>2.19731573211649</v>
      </c>
      <c r="G65" s="16" t="n">
        <f aca="false">G54/fx/G45</f>
        <v>1.92265126560193</v>
      </c>
    </row>
    <row r="66" customFormat="false" ht="17.15" hidden="false" customHeight="false" outlineLevel="0" collapsed="false">
      <c r="A66" s="4" t="s">
        <v>455</v>
      </c>
      <c r="B66" s="4" t="s">
        <v>401</v>
      </c>
      <c r="D66" s="19" t="n">
        <f aca="false">D52/fx/(odm_gb*(1-vr26)+odm_vr*vr26)</f>
        <v>18.4522679153094</v>
      </c>
      <c r="E66" s="19" t="n">
        <f aca="false">E52/fx/odm_vr</f>
        <v>19.206032019796</v>
      </c>
      <c r="F66" s="19" t="n">
        <f aca="false">F52/fx/odm_vr</f>
        <v>21.4816658851291</v>
      </c>
      <c r="G66" s="19" t="n">
        <f aca="false">G52/fx/odm_vr</f>
        <v>22.8396127432993</v>
      </c>
      <c r="H66" s="4" t="s">
        <v>456</v>
      </c>
    </row>
    <row r="67" customFormat="false" ht="17.15" hidden="false" customHeight="false" outlineLevel="0" collapsed="false">
      <c r="A67" s="6" t="s">
        <v>457</v>
      </c>
    </row>
    <row r="68" customFormat="false" ht="17.15" hidden="false" customHeight="false" outlineLevel="0" collapsed="false">
      <c r="A68" s="4" t="s">
        <v>458</v>
      </c>
      <c r="B68" s="0" t="s">
        <v>52</v>
      </c>
      <c r="D68" s="11" t="n">
        <f aca="false">a26_gp/D57-d_ai*D64</f>
        <v>0.0632307213692399</v>
      </c>
      <c r="H68" s="8" t="s">
        <v>459</v>
      </c>
    </row>
    <row r="69" customFormat="false" ht="17.15" hidden="false" customHeight="false" outlineLevel="0" collapsed="false">
      <c r="A69" s="0" t="s">
        <v>460</v>
      </c>
      <c r="B69" s="0" t="s">
        <v>195</v>
      </c>
      <c r="D69" s="21" t="n">
        <f aca="false">($D$68+d_ai)*D52*(1-D53*(1-keep))</f>
        <v>117.54978712</v>
      </c>
      <c r="E69" s="21" t="n">
        <f aca="false">($D$68+d_ai+vrd)*E52*(1-E53*(1-keep))</f>
        <v>165.228292274935</v>
      </c>
      <c r="F69" s="21" t="n">
        <f aca="false">($D$68+d_ai+vrd)*F52*(1-F53*(1-keep))</f>
        <v>182.938706598881</v>
      </c>
      <c r="G69" s="21" t="n">
        <f aca="false">($D$68+d_ai+vrd)*G52*(1-G53*(1-keep))</f>
        <v>193.510672713847</v>
      </c>
      <c r="H69" s="4" t="s">
        <v>461</v>
      </c>
    </row>
    <row r="70" customFormat="false" ht="15" hidden="false" customHeight="false" outlineLevel="0" collapsed="false">
      <c r="A70" s="4" t="s">
        <v>345</v>
      </c>
      <c r="B70" s="0" t="s">
        <v>195</v>
      </c>
      <c r="C70" s="19" t="n">
        <f aca="false">a25_gp</f>
        <v>148.2334922</v>
      </c>
      <c r="D70" s="19" t="n">
        <f aca="false">a26_gp</f>
        <v>198.45911</v>
      </c>
      <c r="E70" s="19" t="n">
        <f aca="false">$D$68*E56+E69</f>
        <v>248.564894841335</v>
      </c>
      <c r="F70" s="19" t="n">
        <f aca="false">$D$68*F56+F69</f>
        <v>267.942041216609</v>
      </c>
      <c r="G70" s="19" t="n">
        <f aca="false">$D$68*G56+G69</f>
        <v>280.21407402393</v>
      </c>
    </row>
    <row r="71" customFormat="false" ht="15" hidden="false" customHeight="false" outlineLevel="0" collapsed="false">
      <c r="A71" s="4" t="s">
        <v>348</v>
      </c>
      <c r="B71" s="0" t="s">
        <v>52</v>
      </c>
      <c r="C71" s="11" t="n">
        <f aca="false">C70/C57</f>
        <v>0.0698</v>
      </c>
      <c r="D71" s="11" t="n">
        <f aca="false">D70/D57</f>
        <v>0.0496307213692399</v>
      </c>
      <c r="E71" s="11" t="n">
        <f aca="false">E70/E57</f>
        <v>0.0492048981584756</v>
      </c>
      <c r="F71" s="11" t="n">
        <f aca="false">F70/F57</f>
        <v>0.0529910102921955</v>
      </c>
      <c r="G71" s="11" t="n">
        <f aca="false">G70/G57</f>
        <v>0.0552555342014693</v>
      </c>
    </row>
    <row r="72" customFormat="false" ht="17.15" hidden="false" customHeight="false" outlineLevel="0" collapsed="false">
      <c r="A72" s="0" t="s">
        <v>462</v>
      </c>
      <c r="B72" s="0" t="s">
        <v>52</v>
      </c>
      <c r="D72" s="11" t="n">
        <f aca="false">D69/D54</f>
        <v>0.0432307213692399</v>
      </c>
      <c r="E72" s="11" t="n">
        <f aca="false">E69/E54</f>
        <v>0.0442537935061639</v>
      </c>
      <c r="F72" s="11" t="n">
        <f aca="false">F69/F54</f>
        <v>0.0492826336773188</v>
      </c>
      <c r="G72" s="11" t="n">
        <f aca="false">G69/G54</f>
        <v>0.0522999377800118</v>
      </c>
      <c r="H72" s="4" t="s">
        <v>463</v>
      </c>
    </row>
    <row r="73" customFormat="false" ht="15" hidden="false" customHeight="false" outlineLevel="0" collapsed="false">
      <c r="A73" s="4" t="s">
        <v>464</v>
      </c>
      <c r="B73" s="0" t="s">
        <v>195</v>
      </c>
      <c r="C73" s="19" t="n">
        <f aca="false">a25_opx</f>
        <v>60.7375054</v>
      </c>
      <c r="D73" s="19" t="n">
        <f aca="false">a26_opx</f>
        <v>71.1893725</v>
      </c>
      <c r="E73" s="19" t="n">
        <f aca="false">D73*(1+MAX(0,phi*E63))</f>
        <v>78.687410571459</v>
      </c>
      <c r="F73" s="19" t="n">
        <f aca="false">E73*(1+MAX(0,phi*F63))</f>
        <v>78.7169362156546</v>
      </c>
      <c r="G73" s="19" t="n">
        <f aca="false">F73*(1+MAX(0,phi*G63))</f>
        <v>78.8095471728869</v>
      </c>
    </row>
    <row r="74" customFormat="false" ht="15" hidden="false" customHeight="false" outlineLevel="0" collapsed="false">
      <c r="A74" s="4" t="s">
        <v>349</v>
      </c>
      <c r="B74" s="0" t="s">
        <v>195</v>
      </c>
      <c r="C74" s="19" t="n">
        <f aca="false">C73</f>
        <v>60.7375054</v>
      </c>
      <c r="D74" s="19" t="n">
        <f aca="false">D73</f>
        <v>71.1893725</v>
      </c>
      <c r="E74" s="19" t="n">
        <f aca="false">E73+0*E57</f>
        <v>78.687410571459</v>
      </c>
      <c r="F74" s="19" t="n">
        <f aca="false">F73+0*F57</f>
        <v>78.7169362156546</v>
      </c>
      <c r="G74" s="19" t="n">
        <f aca="false">G73+0*G57</f>
        <v>78.8095471728869</v>
      </c>
    </row>
    <row r="75" customFormat="false" ht="15" hidden="false" customHeight="false" outlineLevel="0" collapsed="false">
      <c r="A75" s="4" t="s">
        <v>352</v>
      </c>
      <c r="B75" s="0" t="s">
        <v>195</v>
      </c>
      <c r="C75" s="19" t="n">
        <f aca="false">C70-C74</f>
        <v>87.4959868</v>
      </c>
      <c r="D75" s="19" t="n">
        <f aca="false">D70-D74</f>
        <v>127.2697375</v>
      </c>
      <c r="E75" s="19" t="n">
        <f aca="false">E70-E74</f>
        <v>169.877484269876</v>
      </c>
      <c r="F75" s="19" t="n">
        <f aca="false">F70-F74</f>
        <v>189.225105000954</v>
      </c>
      <c r="G75" s="19" t="n">
        <f aca="false">G70-G74</f>
        <v>201.404526851043</v>
      </c>
    </row>
    <row r="76" customFormat="false" ht="15" hidden="false" customHeight="false" outlineLevel="0" collapsed="false">
      <c r="A76" s="4" t="s">
        <v>355</v>
      </c>
      <c r="B76" s="0" t="s">
        <v>52</v>
      </c>
      <c r="C76" s="11" t="n">
        <f aca="false">C75/C57</f>
        <v>0.0412</v>
      </c>
      <c r="D76" s="11" t="n">
        <f aca="false">D75/D57</f>
        <v>0.0318276590104571</v>
      </c>
      <c r="E76" s="11" t="n">
        <f aca="false">E75/E57</f>
        <v>0.0336282575954779</v>
      </c>
      <c r="F76" s="11" t="n">
        <f aca="false">F75/F57</f>
        <v>0.0374231286778216</v>
      </c>
      <c r="G76" s="11" t="n">
        <f aca="false">G75/G57</f>
        <v>0.0397150455790389</v>
      </c>
    </row>
    <row r="77" customFormat="false" ht="17.15" hidden="false" customHeight="false" outlineLevel="0" collapsed="false">
      <c r="A77" s="4" t="s">
        <v>229</v>
      </c>
      <c r="B77" s="0" t="s">
        <v>52</v>
      </c>
      <c r="C77" s="15" t="n">
        <f aca="false">a25_ni/a25_oi</f>
        <v>0.856953590013114</v>
      </c>
      <c r="D77" s="15" t="n">
        <f aca="false">a26_ni/a26_oi</f>
        <v>0.869913569398224</v>
      </c>
      <c r="E77" s="15" t="n">
        <f aca="false">nio_f</f>
        <v>0.865</v>
      </c>
      <c r="F77" s="15" t="n">
        <f aca="false">nio_f</f>
        <v>0.865</v>
      </c>
      <c r="G77" s="15" t="n">
        <f aca="false">nio_f</f>
        <v>0.865</v>
      </c>
    </row>
    <row r="78" customFormat="false" ht="15" hidden="false" customHeight="false" outlineLevel="0" collapsed="false">
      <c r="A78" s="4" t="s">
        <v>356</v>
      </c>
      <c r="B78" s="0" t="s">
        <v>195</v>
      </c>
      <c r="C78" s="19" t="n">
        <f aca="false">a25_ni</f>
        <v>74.98</v>
      </c>
      <c r="D78" s="19" t="n">
        <f aca="false">a26_ni</f>
        <v>110.713671625</v>
      </c>
      <c r="E78" s="19" t="n">
        <f aca="false">E75*E77</f>
        <v>146.944023893443</v>
      </c>
      <c r="F78" s="19" t="n">
        <f aca="false">F75*F77</f>
        <v>163.679715825825</v>
      </c>
      <c r="G78" s="19" t="n">
        <f aca="false">G75*G77</f>
        <v>174.214915726152</v>
      </c>
    </row>
    <row r="79" customFormat="false" ht="15" hidden="false" customHeight="false" outlineLevel="0" collapsed="false">
      <c r="A79" s="4" t="s">
        <v>465</v>
      </c>
      <c r="B79" s="4" t="s">
        <v>216</v>
      </c>
      <c r="C79" s="22" t="n">
        <f aca="false">a25_sh</f>
        <v>3.85501285347044</v>
      </c>
      <c r="D79" s="22" t="n">
        <f aca="false">a26_sh</f>
        <v>3.85460170146945</v>
      </c>
      <c r="E79" s="22" t="n">
        <f aca="false">D79*(1+sh_g)</f>
        <v>3.85460170146945</v>
      </c>
      <c r="F79" s="22" t="n">
        <f aca="false">E79*(1+sh_g)</f>
        <v>3.85460170146945</v>
      </c>
      <c r="G79" s="22" t="n">
        <f aca="false">F79*(1+sh_g)</f>
        <v>3.85460170146945</v>
      </c>
    </row>
    <row r="80" customFormat="false" ht="15" hidden="false" customHeight="false" outlineLevel="0" collapsed="false">
      <c r="A80" s="0" t="s">
        <v>362</v>
      </c>
      <c r="B80" s="0" t="s">
        <v>246</v>
      </c>
      <c r="C80" s="21" t="n">
        <f aca="false">C78/C79</f>
        <v>19.45</v>
      </c>
      <c r="D80" s="21" t="n">
        <f aca="false">D78/D79</f>
        <v>28.7224673778341</v>
      </c>
      <c r="E80" s="21" t="n">
        <f aca="false">E78/E79</f>
        <v>38.1217140638486</v>
      </c>
      <c r="F80" s="21" t="n">
        <f aca="false">F78/F79</f>
        <v>42.4634575768042</v>
      </c>
      <c r="G80" s="21" t="n">
        <f aca="false">G78/G79</f>
        <v>45.1966063470936</v>
      </c>
    </row>
    <row r="81" customFormat="false" ht="17.15" hidden="false" customHeight="false" outlineLevel="0" collapsed="false">
      <c r="A81" s="0" t="s">
        <v>466</v>
      </c>
      <c r="B81" s="0" t="s">
        <v>52</v>
      </c>
      <c r="D81" s="15" t="n">
        <f aca="false">D80/C80-1</f>
        <v>0.476733541276816</v>
      </c>
      <c r="E81" s="15" t="n">
        <f aca="false">E80/D80-1</f>
        <v>0.327243706551065</v>
      </c>
      <c r="F81" s="15" t="n">
        <f aca="false">F80/E80-1</f>
        <v>0.113891613207207</v>
      </c>
      <c r="G81" s="15" t="n">
        <f aca="false">G80/F80-1</f>
        <v>0.0643647250190578</v>
      </c>
    </row>
    <row r="84" customFormat="false" ht="17.15" hidden="false" customHeight="false" outlineLevel="0" collapsed="false">
      <c r="A84" s="1" t="s">
        <v>772</v>
      </c>
    </row>
    <row r="85" customFormat="false" ht="17.15" hidden="false" customHeight="false" outlineLevel="0" collapsed="false">
      <c r="A85" s="5" t="s">
        <v>21</v>
      </c>
      <c r="B85" s="5" t="s">
        <v>22</v>
      </c>
      <c r="C85" s="12" t="s">
        <v>335</v>
      </c>
      <c r="D85" s="12" t="s">
        <v>411</v>
      </c>
      <c r="E85" s="12" t="s">
        <v>412</v>
      </c>
      <c r="F85" s="12" t="s">
        <v>413</v>
      </c>
      <c r="G85" s="12" t="s">
        <v>414</v>
      </c>
      <c r="H85" s="5" t="s">
        <v>384</v>
      </c>
    </row>
    <row r="86" customFormat="false" ht="17.15" hidden="false" customHeight="false" outlineLevel="0" collapsed="false">
      <c r="A86" s="6" t="s">
        <v>431</v>
      </c>
    </row>
    <row r="87" customFormat="false" ht="17.15" hidden="false" customHeight="false" outlineLevel="0" collapsed="false">
      <c r="A87" s="0" t="s">
        <v>432</v>
      </c>
      <c r="B87" s="0" t="s">
        <v>32</v>
      </c>
      <c r="D87" s="21" t="n">
        <f aca="false">itc_26*1</f>
        <v>781.872916666666</v>
      </c>
      <c r="E87" s="21" t="n">
        <f aca="false">itc_27*1*1</f>
        <v>1565.35</v>
      </c>
      <c r="F87" s="21" t="n">
        <f aca="false">itc_28*um28_A*1</f>
        <v>1984.26388888889</v>
      </c>
      <c r="G87" s="21" t="n">
        <f aca="false">itc_29*um29_A*1</f>
        <v>2260.39027777778</v>
      </c>
    </row>
    <row r="88" customFormat="false" ht="17.15" hidden="false" customHeight="false" outlineLevel="0" collapsed="false">
      <c r="A88" s="4" t="s">
        <v>433</v>
      </c>
      <c r="B88" s="0" t="s">
        <v>32</v>
      </c>
      <c r="D88" s="21" t="n">
        <f aca="false">itpg_gb*(1-vr26)+itpg_vr*vr26</f>
        <v>33.41403216</v>
      </c>
      <c r="E88" s="21" t="n">
        <f aca="false">itpg_vr</f>
        <v>37.586352</v>
      </c>
      <c r="F88" s="21" t="n">
        <f aca="false">itpg_vr</f>
        <v>37.586352</v>
      </c>
      <c r="G88" s="21" t="n">
        <f aca="false">itpg_vr</f>
        <v>37.586352</v>
      </c>
    </row>
    <row r="89" customFormat="false" ht="17.15" hidden="false" customHeight="false" outlineLevel="0" collapsed="false">
      <c r="A89" s="4" t="s">
        <v>434</v>
      </c>
      <c r="B89" s="0" t="s">
        <v>386</v>
      </c>
      <c r="D89" s="18" t="n">
        <f aca="false">D87/D88</f>
        <v>23.3995380420639</v>
      </c>
      <c r="E89" s="18" t="n">
        <f aca="false">E87/E88</f>
        <v>41.6467658260637</v>
      </c>
      <c r="F89" s="18" t="n">
        <f aca="false">F87/F88</f>
        <v>52.792138191248</v>
      </c>
      <c r="G89" s="18" t="n">
        <f aca="false">G87/G88</f>
        <v>60.1385917361116</v>
      </c>
    </row>
    <row r="90" customFormat="false" ht="17.15" hidden="false" customHeight="false" outlineLevel="0" collapsed="false">
      <c r="A90" s="4" t="s">
        <v>388</v>
      </c>
      <c r="B90" s="0" t="s">
        <v>389</v>
      </c>
      <c r="D90" s="16" t="n">
        <f aca="false">(racks_gb*odm_gb*(1-vr26)+racks_vr*odm_vr*vr26)/1000</f>
        <v>27.1209</v>
      </c>
      <c r="E90" s="16" t="n">
        <f aca="false">racks_vr*odm_vr/1000</f>
        <v>27.351</v>
      </c>
      <c r="F90" s="16" t="n">
        <f aca="false">$E90*vpg_28</f>
        <v>27.351</v>
      </c>
      <c r="G90" s="16" t="n">
        <f aca="false">$E90*vpg_29</f>
        <v>27.351</v>
      </c>
      <c r="H90" s="4" t="s">
        <v>435</v>
      </c>
    </row>
    <row r="91" customFormat="false" ht="17.15" hidden="false" customHeight="false" outlineLevel="0" collapsed="false">
      <c r="A91" s="0" t="s">
        <v>436</v>
      </c>
      <c r="B91" s="0" t="s">
        <v>32</v>
      </c>
      <c r="D91" s="19" t="n">
        <f aca="false">D89*D90</f>
        <v>634.61653128501</v>
      </c>
      <c r="E91" s="19" t="n">
        <f aca="false">E89*E90</f>
        <v>1139.08069210867</v>
      </c>
      <c r="F91" s="19" t="n">
        <f aca="false">F89*F90</f>
        <v>1443.91777166882</v>
      </c>
      <c r="G91" s="19" t="n">
        <f aca="false">G89*G90</f>
        <v>1644.85062257439</v>
      </c>
    </row>
    <row r="92" customFormat="false" ht="17.15" hidden="false" customHeight="false" outlineLevel="0" collapsed="false">
      <c r="A92" s="0" t="s">
        <v>437</v>
      </c>
      <c r="B92" s="0" t="s">
        <v>195</v>
      </c>
      <c r="D92" s="19" t="n">
        <f aca="false">D91*fx</f>
        <v>20307.7290011203</v>
      </c>
      <c r="E92" s="19" t="n">
        <f aca="false">E91*fx</f>
        <v>36450.5821474774</v>
      </c>
      <c r="F92" s="19" t="n">
        <f aca="false">F91*fx</f>
        <v>46205.3686934024</v>
      </c>
      <c r="G92" s="19" t="n">
        <f aca="false">G91*fx</f>
        <v>52635.2199223804</v>
      </c>
    </row>
    <row r="93" customFormat="false" ht="17.15" hidden="false" customHeight="false" outlineLevel="0" collapsed="false">
      <c r="A93" s="4" t="s">
        <v>438</v>
      </c>
      <c r="B93" s="0" t="s">
        <v>52</v>
      </c>
      <c r="D93" s="15" t="n">
        <f aca="false">a26_ai/D92</f>
        <v>0.133896123975753</v>
      </c>
      <c r="H93" s="8" t="s">
        <v>439</v>
      </c>
    </row>
    <row r="94" customFormat="false" ht="17.15" hidden="false" customHeight="false" outlineLevel="0" collapsed="false">
      <c r="A94" s="4" t="s">
        <v>440</v>
      </c>
      <c r="B94" s="0" t="s">
        <v>72</v>
      </c>
      <c r="D94" s="16" t="n">
        <f aca="false">1</f>
        <v>1</v>
      </c>
      <c r="E94" s="16" t="n">
        <f aca="false">RHI_27</f>
        <v>1.1</v>
      </c>
      <c r="F94" s="16" t="n">
        <f aca="false">RHI_28</f>
        <v>1.1</v>
      </c>
      <c r="G94" s="16" t="n">
        <f aca="false">RHI_29</f>
        <v>1.1</v>
      </c>
    </row>
    <row r="95" customFormat="false" ht="15" hidden="false" customHeight="false" outlineLevel="0" collapsed="false">
      <c r="A95" s="4" t="s">
        <v>393</v>
      </c>
      <c r="B95" s="0" t="s">
        <v>52</v>
      </c>
      <c r="D95" s="15" t="n">
        <f aca="false">$D$93*D94</f>
        <v>0.133896123975753</v>
      </c>
      <c r="E95" s="15" t="n">
        <f aca="false">$D$93*E94</f>
        <v>0.147285736373328</v>
      </c>
      <c r="F95" s="15" t="n">
        <f aca="false">$D$93*F94</f>
        <v>0.147285736373328</v>
      </c>
      <c r="G95" s="15" t="n">
        <f aca="false">$D$93*G94</f>
        <v>0.147285736373328</v>
      </c>
    </row>
    <row r="96" customFormat="false" ht="17.15" hidden="false" customHeight="false" outlineLevel="0" collapsed="false">
      <c r="A96" s="0" t="s">
        <v>441</v>
      </c>
      <c r="B96" s="0" t="s">
        <v>195</v>
      </c>
      <c r="D96" s="19" t="n">
        <f aca="false">D92*D95</f>
        <v>2719.1262</v>
      </c>
      <c r="E96" s="19" t="n">
        <f aca="false">E92*E95</f>
        <v>5368.65083282769</v>
      </c>
      <c r="F96" s="19" t="n">
        <f aca="false">F92*F95</f>
        <v>6805.39175240889</v>
      </c>
      <c r="G96" s="19" t="n">
        <f aca="false">G92*G95</f>
        <v>7752.41712543987</v>
      </c>
    </row>
    <row r="97" customFormat="false" ht="17.15" hidden="false" customHeight="false" outlineLevel="0" collapsed="false">
      <c r="A97" s="4" t="s">
        <v>397</v>
      </c>
      <c r="B97" s="0" t="s">
        <v>52</v>
      </c>
      <c r="D97" s="15" t="n">
        <f aca="false">0</f>
        <v>0</v>
      </c>
      <c r="E97" s="15" t="n">
        <f aca="false">cs_27</f>
        <v>0.1</v>
      </c>
      <c r="F97" s="15" t="n">
        <f aca="false">cs_28</f>
        <v>0.2</v>
      </c>
      <c r="G97" s="15" t="n">
        <f aca="false">cs_29</f>
        <v>0.25</v>
      </c>
      <c r="H97" s="8" t="s">
        <v>442</v>
      </c>
    </row>
    <row r="98" customFormat="false" ht="17.15" hidden="false" customHeight="false" outlineLevel="0" collapsed="false">
      <c r="A98" s="0" t="s">
        <v>443</v>
      </c>
      <c r="B98" s="0" t="s">
        <v>195</v>
      </c>
      <c r="C98" s="19" t="n">
        <f aca="false">a25_ai</f>
        <v>905.033</v>
      </c>
      <c r="D98" s="19" t="n">
        <f aca="false">D96*(1-D97)</f>
        <v>2719.1262</v>
      </c>
      <c r="E98" s="19" t="n">
        <f aca="false">E96*(1-E97)</f>
        <v>4831.78574954492</v>
      </c>
      <c r="F98" s="19" t="n">
        <f aca="false">F96*(1-F97)</f>
        <v>5444.31340192711</v>
      </c>
      <c r="G98" s="19" t="n">
        <f aca="false">G96*(1-G97)</f>
        <v>5814.3128440799</v>
      </c>
    </row>
    <row r="99" customFormat="false" ht="17.15" hidden="false" customHeight="false" outlineLevel="0" collapsed="false">
      <c r="A99" s="6" t="s">
        <v>444</v>
      </c>
    </row>
    <row r="100" customFormat="false" ht="17.15" hidden="false" customHeight="false" outlineLevel="0" collapsed="false">
      <c r="A100" s="4" t="s">
        <v>370</v>
      </c>
      <c r="B100" s="0" t="s">
        <v>195</v>
      </c>
      <c r="C100" s="19" t="n">
        <f aca="false">a25_nai</f>
        <v>1218.656</v>
      </c>
      <c r="D100" s="19" t="n">
        <f aca="false">a26_nai</f>
        <v>1279.5888</v>
      </c>
      <c r="E100" s="19" t="n">
        <f aca="false">D100*(1+g_nai27)</f>
        <v>1317.976464</v>
      </c>
      <c r="F100" s="19" t="n">
        <f aca="false">E100*(1+g_nai28)</f>
        <v>1344.33599328</v>
      </c>
      <c r="G100" s="19" t="n">
        <f aca="false">F100*(1+g_nai29)</f>
        <v>1371.2227131456</v>
      </c>
    </row>
    <row r="101" customFormat="false" ht="15" hidden="false" customHeight="false" outlineLevel="0" collapsed="false">
      <c r="A101" s="4" t="s">
        <v>341</v>
      </c>
      <c r="B101" s="0" t="s">
        <v>195</v>
      </c>
      <c r="C101" s="19" t="n">
        <f aca="false">C98+C100</f>
        <v>2123.689</v>
      </c>
      <c r="D101" s="19" t="n">
        <f aca="false">D98+D100</f>
        <v>3998.715</v>
      </c>
      <c r="E101" s="19" t="n">
        <f aca="false">E98+E100</f>
        <v>6149.76221354492</v>
      </c>
      <c r="F101" s="19" t="n">
        <f aca="false">F98+F100</f>
        <v>6788.64939520711</v>
      </c>
      <c r="G101" s="19" t="n">
        <f aca="false">G98+G100</f>
        <v>7185.5355572255</v>
      </c>
    </row>
    <row r="102" customFormat="false" ht="17.15" hidden="false" customHeight="false" outlineLevel="0" collapsed="false">
      <c r="A102" s="4" t="s">
        <v>445</v>
      </c>
      <c r="B102" s="0" t="s">
        <v>195</v>
      </c>
      <c r="C102" s="19" t="n">
        <f aca="false">srv_25*C101-C98</f>
        <v>602.78619</v>
      </c>
      <c r="D102" s="19" t="n">
        <f aca="false">srv_26*D101-D98</f>
        <v>679.78155</v>
      </c>
      <c r="E102" s="19" t="n">
        <f aca="false">D102*(1+g_gs27)</f>
        <v>747.759705</v>
      </c>
      <c r="F102" s="19" t="n">
        <f aca="false">E102*(1+g_gs28)</f>
        <v>785.14769025</v>
      </c>
      <c r="G102" s="19" t="n">
        <f aca="false">F102*(1+g_gs29)</f>
        <v>824.4050747625</v>
      </c>
      <c r="H102" s="8" t="s">
        <v>446</v>
      </c>
    </row>
    <row r="103" customFormat="false" ht="17.15" hidden="false" customHeight="false" outlineLevel="0" collapsed="false">
      <c r="A103" s="4" t="s">
        <v>447</v>
      </c>
      <c r="B103" s="0" t="s">
        <v>195</v>
      </c>
      <c r="C103" s="19" t="n">
        <f aca="false">C98+C102</f>
        <v>1507.81919</v>
      </c>
      <c r="D103" s="19" t="n">
        <f aca="false">D98+D102</f>
        <v>3398.90775</v>
      </c>
      <c r="E103" s="19" t="n">
        <f aca="false">E98+E102</f>
        <v>5579.54545454492</v>
      </c>
      <c r="F103" s="19" t="n">
        <f aca="false">F98+F102</f>
        <v>6229.46109217711</v>
      </c>
      <c r="G103" s="19" t="n">
        <f aca="false">G98+G102</f>
        <v>6638.7179188424</v>
      </c>
      <c r="H103" s="4" t="s">
        <v>448</v>
      </c>
    </row>
    <row r="104" customFormat="false" ht="15" hidden="false" customHeight="false" outlineLevel="0" collapsed="false">
      <c r="A104" s="4" t="s">
        <v>449</v>
      </c>
      <c r="B104" s="0" t="s">
        <v>195</v>
      </c>
      <c r="C104" s="19" t="n">
        <f aca="false">nbsh_25*C101</f>
        <v>467.21158</v>
      </c>
      <c r="D104" s="19" t="n">
        <f aca="false">nbsh_26*D101</f>
        <v>439.85865</v>
      </c>
      <c r="E104" s="19" t="n">
        <f aca="false">D104*(1+g_nb27)</f>
        <v>395.872785</v>
      </c>
      <c r="F104" s="19" t="n">
        <f aca="false">E104*(1+g_nb28)</f>
        <v>376.07914575</v>
      </c>
      <c r="G104" s="19" t="n">
        <f aca="false">F104*(1+g_nb29)</f>
        <v>364.7967713775</v>
      </c>
      <c r="H104" s="4" t="s">
        <v>450</v>
      </c>
    </row>
    <row r="105" customFormat="false" ht="17.15" hidden="false" customHeight="false" outlineLevel="0" collapsed="false">
      <c r="A105" s="4" t="s">
        <v>451</v>
      </c>
      <c r="B105" s="0" t="s">
        <v>195</v>
      </c>
      <c r="C105" s="19" t="n">
        <f aca="false">C100-C104-C102</f>
        <v>148.65823</v>
      </c>
      <c r="D105" s="19" t="n">
        <f aca="false">D100-D104-D102</f>
        <v>159.9486</v>
      </c>
      <c r="E105" s="19" t="n">
        <f aca="false">E100-E104-E102</f>
        <v>174.343974</v>
      </c>
      <c r="F105" s="19" t="n">
        <f aca="false">F100-F104-F102</f>
        <v>183.10915728</v>
      </c>
      <c r="G105" s="19" t="n">
        <f aca="false">G100-G104-G102</f>
        <v>182.0208670056</v>
      </c>
    </row>
    <row r="106" customFormat="false" ht="15" hidden="false" customHeight="false" outlineLevel="0" collapsed="false">
      <c r="A106" s="4" t="s">
        <v>452</v>
      </c>
      <c r="B106" s="0" t="s">
        <v>195</v>
      </c>
      <c r="C106" s="22" t="n">
        <f aca="false">C103+C104+C105-C101</f>
        <v>0</v>
      </c>
      <c r="D106" s="22" t="n">
        <f aca="false">D103+D104+D105-D101</f>
        <v>0</v>
      </c>
      <c r="E106" s="22" t="n">
        <f aca="false">E103+E104+E105-E101</f>
        <v>0</v>
      </c>
      <c r="F106" s="22" t="n">
        <f aca="false">F103+F104+F105-F101</f>
        <v>0</v>
      </c>
      <c r="G106" s="22" t="n">
        <f aca="false">G103+G104+G105-G101</f>
        <v>0</v>
      </c>
    </row>
    <row r="107" customFormat="false" ht="15" hidden="false" customHeight="false" outlineLevel="0" collapsed="false">
      <c r="A107" s="4" t="s">
        <v>453</v>
      </c>
      <c r="B107" s="0" t="s">
        <v>52</v>
      </c>
      <c r="D107" s="15" t="n">
        <f aca="false">D101/C101-1</f>
        <v>0.88290987993063</v>
      </c>
      <c r="E107" s="15" t="n">
        <f aca="false">E101/D101-1</f>
        <v>0.537934614881261</v>
      </c>
      <c r="F107" s="15" t="n">
        <f aca="false">F101/E101-1</f>
        <v>0.103888111357384</v>
      </c>
      <c r="G107" s="15" t="n">
        <f aca="false">G101/F101-1</f>
        <v>0.0584631992187719</v>
      </c>
    </row>
    <row r="108" customFormat="false" ht="17.15" hidden="false" customHeight="false" outlineLevel="0" collapsed="false">
      <c r="A108" s="0" t="s">
        <v>454</v>
      </c>
      <c r="B108" s="0" t="s">
        <v>52</v>
      </c>
      <c r="C108" s="15" t="n">
        <f aca="false">C98/C101</f>
        <v>0.426160798497332</v>
      </c>
      <c r="D108" s="15" t="n">
        <f aca="false">D98/D101</f>
        <v>0.68</v>
      </c>
      <c r="E108" s="15" t="n">
        <f aca="false">E98/E101</f>
        <v>0.785686597589555</v>
      </c>
      <c r="F108" s="15" t="n">
        <f aca="false">F98/F101</f>
        <v>0.801972982397777</v>
      </c>
      <c r="G108" s="15" t="n">
        <f aca="false">G98/G101</f>
        <v>0.809169031003298</v>
      </c>
    </row>
    <row r="109" customFormat="false" ht="17.15" hidden="false" customHeight="false" outlineLevel="0" collapsed="false">
      <c r="A109" s="4" t="s">
        <v>403</v>
      </c>
      <c r="B109" s="0" t="s">
        <v>389</v>
      </c>
      <c r="D109" s="16" t="n">
        <f aca="false">D98/fx/D89</f>
        <v>3.631383388734</v>
      </c>
      <c r="E109" s="16" t="n">
        <f aca="false">E98/fx/E89</f>
        <v>3.62557095799221</v>
      </c>
      <c r="F109" s="16" t="n">
        <f aca="false">F98/fx/F89</f>
        <v>3.22272974043752</v>
      </c>
      <c r="G109" s="16" t="n">
        <f aca="false">G98/fx/G89</f>
        <v>3.02130913166017</v>
      </c>
    </row>
    <row r="110" customFormat="false" ht="17.15" hidden="false" customHeight="false" outlineLevel="0" collapsed="false">
      <c r="A110" s="4" t="s">
        <v>455</v>
      </c>
      <c r="B110" s="4" t="s">
        <v>401</v>
      </c>
      <c r="D110" s="19" t="n">
        <f aca="false">D96/fx/(odm_gb*(1-vr26)+odm_vr*vr26)</f>
        <v>18.4522679153094</v>
      </c>
      <c r="E110" s="19" t="n">
        <f aca="false">E96/fx/odm_vr</f>
        <v>24.8548649667949</v>
      </c>
      <c r="F110" s="19" t="n">
        <f aca="false">F96/fx/odm_vr</f>
        <v>31.5064432981893</v>
      </c>
      <c r="G110" s="19" t="n">
        <f aca="false">G96/fx/odm_vr</f>
        <v>35.8908200251846</v>
      </c>
      <c r="H110" s="4" t="s">
        <v>456</v>
      </c>
    </row>
    <row r="111" customFormat="false" ht="17.15" hidden="false" customHeight="false" outlineLevel="0" collapsed="false">
      <c r="A111" s="6" t="s">
        <v>457</v>
      </c>
    </row>
    <row r="112" customFormat="false" ht="17.15" hidden="false" customHeight="false" outlineLevel="0" collapsed="false">
      <c r="A112" s="4" t="s">
        <v>458</v>
      </c>
      <c r="B112" s="0" t="s">
        <v>52</v>
      </c>
      <c r="D112" s="11" t="n">
        <f aca="false">a26_gp/D101-d_ai*D108</f>
        <v>0.0632307213692399</v>
      </c>
      <c r="H112" s="8" t="s">
        <v>459</v>
      </c>
    </row>
    <row r="113" customFormat="false" ht="17.15" hidden="false" customHeight="false" outlineLevel="0" collapsed="false">
      <c r="A113" s="0" t="s">
        <v>460</v>
      </c>
      <c r="B113" s="0" t="s">
        <v>195</v>
      </c>
      <c r="D113" s="21" t="n">
        <f aca="false">($D$112+d_ai)*D96*(1-D97*(1-keep))</f>
        <v>117.54978712</v>
      </c>
      <c r="E113" s="21" t="n">
        <f aca="false">($D$112+d_ai+vrd)*E96*(1-E97*(1-keep))</f>
        <v>213.824848826386</v>
      </c>
      <c r="F113" s="21" t="n">
        <f aca="false">($D$112+d_ai+vrd)*F96*(1-F97*(1-keep))</f>
        <v>268.310103011691</v>
      </c>
      <c r="G113" s="21" t="n">
        <f aca="false">($D$112+d_ai+vrd)*G96*(1-G97*(1-keep))</f>
        <v>304.088199978902</v>
      </c>
      <c r="H113" s="4" t="s">
        <v>461</v>
      </c>
    </row>
    <row r="114" customFormat="false" ht="15" hidden="false" customHeight="false" outlineLevel="0" collapsed="false">
      <c r="A114" s="4" t="s">
        <v>345</v>
      </c>
      <c r="B114" s="0" t="s">
        <v>195</v>
      </c>
      <c r="C114" s="19" t="n">
        <f aca="false">a25_gp</f>
        <v>148.2334922</v>
      </c>
      <c r="D114" s="19" t="n">
        <f aca="false">a26_gp</f>
        <v>198.45911</v>
      </c>
      <c r="E114" s="19" t="n">
        <f aca="false">$D$112*E100+E113</f>
        <v>297.161451392786</v>
      </c>
      <c r="F114" s="19" t="n">
        <f aca="false">$D$112*F100+F113</f>
        <v>353.313437629419</v>
      </c>
      <c r="G114" s="19" t="n">
        <f aca="false">$D$112*G100+G113</f>
        <v>390.791601288985</v>
      </c>
    </row>
    <row r="115" customFormat="false" ht="15" hidden="false" customHeight="false" outlineLevel="0" collapsed="false">
      <c r="A115" s="4" t="s">
        <v>348</v>
      </c>
      <c r="B115" s="0" t="s">
        <v>52</v>
      </c>
      <c r="C115" s="11" t="n">
        <f aca="false">C114/C101</f>
        <v>0.0698</v>
      </c>
      <c r="D115" s="11" t="n">
        <f aca="false">D114/D101</f>
        <v>0.0496307213692399</v>
      </c>
      <c r="E115" s="11" t="n">
        <f aca="false">E114/E101</f>
        <v>0.0483208034837973</v>
      </c>
      <c r="F115" s="11" t="n">
        <f aca="false">F114/F101</f>
        <v>0.0520447318842042</v>
      </c>
      <c r="G115" s="11" t="n">
        <f aca="false">G114/G101</f>
        <v>0.0543858698042375</v>
      </c>
    </row>
    <row r="116" customFormat="false" ht="17.15" hidden="false" customHeight="false" outlineLevel="0" collapsed="false">
      <c r="A116" s="0" t="s">
        <v>462</v>
      </c>
      <c r="B116" s="0" t="s">
        <v>52</v>
      </c>
      <c r="D116" s="11" t="n">
        <f aca="false">D113/D98</f>
        <v>0.0432307213692399</v>
      </c>
      <c r="E116" s="11" t="n">
        <f aca="false">E113/E98</f>
        <v>0.0442537935061639</v>
      </c>
      <c r="F116" s="11" t="n">
        <f aca="false">F113/F98</f>
        <v>0.0492826336773188</v>
      </c>
      <c r="G116" s="11" t="n">
        <f aca="false">G113/G98</f>
        <v>0.0522999377800118</v>
      </c>
      <c r="H116" s="4" t="s">
        <v>463</v>
      </c>
    </row>
    <row r="117" customFormat="false" ht="15" hidden="false" customHeight="false" outlineLevel="0" collapsed="false">
      <c r="A117" s="4" t="s">
        <v>464</v>
      </c>
      <c r="B117" s="0" t="s">
        <v>195</v>
      </c>
      <c r="C117" s="19" t="n">
        <f aca="false">a25_opx</f>
        <v>60.7375054</v>
      </c>
      <c r="D117" s="19" t="n">
        <f aca="false">a26_opx</f>
        <v>71.1893725</v>
      </c>
      <c r="E117" s="19" t="n">
        <f aca="false">D117*(1+MAX(0,phi*E107))</f>
        <v>86.5074635717705</v>
      </c>
      <c r="F117" s="19" t="n">
        <f aca="false">E117*(1+MAX(0,phi*F107))</f>
        <v>90.102302375286</v>
      </c>
      <c r="G117" s="19" t="n">
        <f aca="false">F117*(1+MAX(0,phi*G107))</f>
        <v>92.2093699168206</v>
      </c>
    </row>
    <row r="118" customFormat="false" ht="15" hidden="false" customHeight="false" outlineLevel="0" collapsed="false">
      <c r="A118" s="4" t="s">
        <v>349</v>
      </c>
      <c r="B118" s="0" t="s">
        <v>195</v>
      </c>
      <c r="C118" s="19" t="n">
        <f aca="false">C117</f>
        <v>60.7375054</v>
      </c>
      <c r="D118" s="19" t="n">
        <f aca="false">D117</f>
        <v>71.1893725</v>
      </c>
      <c r="E118" s="19" t="n">
        <f aca="false">E117+0*E101</f>
        <v>86.5074635717705</v>
      </c>
      <c r="F118" s="19" t="n">
        <f aca="false">F117+0*F101</f>
        <v>90.102302375286</v>
      </c>
      <c r="G118" s="19" t="n">
        <f aca="false">G117+0*G101</f>
        <v>92.2093699168206</v>
      </c>
    </row>
    <row r="119" customFormat="false" ht="15" hidden="false" customHeight="false" outlineLevel="0" collapsed="false">
      <c r="A119" s="4" t="s">
        <v>352</v>
      </c>
      <c r="B119" s="0" t="s">
        <v>195</v>
      </c>
      <c r="C119" s="19" t="n">
        <f aca="false">C114-C118</f>
        <v>87.4959868</v>
      </c>
      <c r="D119" s="19" t="n">
        <f aca="false">D114-D118</f>
        <v>127.2697375</v>
      </c>
      <c r="E119" s="19" t="n">
        <f aca="false">E114-E118</f>
        <v>210.653987821016</v>
      </c>
      <c r="F119" s="19" t="n">
        <f aca="false">F114-F118</f>
        <v>263.211135254133</v>
      </c>
      <c r="G119" s="19" t="n">
        <f aca="false">G114-G118</f>
        <v>298.582231372164</v>
      </c>
    </row>
    <row r="120" customFormat="false" ht="15" hidden="false" customHeight="false" outlineLevel="0" collapsed="false">
      <c r="A120" s="4" t="s">
        <v>355</v>
      </c>
      <c r="B120" s="0" t="s">
        <v>52</v>
      </c>
      <c r="C120" s="11" t="n">
        <f aca="false">C119/C101</f>
        <v>0.0412</v>
      </c>
      <c r="D120" s="11" t="n">
        <f aca="false">D119/D101</f>
        <v>0.0318276590104571</v>
      </c>
      <c r="E120" s="11" t="n">
        <f aca="false">E119/E101</f>
        <v>0.0342540053592719</v>
      </c>
      <c r="F120" s="11" t="n">
        <f aca="false">F119/F101</f>
        <v>0.0387722387666631</v>
      </c>
      <c r="G120" s="11" t="n">
        <f aca="false">G119/G101</f>
        <v>0.0415532327401708</v>
      </c>
    </row>
    <row r="121" customFormat="false" ht="17.15" hidden="false" customHeight="false" outlineLevel="0" collapsed="false">
      <c r="A121" s="4" t="s">
        <v>229</v>
      </c>
      <c r="B121" s="0" t="s">
        <v>52</v>
      </c>
      <c r="C121" s="15" t="n">
        <f aca="false">a25_ni/a25_oi</f>
        <v>0.856953590013114</v>
      </c>
      <c r="D121" s="15" t="n">
        <f aca="false">a26_ni/a26_oi</f>
        <v>0.869913569398224</v>
      </c>
      <c r="E121" s="15" t="n">
        <f aca="false">nio_f</f>
        <v>0.865</v>
      </c>
      <c r="F121" s="15" t="n">
        <f aca="false">nio_f</f>
        <v>0.865</v>
      </c>
      <c r="G121" s="15" t="n">
        <f aca="false">nio_f</f>
        <v>0.865</v>
      </c>
    </row>
    <row r="122" customFormat="false" ht="15" hidden="false" customHeight="false" outlineLevel="0" collapsed="false">
      <c r="A122" s="4" t="s">
        <v>356</v>
      </c>
      <c r="B122" s="0" t="s">
        <v>195</v>
      </c>
      <c r="C122" s="19" t="n">
        <f aca="false">a25_ni</f>
        <v>74.98</v>
      </c>
      <c r="D122" s="19" t="n">
        <f aca="false">a26_ni</f>
        <v>110.713671625</v>
      </c>
      <c r="E122" s="19" t="n">
        <f aca="false">E119*E121</f>
        <v>182.215699465179</v>
      </c>
      <c r="F122" s="19" t="n">
        <f aca="false">F119*F121</f>
        <v>227.677631994825</v>
      </c>
      <c r="G122" s="19" t="n">
        <f aca="false">G119*G121</f>
        <v>258.273630136922</v>
      </c>
    </row>
    <row r="123" customFormat="false" ht="15" hidden="false" customHeight="false" outlineLevel="0" collapsed="false">
      <c r="A123" s="4" t="s">
        <v>465</v>
      </c>
      <c r="B123" s="4" t="s">
        <v>216</v>
      </c>
      <c r="C123" s="22" t="n">
        <f aca="false">a25_sh</f>
        <v>3.85501285347044</v>
      </c>
      <c r="D123" s="22" t="n">
        <f aca="false">a26_sh</f>
        <v>3.85460170146945</v>
      </c>
      <c r="E123" s="22" t="n">
        <f aca="false">D123*(1+sh_g)</f>
        <v>3.85460170146945</v>
      </c>
      <c r="F123" s="22" t="n">
        <f aca="false">E123*(1+sh_g)</f>
        <v>3.85460170146945</v>
      </c>
      <c r="G123" s="22" t="n">
        <f aca="false">F123*(1+sh_g)</f>
        <v>3.85460170146945</v>
      </c>
    </row>
    <row r="124" customFormat="false" ht="15" hidden="false" customHeight="false" outlineLevel="0" collapsed="false">
      <c r="A124" s="0" t="s">
        <v>362</v>
      </c>
      <c r="B124" s="0" t="s">
        <v>246</v>
      </c>
      <c r="C124" s="21" t="n">
        <f aca="false">C122/C123</f>
        <v>19.45</v>
      </c>
      <c r="D124" s="21" t="n">
        <f aca="false">D122/D123</f>
        <v>28.7224673778341</v>
      </c>
      <c r="E124" s="21" t="n">
        <f aca="false">E122/E123</f>
        <v>47.2722510851677</v>
      </c>
      <c r="F124" s="21" t="n">
        <f aca="false">F122/F123</f>
        <v>59.0664482683205</v>
      </c>
      <c r="G124" s="21" t="n">
        <f aca="false">G122/G123</f>
        <v>67.0039734685073</v>
      </c>
    </row>
    <row r="125" customFormat="false" ht="17.15" hidden="false" customHeight="false" outlineLevel="0" collapsed="false">
      <c r="A125" s="0" t="s">
        <v>466</v>
      </c>
      <c r="B125" s="0" t="s">
        <v>52</v>
      </c>
      <c r="D125" s="15" t="n">
        <f aca="false">D124/C124-1</f>
        <v>0.476733541276816</v>
      </c>
      <c r="E125" s="15" t="n">
        <f aca="false">E124/D124-1</f>
        <v>0.645828349748568</v>
      </c>
      <c r="F125" s="15" t="n">
        <f aca="false">F124/E124-1</f>
        <v>0.249495145934638</v>
      </c>
      <c r="G125" s="15" t="n">
        <f aca="false">G124/F124-1</f>
        <v>0.134382977695377</v>
      </c>
    </row>
    <row r="128" customFormat="false" ht="17.15" hidden="false" customHeight="false" outlineLevel="0" collapsed="false">
      <c r="A128" s="1" t="s">
        <v>773</v>
      </c>
    </row>
    <row r="129" customFormat="false" ht="17.15" hidden="false" customHeight="false" outlineLevel="0" collapsed="false">
      <c r="A129" s="5" t="s">
        <v>21</v>
      </c>
      <c r="B129" s="5" t="s">
        <v>22</v>
      </c>
      <c r="C129" s="12" t="s">
        <v>335</v>
      </c>
      <c r="D129" s="12" t="s">
        <v>411</v>
      </c>
      <c r="E129" s="12" t="s">
        <v>412</v>
      </c>
      <c r="F129" s="12" t="s">
        <v>413</v>
      </c>
      <c r="G129" s="12" t="s">
        <v>414</v>
      </c>
      <c r="H129" s="5" t="s">
        <v>384</v>
      </c>
    </row>
    <row r="130" customFormat="false" ht="17.15" hidden="false" customHeight="false" outlineLevel="0" collapsed="false">
      <c r="A130" s="6" t="s">
        <v>431</v>
      </c>
    </row>
    <row r="131" customFormat="false" ht="17.15" hidden="false" customHeight="false" outlineLevel="0" collapsed="false">
      <c r="A131" s="0" t="s">
        <v>432</v>
      </c>
      <c r="B131" s="0" t="s">
        <v>32</v>
      </c>
      <c r="D131" s="21" t="n">
        <f aca="false">itc_26*1</f>
        <v>781.872916666666</v>
      </c>
      <c r="E131" s="21" t="n">
        <f aca="false">itc_27*1*1</f>
        <v>1565.35</v>
      </c>
      <c r="F131" s="21" t="n">
        <f aca="false">itc_28*um28_A*1</f>
        <v>1984.26388888889</v>
      </c>
      <c r="G131" s="21" t="n">
        <f aca="false">itc_29*um29_A*1</f>
        <v>2260.39027777778</v>
      </c>
    </row>
    <row r="132" customFormat="false" ht="17.15" hidden="false" customHeight="false" outlineLevel="0" collapsed="false">
      <c r="A132" s="4" t="s">
        <v>433</v>
      </c>
      <c r="B132" s="0" t="s">
        <v>32</v>
      </c>
      <c r="D132" s="21" t="n">
        <f aca="false">itpg_gb*(1-vr26)+itpg_vr*vr26</f>
        <v>33.41403216</v>
      </c>
      <c r="E132" s="21" t="n">
        <f aca="false">itpg_vr</f>
        <v>37.586352</v>
      </c>
      <c r="F132" s="21" t="n">
        <f aca="false">itpg_vr</f>
        <v>37.586352</v>
      </c>
      <c r="G132" s="21" t="n">
        <f aca="false">itpg_vr</f>
        <v>37.586352</v>
      </c>
    </row>
    <row r="133" customFormat="false" ht="17.15" hidden="false" customHeight="false" outlineLevel="0" collapsed="false">
      <c r="A133" s="4" t="s">
        <v>434</v>
      </c>
      <c r="B133" s="0" t="s">
        <v>386</v>
      </c>
      <c r="D133" s="18" t="n">
        <f aca="false">D131/D132</f>
        <v>23.3995380420639</v>
      </c>
      <c r="E133" s="18" t="n">
        <f aca="false">E131/E132</f>
        <v>41.6467658260637</v>
      </c>
      <c r="F133" s="18" t="n">
        <f aca="false">F131/F132</f>
        <v>52.792138191248</v>
      </c>
      <c r="G133" s="18" t="n">
        <f aca="false">G131/G132</f>
        <v>60.1385917361116</v>
      </c>
    </row>
    <row r="134" customFormat="false" ht="17.15" hidden="false" customHeight="false" outlineLevel="0" collapsed="false">
      <c r="A134" s="4" t="s">
        <v>388</v>
      </c>
      <c r="B134" s="0" t="s">
        <v>389</v>
      </c>
      <c r="D134" s="16" t="n">
        <f aca="false">(racks_gb*odm_gb*(1-vr26)+racks_vr*odm_vr*vr26)/1000</f>
        <v>27.1209</v>
      </c>
      <c r="E134" s="16" t="n">
        <f aca="false">racks_vr*odm_vr/1000</f>
        <v>27.351</v>
      </c>
      <c r="F134" s="16" t="n">
        <f aca="false">$E134*vpg_28</f>
        <v>27.351</v>
      </c>
      <c r="G134" s="16" t="n">
        <f aca="false">$E134*vpg_29</f>
        <v>27.351</v>
      </c>
      <c r="H134" s="4" t="s">
        <v>435</v>
      </c>
    </row>
    <row r="135" customFormat="false" ht="17.15" hidden="false" customHeight="false" outlineLevel="0" collapsed="false">
      <c r="A135" s="0" t="s">
        <v>436</v>
      </c>
      <c r="B135" s="0" t="s">
        <v>32</v>
      </c>
      <c r="D135" s="19" t="n">
        <f aca="false">D133*D134</f>
        <v>634.61653128501</v>
      </c>
      <c r="E135" s="19" t="n">
        <f aca="false">E133*E134</f>
        <v>1139.08069210867</v>
      </c>
      <c r="F135" s="19" t="n">
        <f aca="false">F133*F134</f>
        <v>1443.91777166882</v>
      </c>
      <c r="G135" s="19" t="n">
        <f aca="false">G133*G134</f>
        <v>1644.85062257439</v>
      </c>
    </row>
    <row r="136" customFormat="false" ht="17.15" hidden="false" customHeight="false" outlineLevel="0" collapsed="false">
      <c r="A136" s="0" t="s">
        <v>437</v>
      </c>
      <c r="B136" s="0" t="s">
        <v>195</v>
      </c>
      <c r="D136" s="19" t="n">
        <f aca="false">D135*fx</f>
        <v>20307.7290011203</v>
      </c>
      <c r="E136" s="19" t="n">
        <f aca="false">E135*fx</f>
        <v>36450.5821474774</v>
      </c>
      <c r="F136" s="19" t="n">
        <f aca="false">F135*fx</f>
        <v>46205.3686934024</v>
      </c>
      <c r="G136" s="19" t="n">
        <f aca="false">G135*fx</f>
        <v>52635.2199223804</v>
      </c>
    </row>
    <row r="137" customFormat="false" ht="17.15" hidden="false" customHeight="false" outlineLevel="0" collapsed="false">
      <c r="A137" s="4" t="s">
        <v>438</v>
      </c>
      <c r="B137" s="0" t="s">
        <v>52</v>
      </c>
      <c r="D137" s="15" t="n">
        <f aca="false">a26_ai/D136</f>
        <v>0.133896123975753</v>
      </c>
      <c r="H137" s="8" t="s">
        <v>439</v>
      </c>
    </row>
    <row r="138" customFormat="false" ht="17.15" hidden="false" customHeight="false" outlineLevel="0" collapsed="false">
      <c r="A138" s="4" t="s">
        <v>440</v>
      </c>
      <c r="B138" s="0" t="s">
        <v>72</v>
      </c>
      <c r="D138" s="16" t="n">
        <f aca="false">1</f>
        <v>1</v>
      </c>
      <c r="E138" s="16" t="n">
        <f aca="false">rel_27</f>
        <v>1</v>
      </c>
      <c r="F138" s="16" t="n">
        <f aca="false">rel_28</f>
        <v>0.95</v>
      </c>
      <c r="G138" s="16" t="n">
        <f aca="false">rel_29</f>
        <v>0.9</v>
      </c>
    </row>
    <row r="139" customFormat="false" ht="15" hidden="false" customHeight="false" outlineLevel="0" collapsed="false">
      <c r="A139" s="4" t="s">
        <v>393</v>
      </c>
      <c r="B139" s="0" t="s">
        <v>52</v>
      </c>
      <c r="D139" s="15" t="n">
        <f aca="false">$D$137*D138</f>
        <v>0.133896123975753</v>
      </c>
      <c r="E139" s="15" t="n">
        <f aca="false">$D$137*E138</f>
        <v>0.133896123975753</v>
      </c>
      <c r="F139" s="15" t="n">
        <f aca="false">$D$137*F138</f>
        <v>0.127201317776965</v>
      </c>
      <c r="G139" s="15" t="n">
        <f aca="false">$D$137*G138</f>
        <v>0.120506511578178</v>
      </c>
    </row>
    <row r="140" customFormat="false" ht="17.15" hidden="false" customHeight="false" outlineLevel="0" collapsed="false">
      <c r="A140" s="0" t="s">
        <v>441</v>
      </c>
      <c r="B140" s="0" t="s">
        <v>195</v>
      </c>
      <c r="D140" s="19" t="n">
        <f aca="false">D136*D139</f>
        <v>2719.1262</v>
      </c>
      <c r="E140" s="19" t="n">
        <f aca="false">E136*E139</f>
        <v>4880.59166620699</v>
      </c>
      <c r="F140" s="19" t="n">
        <f aca="false">F136*F139</f>
        <v>5877.38378617131</v>
      </c>
      <c r="G140" s="19" t="n">
        <f aca="false">G136*G139</f>
        <v>6342.88673899626</v>
      </c>
    </row>
    <row r="141" customFormat="false" ht="17.15" hidden="false" customHeight="false" outlineLevel="0" collapsed="false">
      <c r="A141" s="4" t="s">
        <v>397</v>
      </c>
      <c r="B141" s="0" t="s">
        <v>52</v>
      </c>
      <c r="D141" s="15" t="n">
        <f aca="false">0</f>
        <v>0</v>
      </c>
      <c r="E141" s="15" t="n">
        <f aca="false">CSLO_27</f>
        <v>0</v>
      </c>
      <c r="F141" s="15" t="n">
        <f aca="false">CSLO_28</f>
        <v>0</v>
      </c>
      <c r="G141" s="15" t="n">
        <f aca="false">CSLO_29</f>
        <v>0</v>
      </c>
      <c r="H141" s="8" t="s">
        <v>442</v>
      </c>
    </row>
    <row r="142" customFormat="false" ht="17.15" hidden="false" customHeight="false" outlineLevel="0" collapsed="false">
      <c r="A142" s="0" t="s">
        <v>443</v>
      </c>
      <c r="B142" s="0" t="s">
        <v>195</v>
      </c>
      <c r="C142" s="19" t="n">
        <f aca="false">a25_ai</f>
        <v>905.033</v>
      </c>
      <c r="D142" s="19" t="n">
        <f aca="false">D140*(1-D141)</f>
        <v>2719.1262</v>
      </c>
      <c r="E142" s="19" t="n">
        <f aca="false">E140*(1-E141)</f>
        <v>4880.59166620699</v>
      </c>
      <c r="F142" s="19" t="n">
        <f aca="false">F140*(1-F141)</f>
        <v>5877.38378617131</v>
      </c>
      <c r="G142" s="19" t="n">
        <f aca="false">G140*(1-G141)</f>
        <v>6342.88673899626</v>
      </c>
    </row>
    <row r="143" customFormat="false" ht="17.15" hidden="false" customHeight="false" outlineLevel="0" collapsed="false">
      <c r="A143" s="6" t="s">
        <v>444</v>
      </c>
    </row>
    <row r="144" customFormat="false" ht="17.15" hidden="false" customHeight="false" outlineLevel="0" collapsed="false">
      <c r="A144" s="4" t="s">
        <v>370</v>
      </c>
      <c r="B144" s="0" t="s">
        <v>195</v>
      </c>
      <c r="C144" s="19" t="n">
        <f aca="false">a25_nai</f>
        <v>1218.656</v>
      </c>
      <c r="D144" s="19" t="n">
        <f aca="false">a26_nai</f>
        <v>1279.5888</v>
      </c>
      <c r="E144" s="19" t="n">
        <f aca="false">D144*(1+g_nai27)</f>
        <v>1317.976464</v>
      </c>
      <c r="F144" s="19" t="n">
        <f aca="false">E144*(1+g_nai28)</f>
        <v>1344.33599328</v>
      </c>
      <c r="G144" s="19" t="n">
        <f aca="false">F144*(1+g_nai29)</f>
        <v>1371.2227131456</v>
      </c>
    </row>
    <row r="145" customFormat="false" ht="15" hidden="false" customHeight="false" outlineLevel="0" collapsed="false">
      <c r="A145" s="4" t="s">
        <v>341</v>
      </c>
      <c r="B145" s="0" t="s">
        <v>195</v>
      </c>
      <c r="C145" s="19" t="n">
        <f aca="false">C142+C144</f>
        <v>2123.689</v>
      </c>
      <c r="D145" s="19" t="n">
        <f aca="false">D142+D144</f>
        <v>3998.715</v>
      </c>
      <c r="E145" s="19" t="n">
        <f aca="false">E142+E144</f>
        <v>6198.56813020699</v>
      </c>
      <c r="F145" s="19" t="n">
        <f aca="false">F142+F144</f>
        <v>7221.71977945131</v>
      </c>
      <c r="G145" s="19" t="n">
        <f aca="false">G142+G144</f>
        <v>7714.10945214186</v>
      </c>
    </row>
    <row r="146" customFormat="false" ht="17.15" hidden="false" customHeight="false" outlineLevel="0" collapsed="false">
      <c r="A146" s="4" t="s">
        <v>445</v>
      </c>
      <c r="B146" s="0" t="s">
        <v>195</v>
      </c>
      <c r="C146" s="19" t="n">
        <f aca="false">srv_25*C145-C142</f>
        <v>602.78619</v>
      </c>
      <c r="D146" s="19" t="n">
        <f aca="false">srv_26*D145-D142</f>
        <v>679.78155</v>
      </c>
      <c r="E146" s="19" t="n">
        <f aca="false">D146*(1+g_gs27)</f>
        <v>747.759705</v>
      </c>
      <c r="F146" s="19" t="n">
        <f aca="false">E146*(1+g_gs28)</f>
        <v>785.14769025</v>
      </c>
      <c r="G146" s="19" t="n">
        <f aca="false">F146*(1+g_gs29)</f>
        <v>824.4050747625</v>
      </c>
      <c r="H146" s="8" t="s">
        <v>446</v>
      </c>
    </row>
    <row r="147" customFormat="false" ht="17.15" hidden="false" customHeight="false" outlineLevel="0" collapsed="false">
      <c r="A147" s="4" t="s">
        <v>447</v>
      </c>
      <c r="B147" s="0" t="s">
        <v>195</v>
      </c>
      <c r="C147" s="19" t="n">
        <f aca="false">C142+C146</f>
        <v>1507.81919</v>
      </c>
      <c r="D147" s="19" t="n">
        <f aca="false">D142+D146</f>
        <v>3398.90775</v>
      </c>
      <c r="E147" s="19" t="n">
        <f aca="false">E142+E146</f>
        <v>5628.35137120699</v>
      </c>
      <c r="F147" s="19" t="n">
        <f aca="false">F142+F146</f>
        <v>6662.53147642131</v>
      </c>
      <c r="G147" s="19" t="n">
        <f aca="false">G142+G146</f>
        <v>7167.29181375876</v>
      </c>
      <c r="H147" s="4" t="s">
        <v>448</v>
      </c>
    </row>
    <row r="148" customFormat="false" ht="15" hidden="false" customHeight="false" outlineLevel="0" collapsed="false">
      <c r="A148" s="4" t="s">
        <v>449</v>
      </c>
      <c r="B148" s="0" t="s">
        <v>195</v>
      </c>
      <c r="C148" s="19" t="n">
        <f aca="false">nbsh_25*C145</f>
        <v>467.21158</v>
      </c>
      <c r="D148" s="19" t="n">
        <f aca="false">nbsh_26*D145</f>
        <v>439.85865</v>
      </c>
      <c r="E148" s="19" t="n">
        <f aca="false">D148*(1+g_nb27)</f>
        <v>395.872785</v>
      </c>
      <c r="F148" s="19" t="n">
        <f aca="false">E148*(1+g_nb28)</f>
        <v>376.07914575</v>
      </c>
      <c r="G148" s="19" t="n">
        <f aca="false">F148*(1+g_nb29)</f>
        <v>364.7967713775</v>
      </c>
      <c r="H148" s="4" t="s">
        <v>450</v>
      </c>
    </row>
    <row r="149" customFormat="false" ht="17.15" hidden="false" customHeight="false" outlineLevel="0" collapsed="false">
      <c r="A149" s="4" t="s">
        <v>451</v>
      </c>
      <c r="B149" s="0" t="s">
        <v>195</v>
      </c>
      <c r="C149" s="19" t="n">
        <f aca="false">C144-C148-C146</f>
        <v>148.65823</v>
      </c>
      <c r="D149" s="19" t="n">
        <f aca="false">D144-D148-D146</f>
        <v>159.9486</v>
      </c>
      <c r="E149" s="19" t="n">
        <f aca="false">E144-E148-E146</f>
        <v>174.343974</v>
      </c>
      <c r="F149" s="19" t="n">
        <f aca="false">F144-F148-F146</f>
        <v>183.10915728</v>
      </c>
      <c r="G149" s="19" t="n">
        <f aca="false">G144-G148-G146</f>
        <v>182.0208670056</v>
      </c>
    </row>
    <row r="150" customFormat="false" ht="15" hidden="false" customHeight="false" outlineLevel="0" collapsed="false">
      <c r="A150" s="4" t="s">
        <v>452</v>
      </c>
      <c r="B150" s="0" t="s">
        <v>195</v>
      </c>
      <c r="C150" s="22" t="n">
        <f aca="false">C147+C148+C149-C145</f>
        <v>0</v>
      </c>
      <c r="D150" s="22" t="n">
        <f aca="false">D147+D148+D149-D145</f>
        <v>0</v>
      </c>
      <c r="E150" s="22" t="n">
        <f aca="false">E147+E148+E149-E145</f>
        <v>0</v>
      </c>
      <c r="F150" s="22" t="n">
        <f aca="false">F147+F148+F149-F145</f>
        <v>0</v>
      </c>
      <c r="G150" s="22" t="n">
        <f aca="false">G147+G148+G149-G145</f>
        <v>0</v>
      </c>
    </row>
    <row r="151" customFormat="false" ht="15" hidden="false" customHeight="false" outlineLevel="0" collapsed="false">
      <c r="A151" s="4" t="s">
        <v>453</v>
      </c>
      <c r="B151" s="0" t="s">
        <v>52</v>
      </c>
      <c r="D151" s="15" t="n">
        <f aca="false">D145/C145-1</f>
        <v>0.88290987993063</v>
      </c>
      <c r="E151" s="15" t="n">
        <f aca="false">E145/D145-1</f>
        <v>0.550140015031577</v>
      </c>
      <c r="F151" s="15" t="n">
        <f aca="false">F145/E145-1</f>
        <v>0.165062580220467</v>
      </c>
      <c r="G151" s="15" t="n">
        <f aca="false">G145/F145-1</f>
        <v>0.0681817749411418</v>
      </c>
    </row>
    <row r="152" customFormat="false" ht="17.15" hidden="false" customHeight="false" outlineLevel="0" collapsed="false">
      <c r="A152" s="0" t="s">
        <v>454</v>
      </c>
      <c r="B152" s="0" t="s">
        <v>52</v>
      </c>
      <c r="C152" s="15" t="n">
        <f aca="false">C142/C145</f>
        <v>0.426160798497332</v>
      </c>
      <c r="D152" s="15" t="n">
        <f aca="false">D142/D145</f>
        <v>0.68</v>
      </c>
      <c r="E152" s="15" t="n">
        <f aca="false">E142/E145</f>
        <v>0.787374045696584</v>
      </c>
      <c r="F152" s="15" t="n">
        <f aca="false">F142/F145</f>
        <v>0.813848219768209</v>
      </c>
      <c r="G152" s="15" t="n">
        <f aca="false">G142/G145</f>
        <v>0.822244846063874</v>
      </c>
    </row>
    <row r="153" customFormat="false" ht="17.15" hidden="false" customHeight="false" outlineLevel="0" collapsed="false">
      <c r="A153" s="4" t="s">
        <v>403</v>
      </c>
      <c r="B153" s="0" t="s">
        <v>389</v>
      </c>
      <c r="D153" s="16" t="n">
        <f aca="false">D142/fx/D133</f>
        <v>3.631383388734</v>
      </c>
      <c r="E153" s="16" t="n">
        <f aca="false">E142/fx/E133</f>
        <v>3.66219288686082</v>
      </c>
      <c r="F153" s="16" t="n">
        <f aca="false">F142/fx/F133</f>
        <v>3.47908324251778</v>
      </c>
      <c r="G153" s="16" t="n">
        <f aca="false">G142/fx/G133</f>
        <v>3.29597359817474</v>
      </c>
    </row>
    <row r="154" customFormat="false" ht="17.15" hidden="false" customHeight="false" outlineLevel="0" collapsed="false">
      <c r="A154" s="4" t="s">
        <v>455</v>
      </c>
      <c r="B154" s="4" t="s">
        <v>401</v>
      </c>
      <c r="D154" s="19" t="n">
        <f aca="false">D140/fx/(odm_gb*(1-vr26)+odm_vr*vr26)</f>
        <v>18.4522679153094</v>
      </c>
      <c r="E154" s="19" t="n">
        <f aca="false">E140/fx/odm_vr</f>
        <v>22.5953317879953</v>
      </c>
      <c r="F154" s="19" t="n">
        <f aca="false">F140/fx/odm_vr</f>
        <v>27.2101101211635</v>
      </c>
      <c r="G154" s="19" t="n">
        <f aca="false">G140/fx/odm_vr</f>
        <v>29.3652163842419</v>
      </c>
      <c r="H154" s="4" t="s">
        <v>456</v>
      </c>
    </row>
    <row r="155" customFormat="false" ht="17.15" hidden="false" customHeight="false" outlineLevel="0" collapsed="false">
      <c r="A155" s="6" t="s">
        <v>457</v>
      </c>
    </row>
    <row r="156" customFormat="false" ht="17.15" hidden="false" customHeight="false" outlineLevel="0" collapsed="false">
      <c r="A156" s="4" t="s">
        <v>458</v>
      </c>
      <c r="B156" s="0" t="s">
        <v>52</v>
      </c>
      <c r="D156" s="11" t="n">
        <f aca="false">a26_gp/D145-d_ai*D152</f>
        <v>0.0632307213692399</v>
      </c>
      <c r="H156" s="8" t="s">
        <v>459</v>
      </c>
    </row>
    <row r="157" customFormat="false" ht="17.15" hidden="false" customHeight="false" outlineLevel="0" collapsed="false">
      <c r="A157" s="0" t="s">
        <v>460</v>
      </c>
      <c r="B157" s="0" t="s">
        <v>195</v>
      </c>
      <c r="D157" s="21" t="n">
        <f aca="false">($D$156+d_ai)*D140*(1-D141*(1-keep))</f>
        <v>117.54978712</v>
      </c>
      <c r="E157" s="21" t="n">
        <f aca="false">($D$156+d_ai+vrd)*E140*(1-E141*(1-keep))</f>
        <v>196.349723440208</v>
      </c>
      <c r="F157" s="21" t="n">
        <f aca="false">($D$156+d_ai+vrd)*F140*(1-F141*(1-keep))</f>
        <v>236.451389481546</v>
      </c>
      <c r="G157" s="21" t="n">
        <f aca="false">($D$156+d_ai+vrd)*G140*(1-G141*(1-keep))</f>
        <v>255.178909073205</v>
      </c>
      <c r="H157" s="4" t="s">
        <v>461</v>
      </c>
    </row>
    <row r="158" customFormat="false" ht="15" hidden="false" customHeight="false" outlineLevel="0" collapsed="false">
      <c r="A158" s="4" t="s">
        <v>345</v>
      </c>
      <c r="B158" s="0" t="s">
        <v>195</v>
      </c>
      <c r="C158" s="19" t="n">
        <f aca="false">a25_gp</f>
        <v>148.2334922</v>
      </c>
      <c r="D158" s="19" t="n">
        <f aca="false">a26_gp</f>
        <v>198.45911</v>
      </c>
      <c r="E158" s="19" t="n">
        <f aca="false">$D$156*E144+E157</f>
        <v>279.686326006608</v>
      </c>
      <c r="F158" s="19" t="n">
        <f aca="false">$D$156*F144+F157</f>
        <v>321.454724099274</v>
      </c>
      <c r="G158" s="19" t="n">
        <f aca="false">$D$156*G144+G157</f>
        <v>341.882310383287</v>
      </c>
    </row>
    <row r="159" customFormat="false" ht="15" hidden="false" customHeight="false" outlineLevel="0" collapsed="false">
      <c r="A159" s="4" t="s">
        <v>348</v>
      </c>
      <c r="B159" s="0" t="s">
        <v>52</v>
      </c>
      <c r="C159" s="11" t="n">
        <f aca="false">C158/C145</f>
        <v>0.0698</v>
      </c>
      <c r="D159" s="11" t="n">
        <f aca="false">D158/D145</f>
        <v>0.0496307213692399</v>
      </c>
      <c r="E159" s="11" t="n">
        <f aca="false">E158/E145</f>
        <v>0.0451211183182184</v>
      </c>
      <c r="F159" s="11" t="n">
        <f aca="false">F158/F145</f>
        <v>0.0445122123145711</v>
      </c>
      <c r="G159" s="11" t="n">
        <f aca="false">G158/G145</f>
        <v>0.0443190899097708</v>
      </c>
    </row>
    <row r="160" customFormat="false" ht="17.15" hidden="false" customHeight="false" outlineLevel="0" collapsed="false">
      <c r="A160" s="0" t="s">
        <v>462</v>
      </c>
      <c r="B160" s="0" t="s">
        <v>52</v>
      </c>
      <c r="D160" s="11" t="n">
        <f aca="false">D157/D142</f>
        <v>0.0432307213692399</v>
      </c>
      <c r="E160" s="11" t="n">
        <f aca="false">E157/E142</f>
        <v>0.0402307213692399</v>
      </c>
      <c r="F160" s="11" t="n">
        <f aca="false">F157/F142</f>
        <v>0.0402307213692399</v>
      </c>
      <c r="G160" s="11" t="n">
        <f aca="false">G157/G142</f>
        <v>0.0402307213692399</v>
      </c>
      <c r="H160" s="4" t="s">
        <v>463</v>
      </c>
    </row>
    <row r="161" customFormat="false" ht="15" hidden="false" customHeight="false" outlineLevel="0" collapsed="false">
      <c r="A161" s="4" t="s">
        <v>464</v>
      </c>
      <c r="B161" s="0" t="s">
        <v>195</v>
      </c>
      <c r="C161" s="19" t="n">
        <f aca="false">a25_opx</f>
        <v>60.7375054</v>
      </c>
      <c r="D161" s="19" t="n">
        <f aca="false">a26_opx</f>
        <v>71.1893725</v>
      </c>
      <c r="E161" s="19" t="n">
        <f aca="false">D161*(1+MAX(0,phi*E151))</f>
        <v>86.8550214828954</v>
      </c>
      <c r="F161" s="19" t="n">
        <f aca="false">E161*(1+MAX(0,phi*F151))</f>
        <v>92.5896270633238</v>
      </c>
      <c r="G161" s="19" t="n">
        <f aca="false">F161*(1+MAX(0,phi*G151))</f>
        <v>95.1147971090501</v>
      </c>
    </row>
    <row r="162" customFormat="false" ht="15" hidden="false" customHeight="false" outlineLevel="0" collapsed="false">
      <c r="A162" s="4" t="s">
        <v>349</v>
      </c>
      <c r="B162" s="0" t="s">
        <v>195</v>
      </c>
      <c r="C162" s="19" t="n">
        <f aca="false">C161</f>
        <v>60.7375054</v>
      </c>
      <c r="D162" s="19" t="n">
        <f aca="false">D161</f>
        <v>71.1893725</v>
      </c>
      <c r="E162" s="19" t="n">
        <f aca="false">E161+0*E145</f>
        <v>86.8550214828954</v>
      </c>
      <c r="F162" s="19" t="n">
        <f aca="false">F161+0*F145</f>
        <v>92.5896270633238</v>
      </c>
      <c r="G162" s="19" t="n">
        <f aca="false">G161+0*G145</f>
        <v>95.1147971090501</v>
      </c>
    </row>
    <row r="163" customFormat="false" ht="15" hidden="false" customHeight="false" outlineLevel="0" collapsed="false">
      <c r="A163" s="4" t="s">
        <v>352</v>
      </c>
      <c r="B163" s="0" t="s">
        <v>195</v>
      </c>
      <c r="C163" s="19" t="n">
        <f aca="false">C158-C162</f>
        <v>87.4959868</v>
      </c>
      <c r="D163" s="19" t="n">
        <f aca="false">D158-D162</f>
        <v>127.2697375</v>
      </c>
      <c r="E163" s="19" t="n">
        <f aca="false">E158-E162</f>
        <v>192.831304523712</v>
      </c>
      <c r="F163" s="19" t="n">
        <f aca="false">F158-F162</f>
        <v>228.865097035951</v>
      </c>
      <c r="G163" s="19" t="n">
        <f aca="false">G158-G162</f>
        <v>246.767513274237</v>
      </c>
    </row>
    <row r="164" customFormat="false" ht="15" hidden="false" customHeight="false" outlineLevel="0" collapsed="false">
      <c r="A164" s="4" t="s">
        <v>355</v>
      </c>
      <c r="B164" s="0" t="s">
        <v>52</v>
      </c>
      <c r="C164" s="11" t="n">
        <f aca="false">C163/C145</f>
        <v>0.0412</v>
      </c>
      <c r="D164" s="11" t="n">
        <f aca="false">D163/D145</f>
        <v>0.0318276590104571</v>
      </c>
      <c r="E164" s="11" t="n">
        <f aca="false">E163/E145</f>
        <v>0.0311090078342453</v>
      </c>
      <c r="F164" s="11" t="n">
        <f aca="false">F163/F145</f>
        <v>0.0316912181620732</v>
      </c>
      <c r="G164" s="11" t="n">
        <f aca="false">G163/G145</f>
        <v>0.0319891122630781</v>
      </c>
    </row>
    <row r="165" customFormat="false" ht="17.15" hidden="false" customHeight="false" outlineLevel="0" collapsed="false">
      <c r="A165" s="4" t="s">
        <v>229</v>
      </c>
      <c r="B165" s="0" t="s">
        <v>52</v>
      </c>
      <c r="C165" s="15" t="n">
        <f aca="false">a25_ni/a25_oi</f>
        <v>0.856953590013114</v>
      </c>
      <c r="D165" s="15" t="n">
        <f aca="false">a26_ni/a26_oi</f>
        <v>0.869913569398224</v>
      </c>
      <c r="E165" s="15" t="n">
        <f aca="false">nio_f</f>
        <v>0.865</v>
      </c>
      <c r="F165" s="15" t="n">
        <f aca="false">nio_f</f>
        <v>0.865</v>
      </c>
      <c r="G165" s="15" t="n">
        <f aca="false">nio_f</f>
        <v>0.865</v>
      </c>
    </row>
    <row r="166" customFormat="false" ht="15" hidden="false" customHeight="false" outlineLevel="0" collapsed="false">
      <c r="A166" s="4" t="s">
        <v>356</v>
      </c>
      <c r="B166" s="0" t="s">
        <v>195</v>
      </c>
      <c r="C166" s="19" t="n">
        <f aca="false">a25_ni</f>
        <v>74.98</v>
      </c>
      <c r="D166" s="19" t="n">
        <f aca="false">a26_ni</f>
        <v>110.713671625</v>
      </c>
      <c r="E166" s="19" t="n">
        <f aca="false">E163*E165</f>
        <v>166.799078413011</v>
      </c>
      <c r="F166" s="19" t="n">
        <f aca="false">F163*F165</f>
        <v>197.968308936097</v>
      </c>
      <c r="G166" s="19" t="n">
        <f aca="false">G163*G165</f>
        <v>213.453898982215</v>
      </c>
    </row>
    <row r="167" customFormat="false" ht="15" hidden="false" customHeight="false" outlineLevel="0" collapsed="false">
      <c r="A167" s="4" t="s">
        <v>465</v>
      </c>
      <c r="B167" s="4" t="s">
        <v>216</v>
      </c>
      <c r="C167" s="22" t="n">
        <f aca="false">a25_sh</f>
        <v>3.85501285347044</v>
      </c>
      <c r="D167" s="22" t="n">
        <f aca="false">a26_sh</f>
        <v>3.85460170146945</v>
      </c>
      <c r="E167" s="22" t="n">
        <f aca="false">D167*(1+sh_g)</f>
        <v>3.85460170146945</v>
      </c>
      <c r="F167" s="22" t="n">
        <f aca="false">E167*(1+sh_g)</f>
        <v>3.85460170146945</v>
      </c>
      <c r="G167" s="22" t="n">
        <f aca="false">F167*(1+sh_g)</f>
        <v>3.85460170146945</v>
      </c>
    </row>
    <row r="168" customFormat="false" ht="15" hidden="false" customHeight="false" outlineLevel="0" collapsed="false">
      <c r="A168" s="0" t="s">
        <v>362</v>
      </c>
      <c r="B168" s="0" t="s">
        <v>246</v>
      </c>
      <c r="C168" s="21" t="n">
        <f aca="false">C166/C167</f>
        <v>19.45</v>
      </c>
      <c r="D168" s="21" t="n">
        <f aca="false">D166/D167</f>
        <v>28.7224673778341</v>
      </c>
      <c r="E168" s="21" t="n">
        <f aca="false">E166/E167</f>
        <v>43.2727143635681</v>
      </c>
      <c r="F168" s="21" t="n">
        <f aca="false">F166/F167</f>
        <v>51.3589533415677</v>
      </c>
      <c r="G168" s="21" t="n">
        <f aca="false">G166/G167</f>
        <v>55.3763827014455</v>
      </c>
    </row>
    <row r="169" customFormat="false" ht="17.15" hidden="false" customHeight="false" outlineLevel="0" collapsed="false">
      <c r="A169" s="0" t="s">
        <v>466</v>
      </c>
      <c r="B169" s="0" t="s">
        <v>52</v>
      </c>
      <c r="D169" s="15" t="n">
        <f aca="false">D168/C168-1</f>
        <v>0.476733541276816</v>
      </c>
      <c r="E169" s="15" t="n">
        <f aca="false">E168/D168-1</f>
        <v>0.506580677569604</v>
      </c>
      <c r="F169" s="15" t="n">
        <f aca="false">F168/E168-1</f>
        <v>0.186866922884957</v>
      </c>
      <c r="G169" s="15" t="n">
        <f aca="false">G168/F168-1</f>
        <v>0.0782225707202295</v>
      </c>
    </row>
    <row r="172" customFormat="false" ht="17.15" hidden="false" customHeight="false" outlineLevel="0" collapsed="false">
      <c r="A172" s="1" t="s">
        <v>774</v>
      </c>
    </row>
    <row r="173" customFormat="false" ht="17.15" hidden="false" customHeight="false" outlineLevel="0" collapsed="false">
      <c r="A173" s="5" t="s">
        <v>21</v>
      </c>
      <c r="B173" s="5" t="s">
        <v>22</v>
      </c>
      <c r="C173" s="12" t="s">
        <v>335</v>
      </c>
      <c r="D173" s="12" t="s">
        <v>411</v>
      </c>
      <c r="E173" s="12" t="s">
        <v>412</v>
      </c>
      <c r="F173" s="12" t="s">
        <v>413</v>
      </c>
      <c r="G173" s="12" t="s">
        <v>414</v>
      </c>
      <c r="H173" s="5" t="s">
        <v>384</v>
      </c>
    </row>
    <row r="174" customFormat="false" ht="17.15" hidden="false" customHeight="false" outlineLevel="0" collapsed="false">
      <c r="A174" s="6" t="s">
        <v>431</v>
      </c>
    </row>
    <row r="175" customFormat="false" ht="17.15" hidden="false" customHeight="false" outlineLevel="0" collapsed="false">
      <c r="A175" s="0" t="s">
        <v>432</v>
      </c>
      <c r="B175" s="0" t="s">
        <v>32</v>
      </c>
      <c r="D175" s="21" t="n">
        <f aca="false">itc_26*1</f>
        <v>781.872916666666</v>
      </c>
      <c r="E175" s="21" t="n">
        <f aca="false">itc_27*1*1</f>
        <v>1565.35</v>
      </c>
      <c r="F175" s="21" t="n">
        <f aca="false">itc_28*um28_A*1</f>
        <v>1984.26388888889</v>
      </c>
      <c r="G175" s="21" t="n">
        <f aca="false">itc_29*um29_A*1</f>
        <v>2260.39027777778</v>
      </c>
    </row>
    <row r="176" customFormat="false" ht="17.15" hidden="false" customHeight="false" outlineLevel="0" collapsed="false">
      <c r="A176" s="4" t="s">
        <v>433</v>
      </c>
      <c r="B176" s="0" t="s">
        <v>32</v>
      </c>
      <c r="D176" s="21" t="n">
        <f aca="false">itpg_gb*(1-vr26)+itpg_vr*vr26</f>
        <v>33.41403216</v>
      </c>
      <c r="E176" s="21" t="n">
        <f aca="false">itpg_vr</f>
        <v>37.586352</v>
      </c>
      <c r="F176" s="21" t="n">
        <f aca="false">itpg_vr</f>
        <v>37.586352</v>
      </c>
      <c r="G176" s="21" t="n">
        <f aca="false">itpg_vr</f>
        <v>37.586352</v>
      </c>
    </row>
    <row r="177" customFormat="false" ht="17.15" hidden="false" customHeight="false" outlineLevel="0" collapsed="false">
      <c r="A177" s="4" t="s">
        <v>434</v>
      </c>
      <c r="B177" s="0" t="s">
        <v>386</v>
      </c>
      <c r="D177" s="18" t="n">
        <f aca="false">D175/D176</f>
        <v>23.3995380420639</v>
      </c>
      <c r="E177" s="18" t="n">
        <f aca="false">E175/E176</f>
        <v>41.6467658260637</v>
      </c>
      <c r="F177" s="18" t="n">
        <f aca="false">F175/F176</f>
        <v>52.792138191248</v>
      </c>
      <c r="G177" s="18" t="n">
        <f aca="false">G175/G176</f>
        <v>60.1385917361116</v>
      </c>
    </row>
    <row r="178" customFormat="false" ht="17.15" hidden="false" customHeight="false" outlineLevel="0" collapsed="false">
      <c r="A178" s="4" t="s">
        <v>388</v>
      </c>
      <c r="B178" s="0" t="s">
        <v>389</v>
      </c>
      <c r="D178" s="16" t="n">
        <f aca="false">(racks_gb*odm_gb*(1-vr26)+racks_vr*odm_vr*vr26)/1000</f>
        <v>27.1209</v>
      </c>
      <c r="E178" s="16" t="n">
        <f aca="false">racks_vr*odm_vr/1000</f>
        <v>27.351</v>
      </c>
      <c r="F178" s="16" t="n">
        <f aca="false">$E178*vpg_28</f>
        <v>27.351</v>
      </c>
      <c r="G178" s="16" t="n">
        <f aca="false">$E178*vpg_29</f>
        <v>27.351</v>
      </c>
      <c r="H178" s="4" t="s">
        <v>435</v>
      </c>
    </row>
    <row r="179" customFormat="false" ht="17.15" hidden="false" customHeight="false" outlineLevel="0" collapsed="false">
      <c r="A179" s="0" t="s">
        <v>436</v>
      </c>
      <c r="B179" s="0" t="s">
        <v>32</v>
      </c>
      <c r="D179" s="19" t="n">
        <f aca="false">D177*D178</f>
        <v>634.61653128501</v>
      </c>
      <c r="E179" s="19" t="n">
        <f aca="false">E177*E178</f>
        <v>1139.08069210867</v>
      </c>
      <c r="F179" s="19" t="n">
        <f aca="false">F177*F178</f>
        <v>1443.91777166882</v>
      </c>
      <c r="G179" s="19" t="n">
        <f aca="false">G177*G178</f>
        <v>1644.85062257439</v>
      </c>
    </row>
    <row r="180" customFormat="false" ht="17.15" hidden="false" customHeight="false" outlineLevel="0" collapsed="false">
      <c r="A180" s="0" t="s">
        <v>437</v>
      </c>
      <c r="B180" s="0" t="s">
        <v>195</v>
      </c>
      <c r="D180" s="19" t="n">
        <f aca="false">D179*fx</f>
        <v>20307.7290011203</v>
      </c>
      <c r="E180" s="19" t="n">
        <f aca="false">E179*fx</f>
        <v>36450.5821474774</v>
      </c>
      <c r="F180" s="19" t="n">
        <f aca="false">F179*fx</f>
        <v>46205.3686934024</v>
      </c>
      <c r="G180" s="19" t="n">
        <f aca="false">G179*fx</f>
        <v>52635.2199223804</v>
      </c>
    </row>
    <row r="181" customFormat="false" ht="17.15" hidden="false" customHeight="false" outlineLevel="0" collapsed="false">
      <c r="A181" s="4" t="s">
        <v>438</v>
      </c>
      <c r="B181" s="0" t="s">
        <v>52</v>
      </c>
      <c r="D181" s="15" t="n">
        <f aca="false">a26_ai/D180</f>
        <v>0.133896123975753</v>
      </c>
      <c r="H181" s="8" t="s">
        <v>439</v>
      </c>
    </row>
    <row r="182" customFormat="false" ht="17.15" hidden="false" customHeight="false" outlineLevel="0" collapsed="false">
      <c r="A182" s="4" t="s">
        <v>440</v>
      </c>
      <c r="B182" s="0" t="s">
        <v>72</v>
      </c>
      <c r="D182" s="16" t="n">
        <f aca="false">1</f>
        <v>1</v>
      </c>
      <c r="E182" s="16" t="n">
        <f aca="false">rel_27</f>
        <v>1</v>
      </c>
      <c r="F182" s="16" t="n">
        <f aca="false">rel_28</f>
        <v>0.95</v>
      </c>
      <c r="G182" s="16" t="n">
        <f aca="false">rel_29</f>
        <v>0.9</v>
      </c>
    </row>
    <row r="183" customFormat="false" ht="15" hidden="false" customHeight="false" outlineLevel="0" collapsed="false">
      <c r="A183" s="4" t="s">
        <v>393</v>
      </c>
      <c r="B183" s="0" t="s">
        <v>52</v>
      </c>
      <c r="D183" s="15" t="n">
        <f aca="false">$D$181*D182</f>
        <v>0.133896123975753</v>
      </c>
      <c r="E183" s="15" t="n">
        <f aca="false">$D$181*E182</f>
        <v>0.133896123975753</v>
      </c>
      <c r="F183" s="15" t="n">
        <f aca="false">$D$181*F182</f>
        <v>0.127201317776965</v>
      </c>
      <c r="G183" s="15" t="n">
        <f aca="false">$D$181*G182</f>
        <v>0.120506511578178</v>
      </c>
    </row>
    <row r="184" customFormat="false" ht="17.15" hidden="false" customHeight="false" outlineLevel="0" collapsed="false">
      <c r="A184" s="0" t="s">
        <v>441</v>
      </c>
      <c r="B184" s="0" t="s">
        <v>195</v>
      </c>
      <c r="D184" s="19" t="n">
        <f aca="false">D180*D183</f>
        <v>2719.1262</v>
      </c>
      <c r="E184" s="19" t="n">
        <f aca="false">E180*E183</f>
        <v>4880.59166620699</v>
      </c>
      <c r="F184" s="19" t="n">
        <f aca="false">F180*F183</f>
        <v>5877.38378617131</v>
      </c>
      <c r="G184" s="19" t="n">
        <f aca="false">G180*G183</f>
        <v>6342.88673899626</v>
      </c>
    </row>
    <row r="185" customFormat="false" ht="17.15" hidden="false" customHeight="false" outlineLevel="0" collapsed="false">
      <c r="A185" s="4" t="s">
        <v>397</v>
      </c>
      <c r="B185" s="0" t="s">
        <v>52</v>
      </c>
      <c r="D185" s="15" t="n">
        <f aca="false">0</f>
        <v>0</v>
      </c>
      <c r="E185" s="15" t="n">
        <f aca="false">CSHI_27</f>
        <v>0.25</v>
      </c>
      <c r="F185" s="15" t="n">
        <f aca="false">CSHI_28</f>
        <v>0.4</v>
      </c>
      <c r="G185" s="15" t="n">
        <f aca="false">CSHI_29</f>
        <v>0.5</v>
      </c>
      <c r="H185" s="8" t="s">
        <v>442</v>
      </c>
    </row>
    <row r="186" customFormat="false" ht="17.15" hidden="false" customHeight="false" outlineLevel="0" collapsed="false">
      <c r="A186" s="0" t="s">
        <v>443</v>
      </c>
      <c r="B186" s="0" t="s">
        <v>195</v>
      </c>
      <c r="C186" s="19" t="n">
        <f aca="false">a25_ai</f>
        <v>905.033</v>
      </c>
      <c r="D186" s="19" t="n">
        <f aca="false">D184*(1-D185)</f>
        <v>2719.1262</v>
      </c>
      <c r="E186" s="19" t="n">
        <f aca="false">E184*(1-E185)</f>
        <v>3660.44374965524</v>
      </c>
      <c r="F186" s="19" t="n">
        <f aca="false">F184*(1-F185)</f>
        <v>3526.43027170279</v>
      </c>
      <c r="G186" s="19" t="n">
        <f aca="false">G184*(1-G185)</f>
        <v>3171.44336949813</v>
      </c>
    </row>
    <row r="187" customFormat="false" ht="17.15" hidden="false" customHeight="false" outlineLevel="0" collapsed="false">
      <c r="A187" s="6" t="s">
        <v>444</v>
      </c>
    </row>
    <row r="188" customFormat="false" ht="17.15" hidden="false" customHeight="false" outlineLevel="0" collapsed="false">
      <c r="A188" s="4" t="s">
        <v>370</v>
      </c>
      <c r="B188" s="0" t="s">
        <v>195</v>
      </c>
      <c r="C188" s="19" t="n">
        <f aca="false">a25_nai</f>
        <v>1218.656</v>
      </c>
      <c r="D188" s="19" t="n">
        <f aca="false">a26_nai</f>
        <v>1279.5888</v>
      </c>
      <c r="E188" s="19" t="n">
        <f aca="false">D188*(1+g_nai27)</f>
        <v>1317.976464</v>
      </c>
      <c r="F188" s="19" t="n">
        <f aca="false">E188*(1+g_nai28)</f>
        <v>1344.33599328</v>
      </c>
      <c r="G188" s="19" t="n">
        <f aca="false">F188*(1+g_nai29)</f>
        <v>1371.2227131456</v>
      </c>
    </row>
    <row r="189" customFormat="false" ht="15" hidden="false" customHeight="false" outlineLevel="0" collapsed="false">
      <c r="A189" s="4" t="s">
        <v>341</v>
      </c>
      <c r="B189" s="0" t="s">
        <v>195</v>
      </c>
      <c r="C189" s="19" t="n">
        <f aca="false">C186+C188</f>
        <v>2123.689</v>
      </c>
      <c r="D189" s="19" t="n">
        <f aca="false">D186+D188</f>
        <v>3998.715</v>
      </c>
      <c r="E189" s="19" t="n">
        <f aca="false">E186+E188</f>
        <v>4978.42021365524</v>
      </c>
      <c r="F189" s="19" t="n">
        <f aca="false">F186+F188</f>
        <v>4870.76626498279</v>
      </c>
      <c r="G189" s="19" t="n">
        <f aca="false">G186+G188</f>
        <v>4542.66608264373</v>
      </c>
    </row>
    <row r="190" customFormat="false" ht="17.15" hidden="false" customHeight="false" outlineLevel="0" collapsed="false">
      <c r="A190" s="4" t="s">
        <v>445</v>
      </c>
      <c r="B190" s="0" t="s">
        <v>195</v>
      </c>
      <c r="C190" s="19" t="n">
        <f aca="false">srv_25*C189-C186</f>
        <v>602.78619</v>
      </c>
      <c r="D190" s="19" t="n">
        <f aca="false">srv_26*D189-D186</f>
        <v>679.78155</v>
      </c>
      <c r="E190" s="19" t="n">
        <f aca="false">D190*(1+g_gs27)</f>
        <v>747.759705</v>
      </c>
      <c r="F190" s="19" t="n">
        <f aca="false">E190*(1+g_gs28)</f>
        <v>785.14769025</v>
      </c>
      <c r="G190" s="19" t="n">
        <f aca="false">F190*(1+g_gs29)</f>
        <v>824.4050747625</v>
      </c>
      <c r="H190" s="8" t="s">
        <v>446</v>
      </c>
    </row>
    <row r="191" customFormat="false" ht="17.15" hidden="false" customHeight="false" outlineLevel="0" collapsed="false">
      <c r="A191" s="4" t="s">
        <v>447</v>
      </c>
      <c r="B191" s="0" t="s">
        <v>195</v>
      </c>
      <c r="C191" s="19" t="n">
        <f aca="false">C186+C190</f>
        <v>1507.81919</v>
      </c>
      <c r="D191" s="19" t="n">
        <f aca="false">D186+D190</f>
        <v>3398.90775</v>
      </c>
      <c r="E191" s="19" t="n">
        <f aca="false">E186+E190</f>
        <v>4408.20345465524</v>
      </c>
      <c r="F191" s="19" t="n">
        <f aca="false">F186+F190</f>
        <v>4311.57796195279</v>
      </c>
      <c r="G191" s="19" t="n">
        <f aca="false">G186+G190</f>
        <v>3995.84844426063</v>
      </c>
      <c r="H191" s="4" t="s">
        <v>448</v>
      </c>
    </row>
    <row r="192" customFormat="false" ht="15" hidden="false" customHeight="false" outlineLevel="0" collapsed="false">
      <c r="A192" s="4" t="s">
        <v>449</v>
      </c>
      <c r="B192" s="0" t="s">
        <v>195</v>
      </c>
      <c r="C192" s="19" t="n">
        <f aca="false">nbsh_25*C189</f>
        <v>467.21158</v>
      </c>
      <c r="D192" s="19" t="n">
        <f aca="false">nbsh_26*D189</f>
        <v>439.85865</v>
      </c>
      <c r="E192" s="19" t="n">
        <f aca="false">D192*(1+g_nb27)</f>
        <v>395.872785</v>
      </c>
      <c r="F192" s="19" t="n">
        <f aca="false">E192*(1+g_nb28)</f>
        <v>376.07914575</v>
      </c>
      <c r="G192" s="19" t="n">
        <f aca="false">F192*(1+g_nb29)</f>
        <v>364.7967713775</v>
      </c>
      <c r="H192" s="4" t="s">
        <v>450</v>
      </c>
    </row>
    <row r="193" customFormat="false" ht="17.15" hidden="false" customHeight="false" outlineLevel="0" collapsed="false">
      <c r="A193" s="4" t="s">
        <v>451</v>
      </c>
      <c r="B193" s="0" t="s">
        <v>195</v>
      </c>
      <c r="C193" s="19" t="n">
        <f aca="false">C188-C192-C190</f>
        <v>148.65823</v>
      </c>
      <c r="D193" s="19" t="n">
        <f aca="false">D188-D192-D190</f>
        <v>159.9486</v>
      </c>
      <c r="E193" s="19" t="n">
        <f aca="false">E188-E192-E190</f>
        <v>174.343974</v>
      </c>
      <c r="F193" s="19" t="n">
        <f aca="false">F188-F192-F190</f>
        <v>183.10915728</v>
      </c>
      <c r="G193" s="19" t="n">
        <f aca="false">G188-G192-G190</f>
        <v>182.0208670056</v>
      </c>
    </row>
    <row r="194" customFormat="false" ht="15" hidden="false" customHeight="false" outlineLevel="0" collapsed="false">
      <c r="A194" s="4" t="s">
        <v>452</v>
      </c>
      <c r="B194" s="0" t="s">
        <v>195</v>
      </c>
      <c r="C194" s="22" t="n">
        <f aca="false">C191+C192+C193-C189</f>
        <v>0</v>
      </c>
      <c r="D194" s="22" t="n">
        <f aca="false">D191+D192+D193-D189</f>
        <v>0</v>
      </c>
      <c r="E194" s="22" t="n">
        <f aca="false">E191+E192+E193-E189</f>
        <v>0</v>
      </c>
      <c r="F194" s="22" t="n">
        <f aca="false">F191+F192+F193-F189</f>
        <v>0</v>
      </c>
      <c r="G194" s="22" t="n">
        <f aca="false">G191+G192+G193-G189</f>
        <v>0</v>
      </c>
    </row>
    <row r="195" customFormat="false" ht="15" hidden="false" customHeight="false" outlineLevel="0" collapsed="false">
      <c r="A195" s="4" t="s">
        <v>453</v>
      </c>
      <c r="B195" s="0" t="s">
        <v>52</v>
      </c>
      <c r="D195" s="15" t="n">
        <f aca="false">D189/C189-1</f>
        <v>0.88290987993063</v>
      </c>
      <c r="E195" s="15" t="n">
        <f aca="false">E189/D189-1</f>
        <v>0.245005011273683</v>
      </c>
      <c r="F195" s="15" t="n">
        <f aca="false">F189/E189-1</f>
        <v>-0.0216241185059416</v>
      </c>
      <c r="G195" s="15" t="n">
        <f aca="false">G189/F189-1</f>
        <v>-0.0673611018245442</v>
      </c>
    </row>
    <row r="196" customFormat="false" ht="17.15" hidden="false" customHeight="false" outlineLevel="0" collapsed="false">
      <c r="A196" s="0" t="s">
        <v>454</v>
      </c>
      <c r="B196" s="0" t="s">
        <v>52</v>
      </c>
      <c r="C196" s="15" t="n">
        <f aca="false">C186/C189</f>
        <v>0.426160798497332</v>
      </c>
      <c r="D196" s="15" t="n">
        <f aca="false">D186/D189</f>
        <v>0.68</v>
      </c>
      <c r="E196" s="15" t="n">
        <f aca="false">E186/E189</f>
        <v>0.735262109778331</v>
      </c>
      <c r="F196" s="15" t="n">
        <f aca="false">F186/F189</f>
        <v>0.723999075269782</v>
      </c>
      <c r="G196" s="15" t="n">
        <f aca="false">G186/G189</f>
        <v>0.698145827098174</v>
      </c>
    </row>
    <row r="197" customFormat="false" ht="17.15" hidden="false" customHeight="false" outlineLevel="0" collapsed="false">
      <c r="A197" s="4" t="s">
        <v>403</v>
      </c>
      <c r="B197" s="0" t="s">
        <v>389</v>
      </c>
      <c r="D197" s="16" t="n">
        <f aca="false">D186/fx/D177</f>
        <v>3.631383388734</v>
      </c>
      <c r="E197" s="16" t="n">
        <f aca="false">E186/fx/E177</f>
        <v>2.74664466514561</v>
      </c>
      <c r="F197" s="16" t="n">
        <f aca="false">F186/fx/F177</f>
        <v>2.08744994551067</v>
      </c>
      <c r="G197" s="16" t="n">
        <f aca="false">G186/fx/G177</f>
        <v>1.64798679908737</v>
      </c>
    </row>
    <row r="198" customFormat="false" ht="17.15" hidden="false" customHeight="false" outlineLevel="0" collapsed="false">
      <c r="A198" s="4" t="s">
        <v>455</v>
      </c>
      <c r="B198" s="4" t="s">
        <v>401</v>
      </c>
      <c r="D198" s="19" t="n">
        <f aca="false">D184/fx/(odm_gb*(1-vr26)+odm_vr*vr26)</f>
        <v>18.4522679153094</v>
      </c>
      <c r="E198" s="19" t="n">
        <f aca="false">E184/fx/odm_vr</f>
        <v>22.5953317879953</v>
      </c>
      <c r="F198" s="19" t="n">
        <f aca="false">F184/fx/odm_vr</f>
        <v>27.2101101211635</v>
      </c>
      <c r="G198" s="19" t="n">
        <f aca="false">G184/fx/odm_vr</f>
        <v>29.3652163842419</v>
      </c>
      <c r="H198" s="4" t="s">
        <v>456</v>
      </c>
    </row>
    <row r="199" customFormat="false" ht="17.15" hidden="false" customHeight="false" outlineLevel="0" collapsed="false">
      <c r="A199" s="6" t="s">
        <v>457</v>
      </c>
    </row>
    <row r="200" customFormat="false" ht="17.15" hidden="false" customHeight="false" outlineLevel="0" collapsed="false">
      <c r="A200" s="4" t="s">
        <v>458</v>
      </c>
      <c r="B200" s="0" t="s">
        <v>52</v>
      </c>
      <c r="D200" s="11" t="n">
        <f aca="false">a26_gp/D189-d_ai*D196</f>
        <v>0.0632307213692399</v>
      </c>
      <c r="H200" s="8" t="s">
        <v>459</v>
      </c>
    </row>
    <row r="201" customFormat="false" ht="17.15" hidden="false" customHeight="false" outlineLevel="0" collapsed="false">
      <c r="A201" s="0" t="s">
        <v>460</v>
      </c>
      <c r="B201" s="0" t="s">
        <v>195</v>
      </c>
      <c r="D201" s="21" t="n">
        <f aca="false">($D$200+d_ai)*D184*(1-D185*(1-keep))</f>
        <v>117.54978712</v>
      </c>
      <c r="E201" s="21" t="n">
        <f aca="false">($D$200+d_ai+vrd)*E184*(1-E185*(1-keep))</f>
        <v>191.440980354202</v>
      </c>
      <c r="F201" s="21" t="n">
        <f aca="false">($D$200+d_ai+vrd)*F184*(1-F185*(1-keep))</f>
        <v>226.993333902284</v>
      </c>
      <c r="G201" s="21" t="n">
        <f aca="false">($D$200+d_ai+vrd)*G184*(1-G185*(1-keep))</f>
        <v>242.419963619545</v>
      </c>
      <c r="H201" s="4" t="s">
        <v>461</v>
      </c>
    </row>
    <row r="202" customFormat="false" ht="15" hidden="false" customHeight="false" outlineLevel="0" collapsed="false">
      <c r="A202" s="4" t="s">
        <v>345</v>
      </c>
      <c r="B202" s="0" t="s">
        <v>195</v>
      </c>
      <c r="C202" s="19" t="n">
        <f aca="false">a25_gp</f>
        <v>148.2334922</v>
      </c>
      <c r="D202" s="19" t="n">
        <f aca="false">a26_gp</f>
        <v>198.45911</v>
      </c>
      <c r="E202" s="19" t="n">
        <f aca="false">$D$200*E188+E201</f>
        <v>274.777582920603</v>
      </c>
      <c r="F202" s="19" t="n">
        <f aca="false">$D$200*F188+F201</f>
        <v>311.996668520012</v>
      </c>
      <c r="G202" s="19" t="n">
        <f aca="false">$D$200*G188+G201</f>
        <v>329.123364929627</v>
      </c>
    </row>
    <row r="203" customFormat="false" ht="15" hidden="false" customHeight="false" outlineLevel="0" collapsed="false">
      <c r="A203" s="4" t="s">
        <v>348</v>
      </c>
      <c r="B203" s="0" t="s">
        <v>52</v>
      </c>
      <c r="C203" s="11" t="n">
        <f aca="false">C202/C189</f>
        <v>0.0698</v>
      </c>
      <c r="D203" s="11" t="n">
        <f aca="false">D202/D189</f>
        <v>0.0496307213692399</v>
      </c>
      <c r="E203" s="11" t="n">
        <f aca="false">E202/E189</f>
        <v>0.0551937303658937</v>
      </c>
      <c r="F203" s="11" t="n">
        <f aca="false">F202/F189</f>
        <v>0.0640549456792944</v>
      </c>
      <c r="G203" s="11" t="n">
        <f aca="false">G202/G189</f>
        <v>0.0724515865665576</v>
      </c>
    </row>
    <row r="204" customFormat="false" ht="17.15" hidden="false" customHeight="false" outlineLevel="0" collapsed="false">
      <c r="A204" s="0" t="s">
        <v>462</v>
      </c>
      <c r="B204" s="0" t="s">
        <v>52</v>
      </c>
      <c r="D204" s="11" t="n">
        <f aca="false">D201/D186</f>
        <v>0.0432307213692399</v>
      </c>
      <c r="E204" s="11" t="n">
        <f aca="false">E201/E186</f>
        <v>0.0522999377800118</v>
      </c>
      <c r="F204" s="11" t="n">
        <f aca="false">F201/F186</f>
        <v>0.0643691541907838</v>
      </c>
      <c r="G204" s="11" t="n">
        <f aca="false">G201/G186</f>
        <v>0.0764383706015557</v>
      </c>
      <c r="H204" s="4" t="s">
        <v>463</v>
      </c>
    </row>
    <row r="205" customFormat="false" ht="15" hidden="false" customHeight="false" outlineLevel="0" collapsed="false">
      <c r="A205" s="4" t="s">
        <v>464</v>
      </c>
      <c r="B205" s="0" t="s">
        <v>195</v>
      </c>
      <c r="C205" s="19" t="n">
        <f aca="false">a25_opx</f>
        <v>60.7375054</v>
      </c>
      <c r="D205" s="19" t="n">
        <f aca="false">a26_opx</f>
        <v>71.1893725</v>
      </c>
      <c r="E205" s="19" t="n">
        <f aca="false">D205*(1+MAX(0,phi*E195))</f>
        <v>78.1660737047716</v>
      </c>
      <c r="F205" s="19" t="n">
        <f aca="false">E205*(1+MAX(0,phi*F195))</f>
        <v>78.1660737047716</v>
      </c>
      <c r="G205" s="19" t="n">
        <f aca="false">F205*(1+MAX(0,phi*G195))</f>
        <v>78.1660737047716</v>
      </c>
    </row>
    <row r="206" customFormat="false" ht="15" hidden="false" customHeight="false" outlineLevel="0" collapsed="false">
      <c r="A206" s="4" t="s">
        <v>349</v>
      </c>
      <c r="B206" s="0" t="s">
        <v>195</v>
      </c>
      <c r="C206" s="19" t="n">
        <f aca="false">C205</f>
        <v>60.7375054</v>
      </c>
      <c r="D206" s="19" t="n">
        <f aca="false">D205</f>
        <v>71.1893725</v>
      </c>
      <c r="E206" s="19" t="n">
        <f aca="false">E205+0*E189</f>
        <v>78.1660737047716</v>
      </c>
      <c r="F206" s="19" t="n">
        <f aca="false">F205+0*F189</f>
        <v>78.1660737047716</v>
      </c>
      <c r="G206" s="19" t="n">
        <f aca="false">G205+0*G189</f>
        <v>78.1660737047716</v>
      </c>
    </row>
    <row r="207" customFormat="false" ht="15" hidden="false" customHeight="false" outlineLevel="0" collapsed="false">
      <c r="A207" s="4" t="s">
        <v>352</v>
      </c>
      <c r="B207" s="0" t="s">
        <v>195</v>
      </c>
      <c r="C207" s="19" t="n">
        <f aca="false">C202-C206</f>
        <v>87.4959868</v>
      </c>
      <c r="D207" s="19" t="n">
        <f aca="false">D202-D206</f>
        <v>127.2697375</v>
      </c>
      <c r="E207" s="19" t="n">
        <f aca="false">E202-E206</f>
        <v>196.611509215831</v>
      </c>
      <c r="F207" s="19" t="n">
        <f aca="false">F202-F206</f>
        <v>233.830594815241</v>
      </c>
      <c r="G207" s="19" t="n">
        <f aca="false">G202-G206</f>
        <v>250.957291224856</v>
      </c>
    </row>
    <row r="208" customFormat="false" ht="15" hidden="false" customHeight="false" outlineLevel="0" collapsed="false">
      <c r="A208" s="4" t="s">
        <v>355</v>
      </c>
      <c r="B208" s="0" t="s">
        <v>52</v>
      </c>
      <c r="C208" s="11" t="n">
        <f aca="false">C207/C189</f>
        <v>0.0412</v>
      </c>
      <c r="D208" s="11" t="n">
        <f aca="false">D207/D189</f>
        <v>0.0318276590104571</v>
      </c>
      <c r="E208" s="11" t="n">
        <f aca="false">E207/E189</f>
        <v>0.0394927508683473</v>
      </c>
      <c r="F208" s="11" t="n">
        <f aca="false">F207/F189</f>
        <v>0.0480069422538934</v>
      </c>
      <c r="G208" s="11" t="n">
        <f aca="false">G207/G189</f>
        <v>0.0552444944574936</v>
      </c>
    </row>
    <row r="209" customFormat="false" ht="17.15" hidden="false" customHeight="false" outlineLevel="0" collapsed="false">
      <c r="A209" s="4" t="s">
        <v>229</v>
      </c>
      <c r="B209" s="0" t="s">
        <v>52</v>
      </c>
      <c r="C209" s="15" t="n">
        <f aca="false">a25_ni/a25_oi</f>
        <v>0.856953590013114</v>
      </c>
      <c r="D209" s="15" t="n">
        <f aca="false">a26_ni/a26_oi</f>
        <v>0.869913569398224</v>
      </c>
      <c r="E209" s="15" t="n">
        <f aca="false">nio_f</f>
        <v>0.865</v>
      </c>
      <c r="F209" s="15" t="n">
        <f aca="false">nio_f</f>
        <v>0.865</v>
      </c>
      <c r="G209" s="15" t="n">
        <f aca="false">nio_f</f>
        <v>0.865</v>
      </c>
    </row>
    <row r="210" customFormat="false" ht="15" hidden="false" customHeight="false" outlineLevel="0" collapsed="false">
      <c r="A210" s="4" t="s">
        <v>356</v>
      </c>
      <c r="B210" s="0" t="s">
        <v>195</v>
      </c>
      <c r="C210" s="19" t="n">
        <f aca="false">a25_ni</f>
        <v>74.98</v>
      </c>
      <c r="D210" s="19" t="n">
        <f aca="false">a26_ni</f>
        <v>110.713671625</v>
      </c>
      <c r="E210" s="19" t="n">
        <f aca="false">E207*E209</f>
        <v>170.068955471694</v>
      </c>
      <c r="F210" s="19" t="n">
        <f aca="false">F207*F209</f>
        <v>202.263464515183</v>
      </c>
      <c r="G210" s="19" t="n">
        <f aca="false">G207*G209</f>
        <v>217.0780569095</v>
      </c>
    </row>
    <row r="211" customFormat="false" ht="15" hidden="false" customHeight="false" outlineLevel="0" collapsed="false">
      <c r="A211" s="4" t="s">
        <v>465</v>
      </c>
      <c r="B211" s="4" t="s">
        <v>216</v>
      </c>
      <c r="C211" s="22" t="n">
        <f aca="false">a25_sh</f>
        <v>3.85501285347044</v>
      </c>
      <c r="D211" s="22" t="n">
        <f aca="false">a26_sh</f>
        <v>3.85460170146945</v>
      </c>
      <c r="E211" s="22" t="n">
        <f aca="false">D211*(1+sh_g)</f>
        <v>3.85460170146945</v>
      </c>
      <c r="F211" s="22" t="n">
        <f aca="false">E211*(1+sh_g)</f>
        <v>3.85460170146945</v>
      </c>
      <c r="G211" s="22" t="n">
        <f aca="false">F211*(1+sh_g)</f>
        <v>3.85460170146945</v>
      </c>
    </row>
    <row r="212" customFormat="false" ht="15" hidden="false" customHeight="false" outlineLevel="0" collapsed="false">
      <c r="A212" s="0" t="s">
        <v>362</v>
      </c>
      <c r="B212" s="0" t="s">
        <v>246</v>
      </c>
      <c r="C212" s="21" t="n">
        <f aca="false">C210/C211</f>
        <v>19.45</v>
      </c>
      <c r="D212" s="21" t="n">
        <f aca="false">D210/D211</f>
        <v>28.7224673778341</v>
      </c>
      <c r="E212" s="21" t="n">
        <f aca="false">E210/E211</f>
        <v>44.121019146248</v>
      </c>
      <c r="F212" s="21" t="n">
        <f aca="false">F210/F211</f>
        <v>52.4732463118242</v>
      </c>
      <c r="G212" s="21" t="n">
        <f aca="false">G210/G211</f>
        <v>56.3165986324205</v>
      </c>
    </row>
    <row r="213" customFormat="false" ht="17.15" hidden="false" customHeight="false" outlineLevel="0" collapsed="false">
      <c r="A213" s="0" t="s">
        <v>466</v>
      </c>
      <c r="B213" s="0" t="s">
        <v>52</v>
      </c>
      <c r="D213" s="15" t="n">
        <f aca="false">D212/C212-1</f>
        <v>0.476733541276816</v>
      </c>
      <c r="E213" s="15" t="n">
        <f aca="false">E212/D212-1</f>
        <v>0.536115214819512</v>
      </c>
      <c r="F213" s="15" t="n">
        <f aca="false">F212/E212-1</f>
        <v>0.189302679928836</v>
      </c>
      <c r="G213" s="15" t="n">
        <f aca="false">G212/F212-1</f>
        <v>0.0732440355940047</v>
      </c>
    </row>
    <row r="216" customFormat="false" ht="17.15" hidden="false" customHeight="false" outlineLevel="0" collapsed="false">
      <c r="A216" s="1" t="s">
        <v>775</v>
      </c>
    </row>
    <row r="217" customFormat="false" ht="17.15" hidden="false" customHeight="false" outlineLevel="0" collapsed="false">
      <c r="A217" s="5" t="s">
        <v>21</v>
      </c>
      <c r="B217" s="5" t="s">
        <v>22</v>
      </c>
      <c r="C217" s="12" t="s">
        <v>335</v>
      </c>
      <c r="D217" s="12" t="s">
        <v>411</v>
      </c>
      <c r="E217" s="12" t="s">
        <v>412</v>
      </c>
      <c r="F217" s="12" t="s">
        <v>413</v>
      </c>
      <c r="G217" s="12" t="s">
        <v>414</v>
      </c>
      <c r="H217" s="5" t="s">
        <v>384</v>
      </c>
    </row>
    <row r="218" customFormat="false" ht="17.15" hidden="false" customHeight="false" outlineLevel="0" collapsed="false">
      <c r="A218" s="6" t="s">
        <v>431</v>
      </c>
    </row>
    <row r="219" customFormat="false" ht="17.15" hidden="false" customHeight="false" outlineLevel="0" collapsed="false">
      <c r="A219" s="0" t="s">
        <v>432</v>
      </c>
      <c r="B219" s="0" t="s">
        <v>32</v>
      </c>
      <c r="D219" s="21" t="n">
        <f aca="false">itc_26*1</f>
        <v>781.872916666666</v>
      </c>
      <c r="E219" s="21" t="n">
        <f aca="false">itc_27*1*1</f>
        <v>1565.35</v>
      </c>
      <c r="F219" s="21" t="n">
        <f aca="false">itc_28*um28_A*1</f>
        <v>1984.26388888889</v>
      </c>
      <c r="G219" s="21" t="n">
        <f aca="false">itc_29*um29_A*1</f>
        <v>2260.39027777778</v>
      </c>
    </row>
    <row r="220" customFormat="false" ht="17.15" hidden="false" customHeight="false" outlineLevel="0" collapsed="false">
      <c r="A220" s="4" t="s">
        <v>433</v>
      </c>
      <c r="B220" s="0" t="s">
        <v>32</v>
      </c>
      <c r="D220" s="21" t="n">
        <f aca="false">itpg_gb*(1-vr26)+itpg_vr*vr26</f>
        <v>33.41403216</v>
      </c>
      <c r="E220" s="21" t="n">
        <f aca="false">itpg_vr</f>
        <v>37.586352</v>
      </c>
      <c r="F220" s="21" t="n">
        <f aca="false">itpg_vr</f>
        <v>37.586352</v>
      </c>
      <c r="G220" s="21" t="n">
        <f aca="false">itpg_vr</f>
        <v>37.586352</v>
      </c>
    </row>
    <row r="221" customFormat="false" ht="17.15" hidden="false" customHeight="false" outlineLevel="0" collapsed="false">
      <c r="A221" s="4" t="s">
        <v>434</v>
      </c>
      <c r="B221" s="0" t="s">
        <v>386</v>
      </c>
      <c r="D221" s="18" t="n">
        <f aca="false">D219/D220</f>
        <v>23.3995380420639</v>
      </c>
      <c r="E221" s="18" t="n">
        <f aca="false">E219/E220</f>
        <v>41.6467658260637</v>
      </c>
      <c r="F221" s="18" t="n">
        <f aca="false">F219/F220</f>
        <v>52.792138191248</v>
      </c>
      <c r="G221" s="18" t="n">
        <f aca="false">G219/G220</f>
        <v>60.1385917361116</v>
      </c>
    </row>
    <row r="222" customFormat="false" ht="17.15" hidden="false" customHeight="false" outlineLevel="0" collapsed="false">
      <c r="A222" s="4" t="s">
        <v>388</v>
      </c>
      <c r="B222" s="0" t="s">
        <v>389</v>
      </c>
      <c r="D222" s="16" t="n">
        <f aca="false">(racks_gb*odm_gb*(1-vr26)+racks_vr*odm_vr*vr26)/1000</f>
        <v>27.1209</v>
      </c>
      <c r="E222" s="16" t="n">
        <f aca="false">racks_vr*odm_vr/1000</f>
        <v>27.351</v>
      </c>
      <c r="F222" s="16" t="n">
        <f aca="false">$E222*vpg_28</f>
        <v>27.351</v>
      </c>
      <c r="G222" s="16" t="n">
        <f aca="false">$E222*vpg_29</f>
        <v>27.351</v>
      </c>
      <c r="H222" s="4" t="s">
        <v>435</v>
      </c>
    </row>
    <row r="223" customFormat="false" ht="17.15" hidden="false" customHeight="false" outlineLevel="0" collapsed="false">
      <c r="A223" s="0" t="s">
        <v>436</v>
      </c>
      <c r="B223" s="0" t="s">
        <v>32</v>
      </c>
      <c r="D223" s="19" t="n">
        <f aca="false">D221*D222</f>
        <v>634.61653128501</v>
      </c>
      <c r="E223" s="19" t="n">
        <f aca="false">E221*E222</f>
        <v>1139.08069210867</v>
      </c>
      <c r="F223" s="19" t="n">
        <f aca="false">F221*F222</f>
        <v>1443.91777166882</v>
      </c>
      <c r="G223" s="19" t="n">
        <f aca="false">G221*G222</f>
        <v>1644.85062257439</v>
      </c>
    </row>
    <row r="224" customFormat="false" ht="17.15" hidden="false" customHeight="false" outlineLevel="0" collapsed="false">
      <c r="A224" s="0" t="s">
        <v>437</v>
      </c>
      <c r="B224" s="0" t="s">
        <v>195</v>
      </c>
      <c r="D224" s="19" t="n">
        <f aca="false">D223*fx</f>
        <v>20307.7290011203</v>
      </c>
      <c r="E224" s="19" t="n">
        <f aca="false">E223*fx</f>
        <v>36450.5821474774</v>
      </c>
      <c r="F224" s="19" t="n">
        <f aca="false">F223*fx</f>
        <v>46205.3686934024</v>
      </c>
      <c r="G224" s="19" t="n">
        <f aca="false">G223*fx</f>
        <v>52635.2199223804</v>
      </c>
    </row>
    <row r="225" customFormat="false" ht="17.15" hidden="false" customHeight="false" outlineLevel="0" collapsed="false">
      <c r="A225" s="4" t="s">
        <v>438</v>
      </c>
      <c r="B225" s="0" t="s">
        <v>52</v>
      </c>
      <c r="D225" s="15" t="n">
        <f aca="false">a26_ai/D224</f>
        <v>0.133896123975753</v>
      </c>
      <c r="H225" s="8" t="s">
        <v>439</v>
      </c>
    </row>
    <row r="226" customFormat="false" ht="17.15" hidden="false" customHeight="false" outlineLevel="0" collapsed="false">
      <c r="A226" s="4" t="s">
        <v>440</v>
      </c>
      <c r="B226" s="0" t="s">
        <v>72</v>
      </c>
      <c r="D226" s="16" t="n">
        <f aca="false">1</f>
        <v>1</v>
      </c>
      <c r="E226" s="16" t="n">
        <f aca="false">rel_27</f>
        <v>1</v>
      </c>
      <c r="F226" s="16" t="n">
        <f aca="false">rel_28</f>
        <v>0.95</v>
      </c>
      <c r="G226" s="16" t="n">
        <f aca="false">rel_29</f>
        <v>0.9</v>
      </c>
    </row>
    <row r="227" customFormat="false" ht="15" hidden="false" customHeight="false" outlineLevel="0" collapsed="false">
      <c r="A227" s="4" t="s">
        <v>393</v>
      </c>
      <c r="B227" s="0" t="s">
        <v>52</v>
      </c>
      <c r="D227" s="15" t="n">
        <f aca="false">$D$225*D226</f>
        <v>0.133896123975753</v>
      </c>
      <c r="E227" s="15" t="n">
        <f aca="false">$D$225*E226</f>
        <v>0.133896123975753</v>
      </c>
      <c r="F227" s="15" t="n">
        <f aca="false">$D$225*F226</f>
        <v>0.127201317776965</v>
      </c>
      <c r="G227" s="15" t="n">
        <f aca="false">$D$225*G226</f>
        <v>0.120506511578178</v>
      </c>
    </row>
    <row r="228" customFormat="false" ht="17.15" hidden="false" customHeight="false" outlineLevel="0" collapsed="false">
      <c r="A228" s="0" t="s">
        <v>441</v>
      </c>
      <c r="B228" s="0" t="s">
        <v>195</v>
      </c>
      <c r="D228" s="19" t="n">
        <f aca="false">D224*D227</f>
        <v>2719.1262</v>
      </c>
      <c r="E228" s="19" t="n">
        <f aca="false">E224*E227</f>
        <v>4880.59166620699</v>
      </c>
      <c r="F228" s="19" t="n">
        <f aca="false">F224*F227</f>
        <v>5877.38378617131</v>
      </c>
      <c r="G228" s="19" t="n">
        <f aca="false">G224*G227</f>
        <v>6342.88673899626</v>
      </c>
    </row>
    <row r="229" customFormat="false" ht="17.15" hidden="false" customHeight="false" outlineLevel="0" collapsed="false">
      <c r="A229" s="4" t="s">
        <v>397</v>
      </c>
      <c r="B229" s="0" t="s">
        <v>52</v>
      </c>
      <c r="D229" s="15" t="n">
        <f aca="false">0</f>
        <v>0</v>
      </c>
      <c r="E229" s="15" t="n">
        <f aca="false">cs_27</f>
        <v>0.1</v>
      </c>
      <c r="F229" s="15" t="n">
        <f aca="false">cs_28</f>
        <v>0.2</v>
      </c>
      <c r="G229" s="15" t="n">
        <f aca="false">cs_29</f>
        <v>0.25</v>
      </c>
      <c r="H229" s="8" t="s">
        <v>442</v>
      </c>
    </row>
    <row r="230" customFormat="false" ht="17.15" hidden="false" customHeight="false" outlineLevel="0" collapsed="false">
      <c r="A230" s="0" t="s">
        <v>443</v>
      </c>
      <c r="B230" s="0" t="s">
        <v>195</v>
      </c>
      <c r="C230" s="19" t="n">
        <f aca="false">a25_ai</f>
        <v>905.033</v>
      </c>
      <c r="D230" s="19" t="n">
        <f aca="false">D228*(1-D229)</f>
        <v>2719.1262</v>
      </c>
      <c r="E230" s="19" t="n">
        <f aca="false">E228*(1-E229)</f>
        <v>4392.53249958629</v>
      </c>
      <c r="F230" s="19" t="n">
        <f aca="false">F228*(1-F229)</f>
        <v>4701.90702893705</v>
      </c>
      <c r="G230" s="19" t="n">
        <f aca="false">G228*(1-G229)</f>
        <v>4757.16505424719</v>
      </c>
    </row>
    <row r="231" customFormat="false" ht="17.15" hidden="false" customHeight="false" outlineLevel="0" collapsed="false">
      <c r="A231" s="6" t="s">
        <v>444</v>
      </c>
    </row>
    <row r="232" customFormat="false" ht="17.15" hidden="false" customHeight="false" outlineLevel="0" collapsed="false">
      <c r="A232" s="4" t="s">
        <v>370</v>
      </c>
      <c r="B232" s="0" t="s">
        <v>195</v>
      </c>
      <c r="C232" s="19" t="n">
        <f aca="false">a25_nai</f>
        <v>1218.656</v>
      </c>
      <c r="D232" s="19" t="n">
        <f aca="false">a26_nai</f>
        <v>1279.5888</v>
      </c>
      <c r="E232" s="19" t="n">
        <f aca="false">D232*(1+g_nai27)</f>
        <v>1317.976464</v>
      </c>
      <c r="F232" s="19" t="n">
        <f aca="false">E232*(1+g_nai28)</f>
        <v>1344.33599328</v>
      </c>
      <c r="G232" s="19" t="n">
        <f aca="false">F232*(1+g_nai29)</f>
        <v>1371.2227131456</v>
      </c>
    </row>
    <row r="233" customFormat="false" ht="15" hidden="false" customHeight="false" outlineLevel="0" collapsed="false">
      <c r="A233" s="4" t="s">
        <v>341</v>
      </c>
      <c r="B233" s="0" t="s">
        <v>195</v>
      </c>
      <c r="C233" s="19" t="n">
        <f aca="false">C230+C232</f>
        <v>2123.689</v>
      </c>
      <c r="D233" s="19" t="n">
        <f aca="false">D230+D232</f>
        <v>3998.715</v>
      </c>
      <c r="E233" s="19" t="n">
        <f aca="false">E230+E232</f>
        <v>5710.50896358629</v>
      </c>
      <c r="F233" s="19" t="n">
        <f aca="false">F230+F232</f>
        <v>6046.24302221705</v>
      </c>
      <c r="G233" s="19" t="n">
        <f aca="false">G230+G232</f>
        <v>6128.38776739279</v>
      </c>
    </row>
    <row r="234" customFormat="false" ht="17.15" hidden="false" customHeight="false" outlineLevel="0" collapsed="false">
      <c r="A234" s="4" t="s">
        <v>445</v>
      </c>
      <c r="B234" s="0" t="s">
        <v>195</v>
      </c>
      <c r="C234" s="19" t="n">
        <f aca="false">srv_25*C233-C230</f>
        <v>602.78619</v>
      </c>
      <c r="D234" s="19" t="n">
        <f aca="false">srv_26*D233-D230</f>
        <v>679.78155</v>
      </c>
      <c r="E234" s="19" t="n">
        <f aca="false">D234*(1+g_gs27)</f>
        <v>747.759705</v>
      </c>
      <c r="F234" s="19" t="n">
        <f aca="false">E234*(1+g_gs28)</f>
        <v>785.14769025</v>
      </c>
      <c r="G234" s="19" t="n">
        <f aca="false">F234*(1+g_gs29)</f>
        <v>824.4050747625</v>
      </c>
      <c r="H234" s="8" t="s">
        <v>446</v>
      </c>
    </row>
    <row r="235" customFormat="false" ht="17.15" hidden="false" customHeight="false" outlineLevel="0" collapsed="false">
      <c r="A235" s="4" t="s">
        <v>447</v>
      </c>
      <c r="B235" s="0" t="s">
        <v>195</v>
      </c>
      <c r="C235" s="19" t="n">
        <f aca="false">C230+C234</f>
        <v>1507.81919</v>
      </c>
      <c r="D235" s="19" t="n">
        <f aca="false">D230+D234</f>
        <v>3398.90775</v>
      </c>
      <c r="E235" s="19" t="n">
        <f aca="false">E230+E234</f>
        <v>5140.29220458629</v>
      </c>
      <c r="F235" s="19" t="n">
        <f aca="false">F230+F234</f>
        <v>5487.05471918705</v>
      </c>
      <c r="G235" s="19" t="n">
        <f aca="false">G230+G234</f>
        <v>5581.57012900969</v>
      </c>
      <c r="H235" s="4" t="s">
        <v>448</v>
      </c>
    </row>
    <row r="236" customFormat="false" ht="15" hidden="false" customHeight="false" outlineLevel="0" collapsed="false">
      <c r="A236" s="4" t="s">
        <v>449</v>
      </c>
      <c r="B236" s="0" t="s">
        <v>195</v>
      </c>
      <c r="C236" s="19" t="n">
        <f aca="false">nbsh_25*C233</f>
        <v>467.21158</v>
      </c>
      <c r="D236" s="19" t="n">
        <f aca="false">nbsh_26*D233</f>
        <v>439.85865</v>
      </c>
      <c r="E236" s="19" t="n">
        <f aca="false">D236*(1+g_nb27)</f>
        <v>395.872785</v>
      </c>
      <c r="F236" s="19" t="n">
        <f aca="false">E236*(1+g_nb28)</f>
        <v>376.07914575</v>
      </c>
      <c r="G236" s="19" t="n">
        <f aca="false">F236*(1+g_nb29)</f>
        <v>364.7967713775</v>
      </c>
      <c r="H236" s="4" t="s">
        <v>450</v>
      </c>
    </row>
    <row r="237" customFormat="false" ht="17.15" hidden="false" customHeight="false" outlineLevel="0" collapsed="false">
      <c r="A237" s="4" t="s">
        <v>451</v>
      </c>
      <c r="B237" s="0" t="s">
        <v>195</v>
      </c>
      <c r="C237" s="19" t="n">
        <f aca="false">C232-C236-C234</f>
        <v>148.65823</v>
      </c>
      <c r="D237" s="19" t="n">
        <f aca="false">D232-D236-D234</f>
        <v>159.9486</v>
      </c>
      <c r="E237" s="19" t="n">
        <f aca="false">E232-E236-E234</f>
        <v>174.343974</v>
      </c>
      <c r="F237" s="19" t="n">
        <f aca="false">F232-F236-F234</f>
        <v>183.10915728</v>
      </c>
      <c r="G237" s="19" t="n">
        <f aca="false">G232-G236-G234</f>
        <v>182.0208670056</v>
      </c>
    </row>
    <row r="238" customFormat="false" ht="15" hidden="false" customHeight="false" outlineLevel="0" collapsed="false">
      <c r="A238" s="4" t="s">
        <v>452</v>
      </c>
      <c r="B238" s="0" t="s">
        <v>195</v>
      </c>
      <c r="C238" s="22" t="n">
        <f aca="false">C235+C236+C237-C233</f>
        <v>0</v>
      </c>
      <c r="D238" s="22" t="n">
        <f aca="false">D235+D236+D237-D233</f>
        <v>0</v>
      </c>
      <c r="E238" s="22" t="n">
        <f aca="false">E235+E236+E237-E233</f>
        <v>0</v>
      </c>
      <c r="F238" s="22" t="n">
        <f aca="false">F235+F236+F237-F233</f>
        <v>0</v>
      </c>
      <c r="G238" s="22" t="n">
        <f aca="false">G235+G236+G237-G233</f>
        <v>0</v>
      </c>
    </row>
    <row r="239" customFormat="false" ht="15" hidden="false" customHeight="false" outlineLevel="0" collapsed="false">
      <c r="A239" s="4" t="s">
        <v>453</v>
      </c>
      <c r="B239" s="0" t="s">
        <v>52</v>
      </c>
      <c r="D239" s="15" t="n">
        <f aca="false">D233/C233-1</f>
        <v>0.88290987993063</v>
      </c>
      <c r="E239" s="15" t="n">
        <f aca="false">E233/D233-1</f>
        <v>0.428086013528419</v>
      </c>
      <c r="F239" s="15" t="n">
        <f aca="false">F233/E233-1</f>
        <v>0.0587923179477705</v>
      </c>
      <c r="G239" s="15" t="n">
        <f aca="false">G233/F233-1</f>
        <v>0.0135860806245958</v>
      </c>
    </row>
    <row r="240" customFormat="false" ht="17.15" hidden="false" customHeight="false" outlineLevel="0" collapsed="false">
      <c r="A240" s="0" t="s">
        <v>454</v>
      </c>
      <c r="B240" s="0" t="s">
        <v>52</v>
      </c>
      <c r="C240" s="15" t="n">
        <f aca="false">C230/C233</f>
        <v>0.426160798497332</v>
      </c>
      <c r="D240" s="15" t="n">
        <f aca="false">D230/D233</f>
        <v>0.68</v>
      </c>
      <c r="E240" s="15" t="n">
        <f aca="false">E230/E233</f>
        <v>0.769201576881461</v>
      </c>
      <c r="F240" s="15" t="n">
        <f aca="false">F230/F233</f>
        <v>0.777657631633362</v>
      </c>
      <c r="G240" s="15" t="n">
        <f aca="false">G230/G233</f>
        <v>0.776250660827724</v>
      </c>
    </row>
    <row r="241" customFormat="false" ht="17.15" hidden="false" customHeight="false" outlineLevel="0" collapsed="false">
      <c r="A241" s="4" t="s">
        <v>403</v>
      </c>
      <c r="B241" s="0" t="s">
        <v>389</v>
      </c>
      <c r="D241" s="16" t="n">
        <f aca="false">D230/fx/D221</f>
        <v>3.631383388734</v>
      </c>
      <c r="E241" s="16" t="n">
        <f aca="false">E230/fx/E221</f>
        <v>3.29597359817473</v>
      </c>
      <c r="F241" s="16" t="n">
        <f aca="false">F230/fx/F221</f>
        <v>2.78326659401422</v>
      </c>
      <c r="G241" s="16" t="n">
        <f aca="false">G230/fx/G221</f>
        <v>2.47198019863105</v>
      </c>
    </row>
    <row r="242" customFormat="false" ht="17.15" hidden="false" customHeight="false" outlineLevel="0" collapsed="false">
      <c r="A242" s="4" t="s">
        <v>455</v>
      </c>
      <c r="B242" s="4" t="s">
        <v>401</v>
      </c>
      <c r="D242" s="19" t="n">
        <f aca="false">D228/fx/(odm_gb*(1-vr26)+odm_vr*vr26)</f>
        <v>18.4522679153094</v>
      </c>
      <c r="E242" s="19" t="n">
        <f aca="false">E228/fx/odm_vr</f>
        <v>22.5953317879953</v>
      </c>
      <c r="F242" s="19" t="n">
        <f aca="false">F228/fx/odm_vr</f>
        <v>27.2101101211635</v>
      </c>
      <c r="G242" s="19" t="n">
        <f aca="false">G228/fx/odm_vr</f>
        <v>29.3652163842419</v>
      </c>
      <c r="H242" s="4" t="s">
        <v>456</v>
      </c>
    </row>
    <row r="243" customFormat="false" ht="17.15" hidden="false" customHeight="false" outlineLevel="0" collapsed="false">
      <c r="A243" s="6" t="s">
        <v>457</v>
      </c>
    </row>
    <row r="244" customFormat="false" ht="17.15" hidden="false" customHeight="false" outlineLevel="0" collapsed="false">
      <c r="A244" s="4" t="s">
        <v>458</v>
      </c>
      <c r="B244" s="0" t="s">
        <v>52</v>
      </c>
      <c r="D244" s="11" t="n">
        <f aca="false">a26_gp/D233-d_ai*D240</f>
        <v>0.0632307213692399</v>
      </c>
      <c r="H244" s="8" t="s">
        <v>459</v>
      </c>
    </row>
    <row r="245" customFormat="false" ht="17.15" hidden="false" customHeight="false" outlineLevel="0" collapsed="false">
      <c r="A245" s="0" t="s">
        <v>460</v>
      </c>
      <c r="B245" s="0" t="s">
        <v>195</v>
      </c>
      <c r="D245" s="21" t="n">
        <f aca="false">($D$244+d_ai)*D228*(1-D229*(1-keep_lo))</f>
        <v>117.54978712</v>
      </c>
      <c r="E245" s="21" t="n">
        <f aca="false">($D$244+d_ai+vrd)*E228*(1-E229*(1-keep_lo))</f>
        <v>190.459231737001</v>
      </c>
      <c r="F245" s="21" t="n">
        <f aca="false">($D$244+d_ai+vrd)*F228*(1-F229*(1-keep_lo))</f>
        <v>222.264306112653</v>
      </c>
      <c r="G245" s="21" t="n">
        <f aca="false">($D$244+d_ai+vrd)*G228*(1-G229*(1-keep_lo))</f>
        <v>236.040490892714</v>
      </c>
      <c r="H245" s="4" t="s">
        <v>461</v>
      </c>
    </row>
    <row r="246" customFormat="false" ht="15" hidden="false" customHeight="false" outlineLevel="0" collapsed="false">
      <c r="A246" s="4" t="s">
        <v>345</v>
      </c>
      <c r="B246" s="0" t="s">
        <v>195</v>
      </c>
      <c r="C246" s="19" t="n">
        <f aca="false">a25_gp</f>
        <v>148.2334922</v>
      </c>
      <c r="D246" s="19" t="n">
        <f aca="false">a26_gp</f>
        <v>198.45911</v>
      </c>
      <c r="E246" s="19" t="n">
        <f aca="false">$D$244*E232+E245</f>
        <v>273.795834303401</v>
      </c>
      <c r="F246" s="19" t="n">
        <f aca="false">$D$244*F232+F245</f>
        <v>307.267640730381</v>
      </c>
      <c r="G246" s="19" t="n">
        <f aca="false">$D$244*G232+G245</f>
        <v>322.743892202797</v>
      </c>
    </row>
    <row r="247" customFormat="false" ht="15" hidden="false" customHeight="false" outlineLevel="0" collapsed="false">
      <c r="A247" s="4" t="s">
        <v>348</v>
      </c>
      <c r="B247" s="0" t="s">
        <v>52</v>
      </c>
      <c r="C247" s="11" t="n">
        <f aca="false">C246/C233</f>
        <v>0.0698</v>
      </c>
      <c r="D247" s="11" t="n">
        <f aca="false">D246/D233</f>
        <v>0.0496307213692399</v>
      </c>
      <c r="E247" s="11" t="n">
        <f aca="false">E246/E233</f>
        <v>0.0479459599922339</v>
      </c>
      <c r="F247" s="11" t="n">
        <f aca="false">F246/F233</f>
        <v>0.0508195981539809</v>
      </c>
      <c r="G247" s="11" t="n">
        <f aca="false">G246/G233</f>
        <v>0.0526637517815069</v>
      </c>
    </row>
    <row r="248" customFormat="false" ht="17.15" hidden="false" customHeight="false" outlineLevel="0" collapsed="false">
      <c r="A248" s="0" t="s">
        <v>462</v>
      </c>
      <c r="B248" s="0" t="s">
        <v>52</v>
      </c>
      <c r="D248" s="11" t="n">
        <f aca="false">D245/D230</f>
        <v>0.0432307213692399</v>
      </c>
      <c r="E248" s="11" t="n">
        <f aca="false">E245/E230</f>
        <v>0.0433597774757363</v>
      </c>
      <c r="F248" s="11" t="n">
        <f aca="false">F245/F230</f>
        <v>0.0472710976088568</v>
      </c>
      <c r="G248" s="11" t="n">
        <f aca="false">G245/G230</f>
        <v>0.0496178896887292</v>
      </c>
      <c r="H248" s="4" t="s">
        <v>463</v>
      </c>
    </row>
    <row r="249" customFormat="false" ht="15" hidden="false" customHeight="false" outlineLevel="0" collapsed="false">
      <c r="A249" s="4" t="s">
        <v>464</v>
      </c>
      <c r="B249" s="0" t="s">
        <v>195</v>
      </c>
      <c r="C249" s="19" t="n">
        <f aca="false">a25_opx</f>
        <v>60.7375054</v>
      </c>
      <c r="D249" s="19" t="n">
        <f aca="false">a26_opx</f>
        <v>71.1893725</v>
      </c>
      <c r="E249" s="19" t="n">
        <f aca="false">D249*(1+MAX(0,phi*E239))</f>
        <v>83.3794423716459</v>
      </c>
      <c r="F249" s="19" t="n">
        <f aca="false">E249*(1+MAX(0,phi*F239))</f>
        <v>85.3402706461345</v>
      </c>
      <c r="G249" s="19" t="n">
        <f aca="false">F249*(1+MAX(0,phi*G239))</f>
        <v>85.8040465651438</v>
      </c>
    </row>
    <row r="250" customFormat="false" ht="15" hidden="false" customHeight="false" outlineLevel="0" collapsed="false">
      <c r="A250" s="4" t="s">
        <v>349</v>
      </c>
      <c r="B250" s="0" t="s">
        <v>195</v>
      </c>
      <c r="C250" s="19" t="n">
        <f aca="false">C249</f>
        <v>60.7375054</v>
      </c>
      <c r="D250" s="19" t="n">
        <f aca="false">D249</f>
        <v>71.1893725</v>
      </c>
      <c r="E250" s="19" t="n">
        <f aca="false">E249+0*E233</f>
        <v>83.3794423716459</v>
      </c>
      <c r="F250" s="19" t="n">
        <f aca="false">F249+0*F233</f>
        <v>85.3402706461345</v>
      </c>
      <c r="G250" s="19" t="n">
        <f aca="false">G249+0*G233</f>
        <v>85.8040465651438</v>
      </c>
    </row>
    <row r="251" customFormat="false" ht="15" hidden="false" customHeight="false" outlineLevel="0" collapsed="false">
      <c r="A251" s="4" t="s">
        <v>352</v>
      </c>
      <c r="B251" s="0" t="s">
        <v>195</v>
      </c>
      <c r="C251" s="19" t="n">
        <f aca="false">C246-C250</f>
        <v>87.4959868</v>
      </c>
      <c r="D251" s="19" t="n">
        <f aca="false">D246-D250</f>
        <v>127.2697375</v>
      </c>
      <c r="E251" s="19" t="n">
        <f aca="false">E246-E250</f>
        <v>190.416391931756</v>
      </c>
      <c r="F251" s="19" t="n">
        <f aca="false">F246-F250</f>
        <v>221.927370084247</v>
      </c>
      <c r="G251" s="19" t="n">
        <f aca="false">G246-G250</f>
        <v>236.939845637653</v>
      </c>
    </row>
    <row r="252" customFormat="false" ht="15" hidden="false" customHeight="false" outlineLevel="0" collapsed="false">
      <c r="A252" s="4" t="s">
        <v>355</v>
      </c>
      <c r="B252" s="0" t="s">
        <v>52</v>
      </c>
      <c r="C252" s="11" t="n">
        <f aca="false">C251/C233</f>
        <v>0.0412</v>
      </c>
      <c r="D252" s="11" t="n">
        <f aca="false">D251/D233</f>
        <v>0.0318276590104571</v>
      </c>
      <c r="E252" s="11" t="n">
        <f aca="false">E251/E233</f>
        <v>0.0333449072833905</v>
      </c>
      <c r="F252" s="11" t="n">
        <f aca="false">F251/F233</f>
        <v>0.0367050033001932</v>
      </c>
      <c r="G252" s="11" t="n">
        <f aca="false">G251/G233</f>
        <v>0.0386626719181079</v>
      </c>
    </row>
    <row r="253" customFormat="false" ht="17.15" hidden="false" customHeight="false" outlineLevel="0" collapsed="false">
      <c r="A253" s="4" t="s">
        <v>229</v>
      </c>
      <c r="B253" s="0" t="s">
        <v>52</v>
      </c>
      <c r="C253" s="15" t="n">
        <f aca="false">a25_ni/a25_oi</f>
        <v>0.856953590013114</v>
      </c>
      <c r="D253" s="15" t="n">
        <f aca="false">a26_ni/a26_oi</f>
        <v>0.869913569398224</v>
      </c>
      <c r="E253" s="15" t="n">
        <f aca="false">nio_f</f>
        <v>0.865</v>
      </c>
      <c r="F253" s="15" t="n">
        <f aca="false">nio_f</f>
        <v>0.865</v>
      </c>
      <c r="G253" s="15" t="n">
        <f aca="false">nio_f</f>
        <v>0.865</v>
      </c>
    </row>
    <row r="254" customFormat="false" ht="15" hidden="false" customHeight="false" outlineLevel="0" collapsed="false">
      <c r="A254" s="4" t="s">
        <v>356</v>
      </c>
      <c r="B254" s="0" t="s">
        <v>195</v>
      </c>
      <c r="C254" s="19" t="n">
        <f aca="false">a25_ni</f>
        <v>74.98</v>
      </c>
      <c r="D254" s="19" t="n">
        <f aca="false">a26_ni</f>
        <v>110.713671625</v>
      </c>
      <c r="E254" s="19" t="n">
        <f aca="false">E251*E253</f>
        <v>164.710179020969</v>
      </c>
      <c r="F254" s="19" t="n">
        <f aca="false">F251*F253</f>
        <v>191.967175122874</v>
      </c>
      <c r="G254" s="19" t="n">
        <f aca="false">G251*G253</f>
        <v>204.95296647657</v>
      </c>
    </row>
    <row r="255" customFormat="false" ht="15" hidden="false" customHeight="false" outlineLevel="0" collapsed="false">
      <c r="A255" s="4" t="s">
        <v>465</v>
      </c>
      <c r="B255" s="4" t="s">
        <v>216</v>
      </c>
      <c r="C255" s="22" t="n">
        <f aca="false">a25_sh</f>
        <v>3.85501285347044</v>
      </c>
      <c r="D255" s="22" t="n">
        <f aca="false">a26_sh</f>
        <v>3.85460170146945</v>
      </c>
      <c r="E255" s="22" t="n">
        <f aca="false">D255*(1+sh_g)</f>
        <v>3.85460170146945</v>
      </c>
      <c r="F255" s="22" t="n">
        <f aca="false">E255*(1+sh_g)</f>
        <v>3.85460170146945</v>
      </c>
      <c r="G255" s="22" t="n">
        <f aca="false">F255*(1+sh_g)</f>
        <v>3.85460170146945</v>
      </c>
    </row>
    <row r="256" customFormat="false" ht="15" hidden="false" customHeight="false" outlineLevel="0" collapsed="false">
      <c r="A256" s="0" t="s">
        <v>362</v>
      </c>
      <c r="B256" s="0" t="s">
        <v>246</v>
      </c>
      <c r="C256" s="21" t="n">
        <f aca="false">C254/C255</f>
        <v>19.45</v>
      </c>
      <c r="D256" s="21" t="n">
        <f aca="false">D254/D255</f>
        <v>28.7224673778341</v>
      </c>
      <c r="E256" s="21" t="n">
        <f aca="false">E254/E255</f>
        <v>42.7307908254639</v>
      </c>
      <c r="F256" s="21" t="n">
        <f aca="false">F254/F255</f>
        <v>49.8020781368129</v>
      </c>
      <c r="G256" s="21" t="n">
        <f aca="false">G254/G255</f>
        <v>53.1709842805387</v>
      </c>
    </row>
    <row r="257" customFormat="false" ht="17.15" hidden="false" customHeight="false" outlineLevel="0" collapsed="false">
      <c r="A257" s="0" t="s">
        <v>466</v>
      </c>
      <c r="B257" s="0" t="s">
        <v>52</v>
      </c>
      <c r="D257" s="15" t="n">
        <f aca="false">D256/C256-1</f>
        <v>0.476733541276816</v>
      </c>
      <c r="E257" s="15" t="n">
        <f aca="false">E256/D256-1</f>
        <v>0.487713094538685</v>
      </c>
      <c r="F257" s="15" t="n">
        <f aca="false">F256/E256-1</f>
        <v>0.165484587922372</v>
      </c>
      <c r="G257" s="15" t="n">
        <f aca="false">G256/F256-1</f>
        <v>0.0676458949056502</v>
      </c>
    </row>
    <row r="260" customFormat="false" ht="17.15" hidden="false" customHeight="false" outlineLevel="0" collapsed="false">
      <c r="A260" s="1" t="s">
        <v>776</v>
      </c>
    </row>
    <row r="261" customFormat="false" ht="17.15" hidden="false" customHeight="false" outlineLevel="0" collapsed="false">
      <c r="A261" s="5" t="s">
        <v>21</v>
      </c>
      <c r="B261" s="5" t="s">
        <v>22</v>
      </c>
      <c r="C261" s="12" t="s">
        <v>335</v>
      </c>
      <c r="D261" s="12" t="s">
        <v>411</v>
      </c>
      <c r="E261" s="12" t="s">
        <v>412</v>
      </c>
      <c r="F261" s="12" t="s">
        <v>413</v>
      </c>
      <c r="G261" s="12" t="s">
        <v>414</v>
      </c>
      <c r="H261" s="5" t="s">
        <v>384</v>
      </c>
    </row>
    <row r="262" customFormat="false" ht="17.15" hidden="false" customHeight="false" outlineLevel="0" collapsed="false">
      <c r="A262" s="6" t="s">
        <v>431</v>
      </c>
    </row>
    <row r="263" customFormat="false" ht="17.15" hidden="false" customHeight="false" outlineLevel="0" collapsed="false">
      <c r="A263" s="0" t="s">
        <v>432</v>
      </c>
      <c r="B263" s="0" t="s">
        <v>32</v>
      </c>
      <c r="D263" s="21" t="n">
        <f aca="false">itc_26*1</f>
        <v>781.872916666666</v>
      </c>
      <c r="E263" s="21" t="n">
        <f aca="false">itc_27*1*1</f>
        <v>1565.35</v>
      </c>
      <c r="F263" s="21" t="n">
        <f aca="false">itc_28*um28_A*1</f>
        <v>1984.26388888889</v>
      </c>
      <c r="G263" s="21" t="n">
        <f aca="false">itc_29*um29_A*1</f>
        <v>2260.39027777778</v>
      </c>
    </row>
    <row r="264" customFormat="false" ht="17.15" hidden="false" customHeight="false" outlineLevel="0" collapsed="false">
      <c r="A264" s="4" t="s">
        <v>433</v>
      </c>
      <c r="B264" s="0" t="s">
        <v>32</v>
      </c>
      <c r="D264" s="21" t="n">
        <f aca="false">itpg_gb*(1-vr26)+itpg_vr*vr26</f>
        <v>33.41403216</v>
      </c>
      <c r="E264" s="21" t="n">
        <f aca="false">itpg_vr</f>
        <v>37.586352</v>
      </c>
      <c r="F264" s="21" t="n">
        <f aca="false">itpg_vr</f>
        <v>37.586352</v>
      </c>
      <c r="G264" s="21" t="n">
        <f aca="false">itpg_vr</f>
        <v>37.586352</v>
      </c>
    </row>
    <row r="265" customFormat="false" ht="17.15" hidden="false" customHeight="false" outlineLevel="0" collapsed="false">
      <c r="A265" s="4" t="s">
        <v>434</v>
      </c>
      <c r="B265" s="0" t="s">
        <v>386</v>
      </c>
      <c r="D265" s="18" t="n">
        <f aca="false">D263/D264</f>
        <v>23.3995380420639</v>
      </c>
      <c r="E265" s="18" t="n">
        <f aca="false">E263/E264</f>
        <v>41.6467658260637</v>
      </c>
      <c r="F265" s="18" t="n">
        <f aca="false">F263/F264</f>
        <v>52.792138191248</v>
      </c>
      <c r="G265" s="18" t="n">
        <f aca="false">G263/G264</f>
        <v>60.1385917361116</v>
      </c>
    </row>
    <row r="266" customFormat="false" ht="17.15" hidden="false" customHeight="false" outlineLevel="0" collapsed="false">
      <c r="A266" s="4" t="s">
        <v>388</v>
      </c>
      <c r="B266" s="0" t="s">
        <v>389</v>
      </c>
      <c r="D266" s="16" t="n">
        <f aca="false">(racks_gb*odm_gb*(1-vr26)+racks_vr*odm_vr*vr26)/1000</f>
        <v>27.1209</v>
      </c>
      <c r="E266" s="16" t="n">
        <f aca="false">racks_vr*odm_vr/1000</f>
        <v>27.351</v>
      </c>
      <c r="F266" s="16" t="n">
        <f aca="false">$E266*vpg_28</f>
        <v>27.351</v>
      </c>
      <c r="G266" s="16" t="n">
        <f aca="false">$E266*vpg_29</f>
        <v>27.351</v>
      </c>
      <c r="H266" s="4" t="s">
        <v>435</v>
      </c>
    </row>
    <row r="267" customFormat="false" ht="17.15" hidden="false" customHeight="false" outlineLevel="0" collapsed="false">
      <c r="A267" s="0" t="s">
        <v>436</v>
      </c>
      <c r="B267" s="0" t="s">
        <v>32</v>
      </c>
      <c r="D267" s="19" t="n">
        <f aca="false">D265*D266</f>
        <v>634.61653128501</v>
      </c>
      <c r="E267" s="19" t="n">
        <f aca="false">E265*E266</f>
        <v>1139.08069210867</v>
      </c>
      <c r="F267" s="19" t="n">
        <f aca="false">F265*F266</f>
        <v>1443.91777166882</v>
      </c>
      <c r="G267" s="19" t="n">
        <f aca="false">G265*G266</f>
        <v>1644.85062257439</v>
      </c>
    </row>
    <row r="268" customFormat="false" ht="17.15" hidden="false" customHeight="false" outlineLevel="0" collapsed="false">
      <c r="A268" s="0" t="s">
        <v>437</v>
      </c>
      <c r="B268" s="0" t="s">
        <v>195</v>
      </c>
      <c r="D268" s="19" t="n">
        <f aca="false">D267*fx</f>
        <v>20307.7290011203</v>
      </c>
      <c r="E268" s="19" t="n">
        <f aca="false">E267*fx</f>
        <v>36450.5821474774</v>
      </c>
      <c r="F268" s="19" t="n">
        <f aca="false">F267*fx</f>
        <v>46205.3686934024</v>
      </c>
      <c r="G268" s="19" t="n">
        <f aca="false">G267*fx</f>
        <v>52635.2199223804</v>
      </c>
    </row>
    <row r="269" customFormat="false" ht="17.15" hidden="false" customHeight="false" outlineLevel="0" collapsed="false">
      <c r="A269" s="4" t="s">
        <v>438</v>
      </c>
      <c r="B269" s="0" t="s">
        <v>52</v>
      </c>
      <c r="D269" s="15" t="n">
        <f aca="false">a26_ai/D268</f>
        <v>0.133896123975753</v>
      </c>
      <c r="H269" s="8" t="s">
        <v>439</v>
      </c>
    </row>
    <row r="270" customFormat="false" ht="17.15" hidden="false" customHeight="false" outlineLevel="0" collapsed="false">
      <c r="A270" s="4" t="s">
        <v>440</v>
      </c>
      <c r="B270" s="0" t="s">
        <v>72</v>
      </c>
      <c r="D270" s="16" t="n">
        <f aca="false">1</f>
        <v>1</v>
      </c>
      <c r="E270" s="16" t="n">
        <f aca="false">rel_27</f>
        <v>1</v>
      </c>
      <c r="F270" s="16" t="n">
        <f aca="false">rel_28</f>
        <v>0.95</v>
      </c>
      <c r="G270" s="16" t="n">
        <f aca="false">rel_29</f>
        <v>0.9</v>
      </c>
    </row>
    <row r="271" customFormat="false" ht="15" hidden="false" customHeight="false" outlineLevel="0" collapsed="false">
      <c r="A271" s="4" t="s">
        <v>393</v>
      </c>
      <c r="B271" s="0" t="s">
        <v>52</v>
      </c>
      <c r="D271" s="15" t="n">
        <f aca="false">$D$269*D270</f>
        <v>0.133896123975753</v>
      </c>
      <c r="E271" s="15" t="n">
        <f aca="false">$D$269*E270</f>
        <v>0.133896123975753</v>
      </c>
      <c r="F271" s="15" t="n">
        <f aca="false">$D$269*F270</f>
        <v>0.127201317776965</v>
      </c>
      <c r="G271" s="15" t="n">
        <f aca="false">$D$269*G270</f>
        <v>0.120506511578178</v>
      </c>
    </row>
    <row r="272" customFormat="false" ht="17.15" hidden="false" customHeight="false" outlineLevel="0" collapsed="false">
      <c r="A272" s="0" t="s">
        <v>441</v>
      </c>
      <c r="B272" s="0" t="s">
        <v>195</v>
      </c>
      <c r="D272" s="19" t="n">
        <f aca="false">D268*D271</f>
        <v>2719.1262</v>
      </c>
      <c r="E272" s="19" t="n">
        <f aca="false">E268*E271</f>
        <v>4880.59166620699</v>
      </c>
      <c r="F272" s="19" t="n">
        <f aca="false">F268*F271</f>
        <v>5877.38378617131</v>
      </c>
      <c r="G272" s="19" t="n">
        <f aca="false">G268*G271</f>
        <v>6342.88673899626</v>
      </c>
    </row>
    <row r="273" customFormat="false" ht="17.15" hidden="false" customHeight="false" outlineLevel="0" collapsed="false">
      <c r="A273" s="4" t="s">
        <v>397</v>
      </c>
      <c r="B273" s="0" t="s">
        <v>52</v>
      </c>
      <c r="D273" s="15" t="n">
        <f aca="false">0</f>
        <v>0</v>
      </c>
      <c r="E273" s="15" t="n">
        <f aca="false">cs_27</f>
        <v>0.1</v>
      </c>
      <c r="F273" s="15" t="n">
        <f aca="false">cs_28</f>
        <v>0.2</v>
      </c>
      <c r="G273" s="15" t="n">
        <f aca="false">cs_29</f>
        <v>0.25</v>
      </c>
      <c r="H273" s="8" t="s">
        <v>442</v>
      </c>
    </row>
    <row r="274" customFormat="false" ht="17.15" hidden="false" customHeight="false" outlineLevel="0" collapsed="false">
      <c r="A274" s="0" t="s">
        <v>443</v>
      </c>
      <c r="B274" s="0" t="s">
        <v>195</v>
      </c>
      <c r="C274" s="19" t="n">
        <f aca="false">a25_ai</f>
        <v>905.033</v>
      </c>
      <c r="D274" s="19" t="n">
        <f aca="false">D272*(1-D273)</f>
        <v>2719.1262</v>
      </c>
      <c r="E274" s="19" t="n">
        <f aca="false">E272*(1-E273)</f>
        <v>4392.53249958629</v>
      </c>
      <c r="F274" s="19" t="n">
        <f aca="false">F272*(1-F273)</f>
        <v>4701.90702893705</v>
      </c>
      <c r="G274" s="19" t="n">
        <f aca="false">G272*(1-G273)</f>
        <v>4757.16505424719</v>
      </c>
    </row>
    <row r="275" customFormat="false" ht="17.15" hidden="false" customHeight="false" outlineLevel="0" collapsed="false">
      <c r="A275" s="6" t="s">
        <v>444</v>
      </c>
    </row>
    <row r="276" customFormat="false" ht="17.15" hidden="false" customHeight="false" outlineLevel="0" collapsed="false">
      <c r="A276" s="4" t="s">
        <v>370</v>
      </c>
      <c r="B276" s="0" t="s">
        <v>195</v>
      </c>
      <c r="C276" s="19" t="n">
        <f aca="false">a25_nai</f>
        <v>1218.656</v>
      </c>
      <c r="D276" s="19" t="n">
        <f aca="false">a26_nai</f>
        <v>1279.5888</v>
      </c>
      <c r="E276" s="19" t="n">
        <f aca="false">D276*(1+g_nai27)</f>
        <v>1317.976464</v>
      </c>
      <c r="F276" s="19" t="n">
        <f aca="false">E276*(1+g_nai28)</f>
        <v>1344.33599328</v>
      </c>
      <c r="G276" s="19" t="n">
        <f aca="false">F276*(1+g_nai29)</f>
        <v>1371.2227131456</v>
      </c>
    </row>
    <row r="277" customFormat="false" ht="15" hidden="false" customHeight="false" outlineLevel="0" collapsed="false">
      <c r="A277" s="4" t="s">
        <v>341</v>
      </c>
      <c r="B277" s="0" t="s">
        <v>195</v>
      </c>
      <c r="C277" s="19" t="n">
        <f aca="false">C274+C276</f>
        <v>2123.689</v>
      </c>
      <c r="D277" s="19" t="n">
        <f aca="false">D274+D276</f>
        <v>3998.715</v>
      </c>
      <c r="E277" s="19" t="n">
        <f aca="false">E274+E276</f>
        <v>5710.50896358629</v>
      </c>
      <c r="F277" s="19" t="n">
        <f aca="false">F274+F276</f>
        <v>6046.24302221705</v>
      </c>
      <c r="G277" s="19" t="n">
        <f aca="false">G274+G276</f>
        <v>6128.38776739279</v>
      </c>
    </row>
    <row r="278" customFormat="false" ht="17.15" hidden="false" customHeight="false" outlineLevel="0" collapsed="false">
      <c r="A278" s="4" t="s">
        <v>445</v>
      </c>
      <c r="B278" s="0" t="s">
        <v>195</v>
      </c>
      <c r="C278" s="19" t="n">
        <f aca="false">srv_25*C277-C274</f>
        <v>602.78619</v>
      </c>
      <c r="D278" s="19" t="n">
        <f aca="false">srv_26*D277-D274</f>
        <v>679.78155</v>
      </c>
      <c r="E278" s="19" t="n">
        <f aca="false">D278*(1+g_gs27)</f>
        <v>747.759705</v>
      </c>
      <c r="F278" s="19" t="n">
        <f aca="false">E278*(1+g_gs28)</f>
        <v>785.14769025</v>
      </c>
      <c r="G278" s="19" t="n">
        <f aca="false">F278*(1+g_gs29)</f>
        <v>824.4050747625</v>
      </c>
      <c r="H278" s="8" t="s">
        <v>446</v>
      </c>
    </row>
    <row r="279" customFormat="false" ht="17.15" hidden="false" customHeight="false" outlineLevel="0" collapsed="false">
      <c r="A279" s="4" t="s">
        <v>447</v>
      </c>
      <c r="B279" s="0" t="s">
        <v>195</v>
      </c>
      <c r="C279" s="19" t="n">
        <f aca="false">C274+C278</f>
        <v>1507.81919</v>
      </c>
      <c r="D279" s="19" t="n">
        <f aca="false">D274+D278</f>
        <v>3398.90775</v>
      </c>
      <c r="E279" s="19" t="n">
        <f aca="false">E274+E278</f>
        <v>5140.29220458629</v>
      </c>
      <c r="F279" s="19" t="n">
        <f aca="false">F274+F278</f>
        <v>5487.05471918705</v>
      </c>
      <c r="G279" s="19" t="n">
        <f aca="false">G274+G278</f>
        <v>5581.57012900969</v>
      </c>
      <c r="H279" s="4" t="s">
        <v>448</v>
      </c>
    </row>
    <row r="280" customFormat="false" ht="15" hidden="false" customHeight="false" outlineLevel="0" collapsed="false">
      <c r="A280" s="4" t="s">
        <v>449</v>
      </c>
      <c r="B280" s="0" t="s">
        <v>195</v>
      </c>
      <c r="C280" s="19" t="n">
        <f aca="false">nbsh_25*C277</f>
        <v>467.21158</v>
      </c>
      <c r="D280" s="19" t="n">
        <f aca="false">nbsh_26*D277</f>
        <v>439.85865</v>
      </c>
      <c r="E280" s="19" t="n">
        <f aca="false">D280*(1+g_nb27)</f>
        <v>395.872785</v>
      </c>
      <c r="F280" s="19" t="n">
        <f aca="false">E280*(1+g_nb28)</f>
        <v>376.07914575</v>
      </c>
      <c r="G280" s="19" t="n">
        <f aca="false">F280*(1+g_nb29)</f>
        <v>364.7967713775</v>
      </c>
      <c r="H280" s="4" t="s">
        <v>450</v>
      </c>
    </row>
    <row r="281" customFormat="false" ht="17.15" hidden="false" customHeight="false" outlineLevel="0" collapsed="false">
      <c r="A281" s="4" t="s">
        <v>451</v>
      </c>
      <c r="B281" s="0" t="s">
        <v>195</v>
      </c>
      <c r="C281" s="19" t="n">
        <f aca="false">C276-C280-C278</f>
        <v>148.65823</v>
      </c>
      <c r="D281" s="19" t="n">
        <f aca="false">D276-D280-D278</f>
        <v>159.9486</v>
      </c>
      <c r="E281" s="19" t="n">
        <f aca="false">E276-E280-E278</f>
        <v>174.343974</v>
      </c>
      <c r="F281" s="19" t="n">
        <f aca="false">F276-F280-F278</f>
        <v>183.10915728</v>
      </c>
      <c r="G281" s="19" t="n">
        <f aca="false">G276-G280-G278</f>
        <v>182.0208670056</v>
      </c>
    </row>
    <row r="282" customFormat="false" ht="15" hidden="false" customHeight="false" outlineLevel="0" collapsed="false">
      <c r="A282" s="4" t="s">
        <v>452</v>
      </c>
      <c r="B282" s="0" t="s">
        <v>195</v>
      </c>
      <c r="C282" s="22" t="n">
        <f aca="false">C279+C280+C281-C277</f>
        <v>0</v>
      </c>
      <c r="D282" s="22" t="n">
        <f aca="false">D279+D280+D281-D277</f>
        <v>0</v>
      </c>
      <c r="E282" s="22" t="n">
        <f aca="false">E279+E280+E281-E277</f>
        <v>0</v>
      </c>
      <c r="F282" s="22" t="n">
        <f aca="false">F279+F280+F281-F277</f>
        <v>0</v>
      </c>
      <c r="G282" s="22" t="n">
        <f aca="false">G279+G280+G281-G277</f>
        <v>0</v>
      </c>
    </row>
    <row r="283" customFormat="false" ht="15" hidden="false" customHeight="false" outlineLevel="0" collapsed="false">
      <c r="A283" s="4" t="s">
        <v>453</v>
      </c>
      <c r="B283" s="0" t="s">
        <v>52</v>
      </c>
      <c r="D283" s="15" t="n">
        <f aca="false">D277/C277-1</f>
        <v>0.88290987993063</v>
      </c>
      <c r="E283" s="15" t="n">
        <f aca="false">E277/D277-1</f>
        <v>0.428086013528419</v>
      </c>
      <c r="F283" s="15" t="n">
        <f aca="false">F277/E277-1</f>
        <v>0.0587923179477705</v>
      </c>
      <c r="G283" s="15" t="n">
        <f aca="false">G277/F277-1</f>
        <v>0.0135860806245958</v>
      </c>
    </row>
    <row r="284" customFormat="false" ht="17.15" hidden="false" customHeight="false" outlineLevel="0" collapsed="false">
      <c r="A284" s="0" t="s">
        <v>454</v>
      </c>
      <c r="B284" s="0" t="s">
        <v>52</v>
      </c>
      <c r="C284" s="15" t="n">
        <f aca="false">C274/C277</f>
        <v>0.426160798497332</v>
      </c>
      <c r="D284" s="15" t="n">
        <f aca="false">D274/D277</f>
        <v>0.68</v>
      </c>
      <c r="E284" s="15" t="n">
        <f aca="false">E274/E277</f>
        <v>0.769201576881461</v>
      </c>
      <c r="F284" s="15" t="n">
        <f aca="false">F274/F277</f>
        <v>0.777657631633362</v>
      </c>
      <c r="G284" s="15" t="n">
        <f aca="false">G274/G277</f>
        <v>0.776250660827724</v>
      </c>
    </row>
    <row r="285" customFormat="false" ht="17.15" hidden="false" customHeight="false" outlineLevel="0" collapsed="false">
      <c r="A285" s="4" t="s">
        <v>403</v>
      </c>
      <c r="B285" s="0" t="s">
        <v>389</v>
      </c>
      <c r="D285" s="16" t="n">
        <f aca="false">D274/fx/D265</f>
        <v>3.631383388734</v>
      </c>
      <c r="E285" s="16" t="n">
        <f aca="false">E274/fx/E265</f>
        <v>3.29597359817473</v>
      </c>
      <c r="F285" s="16" t="n">
        <f aca="false">F274/fx/F265</f>
        <v>2.78326659401422</v>
      </c>
      <c r="G285" s="16" t="n">
        <f aca="false">G274/fx/G265</f>
        <v>2.47198019863105</v>
      </c>
    </row>
    <row r="286" customFormat="false" ht="17.15" hidden="false" customHeight="false" outlineLevel="0" collapsed="false">
      <c r="A286" s="4" t="s">
        <v>455</v>
      </c>
      <c r="B286" s="4" t="s">
        <v>401</v>
      </c>
      <c r="D286" s="19" t="n">
        <f aca="false">D272/fx/(odm_gb*(1-vr26)+odm_vr*vr26)</f>
        <v>18.4522679153094</v>
      </c>
      <c r="E286" s="19" t="n">
        <f aca="false">E272/fx/odm_vr</f>
        <v>22.5953317879953</v>
      </c>
      <c r="F286" s="19" t="n">
        <f aca="false">F272/fx/odm_vr</f>
        <v>27.2101101211635</v>
      </c>
      <c r="G286" s="19" t="n">
        <f aca="false">G272/fx/odm_vr</f>
        <v>29.3652163842419</v>
      </c>
      <c r="H286" s="4" t="s">
        <v>456</v>
      </c>
    </row>
    <row r="287" customFormat="false" ht="17.15" hidden="false" customHeight="false" outlineLevel="0" collapsed="false">
      <c r="A287" s="6" t="s">
        <v>457</v>
      </c>
    </row>
    <row r="288" customFormat="false" ht="17.15" hidden="false" customHeight="false" outlineLevel="0" collapsed="false">
      <c r="A288" s="4" t="s">
        <v>458</v>
      </c>
      <c r="B288" s="0" t="s">
        <v>52</v>
      </c>
      <c r="D288" s="11" t="n">
        <f aca="false">a26_gp/D277-d_ai*D284</f>
        <v>0.0632307213692399</v>
      </c>
      <c r="H288" s="8" t="s">
        <v>459</v>
      </c>
    </row>
    <row r="289" customFormat="false" ht="17.15" hidden="false" customHeight="false" outlineLevel="0" collapsed="false">
      <c r="A289" s="0" t="s">
        <v>460</v>
      </c>
      <c r="B289" s="0" t="s">
        <v>195</v>
      </c>
      <c r="D289" s="21" t="n">
        <f aca="false">($D$288+d_ai)*D272*(1-D273*(1-keep_hi))</f>
        <v>117.54978712</v>
      </c>
      <c r="E289" s="21" t="n">
        <f aca="false">($D$288+d_ai+vrd)*E272*(1-E273*(1-keep_hi))</f>
        <v>196.349723440208</v>
      </c>
      <c r="F289" s="21" t="n">
        <f aca="false">($D$288+d_ai+vrd)*F272*(1-F273*(1-keep_hi))</f>
        <v>236.451389481546</v>
      </c>
      <c r="G289" s="21" t="n">
        <f aca="false">($D$288+d_ai+vrd)*G272*(1-G273*(1-keep_hi))</f>
        <v>255.178909073205</v>
      </c>
      <c r="H289" s="4" t="s">
        <v>461</v>
      </c>
    </row>
    <row r="290" customFormat="false" ht="15" hidden="false" customHeight="false" outlineLevel="0" collapsed="false">
      <c r="A290" s="4" t="s">
        <v>345</v>
      </c>
      <c r="B290" s="0" t="s">
        <v>195</v>
      </c>
      <c r="C290" s="19" t="n">
        <f aca="false">a25_gp</f>
        <v>148.2334922</v>
      </c>
      <c r="D290" s="19" t="n">
        <f aca="false">a26_gp</f>
        <v>198.45911</v>
      </c>
      <c r="E290" s="19" t="n">
        <f aca="false">$D$288*E276+E289</f>
        <v>279.686326006608</v>
      </c>
      <c r="F290" s="19" t="n">
        <f aca="false">$D$288*F276+F289</f>
        <v>321.454724099274</v>
      </c>
      <c r="G290" s="19" t="n">
        <f aca="false">$D$288*G276+G289</f>
        <v>341.882310383287</v>
      </c>
    </row>
    <row r="291" customFormat="false" ht="15" hidden="false" customHeight="false" outlineLevel="0" collapsed="false">
      <c r="A291" s="4" t="s">
        <v>348</v>
      </c>
      <c r="B291" s="0" t="s">
        <v>52</v>
      </c>
      <c r="C291" s="11" t="n">
        <f aca="false">C290/C277</f>
        <v>0.0698</v>
      </c>
      <c r="D291" s="11" t="n">
        <f aca="false">D290/D277</f>
        <v>0.0496307213692399</v>
      </c>
      <c r="E291" s="11" t="n">
        <f aca="false">E290/E277</f>
        <v>0.0489774778027772</v>
      </c>
      <c r="F291" s="11" t="n">
        <f aca="false">F290/F277</f>
        <v>0.0531660277163987</v>
      </c>
      <c r="G291" s="11" t="n">
        <f aca="false">G290/G277</f>
        <v>0.0557866641863517</v>
      </c>
    </row>
    <row r="292" customFormat="false" ht="17.15" hidden="false" customHeight="false" outlineLevel="0" collapsed="false">
      <c r="A292" s="0" t="s">
        <v>462</v>
      </c>
      <c r="B292" s="0" t="s">
        <v>52</v>
      </c>
      <c r="D292" s="11" t="n">
        <f aca="false">D289/D274</f>
        <v>0.0432307213692399</v>
      </c>
      <c r="E292" s="11" t="n">
        <f aca="false">E289/E274</f>
        <v>0.0447008015213776</v>
      </c>
      <c r="F292" s="11" t="n">
        <f aca="false">F289/F274</f>
        <v>0.0502884017115498</v>
      </c>
      <c r="G292" s="11" t="n">
        <f aca="false">G289/G274</f>
        <v>0.0536409618256532</v>
      </c>
      <c r="H292" s="4" t="s">
        <v>463</v>
      </c>
    </row>
    <row r="293" customFormat="false" ht="15" hidden="false" customHeight="false" outlineLevel="0" collapsed="false">
      <c r="A293" s="4" t="s">
        <v>464</v>
      </c>
      <c r="B293" s="0" t="s">
        <v>195</v>
      </c>
      <c r="C293" s="19" t="n">
        <f aca="false">a25_opx</f>
        <v>60.7375054</v>
      </c>
      <c r="D293" s="19" t="n">
        <f aca="false">a26_opx</f>
        <v>71.1893725</v>
      </c>
      <c r="E293" s="19" t="n">
        <f aca="false">D293*(1+MAX(0,phi*E283))</f>
        <v>83.3794423716459</v>
      </c>
      <c r="F293" s="19" t="n">
        <f aca="false">E293*(1+MAX(0,phi*F283))</f>
        <v>85.3402706461345</v>
      </c>
      <c r="G293" s="19" t="n">
        <f aca="false">F293*(1+MAX(0,phi*G283))</f>
        <v>85.8040465651438</v>
      </c>
    </row>
    <row r="294" customFormat="false" ht="15" hidden="false" customHeight="false" outlineLevel="0" collapsed="false">
      <c r="A294" s="4" t="s">
        <v>349</v>
      </c>
      <c r="B294" s="0" t="s">
        <v>195</v>
      </c>
      <c r="C294" s="19" t="n">
        <f aca="false">C293</f>
        <v>60.7375054</v>
      </c>
      <c r="D294" s="19" t="n">
        <f aca="false">D293</f>
        <v>71.1893725</v>
      </c>
      <c r="E294" s="19" t="n">
        <f aca="false">E293+0*E277</f>
        <v>83.3794423716459</v>
      </c>
      <c r="F294" s="19" t="n">
        <f aca="false">F293+0*F277</f>
        <v>85.3402706461345</v>
      </c>
      <c r="G294" s="19" t="n">
        <f aca="false">G293+0*G277</f>
        <v>85.8040465651438</v>
      </c>
    </row>
    <row r="295" customFormat="false" ht="15" hidden="false" customHeight="false" outlineLevel="0" collapsed="false">
      <c r="A295" s="4" t="s">
        <v>352</v>
      </c>
      <c r="B295" s="0" t="s">
        <v>195</v>
      </c>
      <c r="C295" s="19" t="n">
        <f aca="false">C290-C294</f>
        <v>87.4959868</v>
      </c>
      <c r="D295" s="19" t="n">
        <f aca="false">D290-D294</f>
        <v>127.2697375</v>
      </c>
      <c r="E295" s="19" t="n">
        <f aca="false">E290-E294</f>
        <v>196.306883634962</v>
      </c>
      <c r="F295" s="19" t="n">
        <f aca="false">F290-F294</f>
        <v>236.11445345314</v>
      </c>
      <c r="G295" s="19" t="n">
        <f aca="false">G290-G294</f>
        <v>256.078263818144</v>
      </c>
    </row>
    <row r="296" customFormat="false" ht="15" hidden="false" customHeight="false" outlineLevel="0" collapsed="false">
      <c r="A296" s="4" t="s">
        <v>355</v>
      </c>
      <c r="B296" s="0" t="s">
        <v>52</v>
      </c>
      <c r="C296" s="11" t="n">
        <f aca="false">C295/C277</f>
        <v>0.0412</v>
      </c>
      <c r="D296" s="11" t="n">
        <f aca="false">D295/D277</f>
        <v>0.0318276590104571</v>
      </c>
      <c r="E296" s="11" t="n">
        <f aca="false">E295/E277</f>
        <v>0.0343764250939338</v>
      </c>
      <c r="F296" s="11" t="n">
        <f aca="false">F295/F277</f>
        <v>0.0390514328626111</v>
      </c>
      <c r="G296" s="11" t="n">
        <f aca="false">G295/G277</f>
        <v>0.0417855843229527</v>
      </c>
    </row>
    <row r="297" customFormat="false" ht="17.15" hidden="false" customHeight="false" outlineLevel="0" collapsed="false">
      <c r="A297" s="4" t="s">
        <v>229</v>
      </c>
      <c r="B297" s="0" t="s">
        <v>52</v>
      </c>
      <c r="C297" s="15" t="n">
        <f aca="false">a25_ni/a25_oi</f>
        <v>0.856953590013114</v>
      </c>
      <c r="D297" s="15" t="n">
        <f aca="false">a26_ni/a26_oi</f>
        <v>0.869913569398224</v>
      </c>
      <c r="E297" s="15" t="n">
        <f aca="false">nio_f</f>
        <v>0.865</v>
      </c>
      <c r="F297" s="15" t="n">
        <f aca="false">nio_f</f>
        <v>0.865</v>
      </c>
      <c r="G297" s="15" t="n">
        <f aca="false">nio_f</f>
        <v>0.865</v>
      </c>
    </row>
    <row r="298" customFormat="false" ht="15" hidden="false" customHeight="false" outlineLevel="0" collapsed="false">
      <c r="A298" s="4" t="s">
        <v>356</v>
      </c>
      <c r="B298" s="0" t="s">
        <v>195</v>
      </c>
      <c r="C298" s="19" t="n">
        <f aca="false">a25_ni</f>
        <v>74.98</v>
      </c>
      <c r="D298" s="19" t="n">
        <f aca="false">a26_ni</f>
        <v>110.713671625</v>
      </c>
      <c r="E298" s="19" t="n">
        <f aca="false">E295*E297</f>
        <v>169.805454344242</v>
      </c>
      <c r="F298" s="19" t="n">
        <f aca="false">F295*F297</f>
        <v>204.239002236966</v>
      </c>
      <c r="G298" s="19" t="n">
        <f aca="false">G295*G297</f>
        <v>221.507698202694</v>
      </c>
    </row>
    <row r="299" customFormat="false" ht="15" hidden="false" customHeight="false" outlineLevel="0" collapsed="false">
      <c r="A299" s="4" t="s">
        <v>465</v>
      </c>
      <c r="B299" s="4" t="s">
        <v>216</v>
      </c>
      <c r="C299" s="22" t="n">
        <f aca="false">a25_sh</f>
        <v>3.85501285347044</v>
      </c>
      <c r="D299" s="22" t="n">
        <f aca="false">a26_sh</f>
        <v>3.85460170146945</v>
      </c>
      <c r="E299" s="22" t="n">
        <f aca="false">D299*(1+sh_g)</f>
        <v>3.85460170146945</v>
      </c>
      <c r="F299" s="22" t="n">
        <f aca="false">E299*(1+sh_g)</f>
        <v>3.85460170146945</v>
      </c>
      <c r="G299" s="22" t="n">
        <f aca="false">F299*(1+sh_g)</f>
        <v>3.85460170146945</v>
      </c>
    </row>
    <row r="300" customFormat="false" ht="15" hidden="false" customHeight="false" outlineLevel="0" collapsed="false">
      <c r="A300" s="0" t="s">
        <v>362</v>
      </c>
      <c r="B300" s="0" t="s">
        <v>246</v>
      </c>
      <c r="C300" s="21" t="n">
        <f aca="false">C298/C299</f>
        <v>19.45</v>
      </c>
      <c r="D300" s="21" t="n">
        <f aca="false">D298/D299</f>
        <v>28.7224673778341</v>
      </c>
      <c r="E300" s="21" t="n">
        <f aca="false">E298/E299</f>
        <v>44.0526590022281</v>
      </c>
      <c r="F300" s="21" t="n">
        <f aca="false">F298/F299</f>
        <v>52.9857604117971</v>
      </c>
      <c r="G300" s="21" t="n">
        <f aca="false">G298/G299</f>
        <v>57.4657812552335</v>
      </c>
    </row>
    <row r="301" customFormat="false" ht="17.15" hidden="false" customHeight="false" outlineLevel="0" collapsed="false">
      <c r="A301" s="0" t="s">
        <v>466</v>
      </c>
      <c r="B301" s="0" t="s">
        <v>52</v>
      </c>
      <c r="D301" s="15" t="n">
        <f aca="false">D300/C300-1</f>
        <v>0.476733541276816</v>
      </c>
      <c r="E301" s="15" t="n">
        <f aca="false">E300/D300-1</f>
        <v>0.533735191435008</v>
      </c>
      <c r="F301" s="15" t="n">
        <f aca="false">F300/E300-1</f>
        <v>0.20278234303898</v>
      </c>
      <c r="G301" s="15" t="n">
        <f aca="false">G300/F300-1</f>
        <v>0.0845514117117188</v>
      </c>
    </row>
    <row r="304" customFormat="false" ht="17.15" hidden="false" customHeight="false" outlineLevel="0" collapsed="false">
      <c r="A304" s="1" t="s">
        <v>777</v>
      </c>
    </row>
    <row r="305" customFormat="false" ht="17.15" hidden="false" customHeight="false" outlineLevel="0" collapsed="false">
      <c r="A305" s="5" t="s">
        <v>21</v>
      </c>
      <c r="B305" s="5" t="s">
        <v>22</v>
      </c>
      <c r="C305" s="12" t="s">
        <v>335</v>
      </c>
      <c r="D305" s="12" t="s">
        <v>411</v>
      </c>
      <c r="E305" s="12" t="s">
        <v>412</v>
      </c>
      <c r="F305" s="12" t="s">
        <v>413</v>
      </c>
      <c r="G305" s="12" t="s">
        <v>414</v>
      </c>
      <c r="H305" s="5" t="s">
        <v>384</v>
      </c>
    </row>
    <row r="306" customFormat="false" ht="17.15" hidden="false" customHeight="false" outlineLevel="0" collapsed="false">
      <c r="A306" s="6" t="s">
        <v>431</v>
      </c>
    </row>
    <row r="307" customFormat="false" ht="17.15" hidden="false" customHeight="false" outlineLevel="0" collapsed="false">
      <c r="A307" s="0" t="s">
        <v>432</v>
      </c>
      <c r="B307" s="0" t="s">
        <v>32</v>
      </c>
      <c r="D307" s="21" t="n">
        <f aca="false">itc_26*1</f>
        <v>781.872916666666</v>
      </c>
      <c r="E307" s="21" t="n">
        <f aca="false">itc_27*1*1</f>
        <v>1565.35</v>
      </c>
      <c r="F307" s="21" t="n">
        <f aca="false">itc_28*um28_A*1</f>
        <v>1984.26388888889</v>
      </c>
      <c r="G307" s="21" t="n">
        <f aca="false">itc_29*um29_A*1</f>
        <v>2260.39027777778</v>
      </c>
    </row>
    <row r="308" customFormat="false" ht="17.15" hidden="false" customHeight="false" outlineLevel="0" collapsed="false">
      <c r="A308" s="4" t="s">
        <v>433</v>
      </c>
      <c r="B308" s="0" t="s">
        <v>32</v>
      </c>
      <c r="D308" s="21" t="n">
        <f aca="false">itpg_gb*(1-vr26)+itpg_vr*vr26</f>
        <v>33.41403216</v>
      </c>
      <c r="E308" s="21" t="n">
        <f aca="false">itpg_vr</f>
        <v>37.586352</v>
      </c>
      <c r="F308" s="21" t="n">
        <f aca="false">itpg_vr</f>
        <v>37.586352</v>
      </c>
      <c r="G308" s="21" t="n">
        <f aca="false">itpg_vr</f>
        <v>37.586352</v>
      </c>
    </row>
    <row r="309" customFormat="false" ht="17.15" hidden="false" customHeight="false" outlineLevel="0" collapsed="false">
      <c r="A309" s="4" t="s">
        <v>434</v>
      </c>
      <c r="B309" s="0" t="s">
        <v>386</v>
      </c>
      <c r="D309" s="18" t="n">
        <f aca="false">D307/D308</f>
        <v>23.3995380420639</v>
      </c>
      <c r="E309" s="18" t="n">
        <f aca="false">E307/E308</f>
        <v>41.6467658260637</v>
      </c>
      <c r="F309" s="18" t="n">
        <f aca="false">F307/F308</f>
        <v>52.792138191248</v>
      </c>
      <c r="G309" s="18" t="n">
        <f aca="false">G307/G308</f>
        <v>60.1385917361116</v>
      </c>
    </row>
    <row r="310" customFormat="false" ht="17.15" hidden="false" customHeight="false" outlineLevel="0" collapsed="false">
      <c r="A310" s="4" t="s">
        <v>388</v>
      </c>
      <c r="B310" s="0" t="s">
        <v>389</v>
      </c>
      <c r="D310" s="16" t="n">
        <f aca="false">(racks_gb*odm_gb*(1-vr26)+racks_vr*odm_vr*vr26)/1000</f>
        <v>27.1209</v>
      </c>
      <c r="E310" s="16" t="n">
        <f aca="false">racks_vr*odm_vr/1000</f>
        <v>27.351</v>
      </c>
      <c r="F310" s="16" t="n">
        <f aca="false">$E310*VPLO_28</f>
        <v>23.24835</v>
      </c>
      <c r="G310" s="16" t="n">
        <f aca="false">$E310*VPLO_29</f>
        <v>23.24835</v>
      </c>
      <c r="H310" s="4" t="s">
        <v>435</v>
      </c>
    </row>
    <row r="311" customFormat="false" ht="17.15" hidden="false" customHeight="false" outlineLevel="0" collapsed="false">
      <c r="A311" s="0" t="s">
        <v>436</v>
      </c>
      <c r="B311" s="0" t="s">
        <v>32</v>
      </c>
      <c r="D311" s="19" t="n">
        <f aca="false">D309*D310</f>
        <v>634.61653128501</v>
      </c>
      <c r="E311" s="19" t="n">
        <f aca="false">E309*E310</f>
        <v>1139.08069210867</v>
      </c>
      <c r="F311" s="19" t="n">
        <f aca="false">F309*F310</f>
        <v>1227.3301059185</v>
      </c>
      <c r="G311" s="19" t="n">
        <f aca="false">G309*G310</f>
        <v>1398.12302918823</v>
      </c>
    </row>
    <row r="312" customFormat="false" ht="17.15" hidden="false" customHeight="false" outlineLevel="0" collapsed="false">
      <c r="A312" s="0" t="s">
        <v>437</v>
      </c>
      <c r="B312" s="0" t="s">
        <v>195</v>
      </c>
      <c r="D312" s="19" t="n">
        <f aca="false">D311*fx</f>
        <v>20307.7290011203</v>
      </c>
      <c r="E312" s="19" t="n">
        <f aca="false">E311*fx</f>
        <v>36450.5821474774</v>
      </c>
      <c r="F312" s="19" t="n">
        <f aca="false">F311*fx</f>
        <v>39274.563389392</v>
      </c>
      <c r="G312" s="19" t="n">
        <f aca="false">G311*fx</f>
        <v>44739.9369340233</v>
      </c>
    </row>
    <row r="313" customFormat="false" ht="17.15" hidden="false" customHeight="false" outlineLevel="0" collapsed="false">
      <c r="A313" s="4" t="s">
        <v>438</v>
      </c>
      <c r="B313" s="0" t="s">
        <v>52</v>
      </c>
      <c r="D313" s="15" t="n">
        <f aca="false">a26_ai/D312</f>
        <v>0.133896123975753</v>
      </c>
      <c r="H313" s="8" t="s">
        <v>439</v>
      </c>
    </row>
    <row r="314" customFormat="false" ht="17.15" hidden="false" customHeight="false" outlineLevel="0" collapsed="false">
      <c r="A314" s="4" t="s">
        <v>440</v>
      </c>
      <c r="B314" s="0" t="s">
        <v>72</v>
      </c>
      <c r="D314" s="16" t="n">
        <f aca="false">1</f>
        <v>1</v>
      </c>
      <c r="E314" s="16" t="n">
        <f aca="false">rel_27</f>
        <v>1</v>
      </c>
      <c r="F314" s="16" t="n">
        <f aca="false">rel_28</f>
        <v>0.95</v>
      </c>
      <c r="G314" s="16" t="n">
        <f aca="false">rel_29</f>
        <v>0.9</v>
      </c>
    </row>
    <row r="315" customFormat="false" ht="15" hidden="false" customHeight="false" outlineLevel="0" collapsed="false">
      <c r="A315" s="4" t="s">
        <v>393</v>
      </c>
      <c r="B315" s="0" t="s">
        <v>52</v>
      </c>
      <c r="D315" s="15" t="n">
        <f aca="false">$D$313*D314</f>
        <v>0.133896123975753</v>
      </c>
      <c r="E315" s="15" t="n">
        <f aca="false">$D$313*E314</f>
        <v>0.133896123975753</v>
      </c>
      <c r="F315" s="15" t="n">
        <f aca="false">$D$313*F314</f>
        <v>0.127201317776965</v>
      </c>
      <c r="G315" s="15" t="n">
        <f aca="false">$D$313*G314</f>
        <v>0.120506511578178</v>
      </c>
    </row>
    <row r="316" customFormat="false" ht="17.15" hidden="false" customHeight="false" outlineLevel="0" collapsed="false">
      <c r="A316" s="0" t="s">
        <v>441</v>
      </c>
      <c r="B316" s="0" t="s">
        <v>195</v>
      </c>
      <c r="D316" s="19" t="n">
        <f aca="false">D312*D315</f>
        <v>2719.1262</v>
      </c>
      <c r="E316" s="19" t="n">
        <f aca="false">E312*E315</f>
        <v>4880.59166620699</v>
      </c>
      <c r="F316" s="19" t="n">
        <f aca="false">F312*F315</f>
        <v>4995.77621824562</v>
      </c>
      <c r="G316" s="19" t="n">
        <f aca="false">G312*G315</f>
        <v>5391.45372814682</v>
      </c>
    </row>
    <row r="317" customFormat="false" ht="17.15" hidden="false" customHeight="false" outlineLevel="0" collapsed="false">
      <c r="A317" s="4" t="s">
        <v>397</v>
      </c>
      <c r="B317" s="0" t="s">
        <v>52</v>
      </c>
      <c r="D317" s="15" t="n">
        <f aca="false">0</f>
        <v>0</v>
      </c>
      <c r="E317" s="15" t="n">
        <f aca="false">cs_27</f>
        <v>0.1</v>
      </c>
      <c r="F317" s="15" t="n">
        <f aca="false">cs_28</f>
        <v>0.2</v>
      </c>
      <c r="G317" s="15" t="n">
        <f aca="false">cs_29</f>
        <v>0.25</v>
      </c>
      <c r="H317" s="8" t="s">
        <v>442</v>
      </c>
    </row>
    <row r="318" customFormat="false" ht="17.15" hidden="false" customHeight="false" outlineLevel="0" collapsed="false">
      <c r="A318" s="0" t="s">
        <v>443</v>
      </c>
      <c r="B318" s="0" t="s">
        <v>195</v>
      </c>
      <c r="C318" s="19" t="n">
        <f aca="false">a25_ai</f>
        <v>905.033</v>
      </c>
      <c r="D318" s="19" t="n">
        <f aca="false">D316*(1-D317)</f>
        <v>2719.1262</v>
      </c>
      <c r="E318" s="19" t="n">
        <f aca="false">E316*(1-E317)</f>
        <v>4392.53249958629</v>
      </c>
      <c r="F318" s="19" t="n">
        <f aca="false">F316*(1-F317)</f>
        <v>3996.62097459649</v>
      </c>
      <c r="G318" s="19" t="n">
        <f aca="false">G316*(1-G317)</f>
        <v>4043.59029611011</v>
      </c>
    </row>
    <row r="319" customFormat="false" ht="17.15" hidden="false" customHeight="false" outlineLevel="0" collapsed="false">
      <c r="A319" s="6" t="s">
        <v>444</v>
      </c>
    </row>
    <row r="320" customFormat="false" ht="17.15" hidden="false" customHeight="false" outlineLevel="0" collapsed="false">
      <c r="A320" s="4" t="s">
        <v>370</v>
      </c>
      <c r="B320" s="0" t="s">
        <v>195</v>
      </c>
      <c r="C320" s="19" t="n">
        <f aca="false">a25_nai</f>
        <v>1218.656</v>
      </c>
      <c r="D320" s="19" t="n">
        <f aca="false">a26_nai</f>
        <v>1279.5888</v>
      </c>
      <c r="E320" s="19" t="n">
        <f aca="false">D320*(1+g_nai27)</f>
        <v>1317.976464</v>
      </c>
      <c r="F320" s="19" t="n">
        <f aca="false">E320*(1+g_nai28)</f>
        <v>1344.33599328</v>
      </c>
      <c r="G320" s="19" t="n">
        <f aca="false">F320*(1+g_nai29)</f>
        <v>1371.2227131456</v>
      </c>
    </row>
    <row r="321" customFormat="false" ht="15" hidden="false" customHeight="false" outlineLevel="0" collapsed="false">
      <c r="A321" s="4" t="s">
        <v>341</v>
      </c>
      <c r="B321" s="0" t="s">
        <v>195</v>
      </c>
      <c r="C321" s="19" t="n">
        <f aca="false">C318+C320</f>
        <v>2123.689</v>
      </c>
      <c r="D321" s="19" t="n">
        <f aca="false">D318+D320</f>
        <v>3998.715</v>
      </c>
      <c r="E321" s="19" t="n">
        <f aca="false">E318+E320</f>
        <v>5710.50896358629</v>
      </c>
      <c r="F321" s="19" t="n">
        <f aca="false">F318+F320</f>
        <v>5340.95696787649</v>
      </c>
      <c r="G321" s="19" t="n">
        <f aca="false">G318+G320</f>
        <v>5414.81300925571</v>
      </c>
    </row>
    <row r="322" customFormat="false" ht="17.15" hidden="false" customHeight="false" outlineLevel="0" collapsed="false">
      <c r="A322" s="4" t="s">
        <v>445</v>
      </c>
      <c r="B322" s="0" t="s">
        <v>195</v>
      </c>
      <c r="C322" s="19" t="n">
        <f aca="false">srv_25*C321-C318</f>
        <v>602.78619</v>
      </c>
      <c r="D322" s="19" t="n">
        <f aca="false">srv_26*D321-D318</f>
        <v>679.78155</v>
      </c>
      <c r="E322" s="19" t="n">
        <f aca="false">D322*(1+g_gs27)</f>
        <v>747.759705</v>
      </c>
      <c r="F322" s="19" t="n">
        <f aca="false">E322*(1+g_gs28)</f>
        <v>785.14769025</v>
      </c>
      <c r="G322" s="19" t="n">
        <f aca="false">F322*(1+g_gs29)</f>
        <v>824.4050747625</v>
      </c>
      <c r="H322" s="8" t="s">
        <v>446</v>
      </c>
    </row>
    <row r="323" customFormat="false" ht="17.15" hidden="false" customHeight="false" outlineLevel="0" collapsed="false">
      <c r="A323" s="4" t="s">
        <v>447</v>
      </c>
      <c r="B323" s="0" t="s">
        <v>195</v>
      </c>
      <c r="C323" s="19" t="n">
        <f aca="false">C318+C322</f>
        <v>1507.81919</v>
      </c>
      <c r="D323" s="19" t="n">
        <f aca="false">D318+D322</f>
        <v>3398.90775</v>
      </c>
      <c r="E323" s="19" t="n">
        <f aca="false">E318+E322</f>
        <v>5140.29220458629</v>
      </c>
      <c r="F323" s="19" t="n">
        <f aca="false">F318+F322</f>
        <v>4781.76866484649</v>
      </c>
      <c r="G323" s="19" t="n">
        <f aca="false">G318+G322</f>
        <v>4867.99537087261</v>
      </c>
      <c r="H323" s="4" t="s">
        <v>448</v>
      </c>
    </row>
    <row r="324" customFormat="false" ht="15" hidden="false" customHeight="false" outlineLevel="0" collapsed="false">
      <c r="A324" s="4" t="s">
        <v>449</v>
      </c>
      <c r="B324" s="0" t="s">
        <v>195</v>
      </c>
      <c r="C324" s="19" t="n">
        <f aca="false">nbsh_25*C321</f>
        <v>467.21158</v>
      </c>
      <c r="D324" s="19" t="n">
        <f aca="false">nbsh_26*D321</f>
        <v>439.85865</v>
      </c>
      <c r="E324" s="19" t="n">
        <f aca="false">D324*(1+g_nb27)</f>
        <v>395.872785</v>
      </c>
      <c r="F324" s="19" t="n">
        <f aca="false">E324*(1+g_nb28)</f>
        <v>376.07914575</v>
      </c>
      <c r="G324" s="19" t="n">
        <f aca="false">F324*(1+g_nb29)</f>
        <v>364.7967713775</v>
      </c>
      <c r="H324" s="4" t="s">
        <v>450</v>
      </c>
    </row>
    <row r="325" customFormat="false" ht="17.15" hidden="false" customHeight="false" outlineLevel="0" collapsed="false">
      <c r="A325" s="4" t="s">
        <v>451</v>
      </c>
      <c r="B325" s="0" t="s">
        <v>195</v>
      </c>
      <c r="C325" s="19" t="n">
        <f aca="false">C320-C324-C322</f>
        <v>148.65823</v>
      </c>
      <c r="D325" s="19" t="n">
        <f aca="false">D320-D324-D322</f>
        <v>159.9486</v>
      </c>
      <c r="E325" s="19" t="n">
        <f aca="false">E320-E324-E322</f>
        <v>174.343974</v>
      </c>
      <c r="F325" s="19" t="n">
        <f aca="false">F320-F324-F322</f>
        <v>183.10915728</v>
      </c>
      <c r="G325" s="19" t="n">
        <f aca="false">G320-G324-G322</f>
        <v>182.0208670056</v>
      </c>
    </row>
    <row r="326" customFormat="false" ht="15" hidden="false" customHeight="false" outlineLevel="0" collapsed="false">
      <c r="A326" s="4" t="s">
        <v>452</v>
      </c>
      <c r="B326" s="0" t="s">
        <v>195</v>
      </c>
      <c r="C326" s="22" t="n">
        <f aca="false">C323+C324+C325-C321</f>
        <v>0</v>
      </c>
      <c r="D326" s="22" t="n">
        <f aca="false">D323+D324+D325-D321</f>
        <v>0</v>
      </c>
      <c r="E326" s="22" t="n">
        <f aca="false">E323+E324+E325-E321</f>
        <v>0</v>
      </c>
      <c r="F326" s="22" t="n">
        <f aca="false">F323+F324+F325-F321</f>
        <v>0</v>
      </c>
      <c r="G326" s="22" t="n">
        <f aca="false">G323+G324+G325-G321</f>
        <v>0</v>
      </c>
    </row>
    <row r="327" customFormat="false" ht="15" hidden="false" customHeight="false" outlineLevel="0" collapsed="false">
      <c r="A327" s="4" t="s">
        <v>453</v>
      </c>
      <c r="B327" s="0" t="s">
        <v>52</v>
      </c>
      <c r="D327" s="15" t="n">
        <f aca="false">D321/C321-1</f>
        <v>0.88290987993063</v>
      </c>
      <c r="E327" s="15" t="n">
        <f aca="false">E321/D321-1</f>
        <v>0.428086013528419</v>
      </c>
      <c r="F327" s="15" t="n">
        <f aca="false">F321/E321-1</f>
        <v>-0.0647143710072586</v>
      </c>
      <c r="G327" s="15" t="n">
        <f aca="false">G321/F321-1</f>
        <v>0.0138282412353126</v>
      </c>
    </row>
    <row r="328" customFormat="false" ht="17.15" hidden="false" customHeight="false" outlineLevel="0" collapsed="false">
      <c r="A328" s="0" t="s">
        <v>454</v>
      </c>
      <c r="B328" s="0" t="s">
        <v>52</v>
      </c>
      <c r="C328" s="15" t="n">
        <f aca="false">C318/C321</f>
        <v>0.426160798497332</v>
      </c>
      <c r="D328" s="15" t="n">
        <f aca="false">D318/D321</f>
        <v>0.68</v>
      </c>
      <c r="E328" s="15" t="n">
        <f aca="false">E318/E321</f>
        <v>0.769201576881461</v>
      </c>
      <c r="F328" s="15" t="n">
        <f aca="false">F318/F321</f>
        <v>0.748296793745842</v>
      </c>
      <c r="G328" s="15" t="n">
        <f aca="false">G318/G321</f>
        <v>0.746764530778491</v>
      </c>
    </row>
    <row r="329" customFormat="false" ht="17.15" hidden="false" customHeight="false" outlineLevel="0" collapsed="false">
      <c r="A329" s="4" t="s">
        <v>403</v>
      </c>
      <c r="B329" s="0" t="s">
        <v>389</v>
      </c>
      <c r="D329" s="16" t="n">
        <f aca="false">D318/fx/D309</f>
        <v>3.631383388734</v>
      </c>
      <c r="E329" s="16" t="n">
        <f aca="false">E318/fx/E309</f>
        <v>3.29597359817473</v>
      </c>
      <c r="F329" s="16" t="n">
        <f aca="false">F318/fx/F309</f>
        <v>2.36577660491209</v>
      </c>
      <c r="G329" s="16" t="n">
        <f aca="false">G318/fx/G309</f>
        <v>2.10118316883639</v>
      </c>
    </row>
    <row r="330" customFormat="false" ht="17.15" hidden="false" customHeight="false" outlineLevel="0" collapsed="false">
      <c r="A330" s="4" t="s">
        <v>455</v>
      </c>
      <c r="B330" s="4" t="s">
        <v>401</v>
      </c>
      <c r="D330" s="19" t="n">
        <f aca="false">D316/fx/(odm_gb*(1-vr26)+odm_vr*vr26)</f>
        <v>18.4522679153094</v>
      </c>
      <c r="E330" s="19" t="n">
        <f aca="false">E316/fx/odm_vr</f>
        <v>22.5953317879953</v>
      </c>
      <c r="F330" s="19" t="n">
        <f aca="false">F316/fx/odm_vr</f>
        <v>23.128593602989</v>
      </c>
      <c r="G330" s="19" t="n">
        <f aca="false">G316/fx/odm_vr</f>
        <v>24.9604339266056</v>
      </c>
      <c r="H330" s="4" t="s">
        <v>456</v>
      </c>
    </row>
    <row r="331" customFormat="false" ht="17.15" hidden="false" customHeight="false" outlineLevel="0" collapsed="false">
      <c r="A331" s="6" t="s">
        <v>457</v>
      </c>
    </row>
    <row r="332" customFormat="false" ht="17.15" hidden="false" customHeight="false" outlineLevel="0" collapsed="false">
      <c r="A332" s="4" t="s">
        <v>458</v>
      </c>
      <c r="B332" s="0" t="s">
        <v>52</v>
      </c>
      <c r="D332" s="11" t="n">
        <f aca="false">a26_gp/D321-d_ai*D328</f>
        <v>0.0632307213692399</v>
      </c>
      <c r="H332" s="8" t="s">
        <v>459</v>
      </c>
    </row>
    <row r="333" customFormat="false" ht="17.15" hidden="false" customHeight="false" outlineLevel="0" collapsed="false">
      <c r="A333" s="0" t="s">
        <v>460</v>
      </c>
      <c r="B333" s="0" t="s">
        <v>195</v>
      </c>
      <c r="D333" s="21" t="n">
        <f aca="false">($D$332+d_ai)*D316*(1-D317*(1-keep))</f>
        <v>117.54978712</v>
      </c>
      <c r="E333" s="21" t="n">
        <f aca="false">($D$332+d_ai+vrd)*E316*(1-E317*(1-keep))</f>
        <v>194.386226205806</v>
      </c>
      <c r="F333" s="21" t="n">
        <f aca="false">($D$332+d_ai+vrd)*F316*(1-F317*(1-keep))</f>
        <v>196.964007438128</v>
      </c>
      <c r="G333" s="21" t="n">
        <f aca="false">($D$332+d_ai+vrd)*G316*(1-G317*(1-keep))</f>
        <v>211.479520894419</v>
      </c>
      <c r="H333" s="4" t="s">
        <v>461</v>
      </c>
    </row>
    <row r="334" customFormat="false" ht="15" hidden="false" customHeight="false" outlineLevel="0" collapsed="false">
      <c r="A334" s="4" t="s">
        <v>345</v>
      </c>
      <c r="B334" s="0" t="s">
        <v>195</v>
      </c>
      <c r="C334" s="19" t="n">
        <f aca="false">a25_gp</f>
        <v>148.2334922</v>
      </c>
      <c r="D334" s="19" t="n">
        <f aca="false">a26_gp</f>
        <v>198.45911</v>
      </c>
      <c r="E334" s="19" t="n">
        <f aca="false">$D$332*E320+E333</f>
        <v>277.722828772206</v>
      </c>
      <c r="F334" s="19" t="n">
        <f aca="false">$D$332*F320+F333</f>
        <v>281.967342055856</v>
      </c>
      <c r="G334" s="19" t="n">
        <f aca="false">$D$332*G320+G333</f>
        <v>298.182922204501</v>
      </c>
    </row>
    <row r="335" customFormat="false" ht="15" hidden="false" customHeight="false" outlineLevel="0" collapsed="false">
      <c r="A335" s="4" t="s">
        <v>348</v>
      </c>
      <c r="B335" s="0" t="s">
        <v>52</v>
      </c>
      <c r="C335" s="11" t="n">
        <f aca="false">C334/C321</f>
        <v>0.0698</v>
      </c>
      <c r="D335" s="11" t="n">
        <f aca="false">D334/D321</f>
        <v>0.0496307213692399</v>
      </c>
      <c r="E335" s="11" t="n">
        <f aca="false">E334/E321</f>
        <v>0.0486336385325961</v>
      </c>
      <c r="F335" s="11" t="n">
        <f aca="false">F334/F321</f>
        <v>0.0527934120704895</v>
      </c>
      <c r="G335" s="11" t="n">
        <f aca="false">G334/G321</f>
        <v>0.0550679998911888</v>
      </c>
    </row>
    <row r="336" customFormat="false" ht="17.15" hidden="false" customHeight="false" outlineLevel="0" collapsed="false">
      <c r="A336" s="0" t="s">
        <v>462</v>
      </c>
      <c r="B336" s="0" t="s">
        <v>52</v>
      </c>
      <c r="D336" s="11" t="n">
        <f aca="false">D333/D318</f>
        <v>0.0432307213692399</v>
      </c>
      <c r="E336" s="11" t="n">
        <f aca="false">E333/E318</f>
        <v>0.0442537935061639</v>
      </c>
      <c r="F336" s="11" t="n">
        <f aca="false">F333/F318</f>
        <v>0.0492826336773188</v>
      </c>
      <c r="G336" s="11" t="n">
        <f aca="false">G333/G318</f>
        <v>0.0522999377800118</v>
      </c>
      <c r="H336" s="4" t="s">
        <v>463</v>
      </c>
    </row>
    <row r="337" customFormat="false" ht="15" hidden="false" customHeight="false" outlineLevel="0" collapsed="false">
      <c r="A337" s="4" t="s">
        <v>464</v>
      </c>
      <c r="B337" s="0" t="s">
        <v>195</v>
      </c>
      <c r="C337" s="19" t="n">
        <f aca="false">a25_opx</f>
        <v>60.7375054</v>
      </c>
      <c r="D337" s="19" t="n">
        <f aca="false">a26_opx</f>
        <v>71.1893725</v>
      </c>
      <c r="E337" s="19" t="n">
        <f aca="false">D337*(1+MAX(0,phi*E327))</f>
        <v>83.3794423716459</v>
      </c>
      <c r="F337" s="19" t="n">
        <f aca="false">E337*(1+MAX(0,phi*F327))</f>
        <v>83.3794423716459</v>
      </c>
      <c r="G337" s="19" t="n">
        <f aca="false">F337*(1+MAX(0,phi*G327))</f>
        <v>83.8406387889183</v>
      </c>
    </row>
    <row r="338" customFormat="false" ht="15" hidden="false" customHeight="false" outlineLevel="0" collapsed="false">
      <c r="A338" s="4" t="s">
        <v>349</v>
      </c>
      <c r="B338" s="0" t="s">
        <v>195</v>
      </c>
      <c r="C338" s="19" t="n">
        <f aca="false">C337</f>
        <v>60.7375054</v>
      </c>
      <c r="D338" s="19" t="n">
        <f aca="false">D337</f>
        <v>71.1893725</v>
      </c>
      <c r="E338" s="19" t="n">
        <f aca="false">E337+0*E321</f>
        <v>83.3794423716459</v>
      </c>
      <c r="F338" s="19" t="n">
        <f aca="false">F337+0*F321</f>
        <v>83.3794423716459</v>
      </c>
      <c r="G338" s="19" t="n">
        <f aca="false">G337+0*G321</f>
        <v>83.8406387889183</v>
      </c>
    </row>
    <row r="339" customFormat="false" ht="15" hidden="false" customHeight="false" outlineLevel="0" collapsed="false">
      <c r="A339" s="4" t="s">
        <v>352</v>
      </c>
      <c r="B339" s="0" t="s">
        <v>195</v>
      </c>
      <c r="C339" s="19" t="n">
        <f aca="false">C334-C338</f>
        <v>87.4959868</v>
      </c>
      <c r="D339" s="19" t="n">
        <f aca="false">D334-D338</f>
        <v>127.2697375</v>
      </c>
      <c r="E339" s="19" t="n">
        <f aca="false">E334-E338</f>
        <v>194.34338640056</v>
      </c>
      <c r="F339" s="19" t="n">
        <f aca="false">F334-F338</f>
        <v>198.58789968421</v>
      </c>
      <c r="G339" s="19" t="n">
        <f aca="false">G334-G338</f>
        <v>214.342283415583</v>
      </c>
    </row>
    <row r="340" customFormat="false" ht="15" hidden="false" customHeight="false" outlineLevel="0" collapsed="false">
      <c r="A340" s="4" t="s">
        <v>355</v>
      </c>
      <c r="B340" s="0" t="s">
        <v>52</v>
      </c>
      <c r="C340" s="11" t="n">
        <f aca="false">C339/C321</f>
        <v>0.0412</v>
      </c>
      <c r="D340" s="11" t="n">
        <f aca="false">D339/D321</f>
        <v>0.0318276590104571</v>
      </c>
      <c r="E340" s="11" t="n">
        <f aca="false">E339/E321</f>
        <v>0.0340325858237527</v>
      </c>
      <c r="F340" s="11" t="n">
        <f aca="false">F339/F321</f>
        <v>0.037182081952472</v>
      </c>
      <c r="G340" s="11" t="n">
        <f aca="false">G339/G321</f>
        <v>0.0395844294252084</v>
      </c>
    </row>
    <row r="341" customFormat="false" ht="17.15" hidden="false" customHeight="false" outlineLevel="0" collapsed="false">
      <c r="A341" s="4" t="s">
        <v>229</v>
      </c>
      <c r="B341" s="0" t="s">
        <v>52</v>
      </c>
      <c r="C341" s="15" t="n">
        <f aca="false">a25_ni/a25_oi</f>
        <v>0.856953590013114</v>
      </c>
      <c r="D341" s="15" t="n">
        <f aca="false">a26_ni/a26_oi</f>
        <v>0.869913569398224</v>
      </c>
      <c r="E341" s="15" t="n">
        <f aca="false">nio_f</f>
        <v>0.865</v>
      </c>
      <c r="F341" s="15" t="n">
        <f aca="false">nio_f</f>
        <v>0.865</v>
      </c>
      <c r="G341" s="15" t="n">
        <f aca="false">nio_f</f>
        <v>0.865</v>
      </c>
    </row>
    <row r="342" customFormat="false" ht="15" hidden="false" customHeight="false" outlineLevel="0" collapsed="false">
      <c r="A342" s="4" t="s">
        <v>356</v>
      </c>
      <c r="B342" s="0" t="s">
        <v>195</v>
      </c>
      <c r="C342" s="19" t="n">
        <f aca="false">a25_ni</f>
        <v>74.98</v>
      </c>
      <c r="D342" s="19" t="n">
        <f aca="false">a26_ni</f>
        <v>110.713671625</v>
      </c>
      <c r="E342" s="19" t="n">
        <f aca="false">E339*E341</f>
        <v>168.107029236484</v>
      </c>
      <c r="F342" s="19" t="n">
        <f aca="false">F339*F341</f>
        <v>171.778533226842</v>
      </c>
      <c r="G342" s="19" t="n">
        <f aca="false">G339*G341</f>
        <v>185.406075154479</v>
      </c>
    </row>
    <row r="343" customFormat="false" ht="15" hidden="false" customHeight="false" outlineLevel="0" collapsed="false">
      <c r="A343" s="4" t="s">
        <v>465</v>
      </c>
      <c r="B343" s="4" t="s">
        <v>216</v>
      </c>
      <c r="C343" s="22" t="n">
        <f aca="false">a25_sh</f>
        <v>3.85501285347044</v>
      </c>
      <c r="D343" s="22" t="n">
        <f aca="false">a26_sh</f>
        <v>3.85460170146945</v>
      </c>
      <c r="E343" s="22" t="n">
        <f aca="false">D343*(1+sh_g)</f>
        <v>3.85460170146945</v>
      </c>
      <c r="F343" s="22" t="n">
        <f aca="false">E343*(1+sh_g)</f>
        <v>3.85460170146945</v>
      </c>
      <c r="G343" s="22" t="n">
        <f aca="false">F343*(1+sh_g)</f>
        <v>3.85460170146945</v>
      </c>
    </row>
    <row r="344" customFormat="false" ht="15" hidden="false" customHeight="false" outlineLevel="0" collapsed="false">
      <c r="A344" s="0" t="s">
        <v>362</v>
      </c>
      <c r="B344" s="0" t="s">
        <v>246</v>
      </c>
      <c r="C344" s="21" t="n">
        <f aca="false">C342/C343</f>
        <v>19.45</v>
      </c>
      <c r="D344" s="21" t="n">
        <f aca="false">D342/D343</f>
        <v>28.7224673778341</v>
      </c>
      <c r="E344" s="21" t="n">
        <f aca="false">E342/E343</f>
        <v>43.6120362766401</v>
      </c>
      <c r="F344" s="21" t="n">
        <f aca="false">F342/F343</f>
        <v>44.5645352051177</v>
      </c>
      <c r="G344" s="21" t="n">
        <f aca="false">G342/G343</f>
        <v>48.0999308135517</v>
      </c>
    </row>
    <row r="345" customFormat="false" ht="17.15" hidden="false" customHeight="false" outlineLevel="0" collapsed="false">
      <c r="A345" s="0" t="s">
        <v>466</v>
      </c>
      <c r="B345" s="0" t="s">
        <v>52</v>
      </c>
      <c r="D345" s="15" t="n">
        <f aca="false">D344/C344-1</f>
        <v>0.476733541276816</v>
      </c>
      <c r="E345" s="15" t="n">
        <f aca="false">E344/D344-1</f>
        <v>0.518394492469567</v>
      </c>
      <c r="F345" s="15" t="n">
        <f aca="false">F344/E344-1</f>
        <v>0.0218402764419372</v>
      </c>
      <c r="G345" s="15" t="n">
        <f aca="false">G344/F344-1</f>
        <v>0.079332042669392</v>
      </c>
    </row>
    <row r="348" customFormat="false" ht="17.15" hidden="false" customHeight="false" outlineLevel="0" collapsed="false">
      <c r="A348" s="1" t="s">
        <v>778</v>
      </c>
    </row>
    <row r="349" customFormat="false" ht="17.15" hidden="false" customHeight="false" outlineLevel="0" collapsed="false">
      <c r="A349" s="5" t="s">
        <v>21</v>
      </c>
      <c r="B349" s="5" t="s">
        <v>22</v>
      </c>
      <c r="C349" s="12" t="s">
        <v>335</v>
      </c>
      <c r="D349" s="12" t="s">
        <v>411</v>
      </c>
      <c r="E349" s="12" t="s">
        <v>412</v>
      </c>
      <c r="F349" s="12" t="s">
        <v>413</v>
      </c>
      <c r="G349" s="12" t="s">
        <v>414</v>
      </c>
      <c r="H349" s="5" t="s">
        <v>384</v>
      </c>
    </row>
    <row r="350" customFormat="false" ht="17.15" hidden="false" customHeight="false" outlineLevel="0" collapsed="false">
      <c r="A350" s="6" t="s">
        <v>431</v>
      </c>
    </row>
    <row r="351" customFormat="false" ht="17.15" hidden="false" customHeight="false" outlineLevel="0" collapsed="false">
      <c r="A351" s="0" t="s">
        <v>432</v>
      </c>
      <c r="B351" s="0" t="s">
        <v>32</v>
      </c>
      <c r="D351" s="21" t="n">
        <f aca="false">itc_26*1</f>
        <v>781.872916666666</v>
      </c>
      <c r="E351" s="21" t="n">
        <f aca="false">itc_27*1*1</f>
        <v>1565.35</v>
      </c>
      <c r="F351" s="21" t="n">
        <f aca="false">itc_28*um28_A*1</f>
        <v>1984.26388888889</v>
      </c>
      <c r="G351" s="21" t="n">
        <f aca="false">itc_29*um29_A*1</f>
        <v>2260.39027777778</v>
      </c>
    </row>
    <row r="352" customFormat="false" ht="17.15" hidden="false" customHeight="false" outlineLevel="0" collapsed="false">
      <c r="A352" s="4" t="s">
        <v>433</v>
      </c>
      <c r="B352" s="0" t="s">
        <v>32</v>
      </c>
      <c r="D352" s="21" t="n">
        <f aca="false">itpg_gb*(1-vr26)+itpg_vr*vr26</f>
        <v>33.41403216</v>
      </c>
      <c r="E352" s="21" t="n">
        <f aca="false">itpg_vr</f>
        <v>37.586352</v>
      </c>
      <c r="F352" s="21" t="n">
        <f aca="false">itpg_vr</f>
        <v>37.586352</v>
      </c>
      <c r="G352" s="21" t="n">
        <f aca="false">itpg_vr</f>
        <v>37.586352</v>
      </c>
    </row>
    <row r="353" customFormat="false" ht="17.15" hidden="false" customHeight="false" outlineLevel="0" collapsed="false">
      <c r="A353" s="4" t="s">
        <v>434</v>
      </c>
      <c r="B353" s="0" t="s">
        <v>386</v>
      </c>
      <c r="D353" s="18" t="n">
        <f aca="false">D351/D352</f>
        <v>23.3995380420639</v>
      </c>
      <c r="E353" s="18" t="n">
        <f aca="false">E351/E352</f>
        <v>41.6467658260637</v>
      </c>
      <c r="F353" s="18" t="n">
        <f aca="false">F351/F352</f>
        <v>52.792138191248</v>
      </c>
      <c r="G353" s="18" t="n">
        <f aca="false">G351/G352</f>
        <v>60.1385917361116</v>
      </c>
    </row>
    <row r="354" customFormat="false" ht="17.15" hidden="false" customHeight="false" outlineLevel="0" collapsed="false">
      <c r="A354" s="4" t="s">
        <v>388</v>
      </c>
      <c r="B354" s="0" t="s">
        <v>389</v>
      </c>
      <c r="D354" s="16" t="n">
        <f aca="false">(racks_gb*odm_gb*(1-vr26)+racks_vr*odm_vr*vr26)/1000</f>
        <v>27.1209</v>
      </c>
      <c r="E354" s="16" t="n">
        <f aca="false">racks_vr*odm_vr/1000</f>
        <v>27.351</v>
      </c>
      <c r="F354" s="16" t="n">
        <f aca="false">$E354*VPHI_28</f>
        <v>32.8212</v>
      </c>
      <c r="G354" s="16" t="n">
        <f aca="false">$E354*VPHI_29</f>
        <v>32.8212</v>
      </c>
      <c r="H354" s="4" t="s">
        <v>435</v>
      </c>
    </row>
    <row r="355" customFormat="false" ht="17.15" hidden="false" customHeight="false" outlineLevel="0" collapsed="false">
      <c r="A355" s="0" t="s">
        <v>436</v>
      </c>
      <c r="B355" s="0" t="s">
        <v>32</v>
      </c>
      <c r="D355" s="19" t="n">
        <f aca="false">D353*D354</f>
        <v>634.61653128501</v>
      </c>
      <c r="E355" s="19" t="n">
        <f aca="false">E353*E354</f>
        <v>1139.08069210867</v>
      </c>
      <c r="F355" s="19" t="n">
        <f aca="false">F353*F354</f>
        <v>1732.70132600259</v>
      </c>
      <c r="G355" s="19" t="n">
        <f aca="false">G353*G354</f>
        <v>1973.82074708926</v>
      </c>
    </row>
    <row r="356" customFormat="false" ht="17.15" hidden="false" customHeight="false" outlineLevel="0" collapsed="false">
      <c r="A356" s="0" t="s">
        <v>437</v>
      </c>
      <c r="B356" s="0" t="s">
        <v>195</v>
      </c>
      <c r="D356" s="19" t="n">
        <f aca="false">D355*fx</f>
        <v>20307.7290011203</v>
      </c>
      <c r="E356" s="19" t="n">
        <f aca="false">E355*fx</f>
        <v>36450.5821474774</v>
      </c>
      <c r="F356" s="19" t="n">
        <f aca="false">F355*fx</f>
        <v>55446.4424320828</v>
      </c>
      <c r="G356" s="19" t="n">
        <f aca="false">G355*fx</f>
        <v>63162.2639068565</v>
      </c>
    </row>
    <row r="357" customFormat="false" ht="17.15" hidden="false" customHeight="false" outlineLevel="0" collapsed="false">
      <c r="A357" s="4" t="s">
        <v>438</v>
      </c>
      <c r="B357" s="0" t="s">
        <v>52</v>
      </c>
      <c r="D357" s="15" t="n">
        <f aca="false">a26_ai/D356</f>
        <v>0.133896123975753</v>
      </c>
      <c r="H357" s="8" t="s">
        <v>439</v>
      </c>
    </row>
    <row r="358" customFormat="false" ht="17.15" hidden="false" customHeight="false" outlineLevel="0" collapsed="false">
      <c r="A358" s="4" t="s">
        <v>440</v>
      </c>
      <c r="B358" s="0" t="s">
        <v>72</v>
      </c>
      <c r="D358" s="16" t="n">
        <f aca="false">1</f>
        <v>1</v>
      </c>
      <c r="E358" s="16" t="n">
        <f aca="false">rel_27</f>
        <v>1</v>
      </c>
      <c r="F358" s="16" t="n">
        <f aca="false">rel_28</f>
        <v>0.95</v>
      </c>
      <c r="G358" s="16" t="n">
        <f aca="false">rel_29</f>
        <v>0.9</v>
      </c>
    </row>
    <row r="359" customFormat="false" ht="15" hidden="false" customHeight="false" outlineLevel="0" collapsed="false">
      <c r="A359" s="4" t="s">
        <v>393</v>
      </c>
      <c r="B359" s="0" t="s">
        <v>52</v>
      </c>
      <c r="D359" s="15" t="n">
        <f aca="false">$D$357*D358</f>
        <v>0.133896123975753</v>
      </c>
      <c r="E359" s="15" t="n">
        <f aca="false">$D$357*E358</f>
        <v>0.133896123975753</v>
      </c>
      <c r="F359" s="15" t="n">
        <f aca="false">$D$357*F358</f>
        <v>0.127201317776965</v>
      </c>
      <c r="G359" s="15" t="n">
        <f aca="false">$D$357*G358</f>
        <v>0.120506511578178</v>
      </c>
    </row>
    <row r="360" customFormat="false" ht="17.15" hidden="false" customHeight="false" outlineLevel="0" collapsed="false">
      <c r="A360" s="0" t="s">
        <v>441</v>
      </c>
      <c r="B360" s="0" t="s">
        <v>195</v>
      </c>
      <c r="D360" s="19" t="n">
        <f aca="false">D356*D359</f>
        <v>2719.1262</v>
      </c>
      <c r="E360" s="19" t="n">
        <f aca="false">E356*E359</f>
        <v>4880.59166620699</v>
      </c>
      <c r="F360" s="19" t="n">
        <f aca="false">F356*F359</f>
        <v>7052.86054340558</v>
      </c>
      <c r="G360" s="19" t="n">
        <f aca="false">G356*G359</f>
        <v>7611.46408679551</v>
      </c>
    </row>
    <row r="361" customFormat="false" ht="17.15" hidden="false" customHeight="false" outlineLevel="0" collapsed="false">
      <c r="A361" s="4" t="s">
        <v>397</v>
      </c>
      <c r="B361" s="0" t="s">
        <v>52</v>
      </c>
      <c r="D361" s="15" t="n">
        <f aca="false">0</f>
        <v>0</v>
      </c>
      <c r="E361" s="15" t="n">
        <f aca="false">cs_27</f>
        <v>0.1</v>
      </c>
      <c r="F361" s="15" t="n">
        <f aca="false">cs_28</f>
        <v>0.2</v>
      </c>
      <c r="G361" s="15" t="n">
        <f aca="false">cs_29</f>
        <v>0.25</v>
      </c>
      <c r="H361" s="8" t="s">
        <v>442</v>
      </c>
    </row>
    <row r="362" customFormat="false" ht="17.15" hidden="false" customHeight="false" outlineLevel="0" collapsed="false">
      <c r="A362" s="0" t="s">
        <v>443</v>
      </c>
      <c r="B362" s="0" t="s">
        <v>195</v>
      </c>
      <c r="C362" s="19" t="n">
        <f aca="false">a25_ai</f>
        <v>905.033</v>
      </c>
      <c r="D362" s="19" t="n">
        <f aca="false">D360*(1-D361)</f>
        <v>2719.1262</v>
      </c>
      <c r="E362" s="19" t="n">
        <f aca="false">E360*(1-E361)</f>
        <v>4392.53249958629</v>
      </c>
      <c r="F362" s="19" t="n">
        <f aca="false">F360*(1-F361)</f>
        <v>5642.28843472446</v>
      </c>
      <c r="G362" s="19" t="n">
        <f aca="false">G360*(1-G361)</f>
        <v>5708.59806509663</v>
      </c>
    </row>
    <row r="363" customFormat="false" ht="17.15" hidden="false" customHeight="false" outlineLevel="0" collapsed="false">
      <c r="A363" s="6" t="s">
        <v>444</v>
      </c>
    </row>
    <row r="364" customFormat="false" ht="17.15" hidden="false" customHeight="false" outlineLevel="0" collapsed="false">
      <c r="A364" s="4" t="s">
        <v>370</v>
      </c>
      <c r="B364" s="0" t="s">
        <v>195</v>
      </c>
      <c r="C364" s="19" t="n">
        <f aca="false">a25_nai</f>
        <v>1218.656</v>
      </c>
      <c r="D364" s="19" t="n">
        <f aca="false">a26_nai</f>
        <v>1279.5888</v>
      </c>
      <c r="E364" s="19" t="n">
        <f aca="false">D364*(1+g_nai27)</f>
        <v>1317.976464</v>
      </c>
      <c r="F364" s="19" t="n">
        <f aca="false">E364*(1+g_nai28)</f>
        <v>1344.33599328</v>
      </c>
      <c r="G364" s="19" t="n">
        <f aca="false">F364*(1+g_nai29)</f>
        <v>1371.2227131456</v>
      </c>
    </row>
    <row r="365" customFormat="false" ht="15" hidden="false" customHeight="false" outlineLevel="0" collapsed="false">
      <c r="A365" s="4" t="s">
        <v>341</v>
      </c>
      <c r="B365" s="0" t="s">
        <v>195</v>
      </c>
      <c r="C365" s="19" t="n">
        <f aca="false">C362+C364</f>
        <v>2123.689</v>
      </c>
      <c r="D365" s="19" t="n">
        <f aca="false">D362+D364</f>
        <v>3998.715</v>
      </c>
      <c r="E365" s="19" t="n">
        <f aca="false">E362+E364</f>
        <v>5710.50896358629</v>
      </c>
      <c r="F365" s="19" t="n">
        <f aca="false">F362+F364</f>
        <v>6986.62442800446</v>
      </c>
      <c r="G365" s="19" t="n">
        <f aca="false">G362+G364</f>
        <v>7079.82077824223</v>
      </c>
    </row>
    <row r="366" customFormat="false" ht="17.15" hidden="false" customHeight="false" outlineLevel="0" collapsed="false">
      <c r="A366" s="4" t="s">
        <v>445</v>
      </c>
      <c r="B366" s="0" t="s">
        <v>195</v>
      </c>
      <c r="C366" s="19" t="n">
        <f aca="false">srv_25*C365-C362</f>
        <v>602.78619</v>
      </c>
      <c r="D366" s="19" t="n">
        <f aca="false">srv_26*D365-D362</f>
        <v>679.78155</v>
      </c>
      <c r="E366" s="19" t="n">
        <f aca="false">D366*(1+g_gs27)</f>
        <v>747.759705</v>
      </c>
      <c r="F366" s="19" t="n">
        <f aca="false">E366*(1+g_gs28)</f>
        <v>785.14769025</v>
      </c>
      <c r="G366" s="19" t="n">
        <f aca="false">F366*(1+g_gs29)</f>
        <v>824.4050747625</v>
      </c>
      <c r="H366" s="8" t="s">
        <v>446</v>
      </c>
    </row>
    <row r="367" customFormat="false" ht="17.15" hidden="false" customHeight="false" outlineLevel="0" collapsed="false">
      <c r="A367" s="4" t="s">
        <v>447</v>
      </c>
      <c r="B367" s="0" t="s">
        <v>195</v>
      </c>
      <c r="C367" s="19" t="n">
        <f aca="false">C362+C366</f>
        <v>1507.81919</v>
      </c>
      <c r="D367" s="19" t="n">
        <f aca="false">D362+D366</f>
        <v>3398.90775</v>
      </c>
      <c r="E367" s="19" t="n">
        <f aca="false">E362+E366</f>
        <v>5140.29220458629</v>
      </c>
      <c r="F367" s="19" t="n">
        <f aca="false">F362+F366</f>
        <v>6427.43612497446</v>
      </c>
      <c r="G367" s="19" t="n">
        <f aca="false">G362+G366</f>
        <v>6533.00313985913</v>
      </c>
      <c r="H367" s="4" t="s">
        <v>448</v>
      </c>
    </row>
    <row r="368" customFormat="false" ht="15" hidden="false" customHeight="false" outlineLevel="0" collapsed="false">
      <c r="A368" s="4" t="s">
        <v>449</v>
      </c>
      <c r="B368" s="0" t="s">
        <v>195</v>
      </c>
      <c r="C368" s="19" t="n">
        <f aca="false">nbsh_25*C365</f>
        <v>467.21158</v>
      </c>
      <c r="D368" s="19" t="n">
        <f aca="false">nbsh_26*D365</f>
        <v>439.85865</v>
      </c>
      <c r="E368" s="19" t="n">
        <f aca="false">D368*(1+g_nb27)</f>
        <v>395.872785</v>
      </c>
      <c r="F368" s="19" t="n">
        <f aca="false">E368*(1+g_nb28)</f>
        <v>376.07914575</v>
      </c>
      <c r="G368" s="19" t="n">
        <f aca="false">F368*(1+g_nb29)</f>
        <v>364.7967713775</v>
      </c>
      <c r="H368" s="4" t="s">
        <v>450</v>
      </c>
    </row>
    <row r="369" customFormat="false" ht="17.15" hidden="false" customHeight="false" outlineLevel="0" collapsed="false">
      <c r="A369" s="4" t="s">
        <v>451</v>
      </c>
      <c r="B369" s="0" t="s">
        <v>195</v>
      </c>
      <c r="C369" s="19" t="n">
        <f aca="false">C364-C368-C366</f>
        <v>148.65823</v>
      </c>
      <c r="D369" s="19" t="n">
        <f aca="false">D364-D368-D366</f>
        <v>159.9486</v>
      </c>
      <c r="E369" s="19" t="n">
        <f aca="false">E364-E368-E366</f>
        <v>174.343974</v>
      </c>
      <c r="F369" s="19" t="n">
        <f aca="false">F364-F368-F366</f>
        <v>183.10915728</v>
      </c>
      <c r="G369" s="19" t="n">
        <f aca="false">G364-G368-G366</f>
        <v>182.0208670056</v>
      </c>
    </row>
    <row r="370" customFormat="false" ht="15" hidden="false" customHeight="false" outlineLevel="0" collapsed="false">
      <c r="A370" s="4" t="s">
        <v>452</v>
      </c>
      <c r="B370" s="0" t="s">
        <v>195</v>
      </c>
      <c r="C370" s="22" t="n">
        <f aca="false">C367+C368+C369-C365</f>
        <v>0</v>
      </c>
      <c r="D370" s="22" t="n">
        <f aca="false">D367+D368+D369-D365</f>
        <v>0</v>
      </c>
      <c r="E370" s="22" t="n">
        <f aca="false">E367+E368+E369-E365</f>
        <v>0</v>
      </c>
      <c r="F370" s="22" t="n">
        <f aca="false">F367+F368+F369-F365</f>
        <v>0</v>
      </c>
      <c r="G370" s="22" t="n">
        <f aca="false">G367+G368+G369-G365</f>
        <v>0</v>
      </c>
    </row>
    <row r="371" customFormat="false" ht="15" hidden="false" customHeight="false" outlineLevel="0" collapsed="false">
      <c r="A371" s="4" t="s">
        <v>453</v>
      </c>
      <c r="B371" s="0" t="s">
        <v>52</v>
      </c>
      <c r="D371" s="15" t="n">
        <f aca="false">D365/C365-1</f>
        <v>0.88290987993063</v>
      </c>
      <c r="E371" s="15" t="n">
        <f aca="false">E365/D365-1</f>
        <v>0.428086013528419</v>
      </c>
      <c r="F371" s="15" t="n">
        <f aca="false">F365/E365-1</f>
        <v>0.223467903221143</v>
      </c>
      <c r="G371" s="15" t="n">
        <f aca="false">G365/F365-1</f>
        <v>0.0133392529107774</v>
      </c>
    </row>
    <row r="372" customFormat="false" ht="17.15" hidden="false" customHeight="false" outlineLevel="0" collapsed="false">
      <c r="A372" s="0" t="s">
        <v>454</v>
      </c>
      <c r="B372" s="0" t="s">
        <v>52</v>
      </c>
      <c r="C372" s="15" t="n">
        <f aca="false">C362/C365</f>
        <v>0.426160798497332</v>
      </c>
      <c r="D372" s="15" t="n">
        <f aca="false">D362/D365</f>
        <v>0.68</v>
      </c>
      <c r="E372" s="15" t="n">
        <f aca="false">E362/E365</f>
        <v>0.769201576881461</v>
      </c>
      <c r="F372" s="15" t="n">
        <f aca="false">F362/F365</f>
        <v>0.807584333874954</v>
      </c>
      <c r="G372" s="15" t="n">
        <f aca="false">G362/G365</f>
        <v>0.806319572755337</v>
      </c>
    </row>
    <row r="373" customFormat="false" ht="17.15" hidden="false" customHeight="false" outlineLevel="0" collapsed="false">
      <c r="A373" s="4" t="s">
        <v>403</v>
      </c>
      <c r="B373" s="0" t="s">
        <v>389</v>
      </c>
      <c r="D373" s="16" t="n">
        <f aca="false">D362/fx/D353</f>
        <v>3.631383388734</v>
      </c>
      <c r="E373" s="16" t="n">
        <f aca="false">E362/fx/E353</f>
        <v>3.29597359817473</v>
      </c>
      <c r="F373" s="16" t="n">
        <f aca="false">F362/fx/F353</f>
        <v>3.33991991281707</v>
      </c>
      <c r="G373" s="16" t="n">
        <f aca="false">G362/fx/G353</f>
        <v>2.96637623835726</v>
      </c>
    </row>
    <row r="374" customFormat="false" ht="17.15" hidden="false" customHeight="false" outlineLevel="0" collapsed="false">
      <c r="A374" s="4" t="s">
        <v>455</v>
      </c>
      <c r="B374" s="4" t="s">
        <v>401</v>
      </c>
      <c r="D374" s="19" t="n">
        <f aca="false">D360/fx/(odm_gb*(1-vr26)+odm_vr*vr26)</f>
        <v>18.4522679153094</v>
      </c>
      <c r="E374" s="19" t="n">
        <f aca="false">E360/fx/odm_vr</f>
        <v>22.5953317879953</v>
      </c>
      <c r="F374" s="19" t="n">
        <f aca="false">F360/fx/odm_vr</f>
        <v>32.6521321453962</v>
      </c>
      <c r="G374" s="19" t="n">
        <f aca="false">G360/fx/odm_vr</f>
        <v>35.2382596610903</v>
      </c>
      <c r="H374" s="4" t="s">
        <v>456</v>
      </c>
    </row>
    <row r="375" customFormat="false" ht="17.15" hidden="false" customHeight="false" outlineLevel="0" collapsed="false">
      <c r="A375" s="6" t="s">
        <v>457</v>
      </c>
    </row>
    <row r="376" customFormat="false" ht="17.15" hidden="false" customHeight="false" outlineLevel="0" collapsed="false">
      <c r="A376" s="4" t="s">
        <v>458</v>
      </c>
      <c r="B376" s="0" t="s">
        <v>52</v>
      </c>
      <c r="D376" s="11" t="n">
        <f aca="false">a26_gp/D365-d_ai*D372</f>
        <v>0.0632307213692399</v>
      </c>
      <c r="H376" s="8" t="s">
        <v>459</v>
      </c>
    </row>
    <row r="377" customFormat="false" ht="17.15" hidden="false" customHeight="false" outlineLevel="0" collapsed="false">
      <c r="A377" s="0" t="s">
        <v>460</v>
      </c>
      <c r="B377" s="0" t="s">
        <v>195</v>
      </c>
      <c r="D377" s="21" t="n">
        <f aca="false">($D$376+d_ai)*D360*(1-D361*(1-keep))</f>
        <v>117.54978712</v>
      </c>
      <c r="E377" s="21" t="n">
        <f aca="false">($D$376+d_ai+vrd)*E360*(1-E361*(1-keep))</f>
        <v>194.386226205806</v>
      </c>
      <c r="F377" s="21" t="n">
        <f aca="false">($D$376+d_ai+vrd)*F360*(1-F361*(1-keep))</f>
        <v>278.066834030298</v>
      </c>
      <c r="G377" s="21" t="n">
        <f aca="false">($D$376+d_ai+vrd)*G360*(1-G361*(1-keep))</f>
        <v>298.55932361565</v>
      </c>
      <c r="H377" s="4" t="s">
        <v>461</v>
      </c>
    </row>
    <row r="378" customFormat="false" ht="15" hidden="false" customHeight="false" outlineLevel="0" collapsed="false">
      <c r="A378" s="4" t="s">
        <v>345</v>
      </c>
      <c r="B378" s="0" t="s">
        <v>195</v>
      </c>
      <c r="C378" s="19" t="n">
        <f aca="false">a25_gp</f>
        <v>148.2334922</v>
      </c>
      <c r="D378" s="19" t="n">
        <f aca="false">a26_gp</f>
        <v>198.45911</v>
      </c>
      <c r="E378" s="19" t="n">
        <f aca="false">$D$376*E364+E377</f>
        <v>277.722828772206</v>
      </c>
      <c r="F378" s="19" t="n">
        <f aca="false">$D$376*F364+F377</f>
        <v>363.070168648026</v>
      </c>
      <c r="G378" s="19" t="n">
        <f aca="false">$D$376*G364+G377</f>
        <v>385.262724925732</v>
      </c>
    </row>
    <row r="379" customFormat="false" ht="15" hidden="false" customHeight="false" outlineLevel="0" collapsed="false">
      <c r="A379" s="4" t="s">
        <v>348</v>
      </c>
      <c r="B379" s="0" t="s">
        <v>52</v>
      </c>
      <c r="C379" s="11" t="n">
        <f aca="false">C378/C365</f>
        <v>0.0698</v>
      </c>
      <c r="D379" s="11" t="n">
        <f aca="false">D378/D365</f>
        <v>0.0496307213692399</v>
      </c>
      <c r="E379" s="11" t="n">
        <f aca="false">E378/E365</f>
        <v>0.0486336385325961</v>
      </c>
      <c r="F379" s="11" t="n">
        <f aca="false">F378/F365</f>
        <v>0.0519664642617304</v>
      </c>
      <c r="G379" s="11" t="n">
        <f aca="false">G378/G365</f>
        <v>0.0544170166156925</v>
      </c>
    </row>
    <row r="380" customFormat="false" ht="17.15" hidden="false" customHeight="false" outlineLevel="0" collapsed="false">
      <c r="A380" s="0" t="s">
        <v>462</v>
      </c>
      <c r="B380" s="0" t="s">
        <v>52</v>
      </c>
      <c r="D380" s="11" t="n">
        <f aca="false">D377/D362</f>
        <v>0.0432307213692399</v>
      </c>
      <c r="E380" s="11" t="n">
        <f aca="false">E377/E362</f>
        <v>0.0442537935061639</v>
      </c>
      <c r="F380" s="11" t="n">
        <f aca="false">F377/F362</f>
        <v>0.0492826336773188</v>
      </c>
      <c r="G380" s="11" t="n">
        <f aca="false">G377/G362</f>
        <v>0.0522999377800118</v>
      </c>
      <c r="H380" s="4" t="s">
        <v>463</v>
      </c>
    </row>
    <row r="381" customFormat="false" ht="15" hidden="false" customHeight="false" outlineLevel="0" collapsed="false">
      <c r="A381" s="4" t="s">
        <v>464</v>
      </c>
      <c r="B381" s="0" t="s">
        <v>195</v>
      </c>
      <c r="C381" s="19" t="n">
        <f aca="false">a25_opx</f>
        <v>60.7375054</v>
      </c>
      <c r="D381" s="19" t="n">
        <f aca="false">a26_opx</f>
        <v>71.1893725</v>
      </c>
      <c r="E381" s="19" t="n">
        <f aca="false">D381*(1+MAX(0,phi*E371))</f>
        <v>83.3794423716459</v>
      </c>
      <c r="F381" s="19" t="n">
        <f aca="false">E381*(1+MAX(0,phi*F371))</f>
        <v>90.8324940350618</v>
      </c>
      <c r="G381" s="19" t="n">
        <f aca="false">F381*(1+MAX(0,phi*G371))</f>
        <v>91.317149079242</v>
      </c>
    </row>
    <row r="382" customFormat="false" ht="15" hidden="false" customHeight="false" outlineLevel="0" collapsed="false">
      <c r="A382" s="4" t="s">
        <v>349</v>
      </c>
      <c r="B382" s="0" t="s">
        <v>195</v>
      </c>
      <c r="C382" s="19" t="n">
        <f aca="false">C381</f>
        <v>60.7375054</v>
      </c>
      <c r="D382" s="19" t="n">
        <f aca="false">D381</f>
        <v>71.1893725</v>
      </c>
      <c r="E382" s="19" t="n">
        <f aca="false">E381+0*E365</f>
        <v>83.3794423716459</v>
      </c>
      <c r="F382" s="19" t="n">
        <f aca="false">F381+0*F365</f>
        <v>90.8324940350618</v>
      </c>
      <c r="G382" s="19" t="n">
        <f aca="false">G381+0*G365</f>
        <v>91.317149079242</v>
      </c>
    </row>
    <row r="383" customFormat="false" ht="15" hidden="false" customHeight="false" outlineLevel="0" collapsed="false">
      <c r="A383" s="4" t="s">
        <v>352</v>
      </c>
      <c r="B383" s="0" t="s">
        <v>195</v>
      </c>
      <c r="C383" s="19" t="n">
        <f aca="false">C378-C382</f>
        <v>87.4959868</v>
      </c>
      <c r="D383" s="19" t="n">
        <f aca="false">D378-D382</f>
        <v>127.2697375</v>
      </c>
      <c r="E383" s="19" t="n">
        <f aca="false">E378-E382</f>
        <v>194.34338640056</v>
      </c>
      <c r="F383" s="19" t="n">
        <f aca="false">F378-F382</f>
        <v>272.237674612965</v>
      </c>
      <c r="G383" s="19" t="n">
        <f aca="false">G378-G382</f>
        <v>293.94557584649</v>
      </c>
    </row>
    <row r="384" customFormat="false" ht="15" hidden="false" customHeight="false" outlineLevel="0" collapsed="false">
      <c r="A384" s="4" t="s">
        <v>355</v>
      </c>
      <c r="B384" s="0" t="s">
        <v>52</v>
      </c>
      <c r="C384" s="11" t="n">
        <f aca="false">C383/C365</f>
        <v>0.0412</v>
      </c>
      <c r="D384" s="11" t="n">
        <f aca="false">D383/D365</f>
        <v>0.0318276590104571</v>
      </c>
      <c r="E384" s="11" t="n">
        <f aca="false">E383/E365</f>
        <v>0.0340325858237527</v>
      </c>
      <c r="F384" s="11" t="n">
        <f aca="false">F383/F365</f>
        <v>0.0389655515933782</v>
      </c>
      <c r="G384" s="11" t="n">
        <f aca="false">G383/G365</f>
        <v>0.0415187877000851</v>
      </c>
    </row>
    <row r="385" customFormat="false" ht="17.15" hidden="false" customHeight="false" outlineLevel="0" collapsed="false">
      <c r="A385" s="4" t="s">
        <v>229</v>
      </c>
      <c r="B385" s="0" t="s">
        <v>52</v>
      </c>
      <c r="C385" s="15" t="n">
        <f aca="false">a25_ni/a25_oi</f>
        <v>0.856953590013114</v>
      </c>
      <c r="D385" s="15" t="n">
        <f aca="false">a26_ni/a26_oi</f>
        <v>0.869913569398224</v>
      </c>
      <c r="E385" s="15" t="n">
        <f aca="false">nio_f</f>
        <v>0.865</v>
      </c>
      <c r="F385" s="15" t="n">
        <f aca="false">nio_f</f>
        <v>0.865</v>
      </c>
      <c r="G385" s="15" t="n">
        <f aca="false">nio_f</f>
        <v>0.865</v>
      </c>
    </row>
    <row r="386" customFormat="false" ht="15" hidden="false" customHeight="false" outlineLevel="0" collapsed="false">
      <c r="A386" s="4" t="s">
        <v>356</v>
      </c>
      <c r="B386" s="0" t="s">
        <v>195</v>
      </c>
      <c r="C386" s="19" t="n">
        <f aca="false">a25_ni</f>
        <v>74.98</v>
      </c>
      <c r="D386" s="19" t="n">
        <f aca="false">a26_ni</f>
        <v>110.713671625</v>
      </c>
      <c r="E386" s="19" t="n">
        <f aca="false">E383*E385</f>
        <v>168.107029236484</v>
      </c>
      <c r="F386" s="19" t="n">
        <f aca="false">F383*F385</f>
        <v>235.485588540214</v>
      </c>
      <c r="G386" s="19" t="n">
        <f aca="false">G383*G385</f>
        <v>254.262923107214</v>
      </c>
    </row>
    <row r="387" customFormat="false" ht="15" hidden="false" customHeight="false" outlineLevel="0" collapsed="false">
      <c r="A387" s="4" t="s">
        <v>465</v>
      </c>
      <c r="B387" s="4" t="s">
        <v>216</v>
      </c>
      <c r="C387" s="22" t="n">
        <f aca="false">a25_sh</f>
        <v>3.85501285347044</v>
      </c>
      <c r="D387" s="22" t="n">
        <f aca="false">a26_sh</f>
        <v>3.85460170146945</v>
      </c>
      <c r="E387" s="22" t="n">
        <f aca="false">D387*(1+sh_g)</f>
        <v>3.85460170146945</v>
      </c>
      <c r="F387" s="22" t="n">
        <f aca="false">E387*(1+sh_g)</f>
        <v>3.85460170146945</v>
      </c>
      <c r="G387" s="22" t="n">
        <f aca="false">F387*(1+sh_g)</f>
        <v>3.85460170146945</v>
      </c>
    </row>
    <row r="388" customFormat="false" ht="15" hidden="false" customHeight="false" outlineLevel="0" collapsed="false">
      <c r="A388" s="0" t="s">
        <v>362</v>
      </c>
      <c r="B388" s="0" t="s">
        <v>246</v>
      </c>
      <c r="C388" s="21" t="n">
        <f aca="false">C386/C387</f>
        <v>19.45</v>
      </c>
      <c r="D388" s="21" t="n">
        <f aca="false">D386/D387</f>
        <v>28.7224673778341</v>
      </c>
      <c r="E388" s="21" t="n">
        <f aca="false">E386/E387</f>
        <v>43.6120362766401</v>
      </c>
      <c r="F388" s="21" t="n">
        <f aca="false">F386/F387</f>
        <v>61.0920678135026</v>
      </c>
      <c r="G388" s="21" t="n">
        <f aca="false">G386/G387</f>
        <v>65.9634750356396</v>
      </c>
    </row>
    <row r="389" customFormat="false" ht="17.15" hidden="false" customHeight="false" outlineLevel="0" collapsed="false">
      <c r="A389" s="0" t="s">
        <v>466</v>
      </c>
      <c r="B389" s="0" t="s">
        <v>52</v>
      </c>
      <c r="D389" s="15" t="n">
        <f aca="false">D388/C388-1</f>
        <v>0.476733541276816</v>
      </c>
      <c r="E389" s="15" t="n">
        <f aca="false">E388/D388-1</f>
        <v>0.518394492469567</v>
      </c>
      <c r="F389" s="15" t="n">
        <f aca="false">F388/E388-1</f>
        <v>0.40080750703735</v>
      </c>
      <c r="G389" s="15" t="n">
        <f aca="false">G388/F388-1</f>
        <v>0.0797387843706332</v>
      </c>
    </row>
    <row r="392" customFormat="false" ht="17.15" hidden="false" customHeight="false" outlineLevel="0" collapsed="false">
      <c r="A392" s="1" t="s">
        <v>779</v>
      </c>
    </row>
    <row r="393" customFormat="false" ht="17.15" hidden="false" customHeight="false" outlineLevel="0" collapsed="false">
      <c r="A393" s="5" t="s">
        <v>21</v>
      </c>
      <c r="B393" s="5" t="s">
        <v>22</v>
      </c>
      <c r="C393" s="12" t="s">
        <v>335</v>
      </c>
      <c r="D393" s="12" t="s">
        <v>411</v>
      </c>
      <c r="E393" s="12" t="s">
        <v>412</v>
      </c>
      <c r="F393" s="12" t="s">
        <v>413</v>
      </c>
      <c r="G393" s="12" t="s">
        <v>414</v>
      </c>
      <c r="H393" s="5" t="s">
        <v>384</v>
      </c>
    </row>
    <row r="394" customFormat="false" ht="17.15" hidden="false" customHeight="false" outlineLevel="0" collapsed="false">
      <c r="A394" s="6" t="s">
        <v>431</v>
      </c>
    </row>
    <row r="395" customFormat="false" ht="17.15" hidden="false" customHeight="false" outlineLevel="0" collapsed="false">
      <c r="A395" s="0" t="s">
        <v>432</v>
      </c>
      <c r="B395" s="0" t="s">
        <v>32</v>
      </c>
      <c r="D395" s="21" t="n">
        <f aca="false">itc_26*1</f>
        <v>781.872916666666</v>
      </c>
      <c r="E395" s="21" t="n">
        <f aca="false">itc_27*1*mf_lo</f>
        <v>1252.28</v>
      </c>
      <c r="F395" s="21" t="n">
        <f aca="false">itc_28*um28_A*mf_lo</f>
        <v>1587.41111111111</v>
      </c>
      <c r="G395" s="21" t="n">
        <f aca="false">itc_29*um29_A*mf_lo</f>
        <v>1808.31222222222</v>
      </c>
    </row>
    <row r="396" customFormat="false" ht="17.15" hidden="false" customHeight="false" outlineLevel="0" collapsed="false">
      <c r="A396" s="4" t="s">
        <v>433</v>
      </c>
      <c r="B396" s="0" t="s">
        <v>32</v>
      </c>
      <c r="D396" s="21" t="n">
        <f aca="false">itpg_gb*(1-vr26)+itpg_vr*vr26</f>
        <v>33.41403216</v>
      </c>
      <c r="E396" s="21" t="n">
        <f aca="false">itpg_vr</f>
        <v>37.586352</v>
      </c>
      <c r="F396" s="21" t="n">
        <f aca="false">itpg_vr</f>
        <v>37.586352</v>
      </c>
      <c r="G396" s="21" t="n">
        <f aca="false">itpg_vr</f>
        <v>37.586352</v>
      </c>
    </row>
    <row r="397" customFormat="false" ht="17.15" hidden="false" customHeight="false" outlineLevel="0" collapsed="false">
      <c r="A397" s="4" t="s">
        <v>434</v>
      </c>
      <c r="B397" s="0" t="s">
        <v>386</v>
      </c>
      <c r="D397" s="18" t="n">
        <f aca="false">D395/D396</f>
        <v>23.3995380420639</v>
      </c>
      <c r="E397" s="18" t="n">
        <f aca="false">E395/E396</f>
        <v>33.3174126608509</v>
      </c>
      <c r="F397" s="18" t="n">
        <f aca="false">F395/F396</f>
        <v>42.2337105529984</v>
      </c>
      <c r="G397" s="18" t="n">
        <f aca="false">G395/G396</f>
        <v>48.1108733888892</v>
      </c>
    </row>
    <row r="398" customFormat="false" ht="17.15" hidden="false" customHeight="false" outlineLevel="0" collapsed="false">
      <c r="A398" s="4" t="s">
        <v>388</v>
      </c>
      <c r="B398" s="0" t="s">
        <v>389</v>
      </c>
      <c r="D398" s="16" t="n">
        <f aca="false">(racks_gb*odm_gb*(1-vr26)+racks_vr*odm_vr*vr26)/1000</f>
        <v>27.1209</v>
      </c>
      <c r="E398" s="16" t="n">
        <f aca="false">racks_vr*odm_vr/1000</f>
        <v>27.351</v>
      </c>
      <c r="F398" s="16" t="n">
        <f aca="false">$E398*vpg_28</f>
        <v>27.351</v>
      </c>
      <c r="G398" s="16" t="n">
        <f aca="false">$E398*vpg_29</f>
        <v>27.351</v>
      </c>
      <c r="H398" s="4" t="s">
        <v>435</v>
      </c>
    </row>
    <row r="399" customFormat="false" ht="17.15" hidden="false" customHeight="false" outlineLevel="0" collapsed="false">
      <c r="A399" s="0" t="s">
        <v>436</v>
      </c>
      <c r="B399" s="0" t="s">
        <v>32</v>
      </c>
      <c r="D399" s="19" t="n">
        <f aca="false">D397*D398</f>
        <v>634.61653128501</v>
      </c>
      <c r="E399" s="19" t="n">
        <f aca="false">E397*E398</f>
        <v>911.264553686934</v>
      </c>
      <c r="F399" s="19" t="n">
        <f aca="false">F397*F398</f>
        <v>1155.13421733506</v>
      </c>
      <c r="G399" s="19" t="n">
        <f aca="false">G397*G398</f>
        <v>1315.88049805951</v>
      </c>
    </row>
    <row r="400" customFormat="false" ht="17.15" hidden="false" customHeight="false" outlineLevel="0" collapsed="false">
      <c r="A400" s="0" t="s">
        <v>437</v>
      </c>
      <c r="B400" s="0" t="s">
        <v>195</v>
      </c>
      <c r="D400" s="19" t="n">
        <f aca="false">D399*fx</f>
        <v>20307.7290011203</v>
      </c>
      <c r="E400" s="19" t="n">
        <f aca="false">E399*fx</f>
        <v>29160.4657179819</v>
      </c>
      <c r="F400" s="19" t="n">
        <f aca="false">F399*fx</f>
        <v>36964.2949547219</v>
      </c>
      <c r="G400" s="19" t="n">
        <f aca="false">G399*fx</f>
        <v>42108.1759379043</v>
      </c>
    </row>
    <row r="401" customFormat="false" ht="17.15" hidden="false" customHeight="false" outlineLevel="0" collapsed="false">
      <c r="A401" s="4" t="s">
        <v>438</v>
      </c>
      <c r="B401" s="0" t="s">
        <v>52</v>
      </c>
      <c r="D401" s="15" t="n">
        <f aca="false">a26_ai/D400</f>
        <v>0.133896123975753</v>
      </c>
      <c r="H401" s="8" t="s">
        <v>439</v>
      </c>
    </row>
    <row r="402" customFormat="false" ht="17.15" hidden="false" customHeight="false" outlineLevel="0" collapsed="false">
      <c r="A402" s="4" t="s">
        <v>440</v>
      </c>
      <c r="B402" s="0" t="s">
        <v>72</v>
      </c>
      <c r="D402" s="16" t="n">
        <f aca="false">1</f>
        <v>1</v>
      </c>
      <c r="E402" s="16" t="n">
        <f aca="false">rel_27</f>
        <v>1</v>
      </c>
      <c r="F402" s="16" t="n">
        <f aca="false">rel_28</f>
        <v>0.95</v>
      </c>
      <c r="G402" s="16" t="n">
        <f aca="false">rel_29</f>
        <v>0.9</v>
      </c>
    </row>
    <row r="403" customFormat="false" ht="15" hidden="false" customHeight="false" outlineLevel="0" collapsed="false">
      <c r="A403" s="4" t="s">
        <v>393</v>
      </c>
      <c r="B403" s="0" t="s">
        <v>52</v>
      </c>
      <c r="D403" s="15" t="n">
        <f aca="false">$D$401*D402</f>
        <v>0.133896123975753</v>
      </c>
      <c r="E403" s="15" t="n">
        <f aca="false">$D$401*E402</f>
        <v>0.133896123975753</v>
      </c>
      <c r="F403" s="15" t="n">
        <f aca="false">$D$401*F402</f>
        <v>0.127201317776965</v>
      </c>
      <c r="G403" s="15" t="n">
        <f aca="false">$D$401*G402</f>
        <v>0.120506511578178</v>
      </c>
    </row>
    <row r="404" customFormat="false" ht="17.15" hidden="false" customHeight="false" outlineLevel="0" collapsed="false">
      <c r="A404" s="0" t="s">
        <v>441</v>
      </c>
      <c r="B404" s="0" t="s">
        <v>195</v>
      </c>
      <c r="D404" s="19" t="n">
        <f aca="false">D400*D403</f>
        <v>2719.1262</v>
      </c>
      <c r="E404" s="19" t="n">
        <f aca="false">E400*E403</f>
        <v>3904.47333296559</v>
      </c>
      <c r="F404" s="19" t="n">
        <f aca="false">F400*F403</f>
        <v>4701.90702893705</v>
      </c>
      <c r="G404" s="19" t="n">
        <f aca="false">G400*G403</f>
        <v>5074.30939119701</v>
      </c>
    </row>
    <row r="405" customFormat="false" ht="17.15" hidden="false" customHeight="false" outlineLevel="0" collapsed="false">
      <c r="A405" s="4" t="s">
        <v>397</v>
      </c>
      <c r="B405" s="0" t="s">
        <v>52</v>
      </c>
      <c r="D405" s="15" t="n">
        <f aca="false">0</f>
        <v>0</v>
      </c>
      <c r="E405" s="15" t="n">
        <f aca="false">cs_27</f>
        <v>0.1</v>
      </c>
      <c r="F405" s="15" t="n">
        <f aca="false">cs_28</f>
        <v>0.2</v>
      </c>
      <c r="G405" s="15" t="n">
        <f aca="false">cs_29</f>
        <v>0.25</v>
      </c>
      <c r="H405" s="8" t="s">
        <v>442</v>
      </c>
    </row>
    <row r="406" customFormat="false" ht="17.15" hidden="false" customHeight="false" outlineLevel="0" collapsed="false">
      <c r="A406" s="0" t="s">
        <v>443</v>
      </c>
      <c r="B406" s="0" t="s">
        <v>195</v>
      </c>
      <c r="C406" s="19" t="n">
        <f aca="false">a25_ai</f>
        <v>905.033</v>
      </c>
      <c r="D406" s="19" t="n">
        <f aca="false">D404*(1-D405)</f>
        <v>2719.1262</v>
      </c>
      <c r="E406" s="19" t="n">
        <f aca="false">E404*(1-E405)</f>
        <v>3514.02599966904</v>
      </c>
      <c r="F406" s="19" t="n">
        <f aca="false">F404*(1-F405)</f>
        <v>3761.52562314964</v>
      </c>
      <c r="G406" s="19" t="n">
        <f aca="false">G404*(1-G405)</f>
        <v>3805.73204339775</v>
      </c>
    </row>
    <row r="407" customFormat="false" ht="17.15" hidden="false" customHeight="false" outlineLevel="0" collapsed="false">
      <c r="A407" s="6" t="s">
        <v>444</v>
      </c>
    </row>
    <row r="408" customFormat="false" ht="17.15" hidden="false" customHeight="false" outlineLevel="0" collapsed="false">
      <c r="A408" s="4" t="s">
        <v>370</v>
      </c>
      <c r="B408" s="0" t="s">
        <v>195</v>
      </c>
      <c r="C408" s="19" t="n">
        <f aca="false">a25_nai</f>
        <v>1218.656</v>
      </c>
      <c r="D408" s="19" t="n">
        <f aca="false">a26_nai</f>
        <v>1279.5888</v>
      </c>
      <c r="E408" s="19" t="n">
        <f aca="false">D408*(1+g_nai27)</f>
        <v>1317.976464</v>
      </c>
      <c r="F408" s="19" t="n">
        <f aca="false">E408*(1+g_nai28)</f>
        <v>1344.33599328</v>
      </c>
      <c r="G408" s="19" t="n">
        <f aca="false">F408*(1+g_nai29)</f>
        <v>1371.2227131456</v>
      </c>
    </row>
    <row r="409" customFormat="false" ht="15" hidden="false" customHeight="false" outlineLevel="0" collapsed="false">
      <c r="A409" s="4" t="s">
        <v>341</v>
      </c>
      <c r="B409" s="0" t="s">
        <v>195</v>
      </c>
      <c r="C409" s="19" t="n">
        <f aca="false">C406+C408</f>
        <v>2123.689</v>
      </c>
      <c r="D409" s="19" t="n">
        <f aca="false">D406+D408</f>
        <v>3998.715</v>
      </c>
      <c r="E409" s="19" t="n">
        <f aca="false">E406+E408</f>
        <v>4832.00246366904</v>
      </c>
      <c r="F409" s="19" t="n">
        <f aca="false">F406+F408</f>
        <v>5105.86161642964</v>
      </c>
      <c r="G409" s="19" t="n">
        <f aca="false">G406+G408</f>
        <v>5176.95475654335</v>
      </c>
    </row>
    <row r="410" customFormat="false" ht="17.15" hidden="false" customHeight="false" outlineLevel="0" collapsed="false">
      <c r="A410" s="4" t="s">
        <v>445</v>
      </c>
      <c r="B410" s="0" t="s">
        <v>195</v>
      </c>
      <c r="C410" s="19" t="n">
        <f aca="false">srv_25*C409-C406</f>
        <v>602.78619</v>
      </c>
      <c r="D410" s="19" t="n">
        <f aca="false">srv_26*D409-D406</f>
        <v>679.78155</v>
      </c>
      <c r="E410" s="19" t="n">
        <f aca="false">D410*(1+g_gs27)</f>
        <v>747.759705</v>
      </c>
      <c r="F410" s="19" t="n">
        <f aca="false">E410*(1+g_gs28)</f>
        <v>785.14769025</v>
      </c>
      <c r="G410" s="19" t="n">
        <f aca="false">F410*(1+g_gs29)</f>
        <v>824.4050747625</v>
      </c>
      <c r="H410" s="8" t="s">
        <v>446</v>
      </c>
    </row>
    <row r="411" customFormat="false" ht="17.15" hidden="false" customHeight="false" outlineLevel="0" collapsed="false">
      <c r="A411" s="4" t="s">
        <v>447</v>
      </c>
      <c r="B411" s="0" t="s">
        <v>195</v>
      </c>
      <c r="C411" s="19" t="n">
        <f aca="false">C406+C410</f>
        <v>1507.81919</v>
      </c>
      <c r="D411" s="19" t="n">
        <f aca="false">D406+D410</f>
        <v>3398.90775</v>
      </c>
      <c r="E411" s="19" t="n">
        <f aca="false">E406+E410</f>
        <v>4261.78570466904</v>
      </c>
      <c r="F411" s="19" t="n">
        <f aca="false">F406+F410</f>
        <v>4546.67331339964</v>
      </c>
      <c r="G411" s="19" t="n">
        <f aca="false">G406+G410</f>
        <v>4630.13711816025</v>
      </c>
      <c r="H411" s="4" t="s">
        <v>448</v>
      </c>
    </row>
    <row r="412" customFormat="false" ht="15" hidden="false" customHeight="false" outlineLevel="0" collapsed="false">
      <c r="A412" s="4" t="s">
        <v>449</v>
      </c>
      <c r="B412" s="0" t="s">
        <v>195</v>
      </c>
      <c r="C412" s="19" t="n">
        <f aca="false">nbsh_25*C409</f>
        <v>467.21158</v>
      </c>
      <c r="D412" s="19" t="n">
        <f aca="false">nbsh_26*D409</f>
        <v>439.85865</v>
      </c>
      <c r="E412" s="19" t="n">
        <f aca="false">D412*(1+g_nb27)</f>
        <v>395.872785</v>
      </c>
      <c r="F412" s="19" t="n">
        <f aca="false">E412*(1+g_nb28)</f>
        <v>376.07914575</v>
      </c>
      <c r="G412" s="19" t="n">
        <f aca="false">F412*(1+g_nb29)</f>
        <v>364.7967713775</v>
      </c>
      <c r="H412" s="4" t="s">
        <v>450</v>
      </c>
    </row>
    <row r="413" customFormat="false" ht="17.15" hidden="false" customHeight="false" outlineLevel="0" collapsed="false">
      <c r="A413" s="4" t="s">
        <v>451</v>
      </c>
      <c r="B413" s="0" t="s">
        <v>195</v>
      </c>
      <c r="C413" s="19" t="n">
        <f aca="false">C408-C412-C410</f>
        <v>148.65823</v>
      </c>
      <c r="D413" s="19" t="n">
        <f aca="false">D408-D412-D410</f>
        <v>159.9486</v>
      </c>
      <c r="E413" s="19" t="n">
        <f aca="false">E408-E412-E410</f>
        <v>174.343974</v>
      </c>
      <c r="F413" s="19" t="n">
        <f aca="false">F408-F412-F410</f>
        <v>183.10915728</v>
      </c>
      <c r="G413" s="19" t="n">
        <f aca="false">G408-G412-G410</f>
        <v>182.0208670056</v>
      </c>
    </row>
    <row r="414" customFormat="false" ht="15" hidden="false" customHeight="false" outlineLevel="0" collapsed="false">
      <c r="A414" s="4" t="s">
        <v>452</v>
      </c>
      <c r="B414" s="0" t="s">
        <v>195</v>
      </c>
      <c r="C414" s="22" t="n">
        <f aca="false">C411+C412+C413-C409</f>
        <v>0</v>
      </c>
      <c r="D414" s="22" t="n">
        <f aca="false">D411+D412+D413-D409</f>
        <v>0</v>
      </c>
      <c r="E414" s="22" t="n">
        <f aca="false">E411+E412+E413-E409</f>
        <v>0</v>
      </c>
      <c r="F414" s="22" t="n">
        <f aca="false">F411+F412+F413-F409</f>
        <v>0</v>
      </c>
      <c r="G414" s="22" t="n">
        <f aca="false">G411+G412+G413-G409</f>
        <v>0</v>
      </c>
    </row>
    <row r="415" customFormat="false" ht="15" hidden="false" customHeight="false" outlineLevel="0" collapsed="false">
      <c r="A415" s="4" t="s">
        <v>453</v>
      </c>
      <c r="B415" s="0" t="s">
        <v>52</v>
      </c>
      <c r="D415" s="15" t="n">
        <f aca="false">D409/C409-1</f>
        <v>0.88290987993063</v>
      </c>
      <c r="E415" s="15" t="n">
        <f aca="false">E409/D409-1</f>
        <v>0.208388810822735</v>
      </c>
      <c r="F415" s="15" t="n">
        <f aca="false">F409/E409-1</f>
        <v>0.0566761202668467</v>
      </c>
      <c r="G415" s="15" t="n">
        <f aca="false">G409/F409-1</f>
        <v>0.0139238282300778</v>
      </c>
    </row>
    <row r="416" customFormat="false" ht="17.15" hidden="false" customHeight="false" outlineLevel="0" collapsed="false">
      <c r="A416" s="0" t="s">
        <v>454</v>
      </c>
      <c r="B416" s="0" t="s">
        <v>52</v>
      </c>
      <c r="C416" s="15" t="n">
        <f aca="false">C406/C409</f>
        <v>0.426160798497332</v>
      </c>
      <c r="D416" s="15" t="n">
        <f aca="false">D406/D409</f>
        <v>0.68</v>
      </c>
      <c r="E416" s="15" t="n">
        <f aca="false">E406/E409</f>
        <v>0.727240109269474</v>
      </c>
      <c r="F416" s="15" t="n">
        <f aca="false">F406/F409</f>
        <v>0.736707319102775</v>
      </c>
      <c r="G416" s="15" t="n">
        <f aca="false">G406/G409</f>
        <v>0.735129477148229</v>
      </c>
    </row>
    <row r="417" customFormat="false" ht="17.15" hidden="false" customHeight="false" outlineLevel="0" collapsed="false">
      <c r="A417" s="4" t="s">
        <v>403</v>
      </c>
      <c r="B417" s="0" t="s">
        <v>389</v>
      </c>
      <c r="D417" s="16" t="n">
        <f aca="false">D406/fx/D397</f>
        <v>3.631383388734</v>
      </c>
      <c r="E417" s="16" t="n">
        <f aca="false">E406/fx/E397</f>
        <v>3.29597359817474</v>
      </c>
      <c r="F417" s="16" t="n">
        <f aca="false">F406/fx/F397</f>
        <v>2.78326659401422</v>
      </c>
      <c r="G417" s="16" t="n">
        <f aca="false">G406/fx/G397</f>
        <v>2.47198019863105</v>
      </c>
    </row>
    <row r="418" customFormat="false" ht="17.15" hidden="false" customHeight="false" outlineLevel="0" collapsed="false">
      <c r="A418" s="4" t="s">
        <v>455</v>
      </c>
      <c r="B418" s="4" t="s">
        <v>401</v>
      </c>
      <c r="D418" s="19" t="n">
        <f aca="false">D404/fx/(odm_gb*(1-vr26)+odm_vr*vr26)</f>
        <v>18.4522679153094</v>
      </c>
      <c r="E418" s="19" t="n">
        <f aca="false">E404/fx/odm_vr</f>
        <v>18.0762654303963</v>
      </c>
      <c r="F418" s="19" t="n">
        <f aca="false">F404/fx/odm_vr</f>
        <v>21.7680880969308</v>
      </c>
      <c r="G418" s="19" t="n">
        <f aca="false">G404/fx/odm_vr</f>
        <v>23.4921731073935</v>
      </c>
      <c r="H418" s="4" t="s">
        <v>456</v>
      </c>
    </row>
    <row r="419" customFormat="false" ht="17.15" hidden="false" customHeight="false" outlineLevel="0" collapsed="false">
      <c r="A419" s="6" t="s">
        <v>457</v>
      </c>
    </row>
    <row r="420" customFormat="false" ht="17.15" hidden="false" customHeight="false" outlineLevel="0" collapsed="false">
      <c r="A420" s="4" t="s">
        <v>458</v>
      </c>
      <c r="B420" s="0" t="s">
        <v>52</v>
      </c>
      <c r="D420" s="11" t="n">
        <f aca="false">a26_gp/D409-d_ai*D416</f>
        <v>0.0632307213692399</v>
      </c>
      <c r="H420" s="8" t="s">
        <v>459</v>
      </c>
    </row>
    <row r="421" customFormat="false" ht="17.15" hidden="false" customHeight="false" outlineLevel="0" collapsed="false">
      <c r="A421" s="0" t="s">
        <v>460</v>
      </c>
      <c r="B421" s="0" t="s">
        <v>195</v>
      </c>
      <c r="D421" s="21" t="n">
        <f aca="false">($D$420+d_ai)*D404*(1-D405*(1-keep))</f>
        <v>117.54978712</v>
      </c>
      <c r="E421" s="21" t="n">
        <f aca="false">($D$420+d_ai+vrd)*E404*(1-E405*(1-keep))</f>
        <v>155.508980964645</v>
      </c>
      <c r="F421" s="21" t="n">
        <f aca="false">($D$420+d_ai+vrd)*F404*(1-F405*(1-keep))</f>
        <v>185.377889353532</v>
      </c>
      <c r="G421" s="21" t="n">
        <f aca="false">($D$420+d_ai+vrd)*G404*(1-G405*(1-keep))</f>
        <v>199.0395490771</v>
      </c>
      <c r="H421" s="4" t="s">
        <v>461</v>
      </c>
    </row>
    <row r="422" customFormat="false" ht="15" hidden="false" customHeight="false" outlineLevel="0" collapsed="false">
      <c r="A422" s="4" t="s">
        <v>345</v>
      </c>
      <c r="B422" s="0" t="s">
        <v>195</v>
      </c>
      <c r="C422" s="19" t="n">
        <f aca="false">a25_gp</f>
        <v>148.2334922</v>
      </c>
      <c r="D422" s="19" t="n">
        <f aca="false">a26_gp</f>
        <v>198.45911</v>
      </c>
      <c r="E422" s="19" t="n">
        <f aca="false">$D$420*E408+E421</f>
        <v>238.845583531045</v>
      </c>
      <c r="F422" s="19" t="n">
        <f aca="false">$D$420*F408+F421</f>
        <v>270.38122397126</v>
      </c>
      <c r="G422" s="19" t="n">
        <f aca="false">$D$420*G408+G421</f>
        <v>285.742950387182</v>
      </c>
    </row>
    <row r="423" customFormat="false" ht="15" hidden="false" customHeight="false" outlineLevel="0" collapsed="false">
      <c r="A423" s="4" t="s">
        <v>348</v>
      </c>
      <c r="B423" s="0" t="s">
        <v>52</v>
      </c>
      <c r="C423" s="11" t="n">
        <f aca="false">C422/C409</f>
        <v>0.0698</v>
      </c>
      <c r="D423" s="11" t="n">
        <f aca="false">D422/D409</f>
        <v>0.0496307213692399</v>
      </c>
      <c r="E423" s="11" t="n">
        <f aca="false">E422/E409</f>
        <v>0.0494299382764976</v>
      </c>
      <c r="F423" s="11" t="n">
        <f aca="false">F422/F409</f>
        <v>0.0529550630791143</v>
      </c>
      <c r="G423" s="11" t="n">
        <f aca="false">G422/G409</f>
        <v>0.0551951801444702</v>
      </c>
    </row>
    <row r="424" customFormat="false" ht="17.15" hidden="false" customHeight="false" outlineLevel="0" collapsed="false">
      <c r="A424" s="0" t="s">
        <v>462</v>
      </c>
      <c r="B424" s="0" t="s">
        <v>52</v>
      </c>
      <c r="D424" s="11" t="n">
        <f aca="false">D421/D406</f>
        <v>0.0432307213692399</v>
      </c>
      <c r="E424" s="11" t="n">
        <f aca="false">E421/E406</f>
        <v>0.0442537935061639</v>
      </c>
      <c r="F424" s="11" t="n">
        <f aca="false">F421/F406</f>
        <v>0.0492826336773188</v>
      </c>
      <c r="G424" s="11" t="n">
        <f aca="false">G421/G406</f>
        <v>0.0522999377800118</v>
      </c>
      <c r="H424" s="4" t="s">
        <v>463</v>
      </c>
    </row>
    <row r="425" customFormat="false" ht="15" hidden="false" customHeight="false" outlineLevel="0" collapsed="false">
      <c r="A425" s="4" t="s">
        <v>464</v>
      </c>
      <c r="B425" s="0" t="s">
        <v>195</v>
      </c>
      <c r="C425" s="19" t="n">
        <f aca="false">a25_opx</f>
        <v>60.7375054</v>
      </c>
      <c r="D425" s="19" t="n">
        <f aca="false">a26_opx</f>
        <v>71.1893725</v>
      </c>
      <c r="E425" s="19" t="n">
        <f aca="false">D425*(1+MAX(0,phi*E415))</f>
        <v>77.1233999713967</v>
      </c>
      <c r="F425" s="19" t="n">
        <f aca="false">E425*(1+MAX(0,phi*F415))</f>
        <v>78.8718220082635</v>
      </c>
      <c r="G425" s="19" t="n">
        <f aca="false">F425*(1+MAX(0,phi*G415))</f>
        <v>79.311101088998</v>
      </c>
    </row>
    <row r="426" customFormat="false" ht="15" hidden="false" customHeight="false" outlineLevel="0" collapsed="false">
      <c r="A426" s="4" t="s">
        <v>349</v>
      </c>
      <c r="B426" s="0" t="s">
        <v>195</v>
      </c>
      <c r="C426" s="19" t="n">
        <f aca="false">C425</f>
        <v>60.7375054</v>
      </c>
      <c r="D426" s="19" t="n">
        <f aca="false">D425</f>
        <v>71.1893725</v>
      </c>
      <c r="E426" s="19" t="n">
        <f aca="false">E425+0*E409</f>
        <v>77.1233999713967</v>
      </c>
      <c r="F426" s="19" t="n">
        <f aca="false">F425+0*F409</f>
        <v>78.8718220082635</v>
      </c>
      <c r="G426" s="19" t="n">
        <f aca="false">G425+0*G409</f>
        <v>79.311101088998</v>
      </c>
    </row>
    <row r="427" customFormat="false" ht="15" hidden="false" customHeight="false" outlineLevel="0" collapsed="false">
      <c r="A427" s="4" t="s">
        <v>352</v>
      </c>
      <c r="B427" s="0" t="s">
        <v>195</v>
      </c>
      <c r="C427" s="19" t="n">
        <f aca="false">C422-C426</f>
        <v>87.4959868</v>
      </c>
      <c r="D427" s="19" t="n">
        <f aca="false">D422-D426</f>
        <v>127.2697375</v>
      </c>
      <c r="E427" s="19" t="n">
        <f aca="false">E422-E426</f>
        <v>161.722183559648</v>
      </c>
      <c r="F427" s="19" t="n">
        <f aca="false">F422-F426</f>
        <v>191.509401962997</v>
      </c>
      <c r="G427" s="19" t="n">
        <f aca="false">G422-G426</f>
        <v>206.431849298184</v>
      </c>
    </row>
    <row r="428" customFormat="false" ht="15" hidden="false" customHeight="false" outlineLevel="0" collapsed="false">
      <c r="A428" s="4" t="s">
        <v>355</v>
      </c>
      <c r="B428" s="0" t="s">
        <v>52</v>
      </c>
      <c r="C428" s="11" t="n">
        <f aca="false">C427/C409</f>
        <v>0.0412</v>
      </c>
      <c r="D428" s="11" t="n">
        <f aca="false">D427/D409</f>
        <v>0.0318276590104571</v>
      </c>
      <c r="E428" s="11" t="n">
        <f aca="false">E427/E409</f>
        <v>0.0334689778773103</v>
      </c>
      <c r="F428" s="11" t="n">
        <f aca="false">F427/F409</f>
        <v>0.0375077540971259</v>
      </c>
      <c r="G428" s="11" t="n">
        <f aca="false">G427/G409</f>
        <v>0.0398751503549972</v>
      </c>
    </row>
    <row r="429" customFormat="false" ht="17.15" hidden="false" customHeight="false" outlineLevel="0" collapsed="false">
      <c r="A429" s="4" t="s">
        <v>229</v>
      </c>
      <c r="B429" s="0" t="s">
        <v>52</v>
      </c>
      <c r="C429" s="15" t="n">
        <f aca="false">a25_ni/a25_oi</f>
        <v>0.856953590013114</v>
      </c>
      <c r="D429" s="15" t="n">
        <f aca="false">a26_ni/a26_oi</f>
        <v>0.869913569398224</v>
      </c>
      <c r="E429" s="15" t="n">
        <f aca="false">nio_f</f>
        <v>0.865</v>
      </c>
      <c r="F429" s="15" t="n">
        <f aca="false">nio_f</f>
        <v>0.865</v>
      </c>
      <c r="G429" s="15" t="n">
        <f aca="false">nio_f</f>
        <v>0.865</v>
      </c>
    </row>
    <row r="430" customFormat="false" ht="15" hidden="false" customHeight="false" outlineLevel="0" collapsed="false">
      <c r="A430" s="4" t="s">
        <v>356</v>
      </c>
      <c r="B430" s="0" t="s">
        <v>195</v>
      </c>
      <c r="C430" s="19" t="n">
        <f aca="false">a25_ni</f>
        <v>74.98</v>
      </c>
      <c r="D430" s="19" t="n">
        <f aca="false">a26_ni</f>
        <v>110.713671625</v>
      </c>
      <c r="E430" s="19" t="n">
        <f aca="false">E427*E429</f>
        <v>139.889688779095</v>
      </c>
      <c r="F430" s="19" t="n">
        <f aca="false">F427*F429</f>
        <v>165.655632697992</v>
      </c>
      <c r="G430" s="19" t="n">
        <f aca="false">G427*G429</f>
        <v>178.563549642929</v>
      </c>
    </row>
    <row r="431" customFormat="false" ht="15" hidden="false" customHeight="false" outlineLevel="0" collapsed="false">
      <c r="A431" s="4" t="s">
        <v>465</v>
      </c>
      <c r="B431" s="4" t="s">
        <v>216</v>
      </c>
      <c r="C431" s="22" t="n">
        <f aca="false">a25_sh</f>
        <v>3.85501285347044</v>
      </c>
      <c r="D431" s="22" t="n">
        <f aca="false">a26_sh</f>
        <v>3.85460170146945</v>
      </c>
      <c r="E431" s="22" t="n">
        <f aca="false">D431*(1+sh_g)</f>
        <v>3.85460170146945</v>
      </c>
      <c r="F431" s="22" t="n">
        <f aca="false">E431*(1+sh_g)</f>
        <v>3.85460170146945</v>
      </c>
      <c r="G431" s="22" t="n">
        <f aca="false">F431*(1+sh_g)</f>
        <v>3.85460170146945</v>
      </c>
    </row>
    <row r="432" customFormat="false" ht="15" hidden="false" customHeight="false" outlineLevel="0" collapsed="false">
      <c r="A432" s="0" t="s">
        <v>362</v>
      </c>
      <c r="B432" s="0" t="s">
        <v>246</v>
      </c>
      <c r="C432" s="21" t="n">
        <f aca="false">C430/C431</f>
        <v>19.45</v>
      </c>
      <c r="D432" s="21" t="n">
        <f aca="false">D430/D431</f>
        <v>28.7224673778341</v>
      </c>
      <c r="E432" s="21" t="n">
        <f aca="false">E430/E431</f>
        <v>36.2916066595847</v>
      </c>
      <c r="F432" s="21" t="n">
        <f aca="false">F430/F431</f>
        <v>42.9760700398282</v>
      </c>
      <c r="G432" s="21" t="n">
        <f aca="false">G430/G431</f>
        <v>46.3247732119398</v>
      </c>
    </row>
    <row r="433" customFormat="false" ht="17.15" hidden="false" customHeight="false" outlineLevel="0" collapsed="false">
      <c r="A433" s="0" t="s">
        <v>466</v>
      </c>
      <c r="B433" s="0" t="s">
        <v>52</v>
      </c>
      <c r="D433" s="15" t="n">
        <f aca="false">D432/C432-1</f>
        <v>0.476733541276816</v>
      </c>
      <c r="E433" s="15" t="n">
        <f aca="false">E432/D432-1</f>
        <v>0.263526777911566</v>
      </c>
      <c r="F433" s="15" t="n">
        <f aca="false">F432/E432-1</f>
        <v>0.184187584830393</v>
      </c>
      <c r="G433" s="15" t="n">
        <f aca="false">G432/F432-1</f>
        <v>0.077920181370891</v>
      </c>
    </row>
    <row r="436" customFormat="false" ht="17.15" hidden="false" customHeight="false" outlineLevel="0" collapsed="false">
      <c r="A436" s="1" t="s">
        <v>780</v>
      </c>
    </row>
    <row r="437" customFormat="false" ht="17.15" hidden="false" customHeight="false" outlineLevel="0" collapsed="false">
      <c r="A437" s="5" t="s">
        <v>21</v>
      </c>
      <c r="B437" s="5" t="s">
        <v>22</v>
      </c>
      <c r="C437" s="12" t="s">
        <v>335</v>
      </c>
      <c r="D437" s="12" t="s">
        <v>411</v>
      </c>
      <c r="E437" s="12" t="s">
        <v>412</v>
      </c>
      <c r="F437" s="12" t="s">
        <v>413</v>
      </c>
      <c r="G437" s="12" t="s">
        <v>414</v>
      </c>
      <c r="H437" s="5" t="s">
        <v>384</v>
      </c>
    </row>
    <row r="438" customFormat="false" ht="17.15" hidden="false" customHeight="false" outlineLevel="0" collapsed="false">
      <c r="A438" s="6" t="s">
        <v>431</v>
      </c>
    </row>
    <row r="439" customFormat="false" ht="17.15" hidden="false" customHeight="false" outlineLevel="0" collapsed="false">
      <c r="A439" s="0" t="s">
        <v>432</v>
      </c>
      <c r="B439" s="0" t="s">
        <v>32</v>
      </c>
      <c r="D439" s="21" t="n">
        <f aca="false">itc_26*1</f>
        <v>781.872916666666</v>
      </c>
      <c r="E439" s="21" t="n">
        <f aca="false">itc_27*1*mf_hi</f>
        <v>1878.42</v>
      </c>
      <c r="F439" s="21" t="n">
        <f aca="false">itc_28*um28_A*mf_hi</f>
        <v>2381.11666666667</v>
      </c>
      <c r="G439" s="21" t="n">
        <f aca="false">itc_29*um29_A*mf_hi</f>
        <v>2712.46833333334</v>
      </c>
    </row>
    <row r="440" customFormat="false" ht="17.15" hidden="false" customHeight="false" outlineLevel="0" collapsed="false">
      <c r="A440" s="4" t="s">
        <v>433</v>
      </c>
      <c r="B440" s="0" t="s">
        <v>32</v>
      </c>
      <c r="D440" s="21" t="n">
        <f aca="false">itpg_gb*(1-vr26)+itpg_vr*vr26</f>
        <v>33.41403216</v>
      </c>
      <c r="E440" s="21" t="n">
        <f aca="false">itpg_vr</f>
        <v>37.586352</v>
      </c>
      <c r="F440" s="21" t="n">
        <f aca="false">itpg_vr</f>
        <v>37.586352</v>
      </c>
      <c r="G440" s="21" t="n">
        <f aca="false">itpg_vr</f>
        <v>37.586352</v>
      </c>
    </row>
    <row r="441" customFormat="false" ht="17.15" hidden="false" customHeight="false" outlineLevel="0" collapsed="false">
      <c r="A441" s="4" t="s">
        <v>434</v>
      </c>
      <c r="B441" s="0" t="s">
        <v>386</v>
      </c>
      <c r="D441" s="18" t="n">
        <f aca="false">D439/D440</f>
        <v>23.3995380420639</v>
      </c>
      <c r="E441" s="18" t="n">
        <f aca="false">E439/E440</f>
        <v>49.9761189912764</v>
      </c>
      <c r="F441" s="18" t="n">
        <f aca="false">F439/F440</f>
        <v>63.3505658294976</v>
      </c>
      <c r="G441" s="18" t="n">
        <f aca="false">G439/G440</f>
        <v>72.1663100833339</v>
      </c>
    </row>
    <row r="442" customFormat="false" ht="17.15" hidden="false" customHeight="false" outlineLevel="0" collapsed="false">
      <c r="A442" s="4" t="s">
        <v>388</v>
      </c>
      <c r="B442" s="0" t="s">
        <v>389</v>
      </c>
      <c r="D442" s="16" t="n">
        <f aca="false">(racks_gb*odm_gb*(1-vr26)+racks_vr*odm_vr*vr26)/1000</f>
        <v>27.1209</v>
      </c>
      <c r="E442" s="16" t="n">
        <f aca="false">racks_vr*odm_vr/1000</f>
        <v>27.351</v>
      </c>
      <c r="F442" s="16" t="n">
        <f aca="false">$E442*vpg_28</f>
        <v>27.351</v>
      </c>
      <c r="G442" s="16" t="n">
        <f aca="false">$E442*vpg_29</f>
        <v>27.351</v>
      </c>
      <c r="H442" s="4" t="s">
        <v>435</v>
      </c>
    </row>
    <row r="443" customFormat="false" ht="17.15" hidden="false" customHeight="false" outlineLevel="0" collapsed="false">
      <c r="A443" s="0" t="s">
        <v>436</v>
      </c>
      <c r="B443" s="0" t="s">
        <v>32</v>
      </c>
      <c r="D443" s="19" t="n">
        <f aca="false">D441*D442</f>
        <v>634.61653128501</v>
      </c>
      <c r="E443" s="19" t="n">
        <f aca="false">E441*E442</f>
        <v>1366.8968305304</v>
      </c>
      <c r="F443" s="19" t="n">
        <f aca="false">F441*F442</f>
        <v>1732.70132600259</v>
      </c>
      <c r="G443" s="19" t="n">
        <f aca="false">G441*G442</f>
        <v>1973.82074708926</v>
      </c>
    </row>
    <row r="444" customFormat="false" ht="17.15" hidden="false" customHeight="false" outlineLevel="0" collapsed="false">
      <c r="A444" s="0" t="s">
        <v>437</v>
      </c>
      <c r="B444" s="0" t="s">
        <v>195</v>
      </c>
      <c r="D444" s="19" t="n">
        <f aca="false">D443*fx</f>
        <v>20307.7290011203</v>
      </c>
      <c r="E444" s="19" t="n">
        <f aca="false">E443*fx</f>
        <v>43740.6985769728</v>
      </c>
      <c r="F444" s="19" t="n">
        <f aca="false">F443*fx</f>
        <v>55446.4424320828</v>
      </c>
      <c r="G444" s="19" t="n">
        <f aca="false">G443*fx</f>
        <v>63162.2639068565</v>
      </c>
    </row>
    <row r="445" customFormat="false" ht="17.15" hidden="false" customHeight="false" outlineLevel="0" collapsed="false">
      <c r="A445" s="4" t="s">
        <v>438</v>
      </c>
      <c r="B445" s="0" t="s">
        <v>52</v>
      </c>
      <c r="D445" s="15" t="n">
        <f aca="false">a26_ai/D444</f>
        <v>0.133896123975753</v>
      </c>
      <c r="H445" s="8" t="s">
        <v>439</v>
      </c>
    </row>
    <row r="446" customFormat="false" ht="17.15" hidden="false" customHeight="false" outlineLevel="0" collapsed="false">
      <c r="A446" s="4" t="s">
        <v>440</v>
      </c>
      <c r="B446" s="0" t="s">
        <v>72</v>
      </c>
      <c r="D446" s="16" t="n">
        <f aca="false">1</f>
        <v>1</v>
      </c>
      <c r="E446" s="16" t="n">
        <f aca="false">rel_27</f>
        <v>1</v>
      </c>
      <c r="F446" s="16" t="n">
        <f aca="false">rel_28</f>
        <v>0.95</v>
      </c>
      <c r="G446" s="16" t="n">
        <f aca="false">rel_29</f>
        <v>0.9</v>
      </c>
    </row>
    <row r="447" customFormat="false" ht="15" hidden="false" customHeight="false" outlineLevel="0" collapsed="false">
      <c r="A447" s="4" t="s">
        <v>393</v>
      </c>
      <c r="B447" s="0" t="s">
        <v>52</v>
      </c>
      <c r="D447" s="15" t="n">
        <f aca="false">$D$445*D446</f>
        <v>0.133896123975753</v>
      </c>
      <c r="E447" s="15" t="n">
        <f aca="false">$D$445*E446</f>
        <v>0.133896123975753</v>
      </c>
      <c r="F447" s="15" t="n">
        <f aca="false">$D$445*F446</f>
        <v>0.127201317776965</v>
      </c>
      <c r="G447" s="15" t="n">
        <f aca="false">$D$445*G446</f>
        <v>0.120506511578178</v>
      </c>
    </row>
    <row r="448" customFormat="false" ht="17.15" hidden="false" customHeight="false" outlineLevel="0" collapsed="false">
      <c r="A448" s="0" t="s">
        <v>441</v>
      </c>
      <c r="B448" s="0" t="s">
        <v>195</v>
      </c>
      <c r="D448" s="19" t="n">
        <f aca="false">D444*D447</f>
        <v>2719.1262</v>
      </c>
      <c r="E448" s="19" t="n">
        <f aca="false">E444*E447</f>
        <v>5856.70999944839</v>
      </c>
      <c r="F448" s="19" t="n">
        <f aca="false">F444*F447</f>
        <v>7052.86054340558</v>
      </c>
      <c r="G448" s="19" t="n">
        <f aca="false">G444*G447</f>
        <v>7611.46408679551</v>
      </c>
    </row>
    <row r="449" customFormat="false" ht="17.15" hidden="false" customHeight="false" outlineLevel="0" collapsed="false">
      <c r="A449" s="4" t="s">
        <v>397</v>
      </c>
      <c r="B449" s="0" t="s">
        <v>52</v>
      </c>
      <c r="D449" s="15" t="n">
        <f aca="false">0</f>
        <v>0</v>
      </c>
      <c r="E449" s="15" t="n">
        <f aca="false">cs_27</f>
        <v>0.1</v>
      </c>
      <c r="F449" s="15" t="n">
        <f aca="false">cs_28</f>
        <v>0.2</v>
      </c>
      <c r="G449" s="15" t="n">
        <f aca="false">cs_29</f>
        <v>0.25</v>
      </c>
      <c r="H449" s="8" t="s">
        <v>442</v>
      </c>
    </row>
    <row r="450" customFormat="false" ht="17.15" hidden="false" customHeight="false" outlineLevel="0" collapsed="false">
      <c r="A450" s="0" t="s">
        <v>443</v>
      </c>
      <c r="B450" s="0" t="s">
        <v>195</v>
      </c>
      <c r="C450" s="19" t="n">
        <f aca="false">a25_ai</f>
        <v>905.033</v>
      </c>
      <c r="D450" s="19" t="n">
        <f aca="false">D448*(1-D449)</f>
        <v>2719.1262</v>
      </c>
      <c r="E450" s="19" t="n">
        <f aca="false">E448*(1-E449)</f>
        <v>5271.03899950355</v>
      </c>
      <c r="F450" s="19" t="n">
        <f aca="false">F448*(1-F449)</f>
        <v>5642.28843472446</v>
      </c>
      <c r="G450" s="19" t="n">
        <f aca="false">G448*(1-G449)</f>
        <v>5708.59806509663</v>
      </c>
    </row>
    <row r="451" customFormat="false" ht="17.15" hidden="false" customHeight="false" outlineLevel="0" collapsed="false">
      <c r="A451" s="6" t="s">
        <v>444</v>
      </c>
    </row>
    <row r="452" customFormat="false" ht="17.15" hidden="false" customHeight="false" outlineLevel="0" collapsed="false">
      <c r="A452" s="4" t="s">
        <v>370</v>
      </c>
      <c r="B452" s="0" t="s">
        <v>195</v>
      </c>
      <c r="C452" s="19" t="n">
        <f aca="false">a25_nai</f>
        <v>1218.656</v>
      </c>
      <c r="D452" s="19" t="n">
        <f aca="false">a26_nai</f>
        <v>1279.5888</v>
      </c>
      <c r="E452" s="19" t="n">
        <f aca="false">D452*(1+g_nai27)</f>
        <v>1317.976464</v>
      </c>
      <c r="F452" s="19" t="n">
        <f aca="false">E452*(1+g_nai28)</f>
        <v>1344.33599328</v>
      </c>
      <c r="G452" s="19" t="n">
        <f aca="false">F452*(1+g_nai29)</f>
        <v>1371.2227131456</v>
      </c>
    </row>
    <row r="453" customFormat="false" ht="15" hidden="false" customHeight="false" outlineLevel="0" collapsed="false">
      <c r="A453" s="4" t="s">
        <v>341</v>
      </c>
      <c r="B453" s="0" t="s">
        <v>195</v>
      </c>
      <c r="C453" s="19" t="n">
        <f aca="false">C450+C452</f>
        <v>2123.689</v>
      </c>
      <c r="D453" s="19" t="n">
        <f aca="false">D450+D452</f>
        <v>3998.715</v>
      </c>
      <c r="E453" s="19" t="n">
        <f aca="false">E450+E452</f>
        <v>6589.01546350355</v>
      </c>
      <c r="F453" s="19" t="n">
        <f aca="false">F450+F452</f>
        <v>6986.62442800446</v>
      </c>
      <c r="G453" s="19" t="n">
        <f aca="false">G450+G452</f>
        <v>7079.82077824223</v>
      </c>
    </row>
    <row r="454" customFormat="false" ht="17.15" hidden="false" customHeight="false" outlineLevel="0" collapsed="false">
      <c r="A454" s="4" t="s">
        <v>445</v>
      </c>
      <c r="B454" s="0" t="s">
        <v>195</v>
      </c>
      <c r="C454" s="19" t="n">
        <f aca="false">srv_25*C453-C450</f>
        <v>602.78619</v>
      </c>
      <c r="D454" s="19" t="n">
        <f aca="false">srv_26*D453-D450</f>
        <v>679.78155</v>
      </c>
      <c r="E454" s="19" t="n">
        <f aca="false">D454*(1+g_gs27)</f>
        <v>747.759705</v>
      </c>
      <c r="F454" s="19" t="n">
        <f aca="false">E454*(1+g_gs28)</f>
        <v>785.14769025</v>
      </c>
      <c r="G454" s="19" t="n">
        <f aca="false">F454*(1+g_gs29)</f>
        <v>824.4050747625</v>
      </c>
      <c r="H454" s="8" t="s">
        <v>446</v>
      </c>
    </row>
    <row r="455" customFormat="false" ht="17.15" hidden="false" customHeight="false" outlineLevel="0" collapsed="false">
      <c r="A455" s="4" t="s">
        <v>447</v>
      </c>
      <c r="B455" s="0" t="s">
        <v>195</v>
      </c>
      <c r="C455" s="19" t="n">
        <f aca="false">C450+C454</f>
        <v>1507.81919</v>
      </c>
      <c r="D455" s="19" t="n">
        <f aca="false">D450+D454</f>
        <v>3398.90775</v>
      </c>
      <c r="E455" s="19" t="n">
        <f aca="false">E450+E454</f>
        <v>6018.79870450355</v>
      </c>
      <c r="F455" s="19" t="n">
        <f aca="false">F450+F454</f>
        <v>6427.43612497446</v>
      </c>
      <c r="G455" s="19" t="n">
        <f aca="false">G450+G454</f>
        <v>6533.00313985913</v>
      </c>
      <c r="H455" s="4" t="s">
        <v>448</v>
      </c>
    </row>
    <row r="456" customFormat="false" ht="15" hidden="false" customHeight="false" outlineLevel="0" collapsed="false">
      <c r="A456" s="4" t="s">
        <v>449</v>
      </c>
      <c r="B456" s="0" t="s">
        <v>195</v>
      </c>
      <c r="C456" s="19" t="n">
        <f aca="false">nbsh_25*C453</f>
        <v>467.21158</v>
      </c>
      <c r="D456" s="19" t="n">
        <f aca="false">nbsh_26*D453</f>
        <v>439.85865</v>
      </c>
      <c r="E456" s="19" t="n">
        <f aca="false">D456*(1+g_nb27)</f>
        <v>395.872785</v>
      </c>
      <c r="F456" s="19" t="n">
        <f aca="false">E456*(1+g_nb28)</f>
        <v>376.07914575</v>
      </c>
      <c r="G456" s="19" t="n">
        <f aca="false">F456*(1+g_nb29)</f>
        <v>364.7967713775</v>
      </c>
      <c r="H456" s="4" t="s">
        <v>450</v>
      </c>
    </row>
    <row r="457" customFormat="false" ht="17.15" hidden="false" customHeight="false" outlineLevel="0" collapsed="false">
      <c r="A457" s="4" t="s">
        <v>451</v>
      </c>
      <c r="B457" s="0" t="s">
        <v>195</v>
      </c>
      <c r="C457" s="19" t="n">
        <f aca="false">C452-C456-C454</f>
        <v>148.65823</v>
      </c>
      <c r="D457" s="19" t="n">
        <f aca="false">D452-D456-D454</f>
        <v>159.9486</v>
      </c>
      <c r="E457" s="19" t="n">
        <f aca="false">E452-E456-E454</f>
        <v>174.343974</v>
      </c>
      <c r="F457" s="19" t="n">
        <f aca="false">F452-F456-F454</f>
        <v>183.10915728</v>
      </c>
      <c r="G457" s="19" t="n">
        <f aca="false">G452-G456-G454</f>
        <v>182.0208670056</v>
      </c>
    </row>
    <row r="458" customFormat="false" ht="15" hidden="false" customHeight="false" outlineLevel="0" collapsed="false">
      <c r="A458" s="4" t="s">
        <v>452</v>
      </c>
      <c r="B458" s="0" t="s">
        <v>195</v>
      </c>
      <c r="C458" s="22" t="n">
        <f aca="false">C455+C456+C457-C453</f>
        <v>0</v>
      </c>
      <c r="D458" s="22" t="n">
        <f aca="false">D455+D456+D457-D453</f>
        <v>0</v>
      </c>
      <c r="E458" s="22" t="n">
        <f aca="false">E455+E456+E457-E453</f>
        <v>0</v>
      </c>
      <c r="F458" s="22" t="n">
        <f aca="false">F455+F456+F457-F453</f>
        <v>0</v>
      </c>
      <c r="G458" s="22" t="n">
        <f aca="false">G455+G456+G457-G453</f>
        <v>0</v>
      </c>
    </row>
    <row r="459" customFormat="false" ht="15" hidden="false" customHeight="false" outlineLevel="0" collapsed="false">
      <c r="A459" s="4" t="s">
        <v>453</v>
      </c>
      <c r="B459" s="0" t="s">
        <v>52</v>
      </c>
      <c r="D459" s="15" t="n">
        <f aca="false">D453/C453-1</f>
        <v>0.88290987993063</v>
      </c>
      <c r="E459" s="15" t="n">
        <f aca="false">E453/D453-1</f>
        <v>0.647783216234103</v>
      </c>
      <c r="F459" s="15" t="n">
        <f aca="false">F453/E453-1</f>
        <v>0.0603442148076991</v>
      </c>
      <c r="G459" s="15" t="n">
        <f aca="false">G453/F453-1</f>
        <v>0.0133392529107774</v>
      </c>
    </row>
    <row r="460" customFormat="false" ht="17.15" hidden="false" customHeight="false" outlineLevel="0" collapsed="false">
      <c r="A460" s="0" t="s">
        <v>454</v>
      </c>
      <c r="B460" s="0" t="s">
        <v>52</v>
      </c>
      <c r="C460" s="15" t="n">
        <f aca="false">C450/C453</f>
        <v>0.426160798497332</v>
      </c>
      <c r="D460" s="15" t="n">
        <f aca="false">D450/D453</f>
        <v>0.68</v>
      </c>
      <c r="E460" s="15" t="n">
        <f aca="false">E450/E453</f>
        <v>0.79997368782935</v>
      </c>
      <c r="F460" s="15" t="n">
        <f aca="false">F450/F453</f>
        <v>0.807584333874954</v>
      </c>
      <c r="G460" s="15" t="n">
        <f aca="false">G450/G453</f>
        <v>0.806319572755337</v>
      </c>
    </row>
    <row r="461" customFormat="false" ht="17.15" hidden="false" customHeight="false" outlineLevel="0" collapsed="false">
      <c r="A461" s="4" t="s">
        <v>403</v>
      </c>
      <c r="B461" s="0" t="s">
        <v>389</v>
      </c>
      <c r="D461" s="16" t="n">
        <f aca="false">D450/fx/D441</f>
        <v>3.631383388734</v>
      </c>
      <c r="E461" s="16" t="n">
        <f aca="false">E450/fx/E441</f>
        <v>3.29597359817473</v>
      </c>
      <c r="F461" s="16" t="n">
        <f aca="false">F450/fx/F441</f>
        <v>2.78326659401422</v>
      </c>
      <c r="G461" s="16" t="n">
        <f aca="false">G450/fx/G441</f>
        <v>2.47198019863105</v>
      </c>
    </row>
    <row r="462" customFormat="false" ht="17.15" hidden="false" customHeight="false" outlineLevel="0" collapsed="false">
      <c r="A462" s="4" t="s">
        <v>455</v>
      </c>
      <c r="B462" s="4" t="s">
        <v>401</v>
      </c>
      <c r="D462" s="19" t="n">
        <f aca="false">D448/fx/(odm_gb*(1-vr26)+odm_vr*vr26)</f>
        <v>18.4522679153094</v>
      </c>
      <c r="E462" s="19" t="n">
        <f aca="false">E448/fx/odm_vr</f>
        <v>27.1143981455944</v>
      </c>
      <c r="F462" s="19" t="n">
        <f aca="false">F448/fx/odm_vr</f>
        <v>32.6521321453962</v>
      </c>
      <c r="G462" s="19" t="n">
        <f aca="false">G448/fx/odm_vr</f>
        <v>35.2382596610903</v>
      </c>
      <c r="H462" s="4" t="s">
        <v>456</v>
      </c>
    </row>
    <row r="463" customFormat="false" ht="17.15" hidden="false" customHeight="false" outlineLevel="0" collapsed="false">
      <c r="A463" s="6" t="s">
        <v>457</v>
      </c>
    </row>
    <row r="464" customFormat="false" ht="17.15" hidden="false" customHeight="false" outlineLevel="0" collapsed="false">
      <c r="A464" s="4" t="s">
        <v>458</v>
      </c>
      <c r="B464" s="0" t="s">
        <v>52</v>
      </c>
      <c r="D464" s="11" t="n">
        <f aca="false">a26_gp/D453-d_ai*D460</f>
        <v>0.0632307213692399</v>
      </c>
      <c r="H464" s="8" t="s">
        <v>459</v>
      </c>
    </row>
    <row r="465" customFormat="false" ht="17.15" hidden="false" customHeight="false" outlineLevel="0" collapsed="false">
      <c r="A465" s="0" t="s">
        <v>460</v>
      </c>
      <c r="B465" s="0" t="s">
        <v>195</v>
      </c>
      <c r="D465" s="21" t="n">
        <f aca="false">($D$464+d_ai)*D448*(1-D449*(1-keep))</f>
        <v>117.54978712</v>
      </c>
      <c r="E465" s="21" t="n">
        <f aca="false">($D$464+d_ai+vrd)*E448*(1-E449*(1-keep))</f>
        <v>233.263471446967</v>
      </c>
      <c r="F465" s="21" t="n">
        <f aca="false">($D$464+d_ai+vrd)*F448*(1-F449*(1-keep))</f>
        <v>278.066834030298</v>
      </c>
      <c r="G465" s="21" t="n">
        <f aca="false">($D$464+d_ai+vrd)*G448*(1-G449*(1-keep))</f>
        <v>298.55932361565</v>
      </c>
      <c r="H465" s="4" t="s">
        <v>461</v>
      </c>
    </row>
    <row r="466" customFormat="false" ht="15" hidden="false" customHeight="false" outlineLevel="0" collapsed="false">
      <c r="A466" s="4" t="s">
        <v>345</v>
      </c>
      <c r="B466" s="0" t="s">
        <v>195</v>
      </c>
      <c r="C466" s="19" t="n">
        <f aca="false">a25_gp</f>
        <v>148.2334922</v>
      </c>
      <c r="D466" s="19" t="n">
        <f aca="false">a26_gp</f>
        <v>198.45911</v>
      </c>
      <c r="E466" s="19" t="n">
        <f aca="false">$D$464*E452+E465</f>
        <v>316.600074013367</v>
      </c>
      <c r="F466" s="19" t="n">
        <f aca="false">$D$464*F452+F465</f>
        <v>363.070168648026</v>
      </c>
      <c r="G466" s="19" t="n">
        <f aca="false">$D$464*G452+G465</f>
        <v>385.262724925732</v>
      </c>
    </row>
    <row r="467" customFormat="false" ht="15" hidden="false" customHeight="false" outlineLevel="0" collapsed="false">
      <c r="A467" s="4" t="s">
        <v>348</v>
      </c>
      <c r="B467" s="0" t="s">
        <v>52</v>
      </c>
      <c r="C467" s="11" t="n">
        <f aca="false">C466/C453</f>
        <v>0.0698</v>
      </c>
      <c r="D467" s="11" t="n">
        <f aca="false">D466/D453</f>
        <v>0.0496307213692399</v>
      </c>
      <c r="E467" s="11" t="n">
        <f aca="false">E466/E453</f>
        <v>0.0480496784029434</v>
      </c>
      <c r="F467" s="11" t="n">
        <f aca="false">F466/F453</f>
        <v>0.0519664642617304</v>
      </c>
      <c r="G467" s="11" t="n">
        <f aca="false">G466/G453</f>
        <v>0.0544170166156925</v>
      </c>
    </row>
    <row r="468" customFormat="false" ht="17.15" hidden="false" customHeight="false" outlineLevel="0" collapsed="false">
      <c r="A468" s="0" t="s">
        <v>462</v>
      </c>
      <c r="B468" s="0" t="s">
        <v>52</v>
      </c>
      <c r="D468" s="11" t="n">
        <f aca="false">D465/D450</f>
        <v>0.0432307213692399</v>
      </c>
      <c r="E468" s="11" t="n">
        <f aca="false">E465/E450</f>
        <v>0.0442537935061639</v>
      </c>
      <c r="F468" s="11" t="n">
        <f aca="false">F465/F450</f>
        <v>0.0492826336773188</v>
      </c>
      <c r="G468" s="11" t="n">
        <f aca="false">G465/G450</f>
        <v>0.0522999377800118</v>
      </c>
      <c r="H468" s="4" t="s">
        <v>463</v>
      </c>
    </row>
    <row r="469" customFormat="false" ht="15" hidden="false" customHeight="false" outlineLevel="0" collapsed="false">
      <c r="A469" s="4" t="s">
        <v>464</v>
      </c>
      <c r="B469" s="0" t="s">
        <v>195</v>
      </c>
      <c r="C469" s="19" t="n">
        <f aca="false">a25_opx</f>
        <v>60.7375054</v>
      </c>
      <c r="D469" s="19" t="n">
        <f aca="false">a26_opx</f>
        <v>71.1893725</v>
      </c>
      <c r="E469" s="19" t="n">
        <f aca="false">D469*(1+MAX(0,phi*E459))</f>
        <v>89.6354847718951</v>
      </c>
      <c r="F469" s="19" t="n">
        <f aca="false">E469*(1+MAX(0,phi*F459))</f>
        <v>91.7990779508821</v>
      </c>
      <c r="G469" s="19" t="n">
        <f aca="false">F469*(1+MAX(0,phi*G459))</f>
        <v>92.2888903979873</v>
      </c>
    </row>
    <row r="470" customFormat="false" ht="15" hidden="false" customHeight="false" outlineLevel="0" collapsed="false">
      <c r="A470" s="4" t="s">
        <v>349</v>
      </c>
      <c r="B470" s="0" t="s">
        <v>195</v>
      </c>
      <c r="C470" s="19" t="n">
        <f aca="false">C469</f>
        <v>60.7375054</v>
      </c>
      <c r="D470" s="19" t="n">
        <f aca="false">D469</f>
        <v>71.1893725</v>
      </c>
      <c r="E470" s="19" t="n">
        <f aca="false">E469+0*E453</f>
        <v>89.6354847718951</v>
      </c>
      <c r="F470" s="19" t="n">
        <f aca="false">F469+0*F453</f>
        <v>91.7990779508821</v>
      </c>
      <c r="G470" s="19" t="n">
        <f aca="false">G469+0*G453</f>
        <v>92.2888903979873</v>
      </c>
    </row>
    <row r="471" customFormat="false" ht="15" hidden="false" customHeight="false" outlineLevel="0" collapsed="false">
      <c r="A471" s="4" t="s">
        <v>352</v>
      </c>
      <c r="B471" s="0" t="s">
        <v>195</v>
      </c>
      <c r="C471" s="19" t="n">
        <f aca="false">C466-C470</f>
        <v>87.4959868</v>
      </c>
      <c r="D471" s="19" t="n">
        <f aca="false">D466-D470</f>
        <v>127.2697375</v>
      </c>
      <c r="E471" s="19" t="n">
        <f aca="false">E466-E470</f>
        <v>226.964589241472</v>
      </c>
      <c r="F471" s="19" t="n">
        <f aca="false">F466-F470</f>
        <v>271.271090697144</v>
      </c>
      <c r="G471" s="19" t="n">
        <f aca="false">G466-G470</f>
        <v>292.973834527745</v>
      </c>
    </row>
    <row r="472" customFormat="false" ht="15" hidden="false" customHeight="false" outlineLevel="0" collapsed="false">
      <c r="A472" s="4" t="s">
        <v>355</v>
      </c>
      <c r="B472" s="0" t="s">
        <v>52</v>
      </c>
      <c r="C472" s="11" t="n">
        <f aca="false">C471/C453</f>
        <v>0.0412</v>
      </c>
      <c r="D472" s="11" t="n">
        <f aca="false">D471/D453</f>
        <v>0.0318276590104571</v>
      </c>
      <c r="E472" s="11" t="n">
        <f aca="false">E471/E453</f>
        <v>0.03444590326106</v>
      </c>
      <c r="F472" s="11" t="n">
        <f aca="false">F471/F453</f>
        <v>0.0388272038224653</v>
      </c>
      <c r="G472" s="11" t="n">
        <f aca="false">G471/G453</f>
        <v>0.0413815326269437</v>
      </c>
    </row>
    <row r="473" customFormat="false" ht="17.15" hidden="false" customHeight="false" outlineLevel="0" collapsed="false">
      <c r="A473" s="4" t="s">
        <v>229</v>
      </c>
      <c r="B473" s="0" t="s">
        <v>52</v>
      </c>
      <c r="C473" s="15" t="n">
        <f aca="false">a25_ni/a25_oi</f>
        <v>0.856953590013114</v>
      </c>
      <c r="D473" s="15" t="n">
        <f aca="false">a26_ni/a26_oi</f>
        <v>0.869913569398224</v>
      </c>
      <c r="E473" s="15" t="n">
        <f aca="false">nio_f</f>
        <v>0.865</v>
      </c>
      <c r="F473" s="15" t="n">
        <f aca="false">nio_f</f>
        <v>0.865</v>
      </c>
      <c r="G473" s="15" t="n">
        <f aca="false">nio_f</f>
        <v>0.865</v>
      </c>
    </row>
    <row r="474" customFormat="false" ht="15" hidden="false" customHeight="false" outlineLevel="0" collapsed="false">
      <c r="A474" s="4" t="s">
        <v>356</v>
      </c>
      <c r="B474" s="0" t="s">
        <v>195</v>
      </c>
      <c r="C474" s="19" t="n">
        <f aca="false">a25_ni</f>
        <v>74.98</v>
      </c>
      <c r="D474" s="19" t="n">
        <f aca="false">a26_ni</f>
        <v>110.713671625</v>
      </c>
      <c r="E474" s="19" t="n">
        <f aca="false">E471*E473</f>
        <v>196.324369693873</v>
      </c>
      <c r="F474" s="19" t="n">
        <f aca="false">F471*F473</f>
        <v>234.64949345303</v>
      </c>
      <c r="G474" s="19" t="n">
        <f aca="false">G471*G473</f>
        <v>253.422366866499</v>
      </c>
    </row>
    <row r="475" customFormat="false" ht="15" hidden="false" customHeight="false" outlineLevel="0" collapsed="false">
      <c r="A475" s="4" t="s">
        <v>465</v>
      </c>
      <c r="B475" s="4" t="s">
        <v>216</v>
      </c>
      <c r="C475" s="22" t="n">
        <f aca="false">a25_sh</f>
        <v>3.85501285347044</v>
      </c>
      <c r="D475" s="22" t="n">
        <f aca="false">a26_sh</f>
        <v>3.85460170146945</v>
      </c>
      <c r="E475" s="22" t="n">
        <f aca="false">D475*(1+sh_g)</f>
        <v>3.85460170146945</v>
      </c>
      <c r="F475" s="22" t="n">
        <f aca="false">E475*(1+sh_g)</f>
        <v>3.85460170146945</v>
      </c>
      <c r="G475" s="22" t="n">
        <f aca="false">F475*(1+sh_g)</f>
        <v>3.85460170146945</v>
      </c>
    </row>
    <row r="476" customFormat="false" ht="15" hidden="false" customHeight="false" outlineLevel="0" collapsed="false">
      <c r="A476" s="0" t="s">
        <v>362</v>
      </c>
      <c r="B476" s="0" t="s">
        <v>246</v>
      </c>
      <c r="C476" s="21" t="n">
        <f aca="false">C474/C475</f>
        <v>19.45</v>
      </c>
      <c r="D476" s="21" t="n">
        <f aca="false">D474/D475</f>
        <v>28.7224673778341</v>
      </c>
      <c r="E476" s="21" t="n">
        <f aca="false">E474/E475</f>
        <v>50.9324658936954</v>
      </c>
      <c r="F476" s="21" t="n">
        <f aca="false">F474/F475</f>
        <v>60.8751595174092</v>
      </c>
      <c r="G476" s="21" t="n">
        <f aca="false">G474/G475</f>
        <v>65.7454093816982</v>
      </c>
    </row>
    <row r="477" customFormat="false" ht="17.15" hidden="false" customHeight="false" outlineLevel="0" collapsed="false">
      <c r="A477" s="0" t="s">
        <v>466</v>
      </c>
      <c r="B477" s="0" t="s">
        <v>52</v>
      </c>
      <c r="D477" s="15" t="n">
        <f aca="false">D476/C476-1</f>
        <v>0.476733541276816</v>
      </c>
      <c r="E477" s="15" t="n">
        <f aca="false">E476/D476-1</f>
        <v>0.773262207027569</v>
      </c>
      <c r="F477" s="15" t="n">
        <f aca="false">F476/E476-1</f>
        <v>0.195213277999654</v>
      </c>
      <c r="G477" s="15" t="n">
        <f aca="false">G476/F476-1</f>
        <v>0.0800038949038999</v>
      </c>
    </row>
    <row r="480" customFormat="false" ht="17.15" hidden="false" customHeight="false" outlineLevel="0" collapsed="false">
      <c r="A480" s="1" t="s">
        <v>781</v>
      </c>
    </row>
    <row r="481" customFormat="false" ht="17.15" hidden="false" customHeight="false" outlineLevel="0" collapsed="false">
      <c r="A481" s="5" t="s">
        <v>21</v>
      </c>
      <c r="B481" s="5" t="s">
        <v>22</v>
      </c>
      <c r="C481" s="12" t="s">
        <v>335</v>
      </c>
      <c r="D481" s="12" t="s">
        <v>411</v>
      </c>
      <c r="E481" s="12" t="s">
        <v>412</v>
      </c>
      <c r="F481" s="12" t="s">
        <v>413</v>
      </c>
      <c r="G481" s="12" t="s">
        <v>414</v>
      </c>
      <c r="H481" s="5" t="s">
        <v>384</v>
      </c>
    </row>
    <row r="482" customFormat="false" ht="17.15" hidden="false" customHeight="false" outlineLevel="0" collapsed="false">
      <c r="A482" s="6" t="s">
        <v>431</v>
      </c>
    </row>
    <row r="483" customFormat="false" ht="17.15" hidden="false" customHeight="false" outlineLevel="0" collapsed="false">
      <c r="A483" s="0" t="s">
        <v>432</v>
      </c>
      <c r="B483" s="0" t="s">
        <v>32</v>
      </c>
      <c r="D483" s="21" t="n">
        <f aca="false">itc_26*1</f>
        <v>781.872916666666</v>
      </c>
      <c r="E483" s="21" t="n">
        <f aca="false">itc_27*1*1</f>
        <v>1565.35</v>
      </c>
      <c r="F483" s="21" t="n">
        <f aca="false">itc_28*um28_A*1</f>
        <v>1984.26388888889</v>
      </c>
      <c r="G483" s="21" t="n">
        <f aca="false">itc_29*um29_A*1</f>
        <v>2260.39027777778</v>
      </c>
    </row>
    <row r="484" customFormat="false" ht="17.15" hidden="false" customHeight="false" outlineLevel="0" collapsed="false">
      <c r="A484" s="4" t="s">
        <v>433</v>
      </c>
      <c r="B484" s="0" t="s">
        <v>32</v>
      </c>
      <c r="D484" s="21" t="n">
        <f aca="false">itpg_gb*(1-vr26)+itpg_vr*vr26</f>
        <v>33.41403216</v>
      </c>
      <c r="E484" s="21" t="n">
        <f aca="false">itpg_vr</f>
        <v>37.586352</v>
      </c>
      <c r="F484" s="21" t="n">
        <f aca="false">itpg_vr</f>
        <v>37.586352</v>
      </c>
      <c r="G484" s="21" t="n">
        <f aca="false">itpg_vr</f>
        <v>37.586352</v>
      </c>
    </row>
    <row r="485" customFormat="false" ht="17.15" hidden="false" customHeight="false" outlineLevel="0" collapsed="false">
      <c r="A485" s="4" t="s">
        <v>434</v>
      </c>
      <c r="B485" s="0" t="s">
        <v>386</v>
      </c>
      <c r="D485" s="18" t="n">
        <f aca="false">D483/D484</f>
        <v>23.3995380420639</v>
      </c>
      <c r="E485" s="18" t="n">
        <f aca="false">E483/E484</f>
        <v>41.6467658260637</v>
      </c>
      <c r="F485" s="18" t="n">
        <f aca="false">F483/F484</f>
        <v>52.792138191248</v>
      </c>
      <c r="G485" s="18" t="n">
        <f aca="false">G483/G484</f>
        <v>60.1385917361116</v>
      </c>
    </row>
    <row r="486" customFormat="false" ht="17.15" hidden="false" customHeight="false" outlineLevel="0" collapsed="false">
      <c r="A486" s="4" t="s">
        <v>388</v>
      </c>
      <c r="B486" s="0" t="s">
        <v>389</v>
      </c>
      <c r="D486" s="16" t="n">
        <f aca="false">(racks_gb*odm_gb*(1-vr26)+racks_vr*odm_vr*vr26)/1000</f>
        <v>27.1209</v>
      </c>
      <c r="E486" s="16" t="n">
        <f aca="false">racks_vr*odm_vr/1000</f>
        <v>27.351</v>
      </c>
      <c r="F486" s="16" t="n">
        <f aca="false">$E486*vpg_28</f>
        <v>27.351</v>
      </c>
      <c r="G486" s="16" t="n">
        <f aca="false">$E486*vpg_29</f>
        <v>27.351</v>
      </c>
      <c r="H486" s="4" t="s">
        <v>435</v>
      </c>
    </row>
    <row r="487" customFormat="false" ht="17.15" hidden="false" customHeight="false" outlineLevel="0" collapsed="false">
      <c r="A487" s="0" t="s">
        <v>436</v>
      </c>
      <c r="B487" s="0" t="s">
        <v>32</v>
      </c>
      <c r="D487" s="19" t="n">
        <f aca="false">D485*D486</f>
        <v>634.61653128501</v>
      </c>
      <c r="E487" s="19" t="n">
        <f aca="false">E485*E486</f>
        <v>1139.08069210867</v>
      </c>
      <c r="F487" s="19" t="n">
        <f aca="false">F485*F486</f>
        <v>1443.91777166882</v>
      </c>
      <c r="G487" s="19" t="n">
        <f aca="false">G485*G486</f>
        <v>1644.85062257439</v>
      </c>
    </row>
    <row r="488" customFormat="false" ht="17.15" hidden="false" customHeight="false" outlineLevel="0" collapsed="false">
      <c r="A488" s="0" t="s">
        <v>437</v>
      </c>
      <c r="B488" s="0" t="s">
        <v>195</v>
      </c>
      <c r="D488" s="19" t="n">
        <f aca="false">D487*fx</f>
        <v>20307.7290011203</v>
      </c>
      <c r="E488" s="19" t="n">
        <f aca="false">E487*fx</f>
        <v>36450.5821474774</v>
      </c>
      <c r="F488" s="19" t="n">
        <f aca="false">F487*fx</f>
        <v>46205.3686934024</v>
      </c>
      <c r="G488" s="19" t="n">
        <f aca="false">G487*fx</f>
        <v>52635.2199223804</v>
      </c>
    </row>
    <row r="489" customFormat="false" ht="17.15" hidden="false" customHeight="false" outlineLevel="0" collapsed="false">
      <c r="A489" s="4" t="s">
        <v>438</v>
      </c>
      <c r="B489" s="0" t="s">
        <v>52</v>
      </c>
      <c r="D489" s="15" t="n">
        <f aca="false">a26_ai/D488</f>
        <v>0.133896123975753</v>
      </c>
      <c r="H489" s="8" t="s">
        <v>439</v>
      </c>
    </row>
    <row r="490" customFormat="false" ht="17.15" hidden="false" customHeight="false" outlineLevel="0" collapsed="false">
      <c r="A490" s="4" t="s">
        <v>440</v>
      </c>
      <c r="B490" s="0" t="s">
        <v>72</v>
      </c>
      <c r="D490" s="16" t="n">
        <f aca="false">1</f>
        <v>1</v>
      </c>
      <c r="E490" s="16" t="n">
        <f aca="false">rel_27</f>
        <v>1</v>
      </c>
      <c r="F490" s="16" t="n">
        <f aca="false">rel_28</f>
        <v>0.95</v>
      </c>
      <c r="G490" s="16" t="n">
        <f aca="false">rel_29</f>
        <v>0.9</v>
      </c>
    </row>
    <row r="491" customFormat="false" ht="15" hidden="false" customHeight="false" outlineLevel="0" collapsed="false">
      <c r="A491" s="4" t="s">
        <v>393</v>
      </c>
      <c r="B491" s="0" t="s">
        <v>52</v>
      </c>
      <c r="D491" s="15" t="n">
        <f aca="false">$D$489*D490</f>
        <v>0.133896123975753</v>
      </c>
      <c r="E491" s="15" t="n">
        <f aca="false">$D$489*E490</f>
        <v>0.133896123975753</v>
      </c>
      <c r="F491" s="15" t="n">
        <f aca="false">$D$489*F490</f>
        <v>0.127201317776965</v>
      </c>
      <c r="G491" s="15" t="n">
        <f aca="false">$D$489*G490</f>
        <v>0.120506511578178</v>
      </c>
    </row>
    <row r="492" customFormat="false" ht="17.15" hidden="false" customHeight="false" outlineLevel="0" collapsed="false">
      <c r="A492" s="0" t="s">
        <v>441</v>
      </c>
      <c r="B492" s="0" t="s">
        <v>195</v>
      </c>
      <c r="D492" s="19" t="n">
        <f aca="false">D488*D491</f>
        <v>2719.1262</v>
      </c>
      <c r="E492" s="19" t="n">
        <f aca="false">E488*E491</f>
        <v>4880.59166620699</v>
      </c>
      <c r="F492" s="19" t="n">
        <f aca="false">F488*F491</f>
        <v>5877.38378617131</v>
      </c>
      <c r="G492" s="19" t="n">
        <f aca="false">G488*G491</f>
        <v>6342.88673899626</v>
      </c>
    </row>
    <row r="493" customFormat="false" ht="17.15" hidden="false" customHeight="false" outlineLevel="0" collapsed="false">
      <c r="A493" s="4" t="s">
        <v>397</v>
      </c>
      <c r="B493" s="0" t="s">
        <v>52</v>
      </c>
      <c r="D493" s="15" t="n">
        <f aca="false">0</f>
        <v>0</v>
      </c>
      <c r="E493" s="15" t="n">
        <f aca="false">cs_27</f>
        <v>0.1</v>
      </c>
      <c r="F493" s="15" t="n">
        <f aca="false">cs_28</f>
        <v>0.2</v>
      </c>
      <c r="G493" s="15" t="n">
        <f aca="false">cs_29</f>
        <v>0.25</v>
      </c>
      <c r="H493" s="8" t="s">
        <v>442</v>
      </c>
    </row>
    <row r="494" customFormat="false" ht="17.15" hidden="false" customHeight="false" outlineLevel="0" collapsed="false">
      <c r="A494" s="0" t="s">
        <v>443</v>
      </c>
      <c r="B494" s="0" t="s">
        <v>195</v>
      </c>
      <c r="C494" s="19" t="n">
        <f aca="false">a25_ai</f>
        <v>905.033</v>
      </c>
      <c r="D494" s="19" t="n">
        <f aca="false">D492*(1-D493)</f>
        <v>2719.1262</v>
      </c>
      <c r="E494" s="19" t="n">
        <f aca="false">E492*(1-E493)</f>
        <v>4392.53249958629</v>
      </c>
      <c r="F494" s="19" t="n">
        <f aca="false">F492*(1-F493)</f>
        <v>4701.90702893705</v>
      </c>
      <c r="G494" s="19" t="n">
        <f aca="false">G492*(1-G493)</f>
        <v>4757.16505424719</v>
      </c>
    </row>
    <row r="495" customFormat="false" ht="17.15" hidden="false" customHeight="false" outlineLevel="0" collapsed="false">
      <c r="A495" s="6" t="s">
        <v>444</v>
      </c>
    </row>
    <row r="496" customFormat="false" ht="17.15" hidden="false" customHeight="false" outlineLevel="0" collapsed="false">
      <c r="A496" s="4" t="s">
        <v>370</v>
      </c>
      <c r="B496" s="0" t="s">
        <v>195</v>
      </c>
      <c r="C496" s="19" t="n">
        <f aca="false">a25_nai</f>
        <v>1218.656</v>
      </c>
      <c r="D496" s="19" t="n">
        <f aca="false">a26_nai</f>
        <v>1279.5888</v>
      </c>
      <c r="E496" s="19" t="n">
        <f aca="false">D496*(1+GNLO27)</f>
        <v>1215.60936</v>
      </c>
      <c r="F496" s="19" t="n">
        <f aca="false">E496*(1+GNLO28)</f>
        <v>1154.828892</v>
      </c>
      <c r="G496" s="19" t="n">
        <f aca="false">F496*(1+GNLO29)</f>
        <v>1097.0874474</v>
      </c>
    </row>
    <row r="497" customFormat="false" ht="15" hidden="false" customHeight="false" outlineLevel="0" collapsed="false">
      <c r="A497" s="4" t="s">
        <v>341</v>
      </c>
      <c r="B497" s="0" t="s">
        <v>195</v>
      </c>
      <c r="C497" s="19" t="n">
        <f aca="false">C494+C496</f>
        <v>2123.689</v>
      </c>
      <c r="D497" s="19" t="n">
        <f aca="false">D494+D496</f>
        <v>3998.715</v>
      </c>
      <c r="E497" s="19" t="n">
        <f aca="false">E494+E496</f>
        <v>5608.14185958629</v>
      </c>
      <c r="F497" s="19" t="n">
        <f aca="false">F494+F496</f>
        <v>5856.73592093705</v>
      </c>
      <c r="G497" s="19" t="n">
        <f aca="false">G494+G496</f>
        <v>5854.25250164719</v>
      </c>
    </row>
    <row r="498" customFormat="false" ht="17.15" hidden="false" customHeight="false" outlineLevel="0" collapsed="false">
      <c r="A498" s="4" t="s">
        <v>445</v>
      </c>
      <c r="B498" s="0" t="s">
        <v>195</v>
      </c>
      <c r="C498" s="19" t="n">
        <f aca="false">srv_25*C497-C494</f>
        <v>602.78619</v>
      </c>
      <c r="D498" s="19" t="n">
        <f aca="false">srv_26*D497-D494</f>
        <v>679.78155</v>
      </c>
      <c r="E498" s="19" t="n">
        <f aca="false">D498*(1+g_gs27)</f>
        <v>747.759705</v>
      </c>
      <c r="F498" s="19" t="n">
        <f aca="false">E498*(1+g_gs28)</f>
        <v>785.14769025</v>
      </c>
      <c r="G498" s="19" t="n">
        <f aca="false">F498*(1+g_gs29)</f>
        <v>824.4050747625</v>
      </c>
      <c r="H498" s="8" t="s">
        <v>446</v>
      </c>
    </row>
    <row r="499" customFormat="false" ht="17.15" hidden="false" customHeight="false" outlineLevel="0" collapsed="false">
      <c r="A499" s="4" t="s">
        <v>447</v>
      </c>
      <c r="B499" s="0" t="s">
        <v>195</v>
      </c>
      <c r="C499" s="19" t="n">
        <f aca="false">C494+C498</f>
        <v>1507.81919</v>
      </c>
      <c r="D499" s="19" t="n">
        <f aca="false">D494+D498</f>
        <v>3398.90775</v>
      </c>
      <c r="E499" s="19" t="n">
        <f aca="false">E494+E498</f>
        <v>5140.29220458629</v>
      </c>
      <c r="F499" s="19" t="n">
        <f aca="false">F494+F498</f>
        <v>5487.05471918705</v>
      </c>
      <c r="G499" s="19" t="n">
        <f aca="false">G494+G498</f>
        <v>5581.57012900969</v>
      </c>
      <c r="H499" s="4" t="s">
        <v>448</v>
      </c>
    </row>
    <row r="500" customFormat="false" ht="15" hidden="false" customHeight="false" outlineLevel="0" collapsed="false">
      <c r="A500" s="4" t="s">
        <v>449</v>
      </c>
      <c r="B500" s="0" t="s">
        <v>195</v>
      </c>
      <c r="C500" s="19" t="n">
        <f aca="false">nbsh_25*C497</f>
        <v>467.21158</v>
      </c>
      <c r="D500" s="19" t="n">
        <f aca="false">nbsh_26*D497</f>
        <v>439.85865</v>
      </c>
      <c r="E500" s="19" t="n">
        <f aca="false">D500*(1+g_nb27)</f>
        <v>395.872785</v>
      </c>
      <c r="F500" s="19" t="n">
        <f aca="false">E500*(1+g_nb28)</f>
        <v>376.07914575</v>
      </c>
      <c r="G500" s="19" t="n">
        <f aca="false">F500*(1+g_nb29)</f>
        <v>364.7967713775</v>
      </c>
      <c r="H500" s="4" t="s">
        <v>450</v>
      </c>
    </row>
    <row r="501" customFormat="false" ht="17.15" hidden="false" customHeight="false" outlineLevel="0" collapsed="false">
      <c r="A501" s="4" t="s">
        <v>451</v>
      </c>
      <c r="B501" s="0" t="s">
        <v>195</v>
      </c>
      <c r="C501" s="19" t="n">
        <f aca="false">C496-C500-C498</f>
        <v>148.65823</v>
      </c>
      <c r="D501" s="19" t="n">
        <f aca="false">D496-D500-D498</f>
        <v>159.9486</v>
      </c>
      <c r="E501" s="19" t="n">
        <f aca="false">E496-E500-E498</f>
        <v>71.9768700000002</v>
      </c>
      <c r="F501" s="19" t="n">
        <f aca="false">F496-F500-F498</f>
        <v>-6.39794399999994</v>
      </c>
      <c r="G501" s="19" t="n">
        <f aca="false">G496-G500-G498</f>
        <v>-92.1143987400001</v>
      </c>
    </row>
    <row r="502" customFormat="false" ht="15" hidden="false" customHeight="false" outlineLevel="0" collapsed="false">
      <c r="A502" s="4" t="s">
        <v>452</v>
      </c>
      <c r="B502" s="0" t="s">
        <v>195</v>
      </c>
      <c r="C502" s="22" t="n">
        <f aca="false">C499+C500+C501-C497</f>
        <v>0</v>
      </c>
      <c r="D502" s="22" t="n">
        <f aca="false">D499+D500+D501-D497</f>
        <v>0</v>
      </c>
      <c r="E502" s="22" t="n">
        <f aca="false">E499+E500+E501-E497</f>
        <v>0</v>
      </c>
      <c r="F502" s="22" t="n">
        <f aca="false">F499+F500+F501-F497</f>
        <v>0</v>
      </c>
      <c r="G502" s="22" t="n">
        <f aca="false">G499+G500+G501-G497</f>
        <v>0</v>
      </c>
    </row>
    <row r="503" customFormat="false" ht="15" hidden="false" customHeight="false" outlineLevel="0" collapsed="false">
      <c r="A503" s="4" t="s">
        <v>453</v>
      </c>
      <c r="B503" s="0" t="s">
        <v>52</v>
      </c>
      <c r="D503" s="15" t="n">
        <f aca="false">D497/C497-1</f>
        <v>0.88290987993063</v>
      </c>
      <c r="E503" s="15" t="n">
        <f aca="false">E497/D497-1</f>
        <v>0.402486013528419</v>
      </c>
      <c r="F503" s="15" t="n">
        <f aca="false">F497/E497-1</f>
        <v>0.0443273489820559</v>
      </c>
      <c r="G503" s="15" t="n">
        <f aca="false">G497/F497-1</f>
        <v>-0.000424027875489674</v>
      </c>
    </row>
    <row r="504" customFormat="false" ht="17.15" hidden="false" customHeight="false" outlineLevel="0" collapsed="false">
      <c r="A504" s="0" t="s">
        <v>454</v>
      </c>
      <c r="B504" s="0" t="s">
        <v>52</v>
      </c>
      <c r="C504" s="15" t="n">
        <f aca="false">C494/C497</f>
        <v>0.426160798497332</v>
      </c>
      <c r="D504" s="15" t="n">
        <f aca="false">D494/D497</f>
        <v>0.68</v>
      </c>
      <c r="E504" s="15" t="n">
        <f aca="false">E494/E497</f>
        <v>0.783242045148681</v>
      </c>
      <c r="F504" s="15" t="n">
        <f aca="false">F494/F497</f>
        <v>0.802820392179262</v>
      </c>
      <c r="G504" s="15" t="n">
        <f aca="false">G494/G497</f>
        <v>0.812599909708145</v>
      </c>
    </row>
    <row r="505" customFormat="false" ht="17.15" hidden="false" customHeight="false" outlineLevel="0" collapsed="false">
      <c r="A505" s="4" t="s">
        <v>403</v>
      </c>
      <c r="B505" s="0" t="s">
        <v>389</v>
      </c>
      <c r="D505" s="16" t="n">
        <f aca="false">D494/fx/D485</f>
        <v>3.631383388734</v>
      </c>
      <c r="E505" s="16" t="n">
        <f aca="false">E494/fx/E485</f>
        <v>3.29597359817473</v>
      </c>
      <c r="F505" s="16" t="n">
        <f aca="false">F494/fx/F485</f>
        <v>2.78326659401422</v>
      </c>
      <c r="G505" s="16" t="n">
        <f aca="false">G494/fx/G485</f>
        <v>2.47198019863105</v>
      </c>
    </row>
    <row r="506" customFormat="false" ht="17.15" hidden="false" customHeight="false" outlineLevel="0" collapsed="false">
      <c r="A506" s="4" t="s">
        <v>455</v>
      </c>
      <c r="B506" s="4" t="s">
        <v>401</v>
      </c>
      <c r="D506" s="19" t="n">
        <f aca="false">D492/fx/(odm_gb*(1-vr26)+odm_vr*vr26)</f>
        <v>18.4522679153094</v>
      </c>
      <c r="E506" s="19" t="n">
        <f aca="false">E492/fx/odm_vr</f>
        <v>22.5953317879953</v>
      </c>
      <c r="F506" s="19" t="n">
        <f aca="false">F492/fx/odm_vr</f>
        <v>27.2101101211635</v>
      </c>
      <c r="G506" s="19" t="n">
        <f aca="false">G492/fx/odm_vr</f>
        <v>29.3652163842419</v>
      </c>
      <c r="H506" s="4" t="s">
        <v>456</v>
      </c>
    </row>
    <row r="507" customFormat="false" ht="17.15" hidden="false" customHeight="false" outlineLevel="0" collapsed="false">
      <c r="A507" s="6" t="s">
        <v>457</v>
      </c>
    </row>
    <row r="508" customFormat="false" ht="17.15" hidden="false" customHeight="false" outlineLevel="0" collapsed="false">
      <c r="A508" s="4" t="s">
        <v>458</v>
      </c>
      <c r="B508" s="0" t="s">
        <v>52</v>
      </c>
      <c r="D508" s="11" t="n">
        <f aca="false">a26_gp/D497-d_ai*D504</f>
        <v>0.0632307213692399</v>
      </c>
      <c r="H508" s="8" t="s">
        <v>459</v>
      </c>
    </row>
    <row r="509" customFormat="false" ht="17.15" hidden="false" customHeight="false" outlineLevel="0" collapsed="false">
      <c r="A509" s="0" t="s">
        <v>460</v>
      </c>
      <c r="B509" s="0" t="s">
        <v>195</v>
      </c>
      <c r="D509" s="21" t="n">
        <f aca="false">($D$508+d_ai)*D492*(1-D493*(1-keep))</f>
        <v>117.54978712</v>
      </c>
      <c r="E509" s="21" t="n">
        <f aca="false">($D$508+d_ai+vrd)*E492*(1-E493*(1-keep))</f>
        <v>194.386226205806</v>
      </c>
      <c r="F509" s="21" t="n">
        <f aca="false">($D$508+d_ai+vrd)*F492*(1-F493*(1-keep))</f>
        <v>231.722361691915</v>
      </c>
      <c r="G509" s="21" t="n">
        <f aca="false">($D$508+d_ai+vrd)*G492*(1-G493*(1-keep))</f>
        <v>248.799436346375</v>
      </c>
      <c r="H509" s="4" t="s">
        <v>461</v>
      </c>
    </row>
    <row r="510" customFormat="false" ht="15" hidden="false" customHeight="false" outlineLevel="0" collapsed="false">
      <c r="A510" s="4" t="s">
        <v>345</v>
      </c>
      <c r="B510" s="0" t="s">
        <v>195</v>
      </c>
      <c r="C510" s="19" t="n">
        <f aca="false">a25_gp</f>
        <v>148.2334922</v>
      </c>
      <c r="D510" s="19" t="n">
        <f aca="false">a26_gp</f>
        <v>198.45911</v>
      </c>
      <c r="E510" s="19" t="n">
        <f aca="false">$D$508*E496+E509</f>
        <v>271.250082941806</v>
      </c>
      <c r="F510" s="19" t="n">
        <f aca="false">$D$508*F496+F509</f>
        <v>304.743025591115</v>
      </c>
      <c r="G510" s="19" t="n">
        <f aca="false">$D$508*G496+G509</f>
        <v>318.169067050615</v>
      </c>
    </row>
    <row r="511" customFormat="false" ht="15" hidden="false" customHeight="false" outlineLevel="0" collapsed="false">
      <c r="A511" s="4" t="s">
        <v>348</v>
      </c>
      <c r="B511" s="0" t="s">
        <v>52</v>
      </c>
      <c r="C511" s="11" t="n">
        <f aca="false">C510/C497</f>
        <v>0.0698</v>
      </c>
      <c r="D511" s="11" t="n">
        <f aca="false">D510/D497</f>
        <v>0.0496307213692399</v>
      </c>
      <c r="E511" s="11" t="n">
        <f aca="false">E510/E497</f>
        <v>0.0483671935791252</v>
      </c>
      <c r="F511" s="11" t="n">
        <f aca="false">F510/F497</f>
        <v>0.0520329121382611</v>
      </c>
      <c r="G511" s="11" t="n">
        <f aca="false">G510/G497</f>
        <v>0.0543483676115939</v>
      </c>
    </row>
    <row r="512" customFormat="false" ht="17.15" hidden="false" customHeight="false" outlineLevel="0" collapsed="false">
      <c r="A512" s="0" t="s">
        <v>462</v>
      </c>
      <c r="B512" s="0" t="s">
        <v>52</v>
      </c>
      <c r="D512" s="11" t="n">
        <f aca="false">D509/D494</f>
        <v>0.0432307213692399</v>
      </c>
      <c r="E512" s="11" t="n">
        <f aca="false">E509/E494</f>
        <v>0.0442537935061639</v>
      </c>
      <c r="F512" s="11" t="n">
        <f aca="false">F509/F494</f>
        <v>0.0492826336773188</v>
      </c>
      <c r="G512" s="11" t="n">
        <f aca="false">G509/G494</f>
        <v>0.0522999377800118</v>
      </c>
      <c r="H512" s="4" t="s">
        <v>463</v>
      </c>
    </row>
    <row r="513" customFormat="false" ht="15" hidden="false" customHeight="false" outlineLevel="0" collapsed="false">
      <c r="A513" s="4" t="s">
        <v>464</v>
      </c>
      <c r="B513" s="0" t="s">
        <v>195</v>
      </c>
      <c r="C513" s="19" t="n">
        <f aca="false">a25_opx</f>
        <v>60.7375054</v>
      </c>
      <c r="D513" s="19" t="n">
        <f aca="false">a26_opx</f>
        <v>71.1893725</v>
      </c>
      <c r="E513" s="19" t="n">
        <f aca="false">D513*(1+MAX(0,phi*E503))</f>
        <v>82.6504631972459</v>
      </c>
      <c r="F513" s="19" t="n">
        <f aca="false">E513*(1+MAX(0,phi*F503))</f>
        <v>84.115933567515</v>
      </c>
      <c r="G513" s="19" t="n">
        <f aca="false">F513*(1+MAX(0,phi*G503))</f>
        <v>84.115933567515</v>
      </c>
    </row>
    <row r="514" customFormat="false" ht="15" hidden="false" customHeight="false" outlineLevel="0" collapsed="false">
      <c r="A514" s="4" t="s">
        <v>349</v>
      </c>
      <c r="B514" s="0" t="s">
        <v>195</v>
      </c>
      <c r="C514" s="19" t="n">
        <f aca="false">C513</f>
        <v>60.7375054</v>
      </c>
      <c r="D514" s="19" t="n">
        <f aca="false">D513</f>
        <v>71.1893725</v>
      </c>
      <c r="E514" s="19" t="n">
        <f aca="false">E513+0*E497</f>
        <v>82.6504631972459</v>
      </c>
      <c r="F514" s="19" t="n">
        <f aca="false">F513+0*F497</f>
        <v>84.115933567515</v>
      </c>
      <c r="G514" s="19" t="n">
        <f aca="false">G513+0*G497</f>
        <v>84.115933567515</v>
      </c>
    </row>
    <row r="515" customFormat="false" ht="15" hidden="false" customHeight="false" outlineLevel="0" collapsed="false">
      <c r="A515" s="4" t="s">
        <v>352</v>
      </c>
      <c r="B515" s="0" t="s">
        <v>195</v>
      </c>
      <c r="C515" s="19" t="n">
        <f aca="false">C510-C514</f>
        <v>87.4959868</v>
      </c>
      <c r="D515" s="19" t="n">
        <f aca="false">D510-D514</f>
        <v>127.2697375</v>
      </c>
      <c r="E515" s="19" t="n">
        <f aca="false">E510-E514</f>
        <v>188.59961974456</v>
      </c>
      <c r="F515" s="19" t="n">
        <f aca="false">F510-F514</f>
        <v>220.6270920236</v>
      </c>
      <c r="G515" s="19" t="n">
        <f aca="false">G510-G514</f>
        <v>234.0531334831</v>
      </c>
    </row>
    <row r="516" customFormat="false" ht="15" hidden="false" customHeight="false" outlineLevel="0" collapsed="false">
      <c r="A516" s="4" t="s">
        <v>355</v>
      </c>
      <c r="B516" s="0" t="s">
        <v>52</v>
      </c>
      <c r="C516" s="11" t="n">
        <f aca="false">C515/C497</f>
        <v>0.0412</v>
      </c>
      <c r="D516" s="11" t="n">
        <f aca="false">D515/D497</f>
        <v>0.0318276590104571</v>
      </c>
      <c r="E516" s="11" t="n">
        <f aca="false">E515/E497</f>
        <v>0.0336296093192037</v>
      </c>
      <c r="F516" s="11" t="n">
        <f aca="false">F515/F497</f>
        <v>0.0376706573425802</v>
      </c>
      <c r="G516" s="11" t="n">
        <f aca="false">G515/G497</f>
        <v>0.039980020236101</v>
      </c>
    </row>
    <row r="517" customFormat="false" ht="17.15" hidden="false" customHeight="false" outlineLevel="0" collapsed="false">
      <c r="A517" s="4" t="s">
        <v>229</v>
      </c>
      <c r="B517" s="0" t="s">
        <v>52</v>
      </c>
      <c r="C517" s="15" t="n">
        <f aca="false">a25_ni/a25_oi</f>
        <v>0.856953590013114</v>
      </c>
      <c r="D517" s="15" t="n">
        <f aca="false">a26_ni/a26_oi</f>
        <v>0.869913569398224</v>
      </c>
      <c r="E517" s="15" t="n">
        <f aca="false">nio_f</f>
        <v>0.865</v>
      </c>
      <c r="F517" s="15" t="n">
        <f aca="false">nio_f</f>
        <v>0.865</v>
      </c>
      <c r="G517" s="15" t="n">
        <f aca="false">nio_f</f>
        <v>0.865</v>
      </c>
    </row>
    <row r="518" customFormat="false" ht="15" hidden="false" customHeight="false" outlineLevel="0" collapsed="false">
      <c r="A518" s="4" t="s">
        <v>356</v>
      </c>
      <c r="B518" s="0" t="s">
        <v>195</v>
      </c>
      <c r="C518" s="19" t="n">
        <f aca="false">a25_ni</f>
        <v>74.98</v>
      </c>
      <c r="D518" s="19" t="n">
        <f aca="false">a26_ni</f>
        <v>110.713671625</v>
      </c>
      <c r="E518" s="19" t="n">
        <f aca="false">E515*E517</f>
        <v>163.138671079044</v>
      </c>
      <c r="F518" s="19" t="n">
        <f aca="false">F515*F517</f>
        <v>190.842434600414</v>
      </c>
      <c r="G518" s="19" t="n">
        <f aca="false">G515*G517</f>
        <v>202.455960462881</v>
      </c>
    </row>
    <row r="519" customFormat="false" ht="15" hidden="false" customHeight="false" outlineLevel="0" collapsed="false">
      <c r="A519" s="4" t="s">
        <v>465</v>
      </c>
      <c r="B519" s="4" t="s">
        <v>216</v>
      </c>
      <c r="C519" s="22" t="n">
        <f aca="false">a25_sh</f>
        <v>3.85501285347044</v>
      </c>
      <c r="D519" s="22" t="n">
        <f aca="false">a26_sh</f>
        <v>3.85460170146945</v>
      </c>
      <c r="E519" s="22" t="n">
        <f aca="false">D519*(1+sh_g)</f>
        <v>3.85460170146945</v>
      </c>
      <c r="F519" s="22" t="n">
        <f aca="false">E519*(1+sh_g)</f>
        <v>3.85460170146945</v>
      </c>
      <c r="G519" s="22" t="n">
        <f aca="false">F519*(1+sh_g)</f>
        <v>3.85460170146945</v>
      </c>
    </row>
    <row r="520" customFormat="false" ht="15" hidden="false" customHeight="false" outlineLevel="0" collapsed="false">
      <c r="A520" s="0" t="s">
        <v>362</v>
      </c>
      <c r="B520" s="0" t="s">
        <v>246</v>
      </c>
      <c r="C520" s="21" t="n">
        <f aca="false">C518/C519</f>
        <v>19.45</v>
      </c>
      <c r="D520" s="21" t="n">
        <f aca="false">D518/D519</f>
        <v>28.7224673778341</v>
      </c>
      <c r="E520" s="21" t="n">
        <f aca="false">E518/E519</f>
        <v>42.3230942426172</v>
      </c>
      <c r="F520" s="21" t="n">
        <f aca="false">F518/F519</f>
        <v>49.5102865044815</v>
      </c>
      <c r="G520" s="21" t="n">
        <f aca="false">G518/G519</f>
        <v>52.5231855695236</v>
      </c>
    </row>
    <row r="521" customFormat="false" ht="17.15" hidden="false" customHeight="false" outlineLevel="0" collapsed="false">
      <c r="A521" s="0" t="s">
        <v>466</v>
      </c>
      <c r="B521" s="0" t="s">
        <v>52</v>
      </c>
      <c r="D521" s="15" t="n">
        <f aca="false">D520/C520-1</f>
        <v>0.476733541276816</v>
      </c>
      <c r="E521" s="15" t="n">
        <f aca="false">E520/D520-1</f>
        <v>0.473518750526256</v>
      </c>
      <c r="F521" s="15" t="n">
        <f aca="false">F520/E520-1</f>
        <v>0.169817268573599</v>
      </c>
      <c r="G521" s="15" t="n">
        <f aca="false">G520/F520-1</f>
        <v>0.0608540018197912</v>
      </c>
    </row>
    <row r="524" customFormat="false" ht="17.15" hidden="false" customHeight="false" outlineLevel="0" collapsed="false">
      <c r="A524" s="1" t="s">
        <v>782</v>
      </c>
    </row>
    <row r="525" customFormat="false" ht="17.15" hidden="false" customHeight="false" outlineLevel="0" collapsed="false">
      <c r="A525" s="5" t="s">
        <v>21</v>
      </c>
      <c r="B525" s="5" t="s">
        <v>22</v>
      </c>
      <c r="C525" s="12" t="s">
        <v>335</v>
      </c>
      <c r="D525" s="12" t="s">
        <v>411</v>
      </c>
      <c r="E525" s="12" t="s">
        <v>412</v>
      </c>
      <c r="F525" s="12" t="s">
        <v>413</v>
      </c>
      <c r="G525" s="12" t="s">
        <v>414</v>
      </c>
      <c r="H525" s="5" t="s">
        <v>384</v>
      </c>
    </row>
    <row r="526" customFormat="false" ht="17.15" hidden="false" customHeight="false" outlineLevel="0" collapsed="false">
      <c r="A526" s="6" t="s">
        <v>431</v>
      </c>
    </row>
    <row r="527" customFormat="false" ht="17.15" hidden="false" customHeight="false" outlineLevel="0" collapsed="false">
      <c r="A527" s="0" t="s">
        <v>432</v>
      </c>
      <c r="B527" s="0" t="s">
        <v>32</v>
      </c>
      <c r="D527" s="21" t="n">
        <f aca="false">itc_26*1</f>
        <v>781.872916666666</v>
      </c>
      <c r="E527" s="21" t="n">
        <f aca="false">itc_27*1*1</f>
        <v>1565.35</v>
      </c>
      <c r="F527" s="21" t="n">
        <f aca="false">itc_28*um28_A*1</f>
        <v>1984.26388888889</v>
      </c>
      <c r="G527" s="21" t="n">
        <f aca="false">itc_29*um29_A*1</f>
        <v>2260.39027777778</v>
      </c>
    </row>
    <row r="528" customFormat="false" ht="17.15" hidden="false" customHeight="false" outlineLevel="0" collapsed="false">
      <c r="A528" s="4" t="s">
        <v>433</v>
      </c>
      <c r="B528" s="0" t="s">
        <v>32</v>
      </c>
      <c r="D528" s="21" t="n">
        <f aca="false">itpg_gb*(1-vr26)+itpg_vr*vr26</f>
        <v>33.41403216</v>
      </c>
      <c r="E528" s="21" t="n">
        <f aca="false">itpg_vr</f>
        <v>37.586352</v>
      </c>
      <c r="F528" s="21" t="n">
        <f aca="false">itpg_vr</f>
        <v>37.586352</v>
      </c>
      <c r="G528" s="21" t="n">
        <f aca="false">itpg_vr</f>
        <v>37.586352</v>
      </c>
    </row>
    <row r="529" customFormat="false" ht="17.15" hidden="false" customHeight="false" outlineLevel="0" collapsed="false">
      <c r="A529" s="4" t="s">
        <v>434</v>
      </c>
      <c r="B529" s="0" t="s">
        <v>386</v>
      </c>
      <c r="D529" s="18" t="n">
        <f aca="false">D527/D528</f>
        <v>23.3995380420639</v>
      </c>
      <c r="E529" s="18" t="n">
        <f aca="false">E527/E528</f>
        <v>41.6467658260637</v>
      </c>
      <c r="F529" s="18" t="n">
        <f aca="false">F527/F528</f>
        <v>52.792138191248</v>
      </c>
      <c r="G529" s="18" t="n">
        <f aca="false">G527/G528</f>
        <v>60.1385917361116</v>
      </c>
    </row>
    <row r="530" customFormat="false" ht="17.15" hidden="false" customHeight="false" outlineLevel="0" collapsed="false">
      <c r="A530" s="4" t="s">
        <v>388</v>
      </c>
      <c r="B530" s="0" t="s">
        <v>389</v>
      </c>
      <c r="D530" s="16" t="n">
        <f aca="false">(racks_gb*odm_gb*(1-vr26)+racks_vr*odm_vr*vr26)/1000</f>
        <v>27.1209</v>
      </c>
      <c r="E530" s="16" t="n">
        <f aca="false">racks_vr*odm_vr/1000</f>
        <v>27.351</v>
      </c>
      <c r="F530" s="16" t="n">
        <f aca="false">$E530*vpg_28</f>
        <v>27.351</v>
      </c>
      <c r="G530" s="16" t="n">
        <f aca="false">$E530*vpg_29</f>
        <v>27.351</v>
      </c>
      <c r="H530" s="4" t="s">
        <v>435</v>
      </c>
    </row>
    <row r="531" customFormat="false" ht="17.15" hidden="false" customHeight="false" outlineLevel="0" collapsed="false">
      <c r="A531" s="0" t="s">
        <v>436</v>
      </c>
      <c r="B531" s="0" t="s">
        <v>32</v>
      </c>
      <c r="D531" s="19" t="n">
        <f aca="false">D529*D530</f>
        <v>634.61653128501</v>
      </c>
      <c r="E531" s="19" t="n">
        <f aca="false">E529*E530</f>
        <v>1139.08069210867</v>
      </c>
      <c r="F531" s="19" t="n">
        <f aca="false">F529*F530</f>
        <v>1443.91777166882</v>
      </c>
      <c r="G531" s="19" t="n">
        <f aca="false">G529*G530</f>
        <v>1644.85062257439</v>
      </c>
    </row>
    <row r="532" customFormat="false" ht="17.15" hidden="false" customHeight="false" outlineLevel="0" collapsed="false">
      <c r="A532" s="0" t="s">
        <v>437</v>
      </c>
      <c r="B532" s="0" t="s">
        <v>195</v>
      </c>
      <c r="D532" s="19" t="n">
        <f aca="false">D531*fx</f>
        <v>20307.7290011203</v>
      </c>
      <c r="E532" s="19" t="n">
        <f aca="false">E531*fx</f>
        <v>36450.5821474774</v>
      </c>
      <c r="F532" s="19" t="n">
        <f aca="false">F531*fx</f>
        <v>46205.3686934024</v>
      </c>
      <c r="G532" s="19" t="n">
        <f aca="false">G531*fx</f>
        <v>52635.2199223804</v>
      </c>
    </row>
    <row r="533" customFormat="false" ht="17.15" hidden="false" customHeight="false" outlineLevel="0" collapsed="false">
      <c r="A533" s="4" t="s">
        <v>438</v>
      </c>
      <c r="B533" s="0" t="s">
        <v>52</v>
      </c>
      <c r="D533" s="15" t="n">
        <f aca="false">a26_ai/D532</f>
        <v>0.133896123975753</v>
      </c>
      <c r="H533" s="8" t="s">
        <v>439</v>
      </c>
    </row>
    <row r="534" customFormat="false" ht="17.15" hidden="false" customHeight="false" outlineLevel="0" collapsed="false">
      <c r="A534" s="4" t="s">
        <v>440</v>
      </c>
      <c r="B534" s="0" t="s">
        <v>72</v>
      </c>
      <c r="D534" s="16" t="n">
        <f aca="false">1</f>
        <v>1</v>
      </c>
      <c r="E534" s="16" t="n">
        <f aca="false">rel_27</f>
        <v>1</v>
      </c>
      <c r="F534" s="16" t="n">
        <f aca="false">rel_28</f>
        <v>0.95</v>
      </c>
      <c r="G534" s="16" t="n">
        <f aca="false">rel_29</f>
        <v>0.9</v>
      </c>
    </row>
    <row r="535" customFormat="false" ht="15" hidden="false" customHeight="false" outlineLevel="0" collapsed="false">
      <c r="A535" s="4" t="s">
        <v>393</v>
      </c>
      <c r="B535" s="0" t="s">
        <v>52</v>
      </c>
      <c r="D535" s="15" t="n">
        <f aca="false">$D$533*D534</f>
        <v>0.133896123975753</v>
      </c>
      <c r="E535" s="15" t="n">
        <f aca="false">$D$533*E534</f>
        <v>0.133896123975753</v>
      </c>
      <c r="F535" s="15" t="n">
        <f aca="false">$D$533*F534</f>
        <v>0.127201317776965</v>
      </c>
      <c r="G535" s="15" t="n">
        <f aca="false">$D$533*G534</f>
        <v>0.120506511578178</v>
      </c>
    </row>
    <row r="536" customFormat="false" ht="17.15" hidden="false" customHeight="false" outlineLevel="0" collapsed="false">
      <c r="A536" s="0" t="s">
        <v>441</v>
      </c>
      <c r="B536" s="0" t="s">
        <v>195</v>
      </c>
      <c r="D536" s="19" t="n">
        <f aca="false">D532*D535</f>
        <v>2719.1262</v>
      </c>
      <c r="E536" s="19" t="n">
        <f aca="false">E532*E535</f>
        <v>4880.59166620699</v>
      </c>
      <c r="F536" s="19" t="n">
        <f aca="false">F532*F535</f>
        <v>5877.38378617131</v>
      </c>
      <c r="G536" s="19" t="n">
        <f aca="false">G532*G535</f>
        <v>6342.88673899626</v>
      </c>
    </row>
    <row r="537" customFormat="false" ht="17.15" hidden="false" customHeight="false" outlineLevel="0" collapsed="false">
      <c r="A537" s="4" t="s">
        <v>397</v>
      </c>
      <c r="B537" s="0" t="s">
        <v>52</v>
      </c>
      <c r="D537" s="15" t="n">
        <f aca="false">0</f>
        <v>0</v>
      </c>
      <c r="E537" s="15" t="n">
        <f aca="false">cs_27</f>
        <v>0.1</v>
      </c>
      <c r="F537" s="15" t="n">
        <f aca="false">cs_28</f>
        <v>0.2</v>
      </c>
      <c r="G537" s="15" t="n">
        <f aca="false">cs_29</f>
        <v>0.25</v>
      </c>
      <c r="H537" s="8" t="s">
        <v>442</v>
      </c>
    </row>
    <row r="538" customFormat="false" ht="17.15" hidden="false" customHeight="false" outlineLevel="0" collapsed="false">
      <c r="A538" s="0" t="s">
        <v>443</v>
      </c>
      <c r="B538" s="0" t="s">
        <v>195</v>
      </c>
      <c r="C538" s="19" t="n">
        <f aca="false">a25_ai</f>
        <v>905.033</v>
      </c>
      <c r="D538" s="19" t="n">
        <f aca="false">D536*(1-D537)</f>
        <v>2719.1262</v>
      </c>
      <c r="E538" s="19" t="n">
        <f aca="false">E536*(1-E537)</f>
        <v>4392.53249958629</v>
      </c>
      <c r="F538" s="19" t="n">
        <f aca="false">F536*(1-F537)</f>
        <v>4701.90702893705</v>
      </c>
      <c r="G538" s="19" t="n">
        <f aca="false">G536*(1-G537)</f>
        <v>4757.16505424719</v>
      </c>
    </row>
    <row r="539" customFormat="false" ht="17.15" hidden="false" customHeight="false" outlineLevel="0" collapsed="false">
      <c r="A539" s="6" t="s">
        <v>444</v>
      </c>
    </row>
    <row r="540" customFormat="false" ht="17.15" hidden="false" customHeight="false" outlineLevel="0" collapsed="false">
      <c r="A540" s="4" t="s">
        <v>370</v>
      </c>
      <c r="B540" s="0" t="s">
        <v>195</v>
      </c>
      <c r="C540" s="19" t="n">
        <f aca="false">a25_nai</f>
        <v>1218.656</v>
      </c>
      <c r="D540" s="19" t="n">
        <f aca="false">a26_nai</f>
        <v>1279.5888</v>
      </c>
      <c r="E540" s="19" t="n">
        <f aca="false">D540*(1+GNHI27)</f>
        <v>1381.955904</v>
      </c>
      <c r="F540" s="19" t="n">
        <f aca="false">E540*(1+GNHI28)</f>
        <v>1464.87325824</v>
      </c>
      <c r="G540" s="19" t="n">
        <f aca="false">F540*(1+GNHI29)</f>
        <v>1552.7656537344</v>
      </c>
    </row>
    <row r="541" customFormat="false" ht="15" hidden="false" customHeight="false" outlineLevel="0" collapsed="false">
      <c r="A541" s="4" t="s">
        <v>341</v>
      </c>
      <c r="B541" s="0" t="s">
        <v>195</v>
      </c>
      <c r="C541" s="19" t="n">
        <f aca="false">C538+C540</f>
        <v>2123.689</v>
      </c>
      <c r="D541" s="19" t="n">
        <f aca="false">D538+D540</f>
        <v>3998.715</v>
      </c>
      <c r="E541" s="19" t="n">
        <f aca="false">E538+E540</f>
        <v>5774.48840358629</v>
      </c>
      <c r="F541" s="19" t="n">
        <f aca="false">F538+F540</f>
        <v>6166.78028717705</v>
      </c>
      <c r="G541" s="19" t="n">
        <f aca="false">G538+G540</f>
        <v>6309.93070798159</v>
      </c>
    </row>
    <row r="542" customFormat="false" ht="17.15" hidden="false" customHeight="false" outlineLevel="0" collapsed="false">
      <c r="A542" s="4" t="s">
        <v>445</v>
      </c>
      <c r="B542" s="0" t="s">
        <v>195</v>
      </c>
      <c r="C542" s="19" t="n">
        <f aca="false">srv_25*C541-C538</f>
        <v>602.78619</v>
      </c>
      <c r="D542" s="19" t="n">
        <f aca="false">srv_26*D541-D538</f>
        <v>679.78155</v>
      </c>
      <c r="E542" s="19" t="n">
        <f aca="false">D542*(1+g_gs27)</f>
        <v>747.759705</v>
      </c>
      <c r="F542" s="19" t="n">
        <f aca="false">E542*(1+g_gs28)</f>
        <v>785.14769025</v>
      </c>
      <c r="G542" s="19" t="n">
        <f aca="false">F542*(1+g_gs29)</f>
        <v>824.4050747625</v>
      </c>
      <c r="H542" s="8" t="s">
        <v>446</v>
      </c>
    </row>
    <row r="543" customFormat="false" ht="17.15" hidden="false" customHeight="false" outlineLevel="0" collapsed="false">
      <c r="A543" s="4" t="s">
        <v>447</v>
      </c>
      <c r="B543" s="0" t="s">
        <v>195</v>
      </c>
      <c r="C543" s="19" t="n">
        <f aca="false">C538+C542</f>
        <v>1507.81919</v>
      </c>
      <c r="D543" s="19" t="n">
        <f aca="false">D538+D542</f>
        <v>3398.90775</v>
      </c>
      <c r="E543" s="19" t="n">
        <f aca="false">E538+E542</f>
        <v>5140.29220458629</v>
      </c>
      <c r="F543" s="19" t="n">
        <f aca="false">F538+F542</f>
        <v>5487.05471918705</v>
      </c>
      <c r="G543" s="19" t="n">
        <f aca="false">G538+G542</f>
        <v>5581.57012900969</v>
      </c>
      <c r="H543" s="4" t="s">
        <v>448</v>
      </c>
    </row>
    <row r="544" customFormat="false" ht="15" hidden="false" customHeight="false" outlineLevel="0" collapsed="false">
      <c r="A544" s="4" t="s">
        <v>449</v>
      </c>
      <c r="B544" s="0" t="s">
        <v>195</v>
      </c>
      <c r="C544" s="19" t="n">
        <f aca="false">nbsh_25*C541</f>
        <v>467.21158</v>
      </c>
      <c r="D544" s="19" t="n">
        <f aca="false">nbsh_26*D541</f>
        <v>439.85865</v>
      </c>
      <c r="E544" s="19" t="n">
        <f aca="false">D544*(1+g_nb27)</f>
        <v>395.872785</v>
      </c>
      <c r="F544" s="19" t="n">
        <f aca="false">E544*(1+g_nb28)</f>
        <v>376.07914575</v>
      </c>
      <c r="G544" s="19" t="n">
        <f aca="false">F544*(1+g_nb29)</f>
        <v>364.7967713775</v>
      </c>
      <c r="H544" s="4" t="s">
        <v>450</v>
      </c>
    </row>
    <row r="545" customFormat="false" ht="17.15" hidden="false" customHeight="false" outlineLevel="0" collapsed="false">
      <c r="A545" s="4" t="s">
        <v>451</v>
      </c>
      <c r="B545" s="0" t="s">
        <v>195</v>
      </c>
      <c r="C545" s="19" t="n">
        <f aca="false">C540-C544-C542</f>
        <v>148.65823</v>
      </c>
      <c r="D545" s="19" t="n">
        <f aca="false">D540-D544-D542</f>
        <v>159.9486</v>
      </c>
      <c r="E545" s="19" t="n">
        <f aca="false">E540-E544-E542</f>
        <v>238.323414</v>
      </c>
      <c r="F545" s="19" t="n">
        <f aca="false">F540-F544-F542</f>
        <v>303.646422240001</v>
      </c>
      <c r="G545" s="19" t="n">
        <f aca="false">G540-G544-G542</f>
        <v>363.563807594401</v>
      </c>
    </row>
    <row r="546" customFormat="false" ht="15" hidden="false" customHeight="false" outlineLevel="0" collapsed="false">
      <c r="A546" s="4" t="s">
        <v>452</v>
      </c>
      <c r="B546" s="0" t="s">
        <v>195</v>
      </c>
      <c r="C546" s="22" t="n">
        <f aca="false">C543+C544+C545-C541</f>
        <v>0</v>
      </c>
      <c r="D546" s="22" t="n">
        <f aca="false">D543+D544+D545-D541</f>
        <v>0</v>
      </c>
      <c r="E546" s="22" t="n">
        <f aca="false">E543+E544+E545-E541</f>
        <v>0</v>
      </c>
      <c r="F546" s="22" t="n">
        <f aca="false">F543+F544+F545-F541</f>
        <v>0</v>
      </c>
      <c r="G546" s="22" t="n">
        <f aca="false">G543+G544+G545-G541</f>
        <v>0</v>
      </c>
    </row>
    <row r="547" customFormat="false" ht="15" hidden="false" customHeight="false" outlineLevel="0" collapsed="false">
      <c r="A547" s="4" t="s">
        <v>453</v>
      </c>
      <c r="B547" s="0" t="s">
        <v>52</v>
      </c>
      <c r="D547" s="15" t="n">
        <f aca="false">D541/C541-1</f>
        <v>0.88290987993063</v>
      </c>
      <c r="E547" s="15" t="n">
        <f aca="false">E541/D541-1</f>
        <v>0.444086013528419</v>
      </c>
      <c r="F547" s="15" t="n">
        <f aca="false">F541/E541-1</f>
        <v>0.0679353487569776</v>
      </c>
      <c r="G547" s="15" t="n">
        <f aca="false">G541/F541-1</f>
        <v>0.0232131540509399</v>
      </c>
    </row>
    <row r="548" customFormat="false" ht="17.15" hidden="false" customHeight="false" outlineLevel="0" collapsed="false">
      <c r="A548" s="0" t="s">
        <v>454</v>
      </c>
      <c r="B548" s="0" t="s">
        <v>52</v>
      </c>
      <c r="C548" s="15" t="n">
        <f aca="false">C538/C541</f>
        <v>0.426160798497332</v>
      </c>
      <c r="D548" s="15" t="n">
        <f aca="false">D538/D541</f>
        <v>0.68</v>
      </c>
      <c r="E548" s="15" t="n">
        <f aca="false">E538/E541</f>
        <v>0.760679075371989</v>
      </c>
      <c r="F548" s="15" t="n">
        <f aca="false">F538/F541</f>
        <v>0.762457361860938</v>
      </c>
      <c r="G548" s="15" t="n">
        <f aca="false">G538/G541</f>
        <v>0.753917162391297</v>
      </c>
    </row>
    <row r="549" customFormat="false" ht="17.15" hidden="false" customHeight="false" outlineLevel="0" collapsed="false">
      <c r="A549" s="4" t="s">
        <v>403</v>
      </c>
      <c r="B549" s="0" t="s">
        <v>389</v>
      </c>
      <c r="D549" s="16" t="n">
        <f aca="false">D538/fx/D529</f>
        <v>3.631383388734</v>
      </c>
      <c r="E549" s="16" t="n">
        <f aca="false">E538/fx/E529</f>
        <v>3.29597359817473</v>
      </c>
      <c r="F549" s="16" t="n">
        <f aca="false">F538/fx/F529</f>
        <v>2.78326659401422</v>
      </c>
      <c r="G549" s="16" t="n">
        <f aca="false">G538/fx/G529</f>
        <v>2.47198019863105</v>
      </c>
    </row>
    <row r="550" customFormat="false" ht="17.15" hidden="false" customHeight="false" outlineLevel="0" collapsed="false">
      <c r="A550" s="4" t="s">
        <v>455</v>
      </c>
      <c r="B550" s="4" t="s">
        <v>401</v>
      </c>
      <c r="D550" s="19" t="n">
        <f aca="false">D536/fx/(odm_gb*(1-vr26)+odm_vr*vr26)</f>
        <v>18.4522679153094</v>
      </c>
      <c r="E550" s="19" t="n">
        <f aca="false">E536/fx/odm_vr</f>
        <v>22.5953317879953</v>
      </c>
      <c r="F550" s="19" t="n">
        <f aca="false">F536/fx/odm_vr</f>
        <v>27.2101101211635</v>
      </c>
      <c r="G550" s="19" t="n">
        <f aca="false">G536/fx/odm_vr</f>
        <v>29.3652163842419</v>
      </c>
      <c r="H550" s="4" t="s">
        <v>456</v>
      </c>
    </row>
    <row r="551" customFormat="false" ht="17.15" hidden="false" customHeight="false" outlineLevel="0" collapsed="false">
      <c r="A551" s="6" t="s">
        <v>457</v>
      </c>
    </row>
    <row r="552" customFormat="false" ht="17.15" hidden="false" customHeight="false" outlineLevel="0" collapsed="false">
      <c r="A552" s="4" t="s">
        <v>458</v>
      </c>
      <c r="B552" s="0" t="s">
        <v>52</v>
      </c>
      <c r="D552" s="11" t="n">
        <f aca="false">a26_gp/D541-d_ai*D548</f>
        <v>0.0632307213692399</v>
      </c>
      <c r="H552" s="8" t="s">
        <v>459</v>
      </c>
    </row>
    <row r="553" customFormat="false" ht="17.15" hidden="false" customHeight="false" outlineLevel="0" collapsed="false">
      <c r="A553" s="0" t="s">
        <v>460</v>
      </c>
      <c r="B553" s="0" t="s">
        <v>195</v>
      </c>
      <c r="D553" s="21" t="n">
        <f aca="false">($D$552+d_ai)*D536*(1-D537*(1-keep))</f>
        <v>117.54978712</v>
      </c>
      <c r="E553" s="21" t="n">
        <f aca="false">($D$552+d_ai+vrd)*E536*(1-E537*(1-keep))</f>
        <v>194.386226205806</v>
      </c>
      <c r="F553" s="21" t="n">
        <f aca="false">($D$552+d_ai+vrd)*F536*(1-F537*(1-keep))</f>
        <v>231.722361691915</v>
      </c>
      <c r="G553" s="21" t="n">
        <f aca="false">($D$552+d_ai+vrd)*G536*(1-G537*(1-keep))</f>
        <v>248.799436346375</v>
      </c>
      <c r="H553" s="4" t="s">
        <v>461</v>
      </c>
    </row>
    <row r="554" customFormat="false" ht="15" hidden="false" customHeight="false" outlineLevel="0" collapsed="false">
      <c r="A554" s="4" t="s">
        <v>345</v>
      </c>
      <c r="B554" s="0" t="s">
        <v>195</v>
      </c>
      <c r="C554" s="19" t="n">
        <f aca="false">a25_gp</f>
        <v>148.2334922</v>
      </c>
      <c r="D554" s="19" t="n">
        <f aca="false">a26_gp</f>
        <v>198.45911</v>
      </c>
      <c r="E554" s="19" t="n">
        <f aca="false">$D$552*E540+E553</f>
        <v>281.768294916206</v>
      </c>
      <c r="F554" s="19" t="n">
        <f aca="false">$D$552*F540+F553</f>
        <v>324.347354524939</v>
      </c>
      <c r="G554" s="19" t="n">
        <f aca="false">$D$552*G540+G553</f>
        <v>346.98192874938</v>
      </c>
    </row>
    <row r="555" customFormat="false" ht="15" hidden="false" customHeight="false" outlineLevel="0" collapsed="false">
      <c r="A555" s="4" t="s">
        <v>348</v>
      </c>
      <c r="B555" s="0" t="s">
        <v>52</v>
      </c>
      <c r="C555" s="11" t="n">
        <f aca="false">C554/C541</f>
        <v>0.0698</v>
      </c>
      <c r="D555" s="11" t="n">
        <f aca="false">D554/D541</f>
        <v>0.0496307213692399</v>
      </c>
      <c r="E555" s="11" t="n">
        <f aca="false">E554/E541</f>
        <v>0.0487953694289543</v>
      </c>
      <c r="F555" s="11" t="n">
        <f aca="false">F554/F541</f>
        <v>0.0525958992246528</v>
      </c>
      <c r="G555" s="11" t="n">
        <f aca="false">G554/G541</f>
        <v>0.0549898160229357</v>
      </c>
    </row>
    <row r="556" customFormat="false" ht="17.15" hidden="false" customHeight="false" outlineLevel="0" collapsed="false">
      <c r="A556" s="0" t="s">
        <v>462</v>
      </c>
      <c r="B556" s="0" t="s">
        <v>52</v>
      </c>
      <c r="D556" s="11" t="n">
        <f aca="false">D553/D538</f>
        <v>0.0432307213692399</v>
      </c>
      <c r="E556" s="11" t="n">
        <f aca="false">E553/E538</f>
        <v>0.0442537935061639</v>
      </c>
      <c r="F556" s="11" t="n">
        <f aca="false">F553/F538</f>
        <v>0.0492826336773188</v>
      </c>
      <c r="G556" s="11" t="n">
        <f aca="false">G553/G538</f>
        <v>0.0522999377800118</v>
      </c>
      <c r="H556" s="4" t="s">
        <v>463</v>
      </c>
    </row>
    <row r="557" customFormat="false" ht="15" hidden="false" customHeight="false" outlineLevel="0" collapsed="false">
      <c r="A557" s="4" t="s">
        <v>464</v>
      </c>
      <c r="B557" s="0" t="s">
        <v>195</v>
      </c>
      <c r="C557" s="19" t="n">
        <f aca="false">a25_opx</f>
        <v>60.7375054</v>
      </c>
      <c r="D557" s="19" t="n">
        <f aca="false">a26_opx</f>
        <v>71.1893725</v>
      </c>
      <c r="E557" s="19" t="n">
        <f aca="false">D557*(1+MAX(0,phi*E547))</f>
        <v>83.8350543556459</v>
      </c>
      <c r="F557" s="19" t="n">
        <f aca="false">E557*(1+MAX(0,phi*F547))</f>
        <v>86.1131998179303</v>
      </c>
      <c r="G557" s="19" t="n">
        <f aca="false">F557*(1+MAX(0,phi*G547))</f>
        <v>86.9127834072075</v>
      </c>
    </row>
    <row r="558" customFormat="false" ht="15" hidden="false" customHeight="false" outlineLevel="0" collapsed="false">
      <c r="A558" s="4" t="s">
        <v>349</v>
      </c>
      <c r="B558" s="0" t="s">
        <v>195</v>
      </c>
      <c r="C558" s="19" t="n">
        <f aca="false">C557</f>
        <v>60.7375054</v>
      </c>
      <c r="D558" s="19" t="n">
        <f aca="false">D557</f>
        <v>71.1893725</v>
      </c>
      <c r="E558" s="19" t="n">
        <f aca="false">E557+0*E541</f>
        <v>83.8350543556459</v>
      </c>
      <c r="F558" s="19" t="n">
        <f aca="false">F557+0*F541</f>
        <v>86.1131998179303</v>
      </c>
      <c r="G558" s="19" t="n">
        <f aca="false">G557+0*G541</f>
        <v>86.9127834072075</v>
      </c>
    </row>
    <row r="559" customFormat="false" ht="15" hidden="false" customHeight="false" outlineLevel="0" collapsed="false">
      <c r="A559" s="4" t="s">
        <v>352</v>
      </c>
      <c r="B559" s="0" t="s">
        <v>195</v>
      </c>
      <c r="C559" s="19" t="n">
        <f aca="false">C554-C558</f>
        <v>87.4959868</v>
      </c>
      <c r="D559" s="19" t="n">
        <f aca="false">D554-D558</f>
        <v>127.2697375</v>
      </c>
      <c r="E559" s="19" t="n">
        <f aca="false">E554-E558</f>
        <v>197.93324056056</v>
      </c>
      <c r="F559" s="19" t="n">
        <f aca="false">F554-F558</f>
        <v>238.234154707009</v>
      </c>
      <c r="G559" s="19" t="n">
        <f aca="false">G554-G558</f>
        <v>260.069145342173</v>
      </c>
    </row>
    <row r="560" customFormat="false" ht="15" hidden="false" customHeight="false" outlineLevel="0" collapsed="false">
      <c r="A560" s="4" t="s">
        <v>355</v>
      </c>
      <c r="B560" s="0" t="s">
        <v>52</v>
      </c>
      <c r="C560" s="11" t="n">
        <f aca="false">C559/C541</f>
        <v>0.0412</v>
      </c>
      <c r="D560" s="11" t="n">
        <f aca="false">D559/D541</f>
        <v>0.0318276590104571</v>
      </c>
      <c r="E560" s="11" t="n">
        <f aca="false">E559/E541</f>
        <v>0.0342771907616321</v>
      </c>
      <c r="F560" s="11" t="n">
        <f aca="false">F559/F541</f>
        <v>0.0386318538382798</v>
      </c>
      <c r="G560" s="11" t="n">
        <f aca="false">G559/G541</f>
        <v>0.0412158480620405</v>
      </c>
    </row>
    <row r="561" customFormat="false" ht="17.15" hidden="false" customHeight="false" outlineLevel="0" collapsed="false">
      <c r="A561" s="4" t="s">
        <v>229</v>
      </c>
      <c r="B561" s="0" t="s">
        <v>52</v>
      </c>
      <c r="C561" s="15" t="n">
        <f aca="false">a25_ni/a25_oi</f>
        <v>0.856953590013114</v>
      </c>
      <c r="D561" s="15" t="n">
        <f aca="false">a26_ni/a26_oi</f>
        <v>0.869913569398224</v>
      </c>
      <c r="E561" s="15" t="n">
        <f aca="false">nio_f</f>
        <v>0.865</v>
      </c>
      <c r="F561" s="15" t="n">
        <f aca="false">nio_f</f>
        <v>0.865</v>
      </c>
      <c r="G561" s="15" t="n">
        <f aca="false">nio_f</f>
        <v>0.865</v>
      </c>
    </row>
    <row r="562" customFormat="false" ht="15" hidden="false" customHeight="false" outlineLevel="0" collapsed="false">
      <c r="A562" s="4" t="s">
        <v>356</v>
      </c>
      <c r="B562" s="0" t="s">
        <v>195</v>
      </c>
      <c r="C562" s="19" t="n">
        <f aca="false">a25_ni</f>
        <v>74.98</v>
      </c>
      <c r="D562" s="19" t="n">
        <f aca="false">a26_ni</f>
        <v>110.713671625</v>
      </c>
      <c r="E562" s="19" t="n">
        <f aca="false">E559*E561</f>
        <v>171.212253084884</v>
      </c>
      <c r="F562" s="19" t="n">
        <f aca="false">F559*F561</f>
        <v>206.072543821563</v>
      </c>
      <c r="G562" s="19" t="n">
        <f aca="false">G559*G561</f>
        <v>224.959810720979</v>
      </c>
    </row>
    <row r="563" customFormat="false" ht="15" hidden="false" customHeight="false" outlineLevel="0" collapsed="false">
      <c r="A563" s="4" t="s">
        <v>465</v>
      </c>
      <c r="B563" s="4" t="s">
        <v>216</v>
      </c>
      <c r="C563" s="22" t="n">
        <f aca="false">a25_sh</f>
        <v>3.85501285347044</v>
      </c>
      <c r="D563" s="22" t="n">
        <f aca="false">a26_sh</f>
        <v>3.85460170146945</v>
      </c>
      <c r="E563" s="22" t="n">
        <f aca="false">D563*(1+sh_g)</f>
        <v>3.85460170146945</v>
      </c>
      <c r="F563" s="22" t="n">
        <f aca="false">E563*(1+sh_g)</f>
        <v>3.85460170146945</v>
      </c>
      <c r="G563" s="22" t="n">
        <f aca="false">F563*(1+sh_g)</f>
        <v>3.85460170146945</v>
      </c>
    </row>
    <row r="564" customFormat="false" ht="15" hidden="false" customHeight="false" outlineLevel="0" collapsed="false">
      <c r="A564" s="0" t="s">
        <v>362</v>
      </c>
      <c r="B564" s="0" t="s">
        <v>246</v>
      </c>
      <c r="C564" s="21" t="n">
        <f aca="false">C562/C563</f>
        <v>19.45</v>
      </c>
      <c r="D564" s="21" t="n">
        <f aca="false">D562/D563</f>
        <v>28.7224673778341</v>
      </c>
      <c r="E564" s="21" t="n">
        <f aca="false">E562/E563</f>
        <v>44.4176250479043</v>
      </c>
      <c r="F564" s="21" t="n">
        <f aca="false">F562/F563</f>
        <v>53.4614364288284</v>
      </c>
      <c r="G564" s="21" t="n">
        <f aca="false">G562/G563</f>
        <v>58.3613634153745</v>
      </c>
    </row>
    <row r="565" customFormat="false" ht="17.15" hidden="false" customHeight="false" outlineLevel="0" collapsed="false">
      <c r="A565" s="0" t="s">
        <v>466</v>
      </c>
      <c r="B565" s="0" t="s">
        <v>52</v>
      </c>
      <c r="D565" s="15" t="n">
        <f aca="false">D564/C564-1</f>
        <v>0.476733541276816</v>
      </c>
      <c r="E565" s="15" t="n">
        <f aca="false">E564/D564-1</f>
        <v>0.546441831184136</v>
      </c>
      <c r="F565" s="15" t="n">
        <f aca="false">F564/E564-1</f>
        <v>0.203608620928524</v>
      </c>
      <c r="G565" s="15" t="n">
        <f aca="false">G564/F564-1</f>
        <v>0.091653485462726</v>
      </c>
    </row>
    <row r="568" customFormat="false" ht="17.15" hidden="false" customHeight="false" outlineLevel="0" collapsed="false">
      <c r="A568" s="1" t="s">
        <v>783</v>
      </c>
    </row>
    <row r="569" customFormat="false" ht="17.15" hidden="false" customHeight="false" outlineLevel="0" collapsed="false">
      <c r="A569" s="5" t="s">
        <v>21</v>
      </c>
      <c r="B569" s="5" t="s">
        <v>22</v>
      </c>
      <c r="C569" s="12" t="s">
        <v>335</v>
      </c>
      <c r="D569" s="12" t="s">
        <v>411</v>
      </c>
      <c r="E569" s="12" t="s">
        <v>412</v>
      </c>
      <c r="F569" s="12" t="s">
        <v>413</v>
      </c>
      <c r="G569" s="12" t="s">
        <v>414</v>
      </c>
      <c r="H569" s="5" t="s">
        <v>384</v>
      </c>
    </row>
    <row r="570" customFormat="false" ht="17.15" hidden="false" customHeight="false" outlineLevel="0" collapsed="false">
      <c r="A570" s="6" t="s">
        <v>431</v>
      </c>
    </row>
    <row r="571" customFormat="false" ht="17.15" hidden="false" customHeight="false" outlineLevel="0" collapsed="false">
      <c r="A571" s="0" t="s">
        <v>432</v>
      </c>
      <c r="B571" s="0" t="s">
        <v>32</v>
      </c>
      <c r="D571" s="21" t="n">
        <f aca="false">itc_26*1</f>
        <v>781.872916666666</v>
      </c>
      <c r="E571" s="21" t="n">
        <f aca="false">itc_27*1*1</f>
        <v>1565.35</v>
      </c>
      <c r="F571" s="21" t="n">
        <f aca="false">itc_28*um28_A*1</f>
        <v>1984.26388888889</v>
      </c>
      <c r="G571" s="21" t="n">
        <f aca="false">itc_29*um29_A*1</f>
        <v>2260.39027777778</v>
      </c>
    </row>
    <row r="572" customFormat="false" ht="17.15" hidden="false" customHeight="false" outlineLevel="0" collapsed="false">
      <c r="A572" s="4" t="s">
        <v>433</v>
      </c>
      <c r="B572" s="0" t="s">
        <v>32</v>
      </c>
      <c r="D572" s="21" t="n">
        <f aca="false">itpg_gb*(1-vr26)+itpg_vr*vr26</f>
        <v>33.41403216</v>
      </c>
      <c r="E572" s="21" t="n">
        <f aca="false">itpg_vr</f>
        <v>37.586352</v>
      </c>
      <c r="F572" s="21" t="n">
        <f aca="false">itpg_vr</f>
        <v>37.586352</v>
      </c>
      <c r="G572" s="21" t="n">
        <f aca="false">itpg_vr</f>
        <v>37.586352</v>
      </c>
    </row>
    <row r="573" customFormat="false" ht="17.15" hidden="false" customHeight="false" outlineLevel="0" collapsed="false">
      <c r="A573" s="4" t="s">
        <v>434</v>
      </c>
      <c r="B573" s="0" t="s">
        <v>386</v>
      </c>
      <c r="D573" s="18" t="n">
        <f aca="false">D571/D572</f>
        <v>23.3995380420639</v>
      </c>
      <c r="E573" s="18" t="n">
        <f aca="false">E571/E572</f>
        <v>41.6467658260637</v>
      </c>
      <c r="F573" s="18" t="n">
        <f aca="false">F571/F572</f>
        <v>52.792138191248</v>
      </c>
      <c r="G573" s="18" t="n">
        <f aca="false">G571/G572</f>
        <v>60.1385917361116</v>
      </c>
    </row>
    <row r="574" customFormat="false" ht="17.15" hidden="false" customHeight="false" outlineLevel="0" collapsed="false">
      <c r="A574" s="4" t="s">
        <v>388</v>
      </c>
      <c r="B574" s="0" t="s">
        <v>389</v>
      </c>
      <c r="D574" s="16" t="n">
        <f aca="false">(racks_gb*odm_gb*(1-vr26)+racks_vr*odm_vr*vr26)/1000</f>
        <v>27.1209</v>
      </c>
      <c r="E574" s="16" t="n">
        <f aca="false">racks_vr*odm_vr/1000</f>
        <v>27.351</v>
      </c>
      <c r="F574" s="16" t="n">
        <f aca="false">$E574*vpg_28</f>
        <v>27.351</v>
      </c>
      <c r="G574" s="16" t="n">
        <f aca="false">$E574*vpg_29</f>
        <v>27.351</v>
      </c>
      <c r="H574" s="4" t="s">
        <v>435</v>
      </c>
    </row>
    <row r="575" customFormat="false" ht="17.15" hidden="false" customHeight="false" outlineLevel="0" collapsed="false">
      <c r="A575" s="0" t="s">
        <v>436</v>
      </c>
      <c r="B575" s="0" t="s">
        <v>32</v>
      </c>
      <c r="D575" s="19" t="n">
        <f aca="false">D573*D574</f>
        <v>634.61653128501</v>
      </c>
      <c r="E575" s="19" t="n">
        <f aca="false">E573*E574</f>
        <v>1139.08069210867</v>
      </c>
      <c r="F575" s="19" t="n">
        <f aca="false">F573*F574</f>
        <v>1443.91777166882</v>
      </c>
      <c r="G575" s="19" t="n">
        <f aca="false">G573*G574</f>
        <v>1644.85062257439</v>
      </c>
    </row>
    <row r="576" customFormat="false" ht="17.15" hidden="false" customHeight="false" outlineLevel="0" collapsed="false">
      <c r="A576" s="0" t="s">
        <v>437</v>
      </c>
      <c r="B576" s="0" t="s">
        <v>195</v>
      </c>
      <c r="D576" s="19" t="n">
        <f aca="false">D575*fx</f>
        <v>20307.7290011203</v>
      </c>
      <c r="E576" s="19" t="n">
        <f aca="false">E575*fx</f>
        <v>36450.5821474774</v>
      </c>
      <c r="F576" s="19" t="n">
        <f aca="false">F575*fx</f>
        <v>46205.3686934024</v>
      </c>
      <c r="G576" s="19" t="n">
        <f aca="false">G575*fx</f>
        <v>52635.2199223804</v>
      </c>
    </row>
    <row r="577" customFormat="false" ht="17.15" hidden="false" customHeight="false" outlineLevel="0" collapsed="false">
      <c r="A577" s="4" t="s">
        <v>438</v>
      </c>
      <c r="B577" s="0" t="s">
        <v>52</v>
      </c>
      <c r="D577" s="15" t="n">
        <f aca="false">a26_ai/D576</f>
        <v>0.133896123975753</v>
      </c>
      <c r="H577" s="8" t="s">
        <v>439</v>
      </c>
    </row>
    <row r="578" customFormat="false" ht="17.15" hidden="false" customHeight="false" outlineLevel="0" collapsed="false">
      <c r="A578" s="4" t="s">
        <v>440</v>
      </c>
      <c r="B578" s="0" t="s">
        <v>72</v>
      </c>
      <c r="D578" s="16" t="n">
        <f aca="false">1</f>
        <v>1</v>
      </c>
      <c r="E578" s="16" t="n">
        <f aca="false">rel_27</f>
        <v>1</v>
      </c>
      <c r="F578" s="16" t="n">
        <f aca="false">rel_28</f>
        <v>0.95</v>
      </c>
      <c r="G578" s="16" t="n">
        <f aca="false">rel_29</f>
        <v>0.9</v>
      </c>
    </row>
    <row r="579" customFormat="false" ht="15" hidden="false" customHeight="false" outlineLevel="0" collapsed="false">
      <c r="A579" s="4" t="s">
        <v>393</v>
      </c>
      <c r="B579" s="0" t="s">
        <v>52</v>
      </c>
      <c r="D579" s="15" t="n">
        <f aca="false">$D$577*D578</f>
        <v>0.133896123975753</v>
      </c>
      <c r="E579" s="15" t="n">
        <f aca="false">$D$577*E578</f>
        <v>0.133896123975753</v>
      </c>
      <c r="F579" s="15" t="n">
        <f aca="false">$D$577*F578</f>
        <v>0.127201317776965</v>
      </c>
      <c r="G579" s="15" t="n">
        <f aca="false">$D$577*G578</f>
        <v>0.120506511578178</v>
      </c>
    </row>
    <row r="580" customFormat="false" ht="17.15" hidden="false" customHeight="false" outlineLevel="0" collapsed="false">
      <c r="A580" s="0" t="s">
        <v>441</v>
      </c>
      <c r="B580" s="0" t="s">
        <v>195</v>
      </c>
      <c r="D580" s="19" t="n">
        <f aca="false">D576*D579</f>
        <v>2719.1262</v>
      </c>
      <c r="E580" s="19" t="n">
        <f aca="false">E576*E579</f>
        <v>4880.59166620699</v>
      </c>
      <c r="F580" s="19" t="n">
        <f aca="false">F576*F579</f>
        <v>5877.38378617131</v>
      </c>
      <c r="G580" s="19" t="n">
        <f aca="false">G576*G579</f>
        <v>6342.88673899626</v>
      </c>
    </row>
    <row r="581" customFormat="false" ht="17.15" hidden="false" customHeight="false" outlineLevel="0" collapsed="false">
      <c r="A581" s="4" t="s">
        <v>397</v>
      </c>
      <c r="B581" s="0" t="s">
        <v>52</v>
      </c>
      <c r="D581" s="15" t="n">
        <f aca="false">0</f>
        <v>0</v>
      </c>
      <c r="E581" s="15" t="n">
        <f aca="false">cs_27</f>
        <v>0.1</v>
      </c>
      <c r="F581" s="15" t="n">
        <f aca="false">cs_28</f>
        <v>0.2</v>
      </c>
      <c r="G581" s="15" t="n">
        <f aca="false">cs_29</f>
        <v>0.25</v>
      </c>
      <c r="H581" s="8" t="s">
        <v>442</v>
      </c>
    </row>
    <row r="582" customFormat="false" ht="17.15" hidden="false" customHeight="false" outlineLevel="0" collapsed="false">
      <c r="A582" s="0" t="s">
        <v>443</v>
      </c>
      <c r="B582" s="0" t="s">
        <v>195</v>
      </c>
      <c r="C582" s="19" t="n">
        <f aca="false">a25_ai</f>
        <v>905.033</v>
      </c>
      <c r="D582" s="19" t="n">
        <f aca="false">D580*(1-D581)</f>
        <v>2719.1262</v>
      </c>
      <c r="E582" s="19" t="n">
        <f aca="false">E580*(1-E581)</f>
        <v>4392.53249958629</v>
      </c>
      <c r="F582" s="19" t="n">
        <f aca="false">F580*(1-F581)</f>
        <v>4701.90702893705</v>
      </c>
      <c r="G582" s="19" t="n">
        <f aca="false">G580*(1-G581)</f>
        <v>4757.16505424719</v>
      </c>
    </row>
    <row r="583" customFormat="false" ht="17.15" hidden="false" customHeight="false" outlineLevel="0" collapsed="false">
      <c r="A583" s="6" t="s">
        <v>444</v>
      </c>
    </row>
    <row r="584" customFormat="false" ht="17.15" hidden="false" customHeight="false" outlineLevel="0" collapsed="false">
      <c r="A584" s="4" t="s">
        <v>370</v>
      </c>
      <c r="B584" s="0" t="s">
        <v>195</v>
      </c>
      <c r="C584" s="19" t="n">
        <f aca="false">a25_nai</f>
        <v>1218.656</v>
      </c>
      <c r="D584" s="19" t="n">
        <f aca="false">a26_nai</f>
        <v>1279.5888</v>
      </c>
      <c r="E584" s="19" t="n">
        <f aca="false">D584*(1+g_nai27)</f>
        <v>1317.976464</v>
      </c>
      <c r="F584" s="19" t="n">
        <f aca="false">E584*(1+g_nai28)</f>
        <v>1344.33599328</v>
      </c>
      <c r="G584" s="19" t="n">
        <f aca="false">F584*(1+g_nai29)</f>
        <v>1371.2227131456</v>
      </c>
    </row>
    <row r="585" customFormat="false" ht="15" hidden="false" customHeight="false" outlineLevel="0" collapsed="false">
      <c r="A585" s="4" t="s">
        <v>341</v>
      </c>
      <c r="B585" s="0" t="s">
        <v>195</v>
      </c>
      <c r="C585" s="19" t="n">
        <f aca="false">C582+C584</f>
        <v>2123.689</v>
      </c>
      <c r="D585" s="19" t="n">
        <f aca="false">D582+D584</f>
        <v>3998.715</v>
      </c>
      <c r="E585" s="19" t="n">
        <f aca="false">E582+E584</f>
        <v>5710.50896358629</v>
      </c>
      <c r="F585" s="19" t="n">
        <f aca="false">F582+F584</f>
        <v>6046.24302221705</v>
      </c>
      <c r="G585" s="19" t="n">
        <f aca="false">G582+G584</f>
        <v>6128.38776739279</v>
      </c>
    </row>
    <row r="586" customFormat="false" ht="17.15" hidden="false" customHeight="false" outlineLevel="0" collapsed="false">
      <c r="A586" s="4" t="s">
        <v>445</v>
      </c>
      <c r="B586" s="0" t="s">
        <v>195</v>
      </c>
      <c r="C586" s="19" t="n">
        <f aca="false">srv_25*C585-C582</f>
        <v>602.78619</v>
      </c>
      <c r="D586" s="19" t="n">
        <f aca="false">srv_26*D585-D582</f>
        <v>679.78155</v>
      </c>
      <c r="E586" s="19" t="n">
        <f aca="false">D586*(1+g_gs27)</f>
        <v>747.759705</v>
      </c>
      <c r="F586" s="19" t="n">
        <f aca="false">E586*(1+g_gs28)</f>
        <v>785.14769025</v>
      </c>
      <c r="G586" s="19" t="n">
        <f aca="false">F586*(1+g_gs29)</f>
        <v>824.4050747625</v>
      </c>
      <c r="H586" s="8" t="s">
        <v>446</v>
      </c>
    </row>
    <row r="587" customFormat="false" ht="17.15" hidden="false" customHeight="false" outlineLevel="0" collapsed="false">
      <c r="A587" s="4" t="s">
        <v>447</v>
      </c>
      <c r="B587" s="0" t="s">
        <v>195</v>
      </c>
      <c r="C587" s="19" t="n">
        <f aca="false">C582+C586</f>
        <v>1507.81919</v>
      </c>
      <c r="D587" s="19" t="n">
        <f aca="false">D582+D586</f>
        <v>3398.90775</v>
      </c>
      <c r="E587" s="19" t="n">
        <f aca="false">E582+E586</f>
        <v>5140.29220458629</v>
      </c>
      <c r="F587" s="19" t="n">
        <f aca="false">F582+F586</f>
        <v>5487.05471918705</v>
      </c>
      <c r="G587" s="19" t="n">
        <f aca="false">G582+G586</f>
        <v>5581.57012900969</v>
      </c>
      <c r="H587" s="4" t="s">
        <v>448</v>
      </c>
    </row>
    <row r="588" customFormat="false" ht="15" hidden="false" customHeight="false" outlineLevel="0" collapsed="false">
      <c r="A588" s="4" t="s">
        <v>449</v>
      </c>
      <c r="B588" s="0" t="s">
        <v>195</v>
      </c>
      <c r="C588" s="19" t="n">
        <f aca="false">nbsh_25*C585</f>
        <v>467.21158</v>
      </c>
      <c r="D588" s="19" t="n">
        <f aca="false">nbsh_26*D585</f>
        <v>439.85865</v>
      </c>
      <c r="E588" s="19" t="n">
        <f aca="false">D588*(1+g_nb27)</f>
        <v>395.872785</v>
      </c>
      <c r="F588" s="19" t="n">
        <f aca="false">E588*(1+g_nb28)</f>
        <v>376.07914575</v>
      </c>
      <c r="G588" s="19" t="n">
        <f aca="false">F588*(1+g_nb29)</f>
        <v>364.7967713775</v>
      </c>
      <c r="H588" s="4" t="s">
        <v>450</v>
      </c>
    </row>
    <row r="589" customFormat="false" ht="17.15" hidden="false" customHeight="false" outlineLevel="0" collapsed="false">
      <c r="A589" s="4" t="s">
        <v>451</v>
      </c>
      <c r="B589" s="0" t="s">
        <v>195</v>
      </c>
      <c r="C589" s="19" t="n">
        <f aca="false">C584-C588-C586</f>
        <v>148.65823</v>
      </c>
      <c r="D589" s="19" t="n">
        <f aca="false">D584-D588-D586</f>
        <v>159.9486</v>
      </c>
      <c r="E589" s="19" t="n">
        <f aca="false">E584-E588-E586</f>
        <v>174.343974</v>
      </c>
      <c r="F589" s="19" t="n">
        <f aca="false">F584-F588-F586</f>
        <v>183.10915728</v>
      </c>
      <c r="G589" s="19" t="n">
        <f aca="false">G584-G588-G586</f>
        <v>182.0208670056</v>
      </c>
    </row>
    <row r="590" customFormat="false" ht="15" hidden="false" customHeight="false" outlineLevel="0" collapsed="false">
      <c r="A590" s="4" t="s">
        <v>452</v>
      </c>
      <c r="B590" s="0" t="s">
        <v>195</v>
      </c>
      <c r="C590" s="22" t="n">
        <f aca="false">C587+C588+C589-C585</f>
        <v>0</v>
      </c>
      <c r="D590" s="22" t="n">
        <f aca="false">D587+D588+D589-D585</f>
        <v>0</v>
      </c>
      <c r="E590" s="22" t="n">
        <f aca="false">E587+E588+E589-E585</f>
        <v>0</v>
      </c>
      <c r="F590" s="22" t="n">
        <f aca="false">F587+F588+F589-F585</f>
        <v>0</v>
      </c>
      <c r="G590" s="22" t="n">
        <f aca="false">G587+G588+G589-G585</f>
        <v>0</v>
      </c>
    </row>
    <row r="591" customFormat="false" ht="15" hidden="false" customHeight="false" outlineLevel="0" collapsed="false">
      <c r="A591" s="4" t="s">
        <v>453</v>
      </c>
      <c r="B591" s="0" t="s">
        <v>52</v>
      </c>
      <c r="D591" s="15" t="n">
        <f aca="false">D585/C585-1</f>
        <v>0.88290987993063</v>
      </c>
      <c r="E591" s="15" t="n">
        <f aca="false">E585/D585-1</f>
        <v>0.428086013528419</v>
      </c>
      <c r="F591" s="15" t="n">
        <f aca="false">F585/E585-1</f>
        <v>0.0587923179477705</v>
      </c>
      <c r="G591" s="15" t="n">
        <f aca="false">G585/F585-1</f>
        <v>0.0135860806245958</v>
      </c>
    </row>
    <row r="592" customFormat="false" ht="17.15" hidden="false" customHeight="false" outlineLevel="0" collapsed="false">
      <c r="A592" s="0" t="s">
        <v>454</v>
      </c>
      <c r="B592" s="0" t="s">
        <v>52</v>
      </c>
      <c r="C592" s="15" t="n">
        <f aca="false">C582/C585</f>
        <v>0.426160798497332</v>
      </c>
      <c r="D592" s="15" t="n">
        <f aca="false">D582/D585</f>
        <v>0.68</v>
      </c>
      <c r="E592" s="15" t="n">
        <f aca="false">E582/E585</f>
        <v>0.769201576881461</v>
      </c>
      <c r="F592" s="15" t="n">
        <f aca="false">F582/F585</f>
        <v>0.777657631633362</v>
      </c>
      <c r="G592" s="15" t="n">
        <f aca="false">G582/G585</f>
        <v>0.776250660827724</v>
      </c>
    </row>
    <row r="593" customFormat="false" ht="17.15" hidden="false" customHeight="false" outlineLevel="0" collapsed="false">
      <c r="A593" s="4" t="s">
        <v>403</v>
      </c>
      <c r="B593" s="0" t="s">
        <v>389</v>
      </c>
      <c r="D593" s="16" t="n">
        <f aca="false">D582/fx/D573</f>
        <v>3.631383388734</v>
      </c>
      <c r="E593" s="16" t="n">
        <f aca="false">E582/fx/E573</f>
        <v>3.29597359817473</v>
      </c>
      <c r="F593" s="16" t="n">
        <f aca="false">F582/fx/F573</f>
        <v>2.78326659401422</v>
      </c>
      <c r="G593" s="16" t="n">
        <f aca="false">G582/fx/G573</f>
        <v>2.47198019863105</v>
      </c>
    </row>
    <row r="594" customFormat="false" ht="17.15" hidden="false" customHeight="false" outlineLevel="0" collapsed="false">
      <c r="A594" s="4" t="s">
        <v>455</v>
      </c>
      <c r="B594" s="4" t="s">
        <v>401</v>
      </c>
      <c r="D594" s="19" t="n">
        <f aca="false">D580/fx/(odm_gb*(1-vr26)+odm_vr*vr26)</f>
        <v>18.4522679153094</v>
      </c>
      <c r="E594" s="19" t="n">
        <f aca="false">E580/fx/odm_vr</f>
        <v>22.5953317879953</v>
      </c>
      <c r="F594" s="19" t="n">
        <f aca="false">F580/fx/odm_vr</f>
        <v>27.2101101211635</v>
      </c>
      <c r="G594" s="19" t="n">
        <f aca="false">G580/fx/odm_vr</f>
        <v>29.3652163842419</v>
      </c>
      <c r="H594" s="4" t="s">
        <v>456</v>
      </c>
    </row>
    <row r="595" customFormat="false" ht="17.15" hidden="false" customHeight="false" outlineLevel="0" collapsed="false">
      <c r="A595" s="6" t="s">
        <v>457</v>
      </c>
    </row>
    <row r="596" customFormat="false" ht="17.15" hidden="false" customHeight="false" outlineLevel="0" collapsed="false">
      <c r="A596" s="4" t="s">
        <v>458</v>
      </c>
      <c r="B596" s="0" t="s">
        <v>52</v>
      </c>
      <c r="D596" s="11" t="n">
        <f aca="false">a26_gp/D585-d_ai_lo*D592</f>
        <v>0.0734307213692399</v>
      </c>
      <c r="H596" s="8" t="s">
        <v>459</v>
      </c>
    </row>
    <row r="597" customFormat="false" ht="17.15" hidden="false" customHeight="false" outlineLevel="0" collapsed="false">
      <c r="A597" s="0" t="s">
        <v>460</v>
      </c>
      <c r="B597" s="0" t="s">
        <v>195</v>
      </c>
      <c r="D597" s="21" t="n">
        <f aca="false">($D$596+d_ai_lo)*D580*(1-D581*(1-keep))</f>
        <v>104.49798136</v>
      </c>
      <c r="E597" s="21" t="n">
        <f aca="false">($D$596+d_ai_lo+vrd)*E580*(1-E581*(1-keep))</f>
        <v>171.19365460799</v>
      </c>
      <c r="F597" s="21" t="n">
        <f aca="false">($D$596+d_ai_lo+vrd)*F580*(1-F581*(1-keep))</f>
        <v>204.075148361765</v>
      </c>
      <c r="G597" s="21" t="n">
        <f aca="false">($D$596+d_ai_lo+vrd)*G580*(1-G581*(1-keep))</f>
        <v>219.114726407872</v>
      </c>
      <c r="H597" s="4" t="s">
        <v>461</v>
      </c>
    </row>
    <row r="598" customFormat="false" ht="15" hidden="false" customHeight="false" outlineLevel="0" collapsed="false">
      <c r="A598" s="4" t="s">
        <v>345</v>
      </c>
      <c r="B598" s="0" t="s">
        <v>195</v>
      </c>
      <c r="C598" s="19" t="n">
        <f aca="false">a25_gp</f>
        <v>148.2334922</v>
      </c>
      <c r="D598" s="19" t="n">
        <f aca="false">a26_gp</f>
        <v>198.45911</v>
      </c>
      <c r="E598" s="19" t="n">
        <f aca="false">$D$596*E584+E597</f>
        <v>267.97361710719</v>
      </c>
      <c r="F598" s="19" t="n">
        <f aca="false">$D$596*F584+F597</f>
        <v>302.79071011095</v>
      </c>
      <c r="G598" s="19" t="n">
        <f aca="false">$D$596*G584+G597</f>
        <v>319.80459939204</v>
      </c>
    </row>
    <row r="599" customFormat="false" ht="15" hidden="false" customHeight="false" outlineLevel="0" collapsed="false">
      <c r="A599" s="4" t="s">
        <v>348</v>
      </c>
      <c r="B599" s="0" t="s">
        <v>52</v>
      </c>
      <c r="C599" s="11" t="n">
        <f aca="false">C598/C585</f>
        <v>0.0698</v>
      </c>
      <c r="D599" s="11" t="n">
        <f aca="false">D598/D585</f>
        <v>0.0496307213692399</v>
      </c>
      <c r="E599" s="11" t="n">
        <f aca="false">E598/E585</f>
        <v>0.0469263981224711</v>
      </c>
      <c r="F599" s="11" t="n">
        <f aca="false">F598/F585</f>
        <v>0.0500791498122617</v>
      </c>
      <c r="G599" s="11" t="n">
        <f aca="false">G598/G585</f>
        <v>0.052184132520729</v>
      </c>
    </row>
    <row r="600" customFormat="false" ht="17.15" hidden="false" customHeight="false" outlineLevel="0" collapsed="false">
      <c r="A600" s="0" t="s">
        <v>462</v>
      </c>
      <c r="B600" s="0" t="s">
        <v>52</v>
      </c>
      <c r="D600" s="11" t="n">
        <f aca="false">D597/D582</f>
        <v>0.0384307213692399</v>
      </c>
      <c r="E600" s="11" t="n">
        <f aca="false">E597/E582</f>
        <v>0.0389737935061639</v>
      </c>
      <c r="F600" s="11" t="n">
        <f aca="false">F597/F582</f>
        <v>0.0434026336773189</v>
      </c>
      <c r="G600" s="11" t="n">
        <f aca="false">G597/G582</f>
        <v>0.0460599377800118</v>
      </c>
      <c r="H600" s="4" t="s">
        <v>463</v>
      </c>
    </row>
    <row r="601" customFormat="false" ht="15" hidden="false" customHeight="false" outlineLevel="0" collapsed="false">
      <c r="A601" s="4" t="s">
        <v>464</v>
      </c>
      <c r="B601" s="0" t="s">
        <v>195</v>
      </c>
      <c r="C601" s="19" t="n">
        <f aca="false">a25_opx</f>
        <v>60.7375054</v>
      </c>
      <c r="D601" s="19" t="n">
        <f aca="false">a26_opx</f>
        <v>71.1893725</v>
      </c>
      <c r="E601" s="19" t="n">
        <f aca="false">D601*(1+MAX(0,phi*E591))</f>
        <v>83.3794423716459</v>
      </c>
      <c r="F601" s="19" t="n">
        <f aca="false">E601*(1+MAX(0,phi*F591))</f>
        <v>85.3402706461345</v>
      </c>
      <c r="G601" s="19" t="n">
        <f aca="false">F601*(1+MAX(0,phi*G591))</f>
        <v>85.8040465651438</v>
      </c>
    </row>
    <row r="602" customFormat="false" ht="15" hidden="false" customHeight="false" outlineLevel="0" collapsed="false">
      <c r="A602" s="4" t="s">
        <v>349</v>
      </c>
      <c r="B602" s="0" t="s">
        <v>195</v>
      </c>
      <c r="C602" s="19" t="n">
        <f aca="false">C601</f>
        <v>60.7375054</v>
      </c>
      <c r="D602" s="19" t="n">
        <f aca="false">D601</f>
        <v>71.1893725</v>
      </c>
      <c r="E602" s="19" t="n">
        <f aca="false">E601+0*E585</f>
        <v>83.3794423716459</v>
      </c>
      <c r="F602" s="19" t="n">
        <f aca="false">F601+0*F585</f>
        <v>85.3402706461345</v>
      </c>
      <c r="G602" s="19" t="n">
        <f aca="false">G601+0*G585</f>
        <v>85.8040465651438</v>
      </c>
    </row>
    <row r="603" customFormat="false" ht="15" hidden="false" customHeight="false" outlineLevel="0" collapsed="false">
      <c r="A603" s="4" t="s">
        <v>352</v>
      </c>
      <c r="B603" s="0" t="s">
        <v>195</v>
      </c>
      <c r="C603" s="19" t="n">
        <f aca="false">C598-C602</f>
        <v>87.4959868</v>
      </c>
      <c r="D603" s="19" t="n">
        <f aca="false">D598-D602</f>
        <v>127.2697375</v>
      </c>
      <c r="E603" s="19" t="n">
        <f aca="false">E598-E602</f>
        <v>184.594174735544</v>
      </c>
      <c r="F603" s="19" t="n">
        <f aca="false">F598-F602</f>
        <v>217.450439464815</v>
      </c>
      <c r="G603" s="19" t="n">
        <f aca="false">G598-G602</f>
        <v>234.000552826896</v>
      </c>
    </row>
    <row r="604" customFormat="false" ht="15" hidden="false" customHeight="false" outlineLevel="0" collapsed="false">
      <c r="A604" s="4" t="s">
        <v>355</v>
      </c>
      <c r="B604" s="0" t="s">
        <v>52</v>
      </c>
      <c r="C604" s="11" t="n">
        <f aca="false">C603/C585</f>
        <v>0.0412</v>
      </c>
      <c r="D604" s="11" t="n">
        <f aca="false">D603/D585</f>
        <v>0.0318276590104571</v>
      </c>
      <c r="E604" s="11" t="n">
        <f aca="false">E603/E585</f>
        <v>0.0323253454136277</v>
      </c>
      <c r="F604" s="11" t="n">
        <f aca="false">F603/F585</f>
        <v>0.035964554958474</v>
      </c>
      <c r="G604" s="11" t="n">
        <f aca="false">G603/G585</f>
        <v>0.03818305265733</v>
      </c>
    </row>
    <row r="605" customFormat="false" ht="17.15" hidden="false" customHeight="false" outlineLevel="0" collapsed="false">
      <c r="A605" s="4" t="s">
        <v>229</v>
      </c>
      <c r="B605" s="0" t="s">
        <v>52</v>
      </c>
      <c r="C605" s="15" t="n">
        <f aca="false">a25_ni/a25_oi</f>
        <v>0.856953590013114</v>
      </c>
      <c r="D605" s="15" t="n">
        <f aca="false">a26_ni/a26_oi</f>
        <v>0.869913569398224</v>
      </c>
      <c r="E605" s="15" t="n">
        <f aca="false">nio_f</f>
        <v>0.865</v>
      </c>
      <c r="F605" s="15" t="n">
        <f aca="false">nio_f</f>
        <v>0.865</v>
      </c>
      <c r="G605" s="15" t="n">
        <f aca="false">nio_f</f>
        <v>0.865</v>
      </c>
    </row>
    <row r="606" customFormat="false" ht="15" hidden="false" customHeight="false" outlineLevel="0" collapsed="false">
      <c r="A606" s="4" t="s">
        <v>356</v>
      </c>
      <c r="B606" s="0" t="s">
        <v>195</v>
      </c>
      <c r="C606" s="19" t="n">
        <f aca="false">a25_ni</f>
        <v>74.98</v>
      </c>
      <c r="D606" s="19" t="n">
        <f aca="false">a26_ni</f>
        <v>110.713671625</v>
      </c>
      <c r="E606" s="19" t="n">
        <f aca="false">E603*E605</f>
        <v>159.673961146246</v>
      </c>
      <c r="F606" s="19" t="n">
        <f aca="false">F603*F605</f>
        <v>188.094630137065</v>
      </c>
      <c r="G606" s="19" t="n">
        <f aca="false">G603*G605</f>
        <v>202.410478195265</v>
      </c>
    </row>
    <row r="607" customFormat="false" ht="15" hidden="false" customHeight="false" outlineLevel="0" collapsed="false">
      <c r="A607" s="4" t="s">
        <v>465</v>
      </c>
      <c r="B607" s="4" t="s">
        <v>216</v>
      </c>
      <c r="C607" s="22" t="n">
        <f aca="false">a25_sh</f>
        <v>3.85501285347044</v>
      </c>
      <c r="D607" s="22" t="n">
        <f aca="false">a26_sh</f>
        <v>3.85460170146945</v>
      </c>
      <c r="E607" s="22" t="n">
        <f aca="false">D607*(1+sh_g)</f>
        <v>3.85460170146945</v>
      </c>
      <c r="F607" s="22" t="n">
        <f aca="false">E607*(1+sh_g)</f>
        <v>3.85460170146945</v>
      </c>
      <c r="G607" s="22" t="n">
        <f aca="false">F607*(1+sh_g)</f>
        <v>3.85460170146945</v>
      </c>
    </row>
    <row r="608" customFormat="false" ht="15" hidden="false" customHeight="false" outlineLevel="0" collapsed="false">
      <c r="A608" s="0" t="s">
        <v>362</v>
      </c>
      <c r="B608" s="0" t="s">
        <v>246</v>
      </c>
      <c r="C608" s="21" t="n">
        <f aca="false">C606/C607</f>
        <v>19.45</v>
      </c>
      <c r="D608" s="21" t="n">
        <f aca="false">D606/D607</f>
        <v>28.7224673778341</v>
      </c>
      <c r="E608" s="21" t="n">
        <f aca="false">E606/E607</f>
        <v>41.4242439330047</v>
      </c>
      <c r="F608" s="21" t="n">
        <f aca="false">F606/F607</f>
        <v>48.7974231073886</v>
      </c>
      <c r="G608" s="21" t="n">
        <f aca="false">G606/G607</f>
        <v>52.5113860968053</v>
      </c>
    </row>
    <row r="609" customFormat="false" ht="17.15" hidden="false" customHeight="false" outlineLevel="0" collapsed="false">
      <c r="A609" s="0" t="s">
        <v>466</v>
      </c>
      <c r="B609" s="0" t="s">
        <v>52</v>
      </c>
      <c r="D609" s="15" t="n">
        <f aca="false">D608/C608-1</f>
        <v>0.476733541276816</v>
      </c>
      <c r="E609" s="15" t="n">
        <f aca="false">E608/D608-1</f>
        <v>0.442224422717004</v>
      </c>
      <c r="F609" s="15" t="n">
        <f aca="false">F608/E608-1</f>
        <v>0.177991882876813</v>
      </c>
      <c r="G609" s="15" t="n">
        <f aca="false">G608/F608-1</f>
        <v>0.0761098179558251</v>
      </c>
    </row>
    <row r="612" customFormat="false" ht="17.15" hidden="false" customHeight="false" outlineLevel="0" collapsed="false">
      <c r="A612" s="1" t="s">
        <v>784</v>
      </c>
    </row>
    <row r="613" customFormat="false" ht="17.15" hidden="false" customHeight="false" outlineLevel="0" collapsed="false">
      <c r="A613" s="5" t="s">
        <v>21</v>
      </c>
      <c r="B613" s="5" t="s">
        <v>22</v>
      </c>
      <c r="C613" s="12" t="s">
        <v>335</v>
      </c>
      <c r="D613" s="12" t="s">
        <v>411</v>
      </c>
      <c r="E613" s="12" t="s">
        <v>412</v>
      </c>
      <c r="F613" s="12" t="s">
        <v>413</v>
      </c>
      <c r="G613" s="12" t="s">
        <v>414</v>
      </c>
      <c r="H613" s="5" t="s">
        <v>384</v>
      </c>
    </row>
    <row r="614" customFormat="false" ht="17.15" hidden="false" customHeight="false" outlineLevel="0" collapsed="false">
      <c r="A614" s="6" t="s">
        <v>431</v>
      </c>
    </row>
    <row r="615" customFormat="false" ht="17.15" hidden="false" customHeight="false" outlineLevel="0" collapsed="false">
      <c r="A615" s="0" t="s">
        <v>432</v>
      </c>
      <c r="B615" s="0" t="s">
        <v>32</v>
      </c>
      <c r="D615" s="21" t="n">
        <f aca="false">itc_26*1</f>
        <v>781.872916666666</v>
      </c>
      <c r="E615" s="21" t="n">
        <f aca="false">itc_27*1*1</f>
        <v>1565.35</v>
      </c>
      <c r="F615" s="21" t="n">
        <f aca="false">itc_28*um28_A*1</f>
        <v>1984.26388888889</v>
      </c>
      <c r="G615" s="21" t="n">
        <f aca="false">itc_29*um29_A*1</f>
        <v>2260.39027777778</v>
      </c>
    </row>
    <row r="616" customFormat="false" ht="17.15" hidden="false" customHeight="false" outlineLevel="0" collapsed="false">
      <c r="A616" s="4" t="s">
        <v>433</v>
      </c>
      <c r="B616" s="0" t="s">
        <v>32</v>
      </c>
      <c r="D616" s="21" t="n">
        <f aca="false">itpg_gb*(1-vr26)+itpg_vr*vr26</f>
        <v>33.41403216</v>
      </c>
      <c r="E616" s="21" t="n">
        <f aca="false">itpg_vr</f>
        <v>37.586352</v>
      </c>
      <c r="F616" s="21" t="n">
        <f aca="false">itpg_vr</f>
        <v>37.586352</v>
      </c>
      <c r="G616" s="21" t="n">
        <f aca="false">itpg_vr</f>
        <v>37.586352</v>
      </c>
    </row>
    <row r="617" customFormat="false" ht="17.15" hidden="false" customHeight="false" outlineLevel="0" collapsed="false">
      <c r="A617" s="4" t="s">
        <v>434</v>
      </c>
      <c r="B617" s="0" t="s">
        <v>386</v>
      </c>
      <c r="D617" s="18" t="n">
        <f aca="false">D615/D616</f>
        <v>23.3995380420639</v>
      </c>
      <c r="E617" s="18" t="n">
        <f aca="false">E615/E616</f>
        <v>41.6467658260637</v>
      </c>
      <c r="F617" s="18" t="n">
        <f aca="false">F615/F616</f>
        <v>52.792138191248</v>
      </c>
      <c r="G617" s="18" t="n">
        <f aca="false">G615/G616</f>
        <v>60.1385917361116</v>
      </c>
    </row>
    <row r="618" customFormat="false" ht="17.15" hidden="false" customHeight="false" outlineLevel="0" collapsed="false">
      <c r="A618" s="4" t="s">
        <v>388</v>
      </c>
      <c r="B618" s="0" t="s">
        <v>389</v>
      </c>
      <c r="D618" s="16" t="n">
        <f aca="false">(racks_gb*odm_gb*(1-vr26)+racks_vr*odm_vr*vr26)/1000</f>
        <v>27.1209</v>
      </c>
      <c r="E618" s="16" t="n">
        <f aca="false">racks_vr*odm_vr/1000</f>
        <v>27.351</v>
      </c>
      <c r="F618" s="16" t="n">
        <f aca="false">$E618*vpg_28</f>
        <v>27.351</v>
      </c>
      <c r="G618" s="16" t="n">
        <f aca="false">$E618*vpg_29</f>
        <v>27.351</v>
      </c>
      <c r="H618" s="4" t="s">
        <v>435</v>
      </c>
    </row>
    <row r="619" customFormat="false" ht="17.15" hidden="false" customHeight="false" outlineLevel="0" collapsed="false">
      <c r="A619" s="0" t="s">
        <v>436</v>
      </c>
      <c r="B619" s="0" t="s">
        <v>32</v>
      </c>
      <c r="D619" s="19" t="n">
        <f aca="false">D617*D618</f>
        <v>634.61653128501</v>
      </c>
      <c r="E619" s="19" t="n">
        <f aca="false">E617*E618</f>
        <v>1139.08069210867</v>
      </c>
      <c r="F619" s="19" t="n">
        <f aca="false">F617*F618</f>
        <v>1443.91777166882</v>
      </c>
      <c r="G619" s="19" t="n">
        <f aca="false">G617*G618</f>
        <v>1644.85062257439</v>
      </c>
    </row>
    <row r="620" customFormat="false" ht="17.15" hidden="false" customHeight="false" outlineLevel="0" collapsed="false">
      <c r="A620" s="0" t="s">
        <v>437</v>
      </c>
      <c r="B620" s="0" t="s">
        <v>195</v>
      </c>
      <c r="D620" s="19" t="n">
        <f aca="false">D619*fx</f>
        <v>20307.7290011203</v>
      </c>
      <c r="E620" s="19" t="n">
        <f aca="false">E619*fx</f>
        <v>36450.5821474774</v>
      </c>
      <c r="F620" s="19" t="n">
        <f aca="false">F619*fx</f>
        <v>46205.3686934024</v>
      </c>
      <c r="G620" s="19" t="n">
        <f aca="false">G619*fx</f>
        <v>52635.2199223804</v>
      </c>
    </row>
    <row r="621" customFormat="false" ht="17.15" hidden="false" customHeight="false" outlineLevel="0" collapsed="false">
      <c r="A621" s="4" t="s">
        <v>438</v>
      </c>
      <c r="B621" s="0" t="s">
        <v>52</v>
      </c>
      <c r="D621" s="15" t="n">
        <f aca="false">a26_ai/D620</f>
        <v>0.133896123975753</v>
      </c>
      <c r="H621" s="8" t="s">
        <v>439</v>
      </c>
    </row>
    <row r="622" customFormat="false" ht="17.15" hidden="false" customHeight="false" outlineLevel="0" collapsed="false">
      <c r="A622" s="4" t="s">
        <v>440</v>
      </c>
      <c r="B622" s="0" t="s">
        <v>72</v>
      </c>
      <c r="D622" s="16" t="n">
        <f aca="false">1</f>
        <v>1</v>
      </c>
      <c r="E622" s="16" t="n">
        <f aca="false">rel_27</f>
        <v>1</v>
      </c>
      <c r="F622" s="16" t="n">
        <f aca="false">rel_28</f>
        <v>0.95</v>
      </c>
      <c r="G622" s="16" t="n">
        <f aca="false">rel_29</f>
        <v>0.9</v>
      </c>
    </row>
    <row r="623" customFormat="false" ht="15" hidden="false" customHeight="false" outlineLevel="0" collapsed="false">
      <c r="A623" s="4" t="s">
        <v>393</v>
      </c>
      <c r="B623" s="0" t="s">
        <v>52</v>
      </c>
      <c r="D623" s="15" t="n">
        <f aca="false">$D$621*D622</f>
        <v>0.133896123975753</v>
      </c>
      <c r="E623" s="15" t="n">
        <f aca="false">$D$621*E622</f>
        <v>0.133896123975753</v>
      </c>
      <c r="F623" s="15" t="n">
        <f aca="false">$D$621*F622</f>
        <v>0.127201317776965</v>
      </c>
      <c r="G623" s="15" t="n">
        <f aca="false">$D$621*G622</f>
        <v>0.120506511578178</v>
      </c>
    </row>
    <row r="624" customFormat="false" ht="17.15" hidden="false" customHeight="false" outlineLevel="0" collapsed="false">
      <c r="A624" s="0" t="s">
        <v>441</v>
      </c>
      <c r="B624" s="0" t="s">
        <v>195</v>
      </c>
      <c r="D624" s="19" t="n">
        <f aca="false">D620*D623</f>
        <v>2719.1262</v>
      </c>
      <c r="E624" s="19" t="n">
        <f aca="false">E620*E623</f>
        <v>4880.59166620699</v>
      </c>
      <c r="F624" s="19" t="n">
        <f aca="false">F620*F623</f>
        <v>5877.38378617131</v>
      </c>
      <c r="G624" s="19" t="n">
        <f aca="false">G620*G623</f>
        <v>6342.88673899626</v>
      </c>
    </row>
    <row r="625" customFormat="false" ht="17.15" hidden="false" customHeight="false" outlineLevel="0" collapsed="false">
      <c r="A625" s="4" t="s">
        <v>397</v>
      </c>
      <c r="B625" s="0" t="s">
        <v>52</v>
      </c>
      <c r="D625" s="15" t="n">
        <f aca="false">0</f>
        <v>0</v>
      </c>
      <c r="E625" s="15" t="n">
        <f aca="false">cs_27</f>
        <v>0.1</v>
      </c>
      <c r="F625" s="15" t="n">
        <f aca="false">cs_28</f>
        <v>0.2</v>
      </c>
      <c r="G625" s="15" t="n">
        <f aca="false">cs_29</f>
        <v>0.25</v>
      </c>
      <c r="H625" s="8" t="s">
        <v>442</v>
      </c>
    </row>
    <row r="626" customFormat="false" ht="17.15" hidden="false" customHeight="false" outlineLevel="0" collapsed="false">
      <c r="A626" s="0" t="s">
        <v>443</v>
      </c>
      <c r="B626" s="0" t="s">
        <v>195</v>
      </c>
      <c r="C626" s="19" t="n">
        <f aca="false">a25_ai</f>
        <v>905.033</v>
      </c>
      <c r="D626" s="19" t="n">
        <f aca="false">D624*(1-D625)</f>
        <v>2719.1262</v>
      </c>
      <c r="E626" s="19" t="n">
        <f aca="false">E624*(1-E625)</f>
        <v>4392.53249958629</v>
      </c>
      <c r="F626" s="19" t="n">
        <f aca="false">F624*(1-F625)</f>
        <v>4701.90702893705</v>
      </c>
      <c r="G626" s="19" t="n">
        <f aca="false">G624*(1-G625)</f>
        <v>4757.16505424719</v>
      </c>
    </row>
    <row r="627" customFormat="false" ht="17.15" hidden="false" customHeight="false" outlineLevel="0" collapsed="false">
      <c r="A627" s="6" t="s">
        <v>444</v>
      </c>
    </row>
    <row r="628" customFormat="false" ht="17.15" hidden="false" customHeight="false" outlineLevel="0" collapsed="false">
      <c r="A628" s="4" t="s">
        <v>370</v>
      </c>
      <c r="B628" s="0" t="s">
        <v>195</v>
      </c>
      <c r="C628" s="19" t="n">
        <f aca="false">a25_nai</f>
        <v>1218.656</v>
      </c>
      <c r="D628" s="19" t="n">
        <f aca="false">a26_nai</f>
        <v>1279.5888</v>
      </c>
      <c r="E628" s="19" t="n">
        <f aca="false">D628*(1+g_nai27)</f>
        <v>1317.976464</v>
      </c>
      <c r="F628" s="19" t="n">
        <f aca="false">E628*(1+g_nai28)</f>
        <v>1344.33599328</v>
      </c>
      <c r="G628" s="19" t="n">
        <f aca="false">F628*(1+g_nai29)</f>
        <v>1371.2227131456</v>
      </c>
    </row>
    <row r="629" customFormat="false" ht="15" hidden="false" customHeight="false" outlineLevel="0" collapsed="false">
      <c r="A629" s="4" t="s">
        <v>341</v>
      </c>
      <c r="B629" s="0" t="s">
        <v>195</v>
      </c>
      <c r="C629" s="19" t="n">
        <f aca="false">C626+C628</f>
        <v>2123.689</v>
      </c>
      <c r="D629" s="19" t="n">
        <f aca="false">D626+D628</f>
        <v>3998.715</v>
      </c>
      <c r="E629" s="19" t="n">
        <f aca="false">E626+E628</f>
        <v>5710.50896358629</v>
      </c>
      <c r="F629" s="19" t="n">
        <f aca="false">F626+F628</f>
        <v>6046.24302221705</v>
      </c>
      <c r="G629" s="19" t="n">
        <f aca="false">G626+G628</f>
        <v>6128.38776739279</v>
      </c>
    </row>
    <row r="630" customFormat="false" ht="17.15" hidden="false" customHeight="false" outlineLevel="0" collapsed="false">
      <c r="A630" s="4" t="s">
        <v>445</v>
      </c>
      <c r="B630" s="0" t="s">
        <v>195</v>
      </c>
      <c r="C630" s="19" t="n">
        <f aca="false">srv_25*C629-C626</f>
        <v>602.78619</v>
      </c>
      <c r="D630" s="19" t="n">
        <f aca="false">srv_26*D629-D626</f>
        <v>679.78155</v>
      </c>
      <c r="E630" s="19" t="n">
        <f aca="false">D630*(1+g_gs27)</f>
        <v>747.759705</v>
      </c>
      <c r="F630" s="19" t="n">
        <f aca="false">E630*(1+g_gs28)</f>
        <v>785.14769025</v>
      </c>
      <c r="G630" s="19" t="n">
        <f aca="false">F630*(1+g_gs29)</f>
        <v>824.4050747625</v>
      </c>
      <c r="H630" s="8" t="s">
        <v>446</v>
      </c>
    </row>
    <row r="631" customFormat="false" ht="17.15" hidden="false" customHeight="false" outlineLevel="0" collapsed="false">
      <c r="A631" s="4" t="s">
        <v>447</v>
      </c>
      <c r="B631" s="0" t="s">
        <v>195</v>
      </c>
      <c r="C631" s="19" t="n">
        <f aca="false">C626+C630</f>
        <v>1507.81919</v>
      </c>
      <c r="D631" s="19" t="n">
        <f aca="false">D626+D630</f>
        <v>3398.90775</v>
      </c>
      <c r="E631" s="19" t="n">
        <f aca="false">E626+E630</f>
        <v>5140.29220458629</v>
      </c>
      <c r="F631" s="19" t="n">
        <f aca="false">F626+F630</f>
        <v>5487.05471918705</v>
      </c>
      <c r="G631" s="19" t="n">
        <f aca="false">G626+G630</f>
        <v>5581.57012900969</v>
      </c>
      <c r="H631" s="4" t="s">
        <v>448</v>
      </c>
    </row>
    <row r="632" customFormat="false" ht="15" hidden="false" customHeight="false" outlineLevel="0" collapsed="false">
      <c r="A632" s="4" t="s">
        <v>449</v>
      </c>
      <c r="B632" s="0" t="s">
        <v>195</v>
      </c>
      <c r="C632" s="19" t="n">
        <f aca="false">nbsh_25*C629</f>
        <v>467.21158</v>
      </c>
      <c r="D632" s="19" t="n">
        <f aca="false">nbsh_26*D629</f>
        <v>439.85865</v>
      </c>
      <c r="E632" s="19" t="n">
        <f aca="false">D632*(1+g_nb27)</f>
        <v>395.872785</v>
      </c>
      <c r="F632" s="19" t="n">
        <f aca="false">E632*(1+g_nb28)</f>
        <v>376.07914575</v>
      </c>
      <c r="G632" s="19" t="n">
        <f aca="false">F632*(1+g_nb29)</f>
        <v>364.7967713775</v>
      </c>
      <c r="H632" s="4" t="s">
        <v>450</v>
      </c>
    </row>
    <row r="633" customFormat="false" ht="17.15" hidden="false" customHeight="false" outlineLevel="0" collapsed="false">
      <c r="A633" s="4" t="s">
        <v>451</v>
      </c>
      <c r="B633" s="0" t="s">
        <v>195</v>
      </c>
      <c r="C633" s="19" t="n">
        <f aca="false">C628-C632-C630</f>
        <v>148.65823</v>
      </c>
      <c r="D633" s="19" t="n">
        <f aca="false">D628-D632-D630</f>
        <v>159.9486</v>
      </c>
      <c r="E633" s="19" t="n">
        <f aca="false">E628-E632-E630</f>
        <v>174.343974</v>
      </c>
      <c r="F633" s="19" t="n">
        <f aca="false">F628-F632-F630</f>
        <v>183.10915728</v>
      </c>
      <c r="G633" s="19" t="n">
        <f aca="false">G628-G632-G630</f>
        <v>182.0208670056</v>
      </c>
    </row>
    <row r="634" customFormat="false" ht="15" hidden="false" customHeight="false" outlineLevel="0" collapsed="false">
      <c r="A634" s="4" t="s">
        <v>452</v>
      </c>
      <c r="B634" s="0" t="s">
        <v>195</v>
      </c>
      <c r="C634" s="22" t="n">
        <f aca="false">C631+C632+C633-C629</f>
        <v>0</v>
      </c>
      <c r="D634" s="22" t="n">
        <f aca="false">D631+D632+D633-D629</f>
        <v>0</v>
      </c>
      <c r="E634" s="22" t="n">
        <f aca="false">E631+E632+E633-E629</f>
        <v>0</v>
      </c>
      <c r="F634" s="22" t="n">
        <f aca="false">F631+F632+F633-F629</f>
        <v>0</v>
      </c>
      <c r="G634" s="22" t="n">
        <f aca="false">G631+G632+G633-G629</f>
        <v>0</v>
      </c>
    </row>
    <row r="635" customFormat="false" ht="15" hidden="false" customHeight="false" outlineLevel="0" collapsed="false">
      <c r="A635" s="4" t="s">
        <v>453</v>
      </c>
      <c r="B635" s="0" t="s">
        <v>52</v>
      </c>
      <c r="D635" s="15" t="n">
        <f aca="false">D629/C629-1</f>
        <v>0.88290987993063</v>
      </c>
      <c r="E635" s="15" t="n">
        <f aca="false">E629/D629-1</f>
        <v>0.428086013528419</v>
      </c>
      <c r="F635" s="15" t="n">
        <f aca="false">F629/E629-1</f>
        <v>0.0587923179477705</v>
      </c>
      <c r="G635" s="15" t="n">
        <f aca="false">G629/F629-1</f>
        <v>0.0135860806245958</v>
      </c>
    </row>
    <row r="636" customFormat="false" ht="17.15" hidden="false" customHeight="false" outlineLevel="0" collapsed="false">
      <c r="A636" s="0" t="s">
        <v>454</v>
      </c>
      <c r="B636" s="0" t="s">
        <v>52</v>
      </c>
      <c r="C636" s="15" t="n">
        <f aca="false">C626/C629</f>
        <v>0.426160798497332</v>
      </c>
      <c r="D636" s="15" t="n">
        <f aca="false">D626/D629</f>
        <v>0.68</v>
      </c>
      <c r="E636" s="15" t="n">
        <f aca="false">E626/E629</f>
        <v>0.769201576881461</v>
      </c>
      <c r="F636" s="15" t="n">
        <f aca="false">F626/F629</f>
        <v>0.777657631633362</v>
      </c>
      <c r="G636" s="15" t="n">
        <f aca="false">G626/G629</f>
        <v>0.776250660827724</v>
      </c>
    </row>
    <row r="637" customFormat="false" ht="17.15" hidden="false" customHeight="false" outlineLevel="0" collapsed="false">
      <c r="A637" s="4" t="s">
        <v>403</v>
      </c>
      <c r="B637" s="0" t="s">
        <v>389</v>
      </c>
      <c r="D637" s="16" t="n">
        <f aca="false">D626/fx/D617</f>
        <v>3.631383388734</v>
      </c>
      <c r="E637" s="16" t="n">
        <f aca="false">E626/fx/E617</f>
        <v>3.29597359817473</v>
      </c>
      <c r="F637" s="16" t="n">
        <f aca="false">F626/fx/F617</f>
        <v>2.78326659401422</v>
      </c>
      <c r="G637" s="16" t="n">
        <f aca="false">G626/fx/G617</f>
        <v>2.47198019863105</v>
      </c>
    </row>
    <row r="638" customFormat="false" ht="17.15" hidden="false" customHeight="false" outlineLevel="0" collapsed="false">
      <c r="A638" s="4" t="s">
        <v>455</v>
      </c>
      <c r="B638" s="4" t="s">
        <v>401</v>
      </c>
      <c r="D638" s="19" t="n">
        <f aca="false">D624/fx/(odm_gb*(1-vr26)+odm_vr*vr26)</f>
        <v>18.4522679153094</v>
      </c>
      <c r="E638" s="19" t="n">
        <f aca="false">E624/fx/odm_vr</f>
        <v>22.5953317879953</v>
      </c>
      <c r="F638" s="19" t="n">
        <f aca="false">F624/fx/odm_vr</f>
        <v>27.2101101211635</v>
      </c>
      <c r="G638" s="19" t="n">
        <f aca="false">G624/fx/odm_vr</f>
        <v>29.3652163842419</v>
      </c>
      <c r="H638" s="4" t="s">
        <v>456</v>
      </c>
    </row>
    <row r="639" customFormat="false" ht="17.15" hidden="false" customHeight="false" outlineLevel="0" collapsed="false">
      <c r="A639" s="6" t="s">
        <v>457</v>
      </c>
    </row>
    <row r="640" customFormat="false" ht="17.15" hidden="false" customHeight="false" outlineLevel="0" collapsed="false">
      <c r="A640" s="4" t="s">
        <v>458</v>
      </c>
      <c r="B640" s="0" t="s">
        <v>52</v>
      </c>
      <c r="D640" s="11" t="n">
        <f aca="false">a26_gp/D629-d_ai_hi*D636</f>
        <v>0.0530307213692399</v>
      </c>
      <c r="H640" s="8" t="s">
        <v>459</v>
      </c>
    </row>
    <row r="641" customFormat="false" ht="17.15" hidden="false" customHeight="false" outlineLevel="0" collapsed="false">
      <c r="A641" s="0" t="s">
        <v>460</v>
      </c>
      <c r="B641" s="0" t="s">
        <v>195</v>
      </c>
      <c r="D641" s="21" t="n">
        <f aca="false">($D$640+d_ai_hi)*D624*(1-D625*(1-keep))</f>
        <v>130.60159288</v>
      </c>
      <c r="E641" s="21" t="n">
        <f aca="false">($D$640+d_ai_hi+vrd)*E624*(1-E625*(1-keep))</f>
        <v>217.578797803621</v>
      </c>
      <c r="F641" s="21" t="n">
        <f aca="false">($D$640+d_ai_hi+vrd)*F624*(1-F625*(1-keep))</f>
        <v>259.369575022065</v>
      </c>
      <c r="G641" s="21" t="n">
        <f aca="false">($D$640+d_ai_hi+vrd)*G624*(1-G625*(1-keep))</f>
        <v>278.484146284877</v>
      </c>
      <c r="H641" s="4" t="s">
        <v>461</v>
      </c>
    </row>
    <row r="642" customFormat="false" ht="15" hidden="false" customHeight="false" outlineLevel="0" collapsed="false">
      <c r="A642" s="4" t="s">
        <v>345</v>
      </c>
      <c r="B642" s="0" t="s">
        <v>195</v>
      </c>
      <c r="C642" s="19" t="n">
        <f aca="false">a25_gp</f>
        <v>148.2334922</v>
      </c>
      <c r="D642" s="19" t="n">
        <f aca="false">a26_gp</f>
        <v>198.45911</v>
      </c>
      <c r="E642" s="19" t="n">
        <f aca="false">$D$640*E628+E641</f>
        <v>287.472040437221</v>
      </c>
      <c r="F642" s="19" t="n">
        <f aca="false">$D$640*F628+F641</f>
        <v>330.660682508337</v>
      </c>
      <c r="G642" s="19" t="n">
        <f aca="false">$D$640*G628+G641</f>
        <v>351.201075920875</v>
      </c>
    </row>
    <row r="643" customFormat="false" ht="15" hidden="false" customHeight="false" outlineLevel="0" collapsed="false">
      <c r="A643" s="4" t="s">
        <v>348</v>
      </c>
      <c r="B643" s="0" t="s">
        <v>52</v>
      </c>
      <c r="C643" s="11" t="n">
        <f aca="false">C642/C629</f>
        <v>0.0698</v>
      </c>
      <c r="D643" s="11" t="n">
        <f aca="false">D642/D629</f>
        <v>0.0496307213692399</v>
      </c>
      <c r="E643" s="11" t="n">
        <f aca="false">E642/E629</f>
        <v>0.0503408789427211</v>
      </c>
      <c r="F643" s="11" t="n">
        <f aca="false">F642/F629</f>
        <v>0.0546886192455906</v>
      </c>
      <c r="G643" s="11" t="n">
        <f aca="false">G642/G629</f>
        <v>0.0573072542487446</v>
      </c>
    </row>
    <row r="644" customFormat="false" ht="17.15" hidden="false" customHeight="false" outlineLevel="0" collapsed="false">
      <c r="A644" s="0" t="s">
        <v>462</v>
      </c>
      <c r="B644" s="0" t="s">
        <v>52</v>
      </c>
      <c r="D644" s="11" t="n">
        <f aca="false">D641/D626</f>
        <v>0.0480307213692399</v>
      </c>
      <c r="E644" s="11" t="n">
        <f aca="false">E641/E626</f>
        <v>0.0495337935061639</v>
      </c>
      <c r="F644" s="11" t="n">
        <f aca="false">F641/F626</f>
        <v>0.0551626336773188</v>
      </c>
      <c r="G644" s="11" t="n">
        <f aca="false">G641/G626</f>
        <v>0.0585399377800118</v>
      </c>
      <c r="H644" s="4" t="s">
        <v>463</v>
      </c>
    </row>
    <row r="645" customFormat="false" ht="15" hidden="false" customHeight="false" outlineLevel="0" collapsed="false">
      <c r="A645" s="4" t="s">
        <v>464</v>
      </c>
      <c r="B645" s="0" t="s">
        <v>195</v>
      </c>
      <c r="C645" s="19" t="n">
        <f aca="false">a25_opx</f>
        <v>60.7375054</v>
      </c>
      <c r="D645" s="19" t="n">
        <f aca="false">a26_opx</f>
        <v>71.1893725</v>
      </c>
      <c r="E645" s="19" t="n">
        <f aca="false">D645*(1+MAX(0,phi*E635))</f>
        <v>83.3794423716459</v>
      </c>
      <c r="F645" s="19" t="n">
        <f aca="false">E645*(1+MAX(0,phi*F635))</f>
        <v>85.3402706461345</v>
      </c>
      <c r="G645" s="19" t="n">
        <f aca="false">F645*(1+MAX(0,phi*G635))</f>
        <v>85.8040465651438</v>
      </c>
    </row>
    <row r="646" customFormat="false" ht="15" hidden="false" customHeight="false" outlineLevel="0" collapsed="false">
      <c r="A646" s="4" t="s">
        <v>349</v>
      </c>
      <c r="B646" s="0" t="s">
        <v>195</v>
      </c>
      <c r="C646" s="19" t="n">
        <f aca="false">C645</f>
        <v>60.7375054</v>
      </c>
      <c r="D646" s="19" t="n">
        <f aca="false">D645</f>
        <v>71.1893725</v>
      </c>
      <c r="E646" s="19" t="n">
        <f aca="false">E645+0*E629</f>
        <v>83.3794423716459</v>
      </c>
      <c r="F646" s="19" t="n">
        <f aca="false">F645+0*F629</f>
        <v>85.3402706461345</v>
      </c>
      <c r="G646" s="19" t="n">
        <f aca="false">G645+0*G629</f>
        <v>85.8040465651438</v>
      </c>
    </row>
    <row r="647" customFormat="false" ht="15" hidden="false" customHeight="false" outlineLevel="0" collapsed="false">
      <c r="A647" s="4" t="s">
        <v>352</v>
      </c>
      <c r="B647" s="0" t="s">
        <v>195</v>
      </c>
      <c r="C647" s="19" t="n">
        <f aca="false">C642-C646</f>
        <v>87.4959868</v>
      </c>
      <c r="D647" s="19" t="n">
        <f aca="false">D642-D646</f>
        <v>127.2697375</v>
      </c>
      <c r="E647" s="19" t="n">
        <f aca="false">E642-E646</f>
        <v>204.092598065575</v>
      </c>
      <c r="F647" s="19" t="n">
        <f aca="false">F642-F646</f>
        <v>245.320411862203</v>
      </c>
      <c r="G647" s="19" t="n">
        <f aca="false">G642-G646</f>
        <v>265.397029355731</v>
      </c>
    </row>
    <row r="648" customFormat="false" ht="15" hidden="false" customHeight="false" outlineLevel="0" collapsed="false">
      <c r="A648" s="4" t="s">
        <v>355</v>
      </c>
      <c r="B648" s="0" t="s">
        <v>52</v>
      </c>
      <c r="C648" s="11" t="n">
        <f aca="false">C647/C629</f>
        <v>0.0412</v>
      </c>
      <c r="D648" s="11" t="n">
        <f aca="false">D647/D629</f>
        <v>0.0318276590104571</v>
      </c>
      <c r="E648" s="11" t="n">
        <f aca="false">E647/E629</f>
        <v>0.0357398262338777</v>
      </c>
      <c r="F648" s="11" t="n">
        <f aca="false">F647/F629</f>
        <v>0.0405740243918029</v>
      </c>
      <c r="G648" s="11" t="n">
        <f aca="false">G647/G629</f>
        <v>0.0433061743853456</v>
      </c>
    </row>
    <row r="649" customFormat="false" ht="17.15" hidden="false" customHeight="false" outlineLevel="0" collapsed="false">
      <c r="A649" s="4" t="s">
        <v>229</v>
      </c>
      <c r="B649" s="0" t="s">
        <v>52</v>
      </c>
      <c r="C649" s="15" t="n">
        <f aca="false">a25_ni/a25_oi</f>
        <v>0.856953590013114</v>
      </c>
      <c r="D649" s="15" t="n">
        <f aca="false">a26_ni/a26_oi</f>
        <v>0.869913569398224</v>
      </c>
      <c r="E649" s="15" t="n">
        <f aca="false">nio_f</f>
        <v>0.865</v>
      </c>
      <c r="F649" s="15" t="n">
        <f aca="false">nio_f</f>
        <v>0.865</v>
      </c>
      <c r="G649" s="15" t="n">
        <f aca="false">nio_f</f>
        <v>0.865</v>
      </c>
    </row>
    <row r="650" customFormat="false" ht="15" hidden="false" customHeight="false" outlineLevel="0" collapsed="false">
      <c r="A650" s="4" t="s">
        <v>356</v>
      </c>
      <c r="B650" s="0" t="s">
        <v>195</v>
      </c>
      <c r="C650" s="19" t="n">
        <f aca="false">a25_ni</f>
        <v>74.98</v>
      </c>
      <c r="D650" s="19" t="n">
        <f aca="false">a26_ni</f>
        <v>110.713671625</v>
      </c>
      <c r="E650" s="19" t="n">
        <f aca="false">E647*E649</f>
        <v>176.540097326723</v>
      </c>
      <c r="F650" s="19" t="n">
        <f aca="false">F647*F649</f>
        <v>212.202156260805</v>
      </c>
      <c r="G650" s="19" t="n">
        <f aca="false">G647*G649</f>
        <v>229.568430392707</v>
      </c>
    </row>
    <row r="651" customFormat="false" ht="15" hidden="false" customHeight="false" outlineLevel="0" collapsed="false">
      <c r="A651" s="4" t="s">
        <v>465</v>
      </c>
      <c r="B651" s="4" t="s">
        <v>216</v>
      </c>
      <c r="C651" s="22" t="n">
        <f aca="false">a25_sh</f>
        <v>3.85501285347044</v>
      </c>
      <c r="D651" s="22" t="n">
        <f aca="false">a26_sh</f>
        <v>3.85460170146945</v>
      </c>
      <c r="E651" s="22" t="n">
        <f aca="false">D651*(1+sh_g)</f>
        <v>3.85460170146945</v>
      </c>
      <c r="F651" s="22" t="n">
        <f aca="false">E651*(1+sh_g)</f>
        <v>3.85460170146945</v>
      </c>
      <c r="G651" s="22" t="n">
        <f aca="false">F651*(1+sh_g)</f>
        <v>3.85460170146945</v>
      </c>
    </row>
    <row r="652" customFormat="false" ht="15" hidden="false" customHeight="false" outlineLevel="0" collapsed="false">
      <c r="A652" s="0" t="s">
        <v>362</v>
      </c>
      <c r="B652" s="0" t="s">
        <v>246</v>
      </c>
      <c r="C652" s="21" t="n">
        <f aca="false">C650/C651</f>
        <v>19.45</v>
      </c>
      <c r="D652" s="21" t="n">
        <f aca="false">D650/D651</f>
        <v>28.7224673778341</v>
      </c>
      <c r="E652" s="21" t="n">
        <f aca="false">E650/E651</f>
        <v>45.7998286202754</v>
      </c>
      <c r="F652" s="21" t="n">
        <f aca="false">F650/F651</f>
        <v>55.0516428662161</v>
      </c>
      <c r="G652" s="21" t="n">
        <f aca="false">G650/G651</f>
        <v>59.5569784305318</v>
      </c>
    </row>
    <row r="653" customFormat="false" ht="17.15" hidden="false" customHeight="false" outlineLevel="0" collapsed="false">
      <c r="A653" s="0" t="s">
        <v>466</v>
      </c>
      <c r="B653" s="0" t="s">
        <v>52</v>
      </c>
      <c r="D653" s="15" t="n">
        <f aca="false">D652/C652-1</f>
        <v>0.476733541276816</v>
      </c>
      <c r="E653" s="15" t="n">
        <f aca="false">E652/D652-1</f>
        <v>0.594564562222129</v>
      </c>
      <c r="F653" s="15" t="n">
        <f aca="false">F652/E652-1</f>
        <v>0.202005433746209</v>
      </c>
      <c r="G653" s="15" t="n">
        <f aca="false">G652/F652-1</f>
        <v>0.0818383490437207</v>
      </c>
    </row>
    <row r="656" customFormat="false" ht="17.15" hidden="false" customHeight="false" outlineLevel="0" collapsed="false">
      <c r="A656" s="1" t="s">
        <v>785</v>
      </c>
    </row>
    <row r="657" customFormat="false" ht="17.15" hidden="false" customHeight="false" outlineLevel="0" collapsed="false">
      <c r="A657" s="5" t="s">
        <v>21</v>
      </c>
      <c r="B657" s="5" t="s">
        <v>22</v>
      </c>
      <c r="C657" s="12" t="s">
        <v>335</v>
      </c>
      <c r="D657" s="12" t="s">
        <v>411</v>
      </c>
      <c r="E657" s="12" t="s">
        <v>412</v>
      </c>
      <c r="F657" s="12" t="s">
        <v>413</v>
      </c>
      <c r="G657" s="12" t="s">
        <v>414</v>
      </c>
      <c r="H657" s="5" t="s">
        <v>384</v>
      </c>
    </row>
    <row r="658" customFormat="false" ht="17.15" hidden="false" customHeight="false" outlineLevel="0" collapsed="false">
      <c r="A658" s="6" t="s">
        <v>431</v>
      </c>
    </row>
    <row r="659" customFormat="false" ht="17.15" hidden="false" customHeight="false" outlineLevel="0" collapsed="false">
      <c r="A659" s="0" t="s">
        <v>432</v>
      </c>
      <c r="B659" s="0" t="s">
        <v>32</v>
      </c>
      <c r="D659" s="21" t="n">
        <f aca="false">itc_26*1</f>
        <v>781.872916666666</v>
      </c>
      <c r="E659" s="21" t="n">
        <f aca="false">itc_27*1*1</f>
        <v>1565.35</v>
      </c>
      <c r="F659" s="21" t="n">
        <f aca="false">itc_28*um28_A*1</f>
        <v>1984.26388888889</v>
      </c>
      <c r="G659" s="21" t="n">
        <f aca="false">itc_29*um29_A*1</f>
        <v>2260.39027777778</v>
      </c>
    </row>
    <row r="660" customFormat="false" ht="17.15" hidden="false" customHeight="false" outlineLevel="0" collapsed="false">
      <c r="A660" s="4" t="s">
        <v>433</v>
      </c>
      <c r="B660" s="0" t="s">
        <v>32</v>
      </c>
      <c r="D660" s="21" t="n">
        <f aca="false">itpg_gb*(1-vr26)+itpg_vr*vr26</f>
        <v>33.41403216</v>
      </c>
      <c r="E660" s="21" t="n">
        <f aca="false">itpg_vr</f>
        <v>37.586352</v>
      </c>
      <c r="F660" s="21" t="n">
        <f aca="false">itpg_vr</f>
        <v>37.586352</v>
      </c>
      <c r="G660" s="21" t="n">
        <f aca="false">itpg_vr</f>
        <v>37.586352</v>
      </c>
    </row>
    <row r="661" customFormat="false" ht="17.15" hidden="false" customHeight="false" outlineLevel="0" collapsed="false">
      <c r="A661" s="4" t="s">
        <v>434</v>
      </c>
      <c r="B661" s="0" t="s">
        <v>386</v>
      </c>
      <c r="D661" s="18" t="n">
        <f aca="false">D659/D660</f>
        <v>23.3995380420639</v>
      </c>
      <c r="E661" s="18" t="n">
        <f aca="false">E659/E660</f>
        <v>41.6467658260637</v>
      </c>
      <c r="F661" s="18" t="n">
        <f aca="false">F659/F660</f>
        <v>52.792138191248</v>
      </c>
      <c r="G661" s="18" t="n">
        <f aca="false">G659/G660</f>
        <v>60.1385917361116</v>
      </c>
    </row>
    <row r="662" customFormat="false" ht="17.15" hidden="false" customHeight="false" outlineLevel="0" collapsed="false">
      <c r="A662" s="4" t="s">
        <v>388</v>
      </c>
      <c r="B662" s="0" t="s">
        <v>389</v>
      </c>
      <c r="D662" s="16" t="n">
        <f aca="false">(racks_gb*odm_gb*(1-vr26)+racks_vr*odm_vr*vr26)/1000</f>
        <v>27.1209</v>
      </c>
      <c r="E662" s="16" t="n">
        <f aca="false">racks_vr*odm_vr/1000</f>
        <v>27.351</v>
      </c>
      <c r="F662" s="16" t="n">
        <f aca="false">$E662*vpg_28</f>
        <v>27.351</v>
      </c>
      <c r="G662" s="16" t="n">
        <f aca="false">$E662*vpg_29</f>
        <v>27.351</v>
      </c>
      <c r="H662" s="4" t="s">
        <v>435</v>
      </c>
    </row>
    <row r="663" customFormat="false" ht="17.15" hidden="false" customHeight="false" outlineLevel="0" collapsed="false">
      <c r="A663" s="0" t="s">
        <v>436</v>
      </c>
      <c r="B663" s="0" t="s">
        <v>32</v>
      </c>
      <c r="D663" s="19" t="n">
        <f aca="false">D661*D662</f>
        <v>634.61653128501</v>
      </c>
      <c r="E663" s="19" t="n">
        <f aca="false">E661*E662</f>
        <v>1139.08069210867</v>
      </c>
      <c r="F663" s="19" t="n">
        <f aca="false">F661*F662</f>
        <v>1443.91777166882</v>
      </c>
      <c r="G663" s="19" t="n">
        <f aca="false">G661*G662</f>
        <v>1644.85062257439</v>
      </c>
    </row>
    <row r="664" customFormat="false" ht="17.15" hidden="false" customHeight="false" outlineLevel="0" collapsed="false">
      <c r="A664" s="0" t="s">
        <v>437</v>
      </c>
      <c r="B664" s="0" t="s">
        <v>195</v>
      </c>
      <c r="D664" s="19" t="n">
        <f aca="false">D663*fx</f>
        <v>20307.7290011203</v>
      </c>
      <c r="E664" s="19" t="n">
        <f aca="false">E663*fx</f>
        <v>36450.5821474774</v>
      </c>
      <c r="F664" s="19" t="n">
        <f aca="false">F663*fx</f>
        <v>46205.3686934024</v>
      </c>
      <c r="G664" s="19" t="n">
        <f aca="false">G663*fx</f>
        <v>52635.2199223804</v>
      </c>
    </row>
    <row r="665" customFormat="false" ht="17.15" hidden="false" customHeight="false" outlineLevel="0" collapsed="false">
      <c r="A665" s="4" t="s">
        <v>438</v>
      </c>
      <c r="B665" s="0" t="s">
        <v>52</v>
      </c>
      <c r="D665" s="15" t="n">
        <f aca="false">a26_ai/D664</f>
        <v>0.133896123975753</v>
      </c>
      <c r="H665" s="8" t="s">
        <v>439</v>
      </c>
    </row>
    <row r="666" customFormat="false" ht="17.15" hidden="false" customHeight="false" outlineLevel="0" collapsed="false">
      <c r="A666" s="4" t="s">
        <v>440</v>
      </c>
      <c r="B666" s="0" t="s">
        <v>72</v>
      </c>
      <c r="D666" s="16" t="n">
        <f aca="false">1</f>
        <v>1</v>
      </c>
      <c r="E666" s="16" t="n">
        <f aca="false">rel_27</f>
        <v>1</v>
      </c>
      <c r="F666" s="16" t="n">
        <f aca="false">rel_28</f>
        <v>0.95</v>
      </c>
      <c r="G666" s="16" t="n">
        <f aca="false">rel_29</f>
        <v>0.9</v>
      </c>
    </row>
    <row r="667" customFormat="false" ht="15" hidden="false" customHeight="false" outlineLevel="0" collapsed="false">
      <c r="A667" s="4" t="s">
        <v>393</v>
      </c>
      <c r="B667" s="0" t="s">
        <v>52</v>
      </c>
      <c r="D667" s="15" t="n">
        <f aca="false">$D$665*D666</f>
        <v>0.133896123975753</v>
      </c>
      <c r="E667" s="15" t="n">
        <f aca="false">$D$665*E666</f>
        <v>0.133896123975753</v>
      </c>
      <c r="F667" s="15" t="n">
        <f aca="false">$D$665*F666</f>
        <v>0.127201317776965</v>
      </c>
      <c r="G667" s="15" t="n">
        <f aca="false">$D$665*G666</f>
        <v>0.120506511578178</v>
      </c>
    </row>
    <row r="668" customFormat="false" ht="17.15" hidden="false" customHeight="false" outlineLevel="0" collapsed="false">
      <c r="A668" s="0" t="s">
        <v>441</v>
      </c>
      <c r="B668" s="0" t="s">
        <v>195</v>
      </c>
      <c r="D668" s="19" t="n">
        <f aca="false">D664*D667</f>
        <v>2719.1262</v>
      </c>
      <c r="E668" s="19" t="n">
        <f aca="false">E664*E667</f>
        <v>4880.59166620699</v>
      </c>
      <c r="F668" s="19" t="n">
        <f aca="false">F664*F667</f>
        <v>5877.38378617131</v>
      </c>
      <c r="G668" s="19" t="n">
        <f aca="false">G664*G667</f>
        <v>6342.88673899626</v>
      </c>
    </row>
    <row r="669" customFormat="false" ht="17.15" hidden="false" customHeight="false" outlineLevel="0" collapsed="false">
      <c r="A669" s="4" t="s">
        <v>397</v>
      </c>
      <c r="B669" s="0" t="s">
        <v>52</v>
      </c>
      <c r="D669" s="15" t="n">
        <f aca="false">0</f>
        <v>0</v>
      </c>
      <c r="E669" s="15" t="n">
        <f aca="false">cs_27</f>
        <v>0.1</v>
      </c>
      <c r="F669" s="15" t="n">
        <f aca="false">cs_28</f>
        <v>0.2</v>
      </c>
      <c r="G669" s="15" t="n">
        <f aca="false">cs_29</f>
        <v>0.25</v>
      </c>
      <c r="H669" s="8" t="s">
        <v>442</v>
      </c>
    </row>
    <row r="670" customFormat="false" ht="17.15" hidden="false" customHeight="false" outlineLevel="0" collapsed="false">
      <c r="A670" s="0" t="s">
        <v>443</v>
      </c>
      <c r="B670" s="0" t="s">
        <v>195</v>
      </c>
      <c r="C670" s="19" t="n">
        <f aca="false">a25_ai</f>
        <v>905.033</v>
      </c>
      <c r="D670" s="19" t="n">
        <f aca="false">D668*(1-D669)</f>
        <v>2719.1262</v>
      </c>
      <c r="E670" s="19" t="n">
        <f aca="false">E668*(1-E669)</f>
        <v>4392.53249958629</v>
      </c>
      <c r="F670" s="19" t="n">
        <f aca="false">F668*(1-F669)</f>
        <v>4701.90702893705</v>
      </c>
      <c r="G670" s="19" t="n">
        <f aca="false">G668*(1-G669)</f>
        <v>4757.16505424719</v>
      </c>
    </row>
    <row r="671" customFormat="false" ht="17.15" hidden="false" customHeight="false" outlineLevel="0" collapsed="false">
      <c r="A671" s="6" t="s">
        <v>444</v>
      </c>
    </row>
    <row r="672" customFormat="false" ht="17.15" hidden="false" customHeight="false" outlineLevel="0" collapsed="false">
      <c r="A672" s="4" t="s">
        <v>370</v>
      </c>
      <c r="B672" s="0" t="s">
        <v>195</v>
      </c>
      <c r="C672" s="19" t="n">
        <f aca="false">a25_nai</f>
        <v>1218.656</v>
      </c>
      <c r="D672" s="19" t="n">
        <f aca="false">a26_nai</f>
        <v>1279.5888</v>
      </c>
      <c r="E672" s="19" t="n">
        <f aca="false">D672*(1+g_nai27)</f>
        <v>1317.976464</v>
      </c>
      <c r="F672" s="19" t="n">
        <f aca="false">E672*(1+g_nai28)</f>
        <v>1344.33599328</v>
      </c>
      <c r="G672" s="19" t="n">
        <f aca="false">F672*(1+g_nai29)</f>
        <v>1371.2227131456</v>
      </c>
    </row>
    <row r="673" customFormat="false" ht="15" hidden="false" customHeight="false" outlineLevel="0" collapsed="false">
      <c r="A673" s="4" t="s">
        <v>341</v>
      </c>
      <c r="B673" s="0" t="s">
        <v>195</v>
      </c>
      <c r="C673" s="19" t="n">
        <f aca="false">C670+C672</f>
        <v>2123.689</v>
      </c>
      <c r="D673" s="19" t="n">
        <f aca="false">D670+D672</f>
        <v>3998.715</v>
      </c>
      <c r="E673" s="19" t="n">
        <f aca="false">E670+E672</f>
        <v>5710.50896358629</v>
      </c>
      <c r="F673" s="19" t="n">
        <f aca="false">F670+F672</f>
        <v>6046.24302221705</v>
      </c>
      <c r="G673" s="19" t="n">
        <f aca="false">G670+G672</f>
        <v>6128.38776739279</v>
      </c>
    </row>
    <row r="674" customFormat="false" ht="17.15" hidden="false" customHeight="false" outlineLevel="0" collapsed="false">
      <c r="A674" s="4" t="s">
        <v>445</v>
      </c>
      <c r="B674" s="0" t="s">
        <v>195</v>
      </c>
      <c r="C674" s="19" t="n">
        <f aca="false">srv_25*C673-C670</f>
        <v>602.78619</v>
      </c>
      <c r="D674" s="19" t="n">
        <f aca="false">srv_26*D673-D670</f>
        <v>679.78155</v>
      </c>
      <c r="E674" s="19" t="n">
        <f aca="false">D674*(1+g_gs27)</f>
        <v>747.759705</v>
      </c>
      <c r="F674" s="19" t="n">
        <f aca="false">E674*(1+g_gs28)</f>
        <v>785.14769025</v>
      </c>
      <c r="G674" s="19" t="n">
        <f aca="false">F674*(1+g_gs29)</f>
        <v>824.4050747625</v>
      </c>
      <c r="H674" s="8" t="s">
        <v>446</v>
      </c>
    </row>
    <row r="675" customFormat="false" ht="17.15" hidden="false" customHeight="false" outlineLevel="0" collapsed="false">
      <c r="A675" s="4" t="s">
        <v>447</v>
      </c>
      <c r="B675" s="0" t="s">
        <v>195</v>
      </c>
      <c r="C675" s="19" t="n">
        <f aca="false">C670+C674</f>
        <v>1507.81919</v>
      </c>
      <c r="D675" s="19" t="n">
        <f aca="false">D670+D674</f>
        <v>3398.90775</v>
      </c>
      <c r="E675" s="19" t="n">
        <f aca="false">E670+E674</f>
        <v>5140.29220458629</v>
      </c>
      <c r="F675" s="19" t="n">
        <f aca="false">F670+F674</f>
        <v>5487.05471918705</v>
      </c>
      <c r="G675" s="19" t="n">
        <f aca="false">G670+G674</f>
        <v>5581.57012900969</v>
      </c>
      <c r="H675" s="4" t="s">
        <v>448</v>
      </c>
    </row>
    <row r="676" customFormat="false" ht="15" hidden="false" customHeight="false" outlineLevel="0" collapsed="false">
      <c r="A676" s="4" t="s">
        <v>449</v>
      </c>
      <c r="B676" s="0" t="s">
        <v>195</v>
      </c>
      <c r="C676" s="19" t="n">
        <f aca="false">nbsh_25*C673</f>
        <v>467.21158</v>
      </c>
      <c r="D676" s="19" t="n">
        <f aca="false">nbsh_26*D673</f>
        <v>439.85865</v>
      </c>
      <c r="E676" s="19" t="n">
        <f aca="false">D676*(1+g_nb27)</f>
        <v>395.872785</v>
      </c>
      <c r="F676" s="19" t="n">
        <f aca="false">E676*(1+g_nb28)</f>
        <v>376.07914575</v>
      </c>
      <c r="G676" s="19" t="n">
        <f aca="false">F676*(1+g_nb29)</f>
        <v>364.7967713775</v>
      </c>
      <c r="H676" s="4" t="s">
        <v>450</v>
      </c>
    </row>
    <row r="677" customFormat="false" ht="17.15" hidden="false" customHeight="false" outlineLevel="0" collapsed="false">
      <c r="A677" s="4" t="s">
        <v>451</v>
      </c>
      <c r="B677" s="0" t="s">
        <v>195</v>
      </c>
      <c r="C677" s="19" t="n">
        <f aca="false">C672-C676-C674</f>
        <v>148.65823</v>
      </c>
      <c r="D677" s="19" t="n">
        <f aca="false">D672-D676-D674</f>
        <v>159.9486</v>
      </c>
      <c r="E677" s="19" t="n">
        <f aca="false">E672-E676-E674</f>
        <v>174.343974</v>
      </c>
      <c r="F677" s="19" t="n">
        <f aca="false">F672-F676-F674</f>
        <v>183.10915728</v>
      </c>
      <c r="G677" s="19" t="n">
        <f aca="false">G672-G676-G674</f>
        <v>182.0208670056</v>
      </c>
    </row>
    <row r="678" customFormat="false" ht="15" hidden="false" customHeight="false" outlineLevel="0" collapsed="false">
      <c r="A678" s="4" t="s">
        <v>452</v>
      </c>
      <c r="B678" s="0" t="s">
        <v>195</v>
      </c>
      <c r="C678" s="22" t="n">
        <f aca="false">C675+C676+C677-C673</f>
        <v>0</v>
      </c>
      <c r="D678" s="22" t="n">
        <f aca="false">D675+D676+D677-D673</f>
        <v>0</v>
      </c>
      <c r="E678" s="22" t="n">
        <f aca="false">E675+E676+E677-E673</f>
        <v>0</v>
      </c>
      <c r="F678" s="22" t="n">
        <f aca="false">F675+F676+F677-F673</f>
        <v>0</v>
      </c>
      <c r="G678" s="22" t="n">
        <f aca="false">G675+G676+G677-G673</f>
        <v>0</v>
      </c>
    </row>
    <row r="679" customFormat="false" ht="15" hidden="false" customHeight="false" outlineLevel="0" collapsed="false">
      <c r="A679" s="4" t="s">
        <v>453</v>
      </c>
      <c r="B679" s="0" t="s">
        <v>52</v>
      </c>
      <c r="D679" s="15" t="n">
        <f aca="false">D673/C673-1</f>
        <v>0.88290987993063</v>
      </c>
      <c r="E679" s="15" t="n">
        <f aca="false">E673/D673-1</f>
        <v>0.428086013528419</v>
      </c>
      <c r="F679" s="15" t="n">
        <f aca="false">F673/E673-1</f>
        <v>0.0587923179477705</v>
      </c>
      <c r="G679" s="15" t="n">
        <f aca="false">G673/F673-1</f>
        <v>0.0135860806245958</v>
      </c>
    </row>
    <row r="680" customFormat="false" ht="17.15" hidden="false" customHeight="false" outlineLevel="0" collapsed="false">
      <c r="A680" s="0" t="s">
        <v>454</v>
      </c>
      <c r="B680" s="0" t="s">
        <v>52</v>
      </c>
      <c r="C680" s="15" t="n">
        <f aca="false">C670/C673</f>
        <v>0.426160798497332</v>
      </c>
      <c r="D680" s="15" t="n">
        <f aca="false">D670/D673</f>
        <v>0.68</v>
      </c>
      <c r="E680" s="15" t="n">
        <f aca="false">E670/E673</f>
        <v>0.769201576881461</v>
      </c>
      <c r="F680" s="15" t="n">
        <f aca="false">F670/F673</f>
        <v>0.777657631633362</v>
      </c>
      <c r="G680" s="15" t="n">
        <f aca="false">G670/G673</f>
        <v>0.776250660827724</v>
      </c>
    </row>
    <row r="681" customFormat="false" ht="17.15" hidden="false" customHeight="false" outlineLevel="0" collapsed="false">
      <c r="A681" s="4" t="s">
        <v>403</v>
      </c>
      <c r="B681" s="0" t="s">
        <v>389</v>
      </c>
      <c r="D681" s="16" t="n">
        <f aca="false">D670/fx/D661</f>
        <v>3.631383388734</v>
      </c>
      <c r="E681" s="16" t="n">
        <f aca="false">E670/fx/E661</f>
        <v>3.29597359817473</v>
      </c>
      <c r="F681" s="16" t="n">
        <f aca="false">F670/fx/F661</f>
        <v>2.78326659401422</v>
      </c>
      <c r="G681" s="16" t="n">
        <f aca="false">G670/fx/G661</f>
        <v>2.47198019863105</v>
      </c>
    </row>
    <row r="682" customFormat="false" ht="17.15" hidden="false" customHeight="false" outlineLevel="0" collapsed="false">
      <c r="A682" s="4" t="s">
        <v>455</v>
      </c>
      <c r="B682" s="4" t="s">
        <v>401</v>
      </c>
      <c r="D682" s="19" t="n">
        <f aca="false">D668/fx/(odm_gb*(1-vr26)+odm_vr*vr26)</f>
        <v>18.4522679153094</v>
      </c>
      <c r="E682" s="19" t="n">
        <f aca="false">E668/fx/odm_vr</f>
        <v>22.5953317879953</v>
      </c>
      <c r="F682" s="19" t="n">
        <f aca="false">F668/fx/odm_vr</f>
        <v>27.2101101211635</v>
      </c>
      <c r="G682" s="19" t="n">
        <f aca="false">G668/fx/odm_vr</f>
        <v>29.3652163842419</v>
      </c>
      <c r="H682" s="4" t="s">
        <v>456</v>
      </c>
    </row>
    <row r="683" customFormat="false" ht="17.15" hidden="false" customHeight="false" outlineLevel="0" collapsed="false">
      <c r="A683" s="6" t="s">
        <v>457</v>
      </c>
    </row>
    <row r="684" customFormat="false" ht="17.15" hidden="false" customHeight="false" outlineLevel="0" collapsed="false">
      <c r="A684" s="4" t="s">
        <v>458</v>
      </c>
      <c r="B684" s="0" t="s">
        <v>52</v>
      </c>
      <c r="D684" s="11" t="n">
        <f aca="false">a26_gp/D673-d_ai*D680</f>
        <v>0.0632307213692399</v>
      </c>
      <c r="H684" s="8" t="s">
        <v>459</v>
      </c>
    </row>
    <row r="685" customFormat="false" ht="17.15" hidden="false" customHeight="false" outlineLevel="0" collapsed="false">
      <c r="A685" s="0" t="s">
        <v>460</v>
      </c>
      <c r="B685" s="0" t="s">
        <v>195</v>
      </c>
      <c r="D685" s="21" t="n">
        <f aca="false">($D$684+d_ai)*D668*(1-D669*(1-keep))</f>
        <v>117.54978712</v>
      </c>
      <c r="E685" s="21" t="n">
        <f aca="false">($D$684+d_ai+vrd_lo)*E668*(1-E669*(1-keep))</f>
        <v>179.890868957171</v>
      </c>
      <c r="F685" s="21" t="n">
        <f aca="false">($D$684+d_ai+vrd_lo)*F668*(1-F669*(1-keep))</f>
        <v>214.442853360572</v>
      </c>
      <c r="G685" s="21" t="n">
        <f aca="false">($D$684+d_ai+vrd_lo)*G668*(1-G669*(1-keep))</f>
        <v>230.246492634811</v>
      </c>
      <c r="H685" s="4" t="s">
        <v>461</v>
      </c>
    </row>
    <row r="686" customFormat="false" ht="15" hidden="false" customHeight="false" outlineLevel="0" collapsed="false">
      <c r="A686" s="4" t="s">
        <v>345</v>
      </c>
      <c r="B686" s="0" t="s">
        <v>195</v>
      </c>
      <c r="C686" s="19" t="n">
        <f aca="false">a25_gp</f>
        <v>148.2334922</v>
      </c>
      <c r="D686" s="19" t="n">
        <f aca="false">a26_gp</f>
        <v>198.45911</v>
      </c>
      <c r="E686" s="19" t="n">
        <f aca="false">$D$684*E672+E685</f>
        <v>263.227471523571</v>
      </c>
      <c r="F686" s="19" t="n">
        <f aca="false">$D$684*F672+F685</f>
        <v>299.4461879783</v>
      </c>
      <c r="G686" s="19" t="n">
        <f aca="false">$D$684*G672+G685</f>
        <v>316.949893944893</v>
      </c>
    </row>
    <row r="687" customFormat="false" ht="15" hidden="false" customHeight="false" outlineLevel="0" collapsed="false">
      <c r="A687" s="4" t="s">
        <v>348</v>
      </c>
      <c r="B687" s="0" t="s">
        <v>52</v>
      </c>
      <c r="C687" s="11" t="n">
        <f aca="false">C686/C673</f>
        <v>0.0698</v>
      </c>
      <c r="D687" s="11" t="n">
        <f aca="false">D686/D673</f>
        <v>0.0496307213692399</v>
      </c>
      <c r="E687" s="11" t="n">
        <f aca="false">E686/E673</f>
        <v>0.0460952733288873</v>
      </c>
      <c r="F687" s="11" t="n">
        <f aca="false">F686/F673</f>
        <v>0.0495259927326735</v>
      </c>
      <c r="G687" s="11" t="n">
        <f aca="false">G686/G673</f>
        <v>0.0517183158075087</v>
      </c>
    </row>
    <row r="688" customFormat="false" ht="17.15" hidden="false" customHeight="false" outlineLevel="0" collapsed="false">
      <c r="A688" s="0" t="s">
        <v>462</v>
      </c>
      <c r="B688" s="0" t="s">
        <v>52</v>
      </c>
      <c r="D688" s="11" t="n">
        <f aca="false">D685/D670</f>
        <v>0.0432307213692399</v>
      </c>
      <c r="E688" s="11" t="n">
        <f aca="false">E685/E670</f>
        <v>0.0409537935061639</v>
      </c>
      <c r="F688" s="11" t="n">
        <f aca="false">F685/F670</f>
        <v>0.0456076336773189</v>
      </c>
      <c r="G688" s="11" t="n">
        <f aca="false">G685/G670</f>
        <v>0.0483999377800118</v>
      </c>
      <c r="H688" s="4" t="s">
        <v>463</v>
      </c>
    </row>
    <row r="689" customFormat="false" ht="15" hidden="false" customHeight="false" outlineLevel="0" collapsed="false">
      <c r="A689" s="4" t="s">
        <v>464</v>
      </c>
      <c r="B689" s="0" t="s">
        <v>195</v>
      </c>
      <c r="C689" s="19" t="n">
        <f aca="false">a25_opx</f>
        <v>60.7375054</v>
      </c>
      <c r="D689" s="19" t="n">
        <f aca="false">a26_opx</f>
        <v>71.1893725</v>
      </c>
      <c r="E689" s="19" t="n">
        <f aca="false">D689*(1+MAX(0,phi*E679))</f>
        <v>83.3794423716459</v>
      </c>
      <c r="F689" s="19" t="n">
        <f aca="false">E689*(1+MAX(0,phi*F679))</f>
        <v>85.3402706461345</v>
      </c>
      <c r="G689" s="19" t="n">
        <f aca="false">F689*(1+MAX(0,phi*G679))</f>
        <v>85.8040465651438</v>
      </c>
    </row>
    <row r="690" customFormat="false" ht="15" hidden="false" customHeight="false" outlineLevel="0" collapsed="false">
      <c r="A690" s="4" t="s">
        <v>349</v>
      </c>
      <c r="B690" s="0" t="s">
        <v>195</v>
      </c>
      <c r="C690" s="19" t="n">
        <f aca="false">C689</f>
        <v>60.7375054</v>
      </c>
      <c r="D690" s="19" t="n">
        <f aca="false">D689</f>
        <v>71.1893725</v>
      </c>
      <c r="E690" s="19" t="n">
        <f aca="false">E689+0*E673</f>
        <v>83.3794423716459</v>
      </c>
      <c r="F690" s="19" t="n">
        <f aca="false">F689+0*F673</f>
        <v>85.3402706461345</v>
      </c>
      <c r="G690" s="19" t="n">
        <f aca="false">G689+0*G673</f>
        <v>85.8040465651438</v>
      </c>
    </row>
    <row r="691" customFormat="false" ht="15" hidden="false" customHeight="false" outlineLevel="0" collapsed="false">
      <c r="A691" s="4" t="s">
        <v>352</v>
      </c>
      <c r="B691" s="0" t="s">
        <v>195</v>
      </c>
      <c r="C691" s="19" t="n">
        <f aca="false">C686-C690</f>
        <v>87.4959868</v>
      </c>
      <c r="D691" s="19" t="n">
        <f aca="false">D686-D690</f>
        <v>127.2697375</v>
      </c>
      <c r="E691" s="19" t="n">
        <f aca="false">E686-E690</f>
        <v>179.848029151925</v>
      </c>
      <c r="F691" s="19" t="n">
        <f aca="false">F686-F690</f>
        <v>214.105917332165</v>
      </c>
      <c r="G691" s="19" t="n">
        <f aca="false">G686-G690</f>
        <v>231.145847379749</v>
      </c>
    </row>
    <row r="692" customFormat="false" ht="15" hidden="false" customHeight="false" outlineLevel="0" collapsed="false">
      <c r="A692" s="4" t="s">
        <v>355</v>
      </c>
      <c r="B692" s="0" t="s">
        <v>52</v>
      </c>
      <c r="C692" s="11" t="n">
        <f aca="false">C691/C673</f>
        <v>0.0412</v>
      </c>
      <c r="D692" s="11" t="n">
        <f aca="false">D691/D673</f>
        <v>0.0318276590104571</v>
      </c>
      <c r="E692" s="11" t="n">
        <f aca="false">E691/E673</f>
        <v>0.0314942206200439</v>
      </c>
      <c r="F692" s="11" t="n">
        <f aca="false">F691/F673</f>
        <v>0.0354113978788858</v>
      </c>
      <c r="G692" s="11" t="n">
        <f aca="false">G691/G673</f>
        <v>0.0377172359441097</v>
      </c>
    </row>
    <row r="693" customFormat="false" ht="17.15" hidden="false" customHeight="false" outlineLevel="0" collapsed="false">
      <c r="A693" s="4" t="s">
        <v>229</v>
      </c>
      <c r="B693" s="0" t="s">
        <v>52</v>
      </c>
      <c r="C693" s="15" t="n">
        <f aca="false">a25_ni/a25_oi</f>
        <v>0.856953590013114</v>
      </c>
      <c r="D693" s="15" t="n">
        <f aca="false">a26_ni/a26_oi</f>
        <v>0.869913569398224</v>
      </c>
      <c r="E693" s="15" t="n">
        <f aca="false">nio_f</f>
        <v>0.865</v>
      </c>
      <c r="F693" s="15" t="n">
        <f aca="false">nio_f</f>
        <v>0.865</v>
      </c>
      <c r="G693" s="15" t="n">
        <f aca="false">nio_f</f>
        <v>0.865</v>
      </c>
    </row>
    <row r="694" customFormat="false" ht="15" hidden="false" customHeight="false" outlineLevel="0" collapsed="false">
      <c r="A694" s="4" t="s">
        <v>356</v>
      </c>
      <c r="B694" s="0" t="s">
        <v>195</v>
      </c>
      <c r="C694" s="19" t="n">
        <f aca="false">a25_ni</f>
        <v>74.98</v>
      </c>
      <c r="D694" s="19" t="n">
        <f aca="false">a26_ni</f>
        <v>110.713671625</v>
      </c>
      <c r="E694" s="19" t="n">
        <f aca="false">E691*E693</f>
        <v>155.568545216415</v>
      </c>
      <c r="F694" s="19" t="n">
        <f aca="false">F691*F693</f>
        <v>185.201618492323</v>
      </c>
      <c r="G694" s="19" t="n">
        <f aca="false">G691*G693</f>
        <v>199.941157983483</v>
      </c>
    </row>
    <row r="695" customFormat="false" ht="15" hidden="false" customHeight="false" outlineLevel="0" collapsed="false">
      <c r="A695" s="4" t="s">
        <v>465</v>
      </c>
      <c r="B695" s="4" t="s">
        <v>216</v>
      </c>
      <c r="C695" s="22" t="n">
        <f aca="false">a25_sh</f>
        <v>3.85501285347044</v>
      </c>
      <c r="D695" s="22" t="n">
        <f aca="false">a26_sh</f>
        <v>3.85460170146945</v>
      </c>
      <c r="E695" s="22" t="n">
        <f aca="false">D695*(1+sh_g)</f>
        <v>3.85460170146945</v>
      </c>
      <c r="F695" s="22" t="n">
        <f aca="false">E695*(1+sh_g)</f>
        <v>3.85460170146945</v>
      </c>
      <c r="G695" s="22" t="n">
        <f aca="false">F695*(1+sh_g)</f>
        <v>3.85460170146945</v>
      </c>
    </row>
    <row r="696" customFormat="false" ht="15" hidden="false" customHeight="false" outlineLevel="0" collapsed="false">
      <c r="A696" s="0" t="s">
        <v>362</v>
      </c>
      <c r="B696" s="0" t="s">
        <v>246</v>
      </c>
      <c r="C696" s="21" t="n">
        <f aca="false">C694/C695</f>
        <v>19.45</v>
      </c>
      <c r="D696" s="21" t="n">
        <f aca="false">D694/D695</f>
        <v>28.7224673778341</v>
      </c>
      <c r="E696" s="21" t="n">
        <f aca="false">E694/E695</f>
        <v>40.359175153456</v>
      </c>
      <c r="F696" s="21" t="n">
        <f aca="false">F694/F695</f>
        <v>48.0468885855886</v>
      </c>
      <c r="G696" s="21" t="n">
        <f aca="false">G694/G695</f>
        <v>51.8707699182672</v>
      </c>
    </row>
    <row r="697" customFormat="false" ht="17.15" hidden="false" customHeight="false" outlineLevel="0" collapsed="false">
      <c r="A697" s="0" t="s">
        <v>466</v>
      </c>
      <c r="B697" s="0" t="s">
        <v>52</v>
      </c>
      <c r="D697" s="15" t="n">
        <f aca="false">D696/C696-1</f>
        <v>0.476733541276816</v>
      </c>
      <c r="E697" s="15" t="n">
        <f aca="false">E696/D696-1</f>
        <v>0.405143040900529</v>
      </c>
      <c r="F697" s="15" t="n">
        <f aca="false">F696/E696-1</f>
        <v>0.190482421974728</v>
      </c>
      <c r="G697" s="15" t="n">
        <f aca="false">G696/F696-1</f>
        <v>0.0795864507618835</v>
      </c>
    </row>
    <row r="700" customFormat="false" ht="17.15" hidden="false" customHeight="false" outlineLevel="0" collapsed="false">
      <c r="A700" s="1" t="s">
        <v>786</v>
      </c>
    </row>
    <row r="701" customFormat="false" ht="17.15" hidden="false" customHeight="false" outlineLevel="0" collapsed="false">
      <c r="A701" s="5" t="s">
        <v>21</v>
      </c>
      <c r="B701" s="5" t="s">
        <v>22</v>
      </c>
      <c r="C701" s="12" t="s">
        <v>335</v>
      </c>
      <c r="D701" s="12" t="s">
        <v>411</v>
      </c>
      <c r="E701" s="12" t="s">
        <v>412</v>
      </c>
      <c r="F701" s="12" t="s">
        <v>413</v>
      </c>
      <c r="G701" s="12" t="s">
        <v>414</v>
      </c>
      <c r="H701" s="5" t="s">
        <v>384</v>
      </c>
    </row>
    <row r="702" customFormat="false" ht="17.15" hidden="false" customHeight="false" outlineLevel="0" collapsed="false">
      <c r="A702" s="6" t="s">
        <v>431</v>
      </c>
    </row>
    <row r="703" customFormat="false" ht="17.15" hidden="false" customHeight="false" outlineLevel="0" collapsed="false">
      <c r="A703" s="0" t="s">
        <v>432</v>
      </c>
      <c r="B703" s="0" t="s">
        <v>32</v>
      </c>
      <c r="D703" s="21" t="n">
        <f aca="false">itc_26*1</f>
        <v>781.872916666666</v>
      </c>
      <c r="E703" s="21" t="n">
        <f aca="false">itc_27*1*1</f>
        <v>1565.35</v>
      </c>
      <c r="F703" s="21" t="n">
        <f aca="false">itc_28*um28_A*1</f>
        <v>1984.26388888889</v>
      </c>
      <c r="G703" s="21" t="n">
        <f aca="false">itc_29*um29_A*1</f>
        <v>2260.39027777778</v>
      </c>
    </row>
    <row r="704" customFormat="false" ht="17.15" hidden="false" customHeight="false" outlineLevel="0" collapsed="false">
      <c r="A704" s="4" t="s">
        <v>433</v>
      </c>
      <c r="B704" s="0" t="s">
        <v>32</v>
      </c>
      <c r="D704" s="21" t="n">
        <f aca="false">itpg_gb*(1-vr26)+itpg_vr*vr26</f>
        <v>33.41403216</v>
      </c>
      <c r="E704" s="21" t="n">
        <f aca="false">itpg_vr</f>
        <v>37.586352</v>
      </c>
      <c r="F704" s="21" t="n">
        <f aca="false">itpg_vr</f>
        <v>37.586352</v>
      </c>
      <c r="G704" s="21" t="n">
        <f aca="false">itpg_vr</f>
        <v>37.586352</v>
      </c>
    </row>
    <row r="705" customFormat="false" ht="17.15" hidden="false" customHeight="false" outlineLevel="0" collapsed="false">
      <c r="A705" s="4" t="s">
        <v>434</v>
      </c>
      <c r="B705" s="0" t="s">
        <v>386</v>
      </c>
      <c r="D705" s="18" t="n">
        <f aca="false">D703/D704</f>
        <v>23.3995380420639</v>
      </c>
      <c r="E705" s="18" t="n">
        <f aca="false">E703/E704</f>
        <v>41.6467658260637</v>
      </c>
      <c r="F705" s="18" t="n">
        <f aca="false">F703/F704</f>
        <v>52.792138191248</v>
      </c>
      <c r="G705" s="18" t="n">
        <f aca="false">G703/G704</f>
        <v>60.1385917361116</v>
      </c>
    </row>
    <row r="706" customFormat="false" ht="17.15" hidden="false" customHeight="false" outlineLevel="0" collapsed="false">
      <c r="A706" s="4" t="s">
        <v>388</v>
      </c>
      <c r="B706" s="0" t="s">
        <v>389</v>
      </c>
      <c r="D706" s="16" t="n">
        <f aca="false">(racks_gb*odm_gb*(1-vr26)+racks_vr*odm_vr*vr26)/1000</f>
        <v>27.1209</v>
      </c>
      <c r="E706" s="16" t="n">
        <f aca="false">racks_vr*odm_vr/1000</f>
        <v>27.351</v>
      </c>
      <c r="F706" s="16" t="n">
        <f aca="false">$E706*vpg_28</f>
        <v>27.351</v>
      </c>
      <c r="G706" s="16" t="n">
        <f aca="false">$E706*vpg_29</f>
        <v>27.351</v>
      </c>
      <c r="H706" s="4" t="s">
        <v>435</v>
      </c>
    </row>
    <row r="707" customFormat="false" ht="17.15" hidden="false" customHeight="false" outlineLevel="0" collapsed="false">
      <c r="A707" s="0" t="s">
        <v>436</v>
      </c>
      <c r="B707" s="0" t="s">
        <v>32</v>
      </c>
      <c r="D707" s="19" t="n">
        <f aca="false">D705*D706</f>
        <v>634.61653128501</v>
      </c>
      <c r="E707" s="19" t="n">
        <f aca="false">E705*E706</f>
        <v>1139.08069210867</v>
      </c>
      <c r="F707" s="19" t="n">
        <f aca="false">F705*F706</f>
        <v>1443.91777166882</v>
      </c>
      <c r="G707" s="19" t="n">
        <f aca="false">G705*G706</f>
        <v>1644.85062257439</v>
      </c>
    </row>
    <row r="708" customFormat="false" ht="17.15" hidden="false" customHeight="false" outlineLevel="0" collapsed="false">
      <c r="A708" s="0" t="s">
        <v>437</v>
      </c>
      <c r="B708" s="0" t="s">
        <v>195</v>
      </c>
      <c r="D708" s="19" t="n">
        <f aca="false">D707*fx</f>
        <v>20307.7290011203</v>
      </c>
      <c r="E708" s="19" t="n">
        <f aca="false">E707*fx</f>
        <v>36450.5821474774</v>
      </c>
      <c r="F708" s="19" t="n">
        <f aca="false">F707*fx</f>
        <v>46205.3686934024</v>
      </c>
      <c r="G708" s="19" t="n">
        <f aca="false">G707*fx</f>
        <v>52635.2199223804</v>
      </c>
    </row>
    <row r="709" customFormat="false" ht="17.15" hidden="false" customHeight="false" outlineLevel="0" collapsed="false">
      <c r="A709" s="4" t="s">
        <v>438</v>
      </c>
      <c r="B709" s="0" t="s">
        <v>52</v>
      </c>
      <c r="D709" s="15" t="n">
        <f aca="false">a26_ai/D708</f>
        <v>0.133896123975753</v>
      </c>
      <c r="H709" s="8" t="s">
        <v>439</v>
      </c>
    </row>
    <row r="710" customFormat="false" ht="17.15" hidden="false" customHeight="false" outlineLevel="0" collapsed="false">
      <c r="A710" s="4" t="s">
        <v>440</v>
      </c>
      <c r="B710" s="0" t="s">
        <v>72</v>
      </c>
      <c r="D710" s="16" t="n">
        <f aca="false">1</f>
        <v>1</v>
      </c>
      <c r="E710" s="16" t="n">
        <f aca="false">rel_27</f>
        <v>1</v>
      </c>
      <c r="F710" s="16" t="n">
        <f aca="false">rel_28</f>
        <v>0.95</v>
      </c>
      <c r="G710" s="16" t="n">
        <f aca="false">rel_29</f>
        <v>0.9</v>
      </c>
    </row>
    <row r="711" customFormat="false" ht="15" hidden="false" customHeight="false" outlineLevel="0" collapsed="false">
      <c r="A711" s="4" t="s">
        <v>393</v>
      </c>
      <c r="B711" s="0" t="s">
        <v>52</v>
      </c>
      <c r="D711" s="15" t="n">
        <f aca="false">$D$709*D710</f>
        <v>0.133896123975753</v>
      </c>
      <c r="E711" s="15" t="n">
        <f aca="false">$D$709*E710</f>
        <v>0.133896123975753</v>
      </c>
      <c r="F711" s="15" t="n">
        <f aca="false">$D$709*F710</f>
        <v>0.127201317776965</v>
      </c>
      <c r="G711" s="15" t="n">
        <f aca="false">$D$709*G710</f>
        <v>0.120506511578178</v>
      </c>
    </row>
    <row r="712" customFormat="false" ht="17.15" hidden="false" customHeight="false" outlineLevel="0" collapsed="false">
      <c r="A712" s="0" t="s">
        <v>441</v>
      </c>
      <c r="B712" s="0" t="s">
        <v>195</v>
      </c>
      <c r="D712" s="19" t="n">
        <f aca="false">D708*D711</f>
        <v>2719.1262</v>
      </c>
      <c r="E712" s="19" t="n">
        <f aca="false">E708*E711</f>
        <v>4880.59166620699</v>
      </c>
      <c r="F712" s="19" t="n">
        <f aca="false">F708*F711</f>
        <v>5877.38378617131</v>
      </c>
      <c r="G712" s="19" t="n">
        <f aca="false">G708*G711</f>
        <v>6342.88673899626</v>
      </c>
    </row>
    <row r="713" customFormat="false" ht="17.15" hidden="false" customHeight="false" outlineLevel="0" collapsed="false">
      <c r="A713" s="4" t="s">
        <v>397</v>
      </c>
      <c r="B713" s="0" t="s">
        <v>52</v>
      </c>
      <c r="D713" s="15" t="n">
        <f aca="false">0</f>
        <v>0</v>
      </c>
      <c r="E713" s="15" t="n">
        <f aca="false">cs_27</f>
        <v>0.1</v>
      </c>
      <c r="F713" s="15" t="n">
        <f aca="false">cs_28</f>
        <v>0.2</v>
      </c>
      <c r="G713" s="15" t="n">
        <f aca="false">cs_29</f>
        <v>0.25</v>
      </c>
      <c r="H713" s="8" t="s">
        <v>442</v>
      </c>
    </row>
    <row r="714" customFormat="false" ht="17.15" hidden="false" customHeight="false" outlineLevel="0" collapsed="false">
      <c r="A714" s="0" t="s">
        <v>443</v>
      </c>
      <c r="B714" s="0" t="s">
        <v>195</v>
      </c>
      <c r="C714" s="19" t="n">
        <f aca="false">a25_ai</f>
        <v>905.033</v>
      </c>
      <c r="D714" s="19" t="n">
        <f aca="false">D712*(1-D713)</f>
        <v>2719.1262</v>
      </c>
      <c r="E714" s="19" t="n">
        <f aca="false">E712*(1-E713)</f>
        <v>4392.53249958629</v>
      </c>
      <c r="F714" s="19" t="n">
        <f aca="false">F712*(1-F713)</f>
        <v>4701.90702893705</v>
      </c>
      <c r="G714" s="19" t="n">
        <f aca="false">G712*(1-G713)</f>
        <v>4757.16505424719</v>
      </c>
    </row>
    <row r="715" customFormat="false" ht="17.15" hidden="false" customHeight="false" outlineLevel="0" collapsed="false">
      <c r="A715" s="6" t="s">
        <v>444</v>
      </c>
    </row>
    <row r="716" customFormat="false" ht="17.15" hidden="false" customHeight="false" outlineLevel="0" collapsed="false">
      <c r="A716" s="4" t="s">
        <v>370</v>
      </c>
      <c r="B716" s="0" t="s">
        <v>195</v>
      </c>
      <c r="C716" s="19" t="n">
        <f aca="false">a25_nai</f>
        <v>1218.656</v>
      </c>
      <c r="D716" s="19" t="n">
        <f aca="false">a26_nai</f>
        <v>1279.5888</v>
      </c>
      <c r="E716" s="19" t="n">
        <f aca="false">D716*(1+g_nai27)</f>
        <v>1317.976464</v>
      </c>
      <c r="F716" s="19" t="n">
        <f aca="false">E716*(1+g_nai28)</f>
        <v>1344.33599328</v>
      </c>
      <c r="G716" s="19" t="n">
        <f aca="false">F716*(1+g_nai29)</f>
        <v>1371.2227131456</v>
      </c>
    </row>
    <row r="717" customFormat="false" ht="15" hidden="false" customHeight="false" outlineLevel="0" collapsed="false">
      <c r="A717" s="4" t="s">
        <v>341</v>
      </c>
      <c r="B717" s="0" t="s">
        <v>195</v>
      </c>
      <c r="C717" s="19" t="n">
        <f aca="false">C714+C716</f>
        <v>2123.689</v>
      </c>
      <c r="D717" s="19" t="n">
        <f aca="false">D714+D716</f>
        <v>3998.715</v>
      </c>
      <c r="E717" s="19" t="n">
        <f aca="false">E714+E716</f>
        <v>5710.50896358629</v>
      </c>
      <c r="F717" s="19" t="n">
        <f aca="false">F714+F716</f>
        <v>6046.24302221705</v>
      </c>
      <c r="G717" s="19" t="n">
        <f aca="false">G714+G716</f>
        <v>6128.38776739279</v>
      </c>
    </row>
    <row r="718" customFormat="false" ht="17.15" hidden="false" customHeight="false" outlineLevel="0" collapsed="false">
      <c r="A718" s="4" t="s">
        <v>445</v>
      </c>
      <c r="B718" s="0" t="s">
        <v>195</v>
      </c>
      <c r="C718" s="19" t="n">
        <f aca="false">srv_25*C717-C714</f>
        <v>602.78619</v>
      </c>
      <c r="D718" s="19" t="n">
        <f aca="false">srv_26*D717-D714</f>
        <v>679.78155</v>
      </c>
      <c r="E718" s="19" t="n">
        <f aca="false">D718*(1+g_gs27)</f>
        <v>747.759705</v>
      </c>
      <c r="F718" s="19" t="n">
        <f aca="false">E718*(1+g_gs28)</f>
        <v>785.14769025</v>
      </c>
      <c r="G718" s="19" t="n">
        <f aca="false">F718*(1+g_gs29)</f>
        <v>824.4050747625</v>
      </c>
      <c r="H718" s="8" t="s">
        <v>446</v>
      </c>
    </row>
    <row r="719" customFormat="false" ht="17.15" hidden="false" customHeight="false" outlineLevel="0" collapsed="false">
      <c r="A719" s="4" t="s">
        <v>447</v>
      </c>
      <c r="B719" s="0" t="s">
        <v>195</v>
      </c>
      <c r="C719" s="19" t="n">
        <f aca="false">C714+C718</f>
        <v>1507.81919</v>
      </c>
      <c r="D719" s="19" t="n">
        <f aca="false">D714+D718</f>
        <v>3398.90775</v>
      </c>
      <c r="E719" s="19" t="n">
        <f aca="false">E714+E718</f>
        <v>5140.29220458629</v>
      </c>
      <c r="F719" s="19" t="n">
        <f aca="false">F714+F718</f>
        <v>5487.05471918705</v>
      </c>
      <c r="G719" s="19" t="n">
        <f aca="false">G714+G718</f>
        <v>5581.57012900969</v>
      </c>
      <c r="H719" s="4" t="s">
        <v>448</v>
      </c>
    </row>
    <row r="720" customFormat="false" ht="15" hidden="false" customHeight="false" outlineLevel="0" collapsed="false">
      <c r="A720" s="4" t="s">
        <v>449</v>
      </c>
      <c r="B720" s="0" t="s">
        <v>195</v>
      </c>
      <c r="C720" s="19" t="n">
        <f aca="false">nbsh_25*C717</f>
        <v>467.21158</v>
      </c>
      <c r="D720" s="19" t="n">
        <f aca="false">nbsh_26*D717</f>
        <v>439.85865</v>
      </c>
      <c r="E720" s="19" t="n">
        <f aca="false">D720*(1+g_nb27)</f>
        <v>395.872785</v>
      </c>
      <c r="F720" s="19" t="n">
        <f aca="false">E720*(1+g_nb28)</f>
        <v>376.07914575</v>
      </c>
      <c r="G720" s="19" t="n">
        <f aca="false">F720*(1+g_nb29)</f>
        <v>364.7967713775</v>
      </c>
      <c r="H720" s="4" t="s">
        <v>450</v>
      </c>
    </row>
    <row r="721" customFormat="false" ht="17.15" hidden="false" customHeight="false" outlineLevel="0" collapsed="false">
      <c r="A721" s="4" t="s">
        <v>451</v>
      </c>
      <c r="B721" s="0" t="s">
        <v>195</v>
      </c>
      <c r="C721" s="19" t="n">
        <f aca="false">C716-C720-C718</f>
        <v>148.65823</v>
      </c>
      <c r="D721" s="19" t="n">
        <f aca="false">D716-D720-D718</f>
        <v>159.9486</v>
      </c>
      <c r="E721" s="19" t="n">
        <f aca="false">E716-E720-E718</f>
        <v>174.343974</v>
      </c>
      <c r="F721" s="19" t="n">
        <f aca="false">F716-F720-F718</f>
        <v>183.10915728</v>
      </c>
      <c r="G721" s="19" t="n">
        <f aca="false">G716-G720-G718</f>
        <v>182.0208670056</v>
      </c>
    </row>
    <row r="722" customFormat="false" ht="15" hidden="false" customHeight="false" outlineLevel="0" collapsed="false">
      <c r="A722" s="4" t="s">
        <v>452</v>
      </c>
      <c r="B722" s="0" t="s">
        <v>195</v>
      </c>
      <c r="C722" s="22" t="n">
        <f aca="false">C719+C720+C721-C717</f>
        <v>0</v>
      </c>
      <c r="D722" s="22" t="n">
        <f aca="false">D719+D720+D721-D717</f>
        <v>0</v>
      </c>
      <c r="E722" s="22" t="n">
        <f aca="false">E719+E720+E721-E717</f>
        <v>0</v>
      </c>
      <c r="F722" s="22" t="n">
        <f aca="false">F719+F720+F721-F717</f>
        <v>0</v>
      </c>
      <c r="G722" s="22" t="n">
        <f aca="false">G719+G720+G721-G717</f>
        <v>0</v>
      </c>
    </row>
    <row r="723" customFormat="false" ht="15" hidden="false" customHeight="false" outlineLevel="0" collapsed="false">
      <c r="A723" s="4" t="s">
        <v>453</v>
      </c>
      <c r="B723" s="0" t="s">
        <v>52</v>
      </c>
      <c r="D723" s="15" t="n">
        <f aca="false">D717/C717-1</f>
        <v>0.88290987993063</v>
      </c>
      <c r="E723" s="15" t="n">
        <f aca="false">E717/D717-1</f>
        <v>0.428086013528419</v>
      </c>
      <c r="F723" s="15" t="n">
        <f aca="false">F717/E717-1</f>
        <v>0.0587923179477705</v>
      </c>
      <c r="G723" s="15" t="n">
        <f aca="false">G717/F717-1</f>
        <v>0.0135860806245958</v>
      </c>
    </row>
    <row r="724" customFormat="false" ht="17.15" hidden="false" customHeight="false" outlineLevel="0" collapsed="false">
      <c r="A724" s="0" t="s">
        <v>454</v>
      </c>
      <c r="B724" s="0" t="s">
        <v>52</v>
      </c>
      <c r="C724" s="15" t="n">
        <f aca="false">C714/C717</f>
        <v>0.426160798497332</v>
      </c>
      <c r="D724" s="15" t="n">
        <f aca="false">D714/D717</f>
        <v>0.68</v>
      </c>
      <c r="E724" s="15" t="n">
        <f aca="false">E714/E717</f>
        <v>0.769201576881461</v>
      </c>
      <c r="F724" s="15" t="n">
        <f aca="false">F714/F717</f>
        <v>0.777657631633362</v>
      </c>
      <c r="G724" s="15" t="n">
        <f aca="false">G714/G717</f>
        <v>0.776250660827724</v>
      </c>
    </row>
    <row r="725" customFormat="false" ht="17.15" hidden="false" customHeight="false" outlineLevel="0" collapsed="false">
      <c r="A725" s="4" t="s">
        <v>403</v>
      </c>
      <c r="B725" s="0" t="s">
        <v>389</v>
      </c>
      <c r="D725" s="16" t="n">
        <f aca="false">D714/fx/D705</f>
        <v>3.631383388734</v>
      </c>
      <c r="E725" s="16" t="n">
        <f aca="false">E714/fx/E705</f>
        <v>3.29597359817473</v>
      </c>
      <c r="F725" s="16" t="n">
        <f aca="false">F714/fx/F705</f>
        <v>2.78326659401422</v>
      </c>
      <c r="G725" s="16" t="n">
        <f aca="false">G714/fx/G705</f>
        <v>2.47198019863105</v>
      </c>
    </row>
    <row r="726" customFormat="false" ht="17.15" hidden="false" customHeight="false" outlineLevel="0" collapsed="false">
      <c r="A726" s="4" t="s">
        <v>455</v>
      </c>
      <c r="B726" s="4" t="s">
        <v>401</v>
      </c>
      <c r="D726" s="19" t="n">
        <f aca="false">D712/fx/(odm_gb*(1-vr26)+odm_vr*vr26)</f>
        <v>18.4522679153094</v>
      </c>
      <c r="E726" s="19" t="n">
        <f aca="false">E712/fx/odm_vr</f>
        <v>22.5953317879953</v>
      </c>
      <c r="F726" s="19" t="n">
        <f aca="false">F712/fx/odm_vr</f>
        <v>27.2101101211635</v>
      </c>
      <c r="G726" s="19" t="n">
        <f aca="false">G712/fx/odm_vr</f>
        <v>29.3652163842419</v>
      </c>
      <c r="H726" s="4" t="s">
        <v>456</v>
      </c>
    </row>
    <row r="727" customFormat="false" ht="17.15" hidden="false" customHeight="false" outlineLevel="0" collapsed="false">
      <c r="A727" s="6" t="s">
        <v>457</v>
      </c>
    </row>
    <row r="728" customFormat="false" ht="17.15" hidden="false" customHeight="false" outlineLevel="0" collapsed="false">
      <c r="A728" s="4" t="s">
        <v>458</v>
      </c>
      <c r="B728" s="0" t="s">
        <v>52</v>
      </c>
      <c r="D728" s="11" t="n">
        <f aca="false">a26_gp/D717-d_ai*D724</f>
        <v>0.0632307213692399</v>
      </c>
      <c r="H728" s="8" t="s">
        <v>459</v>
      </c>
    </row>
    <row r="729" customFormat="false" ht="17.15" hidden="false" customHeight="false" outlineLevel="0" collapsed="false">
      <c r="A729" s="0" t="s">
        <v>460</v>
      </c>
      <c r="B729" s="0" t="s">
        <v>195</v>
      </c>
      <c r="D729" s="21" t="n">
        <f aca="false">($D$728+d_ai)*D712*(1-D713*(1-keep))</f>
        <v>117.54978712</v>
      </c>
      <c r="E729" s="21" t="n">
        <f aca="false">($D$728+d_ai+vrd_hi)*E712*(1-E713*(1-keep))</f>
        <v>208.88158345444</v>
      </c>
      <c r="F729" s="21" t="n">
        <f aca="false">($D$728+d_ai+vrd_hi)*F712*(1-F713*(1-keep))</f>
        <v>249.001870023259</v>
      </c>
      <c r="G729" s="21" t="n">
        <f aca="false">($D$728+d_ai+vrd_hi)*G712*(1-G713*(1-keep))</f>
        <v>267.352380057939</v>
      </c>
      <c r="H729" s="4" t="s">
        <v>461</v>
      </c>
    </row>
    <row r="730" customFormat="false" ht="15" hidden="false" customHeight="false" outlineLevel="0" collapsed="false">
      <c r="A730" s="4" t="s">
        <v>345</v>
      </c>
      <c r="B730" s="0" t="s">
        <v>195</v>
      </c>
      <c r="C730" s="19" t="n">
        <f aca="false">a25_gp</f>
        <v>148.2334922</v>
      </c>
      <c r="D730" s="19" t="n">
        <f aca="false">a26_gp</f>
        <v>198.45911</v>
      </c>
      <c r="E730" s="19" t="n">
        <f aca="false">$D$728*E716+E729</f>
        <v>292.21818602084</v>
      </c>
      <c r="F730" s="19" t="n">
        <f aca="false">$D$728*F716+F729</f>
        <v>334.005204640987</v>
      </c>
      <c r="G730" s="19" t="n">
        <f aca="false">$D$728*G716+G729</f>
        <v>354.055781368021</v>
      </c>
    </row>
    <row r="731" customFormat="false" ht="15" hidden="false" customHeight="false" outlineLevel="0" collapsed="false">
      <c r="A731" s="4" t="s">
        <v>348</v>
      </c>
      <c r="B731" s="0" t="s">
        <v>52</v>
      </c>
      <c r="C731" s="11" t="n">
        <f aca="false">C730/C717</f>
        <v>0.0698</v>
      </c>
      <c r="D731" s="11" t="n">
        <f aca="false">D730/D717</f>
        <v>0.0496307213692399</v>
      </c>
      <c r="E731" s="11" t="n">
        <f aca="false">E730/E717</f>
        <v>0.0511720037363049</v>
      </c>
      <c r="F731" s="11" t="n">
        <f aca="false">F730/F717</f>
        <v>0.0552417763251787</v>
      </c>
      <c r="G731" s="11" t="n">
        <f aca="false">G730/G717</f>
        <v>0.0577730709619649</v>
      </c>
    </row>
    <row r="732" customFormat="false" ht="17.15" hidden="false" customHeight="false" outlineLevel="0" collapsed="false">
      <c r="A732" s="0" t="s">
        <v>462</v>
      </c>
      <c r="B732" s="0" t="s">
        <v>52</v>
      </c>
      <c r="D732" s="11" t="n">
        <f aca="false">D729/D714</f>
        <v>0.0432307213692399</v>
      </c>
      <c r="E732" s="11" t="n">
        <f aca="false">E729/E714</f>
        <v>0.0475537935061639</v>
      </c>
      <c r="F732" s="11" t="n">
        <f aca="false">F729/F714</f>
        <v>0.0529576336773188</v>
      </c>
      <c r="G732" s="11" t="n">
        <f aca="false">G729/G714</f>
        <v>0.0561999377800118</v>
      </c>
      <c r="H732" s="4" t="s">
        <v>463</v>
      </c>
    </row>
    <row r="733" customFormat="false" ht="15" hidden="false" customHeight="false" outlineLevel="0" collapsed="false">
      <c r="A733" s="4" t="s">
        <v>464</v>
      </c>
      <c r="B733" s="0" t="s">
        <v>195</v>
      </c>
      <c r="C733" s="19" t="n">
        <f aca="false">a25_opx</f>
        <v>60.7375054</v>
      </c>
      <c r="D733" s="19" t="n">
        <f aca="false">a26_opx</f>
        <v>71.1893725</v>
      </c>
      <c r="E733" s="19" t="n">
        <f aca="false">D733*(1+MAX(0,phi*E723))</f>
        <v>83.3794423716459</v>
      </c>
      <c r="F733" s="19" t="n">
        <f aca="false">E733*(1+MAX(0,phi*F723))</f>
        <v>85.3402706461345</v>
      </c>
      <c r="G733" s="19" t="n">
        <f aca="false">F733*(1+MAX(0,phi*G723))</f>
        <v>85.8040465651438</v>
      </c>
    </row>
    <row r="734" customFormat="false" ht="15" hidden="false" customHeight="false" outlineLevel="0" collapsed="false">
      <c r="A734" s="4" t="s">
        <v>349</v>
      </c>
      <c r="B734" s="0" t="s">
        <v>195</v>
      </c>
      <c r="C734" s="19" t="n">
        <f aca="false">C733</f>
        <v>60.7375054</v>
      </c>
      <c r="D734" s="19" t="n">
        <f aca="false">D733</f>
        <v>71.1893725</v>
      </c>
      <c r="E734" s="19" t="n">
        <f aca="false">E733+0*E717</f>
        <v>83.3794423716459</v>
      </c>
      <c r="F734" s="19" t="n">
        <f aca="false">F733+0*F717</f>
        <v>85.3402706461345</v>
      </c>
      <c r="G734" s="19" t="n">
        <f aca="false">G733+0*G717</f>
        <v>85.8040465651438</v>
      </c>
    </row>
    <row r="735" customFormat="false" ht="15" hidden="false" customHeight="false" outlineLevel="0" collapsed="false">
      <c r="A735" s="4" t="s">
        <v>352</v>
      </c>
      <c r="B735" s="0" t="s">
        <v>195</v>
      </c>
      <c r="C735" s="19" t="n">
        <f aca="false">C730-C734</f>
        <v>87.4959868</v>
      </c>
      <c r="D735" s="19" t="n">
        <f aca="false">D730-D734</f>
        <v>127.2697375</v>
      </c>
      <c r="E735" s="19" t="n">
        <f aca="false">E730-E734</f>
        <v>208.838743649195</v>
      </c>
      <c r="F735" s="19" t="n">
        <f aca="false">F730-F734</f>
        <v>248.664933994853</v>
      </c>
      <c r="G735" s="19" t="n">
        <f aca="false">G730-G734</f>
        <v>268.251734802878</v>
      </c>
    </row>
    <row r="736" customFormat="false" ht="15" hidden="false" customHeight="false" outlineLevel="0" collapsed="false">
      <c r="A736" s="4" t="s">
        <v>355</v>
      </c>
      <c r="B736" s="0" t="s">
        <v>52</v>
      </c>
      <c r="C736" s="11" t="n">
        <f aca="false">C735/C717</f>
        <v>0.0412</v>
      </c>
      <c r="D736" s="11" t="n">
        <f aca="false">D735/D717</f>
        <v>0.0318276590104571</v>
      </c>
      <c r="E736" s="11" t="n">
        <f aca="false">E735/E717</f>
        <v>0.0365709510274615</v>
      </c>
      <c r="F736" s="11" t="n">
        <f aca="false">F735/F717</f>
        <v>0.041127181471391</v>
      </c>
      <c r="G736" s="11" t="n">
        <f aca="false">G735/G717</f>
        <v>0.0437719910985659</v>
      </c>
    </row>
    <row r="737" customFormat="false" ht="17.15" hidden="false" customHeight="false" outlineLevel="0" collapsed="false">
      <c r="A737" s="4" t="s">
        <v>229</v>
      </c>
      <c r="B737" s="0" t="s">
        <v>52</v>
      </c>
      <c r="C737" s="15" t="n">
        <f aca="false">a25_ni/a25_oi</f>
        <v>0.856953590013114</v>
      </c>
      <c r="D737" s="15" t="n">
        <f aca="false">a26_ni/a26_oi</f>
        <v>0.869913569398224</v>
      </c>
      <c r="E737" s="15" t="n">
        <f aca="false">nio_f</f>
        <v>0.865</v>
      </c>
      <c r="F737" s="15" t="n">
        <f aca="false">nio_f</f>
        <v>0.865</v>
      </c>
      <c r="G737" s="15" t="n">
        <f aca="false">nio_f</f>
        <v>0.865</v>
      </c>
    </row>
    <row r="738" customFormat="false" ht="15" hidden="false" customHeight="false" outlineLevel="0" collapsed="false">
      <c r="A738" s="4" t="s">
        <v>356</v>
      </c>
      <c r="B738" s="0" t="s">
        <v>195</v>
      </c>
      <c r="C738" s="19" t="n">
        <f aca="false">a25_ni</f>
        <v>74.98</v>
      </c>
      <c r="D738" s="19" t="n">
        <f aca="false">a26_ni</f>
        <v>110.713671625</v>
      </c>
      <c r="E738" s="19" t="n">
        <f aca="false">E735*E737</f>
        <v>180.645513256553</v>
      </c>
      <c r="F738" s="19" t="n">
        <f aca="false">F735*F737</f>
        <v>215.095167905547</v>
      </c>
      <c r="G738" s="19" t="n">
        <f aca="false">G735*G737</f>
        <v>232.037750604489</v>
      </c>
    </row>
    <row r="739" customFormat="false" ht="15" hidden="false" customHeight="false" outlineLevel="0" collapsed="false">
      <c r="A739" s="4" t="s">
        <v>465</v>
      </c>
      <c r="B739" s="4" t="s">
        <v>216</v>
      </c>
      <c r="C739" s="22" t="n">
        <f aca="false">a25_sh</f>
        <v>3.85501285347044</v>
      </c>
      <c r="D739" s="22" t="n">
        <f aca="false">a26_sh</f>
        <v>3.85460170146945</v>
      </c>
      <c r="E739" s="22" t="n">
        <f aca="false">D739*(1+sh_g)</f>
        <v>3.85460170146945</v>
      </c>
      <c r="F739" s="22" t="n">
        <f aca="false">E739*(1+sh_g)</f>
        <v>3.85460170146945</v>
      </c>
      <c r="G739" s="22" t="n">
        <f aca="false">F739*(1+sh_g)</f>
        <v>3.85460170146945</v>
      </c>
    </row>
    <row r="740" customFormat="false" ht="15" hidden="false" customHeight="false" outlineLevel="0" collapsed="false">
      <c r="A740" s="0" t="s">
        <v>362</v>
      </c>
      <c r="B740" s="0" t="s">
        <v>246</v>
      </c>
      <c r="C740" s="21" t="n">
        <f aca="false">C738/C739</f>
        <v>19.45</v>
      </c>
      <c r="D740" s="21" t="n">
        <f aca="false">D738/D739</f>
        <v>28.7224673778341</v>
      </c>
      <c r="E740" s="21" t="n">
        <f aca="false">E738/E739</f>
        <v>46.8648973998241</v>
      </c>
      <c r="F740" s="21" t="n">
        <f aca="false">F738/F739</f>
        <v>55.8021773880162</v>
      </c>
      <c r="G740" s="21" t="n">
        <f aca="false">G738/G739</f>
        <v>60.1975946090699</v>
      </c>
    </row>
    <row r="741" customFormat="false" ht="17.15" hidden="false" customHeight="false" outlineLevel="0" collapsed="false">
      <c r="A741" s="0" t="s">
        <v>466</v>
      </c>
      <c r="B741" s="0" t="s">
        <v>52</v>
      </c>
      <c r="D741" s="15" t="n">
        <f aca="false">D740/C740-1</f>
        <v>0.476733541276816</v>
      </c>
      <c r="E741" s="15" t="n">
        <f aca="false">E740/D740-1</f>
        <v>0.631645944038605</v>
      </c>
      <c r="F741" s="15" t="n">
        <f aca="false">F740/E740-1</f>
        <v>0.190703073815449</v>
      </c>
      <c r="G741" s="15" t="n">
        <f aca="false">G740/F740-1</f>
        <v>0.0787678443170861</v>
      </c>
    </row>
    <row r="744" customFormat="false" ht="17.15" hidden="false" customHeight="false" outlineLevel="0" collapsed="false">
      <c r="A744" s="1" t="s">
        <v>787</v>
      </c>
    </row>
    <row r="745" customFormat="false" ht="17.15" hidden="false" customHeight="false" outlineLevel="0" collapsed="false">
      <c r="A745" s="5" t="s">
        <v>21</v>
      </c>
      <c r="B745" s="5" t="s">
        <v>22</v>
      </c>
      <c r="C745" s="12" t="s">
        <v>335</v>
      </c>
      <c r="D745" s="12" t="s">
        <v>411</v>
      </c>
      <c r="E745" s="12" t="s">
        <v>412</v>
      </c>
      <c r="F745" s="12" t="s">
        <v>413</v>
      </c>
      <c r="G745" s="12" t="s">
        <v>414</v>
      </c>
      <c r="H745" s="5" t="s">
        <v>384</v>
      </c>
    </row>
    <row r="746" customFormat="false" ht="17.15" hidden="false" customHeight="false" outlineLevel="0" collapsed="false">
      <c r="A746" s="6" t="s">
        <v>431</v>
      </c>
    </row>
    <row r="747" customFormat="false" ht="17.15" hidden="false" customHeight="false" outlineLevel="0" collapsed="false">
      <c r="A747" s="0" t="s">
        <v>432</v>
      </c>
      <c r="B747" s="0" t="s">
        <v>32</v>
      </c>
      <c r="D747" s="21" t="n">
        <f aca="false">itc_26*1</f>
        <v>781.872916666666</v>
      </c>
      <c r="E747" s="21" t="n">
        <f aca="false">itc_27*1*1</f>
        <v>1565.35</v>
      </c>
      <c r="F747" s="21" t="n">
        <f aca="false">itc_28*um28_A*1</f>
        <v>1984.26388888889</v>
      </c>
      <c r="G747" s="21" t="n">
        <f aca="false">itc_29*um29_A*1</f>
        <v>2260.39027777778</v>
      </c>
    </row>
    <row r="748" customFormat="false" ht="17.15" hidden="false" customHeight="false" outlineLevel="0" collapsed="false">
      <c r="A748" s="4" t="s">
        <v>433</v>
      </c>
      <c r="B748" s="0" t="s">
        <v>32</v>
      </c>
      <c r="D748" s="21" t="n">
        <f aca="false">itpg_gb*(1-vr26)+itpg_vr*vr26</f>
        <v>33.41403216</v>
      </c>
      <c r="E748" s="21" t="n">
        <f aca="false">itpg_vr</f>
        <v>37.586352</v>
      </c>
      <c r="F748" s="21" t="n">
        <f aca="false">itpg_vr</f>
        <v>37.586352</v>
      </c>
      <c r="G748" s="21" t="n">
        <f aca="false">itpg_vr</f>
        <v>37.586352</v>
      </c>
    </row>
    <row r="749" customFormat="false" ht="17.15" hidden="false" customHeight="false" outlineLevel="0" collapsed="false">
      <c r="A749" s="4" t="s">
        <v>434</v>
      </c>
      <c r="B749" s="0" t="s">
        <v>386</v>
      </c>
      <c r="D749" s="18" t="n">
        <f aca="false">D747/D748</f>
        <v>23.3995380420639</v>
      </c>
      <c r="E749" s="18" t="n">
        <f aca="false">E747/E748</f>
        <v>41.6467658260637</v>
      </c>
      <c r="F749" s="18" t="n">
        <f aca="false">F747/F748</f>
        <v>52.792138191248</v>
      </c>
      <c r="G749" s="18" t="n">
        <f aca="false">G747/G748</f>
        <v>60.1385917361116</v>
      </c>
    </row>
    <row r="750" customFormat="false" ht="17.15" hidden="false" customHeight="false" outlineLevel="0" collapsed="false">
      <c r="A750" s="4" t="s">
        <v>388</v>
      </c>
      <c r="B750" s="0" t="s">
        <v>389</v>
      </c>
      <c r="D750" s="16" t="n">
        <f aca="false">(racks_gb*odm_gb*(1-vr26)+racks_vr*odm_vr*vr26)/1000</f>
        <v>27.1209</v>
      </c>
      <c r="E750" s="16" t="n">
        <f aca="false">racks_vr*odm_vr/1000</f>
        <v>27.351</v>
      </c>
      <c r="F750" s="16" t="n">
        <f aca="false">$E750*vpg_28</f>
        <v>27.351</v>
      </c>
      <c r="G750" s="16" t="n">
        <f aca="false">$E750*vpg_29</f>
        <v>27.351</v>
      </c>
      <c r="H750" s="4" t="s">
        <v>435</v>
      </c>
    </row>
    <row r="751" customFormat="false" ht="17.15" hidden="false" customHeight="false" outlineLevel="0" collapsed="false">
      <c r="A751" s="0" t="s">
        <v>436</v>
      </c>
      <c r="B751" s="0" t="s">
        <v>32</v>
      </c>
      <c r="D751" s="19" t="n">
        <f aca="false">D749*D750</f>
        <v>634.61653128501</v>
      </c>
      <c r="E751" s="19" t="n">
        <f aca="false">E749*E750</f>
        <v>1139.08069210867</v>
      </c>
      <c r="F751" s="19" t="n">
        <f aca="false">F749*F750</f>
        <v>1443.91777166882</v>
      </c>
      <c r="G751" s="19" t="n">
        <f aca="false">G749*G750</f>
        <v>1644.85062257439</v>
      </c>
    </row>
    <row r="752" customFormat="false" ht="17.15" hidden="false" customHeight="false" outlineLevel="0" collapsed="false">
      <c r="A752" s="0" t="s">
        <v>437</v>
      </c>
      <c r="B752" s="0" t="s">
        <v>195</v>
      </c>
      <c r="D752" s="19" t="n">
        <f aca="false">D751*fx</f>
        <v>20307.7290011203</v>
      </c>
      <c r="E752" s="19" t="n">
        <f aca="false">E751*fx</f>
        <v>36450.5821474774</v>
      </c>
      <c r="F752" s="19" t="n">
        <f aca="false">F751*fx</f>
        <v>46205.3686934024</v>
      </c>
      <c r="G752" s="19" t="n">
        <f aca="false">G751*fx</f>
        <v>52635.2199223804</v>
      </c>
    </row>
    <row r="753" customFormat="false" ht="17.15" hidden="false" customHeight="false" outlineLevel="0" collapsed="false">
      <c r="A753" s="4" t="s">
        <v>438</v>
      </c>
      <c r="B753" s="0" t="s">
        <v>52</v>
      </c>
      <c r="D753" s="15" t="n">
        <f aca="false">a26_ai/D752</f>
        <v>0.133896123975753</v>
      </c>
      <c r="H753" s="8" t="s">
        <v>439</v>
      </c>
    </row>
    <row r="754" customFormat="false" ht="17.15" hidden="false" customHeight="false" outlineLevel="0" collapsed="false">
      <c r="A754" s="4" t="s">
        <v>440</v>
      </c>
      <c r="B754" s="0" t="s">
        <v>72</v>
      </c>
      <c r="D754" s="16" t="n">
        <f aca="false">1</f>
        <v>1</v>
      </c>
      <c r="E754" s="16" t="n">
        <f aca="false">rel_27</f>
        <v>1</v>
      </c>
      <c r="F754" s="16" t="n">
        <f aca="false">rel_28</f>
        <v>0.95</v>
      </c>
      <c r="G754" s="16" t="n">
        <f aca="false">rel_29</f>
        <v>0.9</v>
      </c>
    </row>
    <row r="755" customFormat="false" ht="15" hidden="false" customHeight="false" outlineLevel="0" collapsed="false">
      <c r="A755" s="4" t="s">
        <v>393</v>
      </c>
      <c r="B755" s="0" t="s">
        <v>52</v>
      </c>
      <c r="D755" s="15" t="n">
        <f aca="false">$D$753*D754</f>
        <v>0.133896123975753</v>
      </c>
      <c r="E755" s="15" t="n">
        <f aca="false">$D$753*E754</f>
        <v>0.133896123975753</v>
      </c>
      <c r="F755" s="15" t="n">
        <f aca="false">$D$753*F754</f>
        <v>0.127201317776965</v>
      </c>
      <c r="G755" s="15" t="n">
        <f aca="false">$D$753*G754</f>
        <v>0.120506511578178</v>
      </c>
    </row>
    <row r="756" customFormat="false" ht="17.15" hidden="false" customHeight="false" outlineLevel="0" collapsed="false">
      <c r="A756" s="0" t="s">
        <v>441</v>
      </c>
      <c r="B756" s="0" t="s">
        <v>195</v>
      </c>
      <c r="D756" s="19" t="n">
        <f aca="false">D752*D755</f>
        <v>2719.1262</v>
      </c>
      <c r="E756" s="19" t="n">
        <f aca="false">E752*E755</f>
        <v>4880.59166620699</v>
      </c>
      <c r="F756" s="19" t="n">
        <f aca="false">F752*F755</f>
        <v>5877.38378617131</v>
      </c>
      <c r="G756" s="19" t="n">
        <f aca="false">G752*G755</f>
        <v>6342.88673899626</v>
      </c>
    </row>
    <row r="757" customFormat="false" ht="17.15" hidden="false" customHeight="false" outlineLevel="0" collapsed="false">
      <c r="A757" s="4" t="s">
        <v>397</v>
      </c>
      <c r="B757" s="0" t="s">
        <v>52</v>
      </c>
      <c r="D757" s="15" t="n">
        <f aca="false">0</f>
        <v>0</v>
      </c>
      <c r="E757" s="15" t="n">
        <f aca="false">cs_27</f>
        <v>0.1</v>
      </c>
      <c r="F757" s="15" t="n">
        <f aca="false">cs_28</f>
        <v>0.2</v>
      </c>
      <c r="G757" s="15" t="n">
        <f aca="false">cs_29</f>
        <v>0.25</v>
      </c>
      <c r="H757" s="8" t="s">
        <v>442</v>
      </c>
    </row>
    <row r="758" customFormat="false" ht="17.15" hidden="false" customHeight="false" outlineLevel="0" collapsed="false">
      <c r="A758" s="0" t="s">
        <v>443</v>
      </c>
      <c r="B758" s="0" t="s">
        <v>195</v>
      </c>
      <c r="C758" s="19" t="n">
        <f aca="false">a25_ai</f>
        <v>905.033</v>
      </c>
      <c r="D758" s="19" t="n">
        <f aca="false">D756*(1-D757)</f>
        <v>2719.1262</v>
      </c>
      <c r="E758" s="19" t="n">
        <f aca="false">E756*(1-E757)</f>
        <v>4392.53249958629</v>
      </c>
      <c r="F758" s="19" t="n">
        <f aca="false">F756*(1-F757)</f>
        <v>4701.90702893705</v>
      </c>
      <c r="G758" s="19" t="n">
        <f aca="false">G756*(1-G757)</f>
        <v>4757.16505424719</v>
      </c>
    </row>
    <row r="759" customFormat="false" ht="17.15" hidden="false" customHeight="false" outlineLevel="0" collapsed="false">
      <c r="A759" s="6" t="s">
        <v>444</v>
      </c>
    </row>
    <row r="760" customFormat="false" ht="17.15" hidden="false" customHeight="false" outlineLevel="0" collapsed="false">
      <c r="A760" s="4" t="s">
        <v>370</v>
      </c>
      <c r="B760" s="0" t="s">
        <v>195</v>
      </c>
      <c r="C760" s="19" t="n">
        <f aca="false">a25_nai</f>
        <v>1218.656</v>
      </c>
      <c r="D760" s="19" t="n">
        <f aca="false">a26_nai</f>
        <v>1279.5888</v>
      </c>
      <c r="E760" s="19" t="n">
        <f aca="false">D760*(1+g_nai27)</f>
        <v>1317.976464</v>
      </c>
      <c r="F760" s="19" t="n">
        <f aca="false">E760*(1+g_nai28)</f>
        <v>1344.33599328</v>
      </c>
      <c r="G760" s="19" t="n">
        <f aca="false">F760*(1+g_nai29)</f>
        <v>1371.2227131456</v>
      </c>
    </row>
    <row r="761" customFormat="false" ht="15" hidden="false" customHeight="false" outlineLevel="0" collapsed="false">
      <c r="A761" s="4" t="s">
        <v>341</v>
      </c>
      <c r="B761" s="0" t="s">
        <v>195</v>
      </c>
      <c r="C761" s="19" t="n">
        <f aca="false">C758+C760</f>
        <v>2123.689</v>
      </c>
      <c r="D761" s="19" t="n">
        <f aca="false">D758+D760</f>
        <v>3998.715</v>
      </c>
      <c r="E761" s="19" t="n">
        <f aca="false">E758+E760</f>
        <v>5710.50896358629</v>
      </c>
      <c r="F761" s="19" t="n">
        <f aca="false">F758+F760</f>
        <v>6046.24302221705</v>
      </c>
      <c r="G761" s="19" t="n">
        <f aca="false">G758+G760</f>
        <v>6128.38776739279</v>
      </c>
    </row>
    <row r="762" customFormat="false" ht="17.15" hidden="false" customHeight="false" outlineLevel="0" collapsed="false">
      <c r="A762" s="4" t="s">
        <v>445</v>
      </c>
      <c r="B762" s="0" t="s">
        <v>195</v>
      </c>
      <c r="C762" s="19" t="n">
        <f aca="false">srv_25*C761-C758</f>
        <v>602.78619</v>
      </c>
      <c r="D762" s="19" t="n">
        <f aca="false">srv_26*D761-D758</f>
        <v>679.78155</v>
      </c>
      <c r="E762" s="19" t="n">
        <f aca="false">D762*(1+g_gs27)</f>
        <v>747.759705</v>
      </c>
      <c r="F762" s="19" t="n">
        <f aca="false">E762*(1+g_gs28)</f>
        <v>785.14769025</v>
      </c>
      <c r="G762" s="19" t="n">
        <f aca="false">F762*(1+g_gs29)</f>
        <v>824.4050747625</v>
      </c>
      <c r="H762" s="8" t="s">
        <v>446</v>
      </c>
    </row>
    <row r="763" customFormat="false" ht="17.15" hidden="false" customHeight="false" outlineLevel="0" collapsed="false">
      <c r="A763" s="4" t="s">
        <v>447</v>
      </c>
      <c r="B763" s="0" t="s">
        <v>195</v>
      </c>
      <c r="C763" s="19" t="n">
        <f aca="false">C758+C762</f>
        <v>1507.81919</v>
      </c>
      <c r="D763" s="19" t="n">
        <f aca="false">D758+D762</f>
        <v>3398.90775</v>
      </c>
      <c r="E763" s="19" t="n">
        <f aca="false">E758+E762</f>
        <v>5140.29220458629</v>
      </c>
      <c r="F763" s="19" t="n">
        <f aca="false">F758+F762</f>
        <v>5487.05471918705</v>
      </c>
      <c r="G763" s="19" t="n">
        <f aca="false">G758+G762</f>
        <v>5581.57012900969</v>
      </c>
      <c r="H763" s="4" t="s">
        <v>448</v>
      </c>
    </row>
    <row r="764" customFormat="false" ht="15" hidden="false" customHeight="false" outlineLevel="0" collapsed="false">
      <c r="A764" s="4" t="s">
        <v>449</v>
      </c>
      <c r="B764" s="0" t="s">
        <v>195</v>
      </c>
      <c r="C764" s="19" t="n">
        <f aca="false">nbsh_25*C761</f>
        <v>467.21158</v>
      </c>
      <c r="D764" s="19" t="n">
        <f aca="false">nbsh_26*D761</f>
        <v>439.85865</v>
      </c>
      <c r="E764" s="19" t="n">
        <f aca="false">D764*(1+g_nb27)</f>
        <v>395.872785</v>
      </c>
      <c r="F764" s="19" t="n">
        <f aca="false">E764*(1+g_nb28)</f>
        <v>376.07914575</v>
      </c>
      <c r="G764" s="19" t="n">
        <f aca="false">F764*(1+g_nb29)</f>
        <v>364.7967713775</v>
      </c>
      <c r="H764" s="4" t="s">
        <v>450</v>
      </c>
    </row>
    <row r="765" customFormat="false" ht="17.15" hidden="false" customHeight="false" outlineLevel="0" collapsed="false">
      <c r="A765" s="4" t="s">
        <v>451</v>
      </c>
      <c r="B765" s="0" t="s">
        <v>195</v>
      </c>
      <c r="C765" s="19" t="n">
        <f aca="false">C760-C764-C762</f>
        <v>148.65823</v>
      </c>
      <c r="D765" s="19" t="n">
        <f aca="false">D760-D764-D762</f>
        <v>159.9486</v>
      </c>
      <c r="E765" s="19" t="n">
        <f aca="false">E760-E764-E762</f>
        <v>174.343974</v>
      </c>
      <c r="F765" s="19" t="n">
        <f aca="false">F760-F764-F762</f>
        <v>183.10915728</v>
      </c>
      <c r="G765" s="19" t="n">
        <f aca="false">G760-G764-G762</f>
        <v>182.0208670056</v>
      </c>
    </row>
    <row r="766" customFormat="false" ht="15" hidden="false" customHeight="false" outlineLevel="0" collapsed="false">
      <c r="A766" s="4" t="s">
        <v>452</v>
      </c>
      <c r="B766" s="0" t="s">
        <v>195</v>
      </c>
      <c r="C766" s="22" t="n">
        <f aca="false">C763+C764+C765-C761</f>
        <v>0</v>
      </c>
      <c r="D766" s="22" t="n">
        <f aca="false">D763+D764+D765-D761</f>
        <v>0</v>
      </c>
      <c r="E766" s="22" t="n">
        <f aca="false">E763+E764+E765-E761</f>
        <v>0</v>
      </c>
      <c r="F766" s="22" t="n">
        <f aca="false">F763+F764+F765-F761</f>
        <v>0</v>
      </c>
      <c r="G766" s="22" t="n">
        <f aca="false">G763+G764+G765-G761</f>
        <v>0</v>
      </c>
    </row>
    <row r="767" customFormat="false" ht="15" hidden="false" customHeight="false" outlineLevel="0" collapsed="false">
      <c r="A767" s="4" t="s">
        <v>453</v>
      </c>
      <c r="B767" s="0" t="s">
        <v>52</v>
      </c>
      <c r="D767" s="15" t="n">
        <f aca="false">D761/C761-1</f>
        <v>0.88290987993063</v>
      </c>
      <c r="E767" s="15" t="n">
        <f aca="false">E761/D761-1</f>
        <v>0.428086013528419</v>
      </c>
      <c r="F767" s="15" t="n">
        <f aca="false">F761/E761-1</f>
        <v>0.0587923179477705</v>
      </c>
      <c r="G767" s="15" t="n">
        <f aca="false">G761/F761-1</f>
        <v>0.0135860806245958</v>
      </c>
    </row>
    <row r="768" customFormat="false" ht="17.15" hidden="false" customHeight="false" outlineLevel="0" collapsed="false">
      <c r="A768" s="0" t="s">
        <v>454</v>
      </c>
      <c r="B768" s="0" t="s">
        <v>52</v>
      </c>
      <c r="C768" s="15" t="n">
        <f aca="false">C758/C761</f>
        <v>0.426160798497332</v>
      </c>
      <c r="D768" s="15" t="n">
        <f aca="false">D758/D761</f>
        <v>0.68</v>
      </c>
      <c r="E768" s="15" t="n">
        <f aca="false">E758/E761</f>
        <v>0.769201576881461</v>
      </c>
      <c r="F768" s="15" t="n">
        <f aca="false">F758/F761</f>
        <v>0.777657631633362</v>
      </c>
      <c r="G768" s="15" t="n">
        <f aca="false">G758/G761</f>
        <v>0.776250660827724</v>
      </c>
    </row>
    <row r="769" customFormat="false" ht="17.15" hidden="false" customHeight="false" outlineLevel="0" collapsed="false">
      <c r="A769" s="4" t="s">
        <v>403</v>
      </c>
      <c r="B769" s="0" t="s">
        <v>389</v>
      </c>
      <c r="D769" s="16" t="n">
        <f aca="false">D758/fx/D749</f>
        <v>3.631383388734</v>
      </c>
      <c r="E769" s="16" t="n">
        <f aca="false">E758/fx/E749</f>
        <v>3.29597359817473</v>
      </c>
      <c r="F769" s="16" t="n">
        <f aca="false">F758/fx/F749</f>
        <v>2.78326659401422</v>
      </c>
      <c r="G769" s="16" t="n">
        <f aca="false">G758/fx/G749</f>
        <v>2.47198019863105</v>
      </c>
    </row>
    <row r="770" customFormat="false" ht="17.15" hidden="false" customHeight="false" outlineLevel="0" collapsed="false">
      <c r="A770" s="4" t="s">
        <v>455</v>
      </c>
      <c r="B770" s="4" t="s">
        <v>401</v>
      </c>
      <c r="D770" s="19" t="n">
        <f aca="false">D756/fx/(odm_gb*(1-vr26)+odm_vr*vr26)</f>
        <v>18.4522679153094</v>
      </c>
      <c r="E770" s="19" t="n">
        <f aca="false">E756/fx/odm_vr</f>
        <v>22.5953317879953</v>
      </c>
      <c r="F770" s="19" t="n">
        <f aca="false">F756/fx/odm_vr</f>
        <v>27.2101101211635</v>
      </c>
      <c r="G770" s="19" t="n">
        <f aca="false">G756/fx/odm_vr</f>
        <v>29.3652163842419</v>
      </c>
      <c r="H770" s="4" t="s">
        <v>456</v>
      </c>
    </row>
    <row r="771" customFormat="false" ht="17.15" hidden="false" customHeight="false" outlineLevel="0" collapsed="false">
      <c r="A771" s="6" t="s">
        <v>457</v>
      </c>
    </row>
    <row r="772" customFormat="false" ht="17.15" hidden="false" customHeight="false" outlineLevel="0" collapsed="false">
      <c r="A772" s="4" t="s">
        <v>458</v>
      </c>
      <c r="B772" s="0" t="s">
        <v>52</v>
      </c>
      <c r="D772" s="11" t="n">
        <f aca="false">a26_gp/D761-d_ai*D768</f>
        <v>0.0632307213692399</v>
      </c>
      <c r="H772" s="8" t="s">
        <v>459</v>
      </c>
    </row>
    <row r="773" customFormat="false" ht="17.15" hidden="false" customHeight="false" outlineLevel="0" collapsed="false">
      <c r="A773" s="0" t="s">
        <v>460</v>
      </c>
      <c r="B773" s="0" t="s">
        <v>195</v>
      </c>
      <c r="D773" s="21" t="n">
        <f aca="false">($D$772+d_ai)*D756*(1-D757*(1-keep))</f>
        <v>117.54978712</v>
      </c>
      <c r="E773" s="21" t="n">
        <f aca="false">($D$772+d_ai+vrd)*E756*(1-E757*(1-keep))</f>
        <v>194.386226205806</v>
      </c>
      <c r="F773" s="21" t="n">
        <f aca="false">($D$772+d_ai+vrd)*F756*(1-F757*(1-keep))</f>
        <v>231.722361691915</v>
      </c>
      <c r="G773" s="21" t="n">
        <f aca="false">($D$772+d_ai+vrd)*G756*(1-G757*(1-keep))</f>
        <v>248.799436346375</v>
      </c>
      <c r="H773" s="4" t="s">
        <v>461</v>
      </c>
    </row>
    <row r="774" customFormat="false" ht="15" hidden="false" customHeight="false" outlineLevel="0" collapsed="false">
      <c r="A774" s="4" t="s">
        <v>345</v>
      </c>
      <c r="B774" s="0" t="s">
        <v>195</v>
      </c>
      <c r="C774" s="19" t="n">
        <f aca="false">a25_gp</f>
        <v>148.2334922</v>
      </c>
      <c r="D774" s="19" t="n">
        <f aca="false">a26_gp</f>
        <v>198.45911</v>
      </c>
      <c r="E774" s="19" t="n">
        <f aca="false">$D$772*E760+E773</f>
        <v>277.722828772206</v>
      </c>
      <c r="F774" s="19" t="n">
        <f aca="false">$D$772*F760+F773</f>
        <v>316.725696309643</v>
      </c>
      <c r="G774" s="19" t="n">
        <f aca="false">$D$772*G760+G773</f>
        <v>335.502837656457</v>
      </c>
    </row>
    <row r="775" customFormat="false" ht="15" hidden="false" customHeight="false" outlineLevel="0" collapsed="false">
      <c r="A775" s="4" t="s">
        <v>348</v>
      </c>
      <c r="B775" s="0" t="s">
        <v>52</v>
      </c>
      <c r="C775" s="11" t="n">
        <f aca="false">C774/C761</f>
        <v>0.0698</v>
      </c>
      <c r="D775" s="11" t="n">
        <f aca="false">D774/D761</f>
        <v>0.0496307213692399</v>
      </c>
      <c r="E775" s="11" t="n">
        <f aca="false">E774/E761</f>
        <v>0.0486336385325961</v>
      </c>
      <c r="F775" s="11" t="n">
        <f aca="false">F774/F761</f>
        <v>0.0523838845289261</v>
      </c>
      <c r="G775" s="11" t="n">
        <f aca="false">G774/G761</f>
        <v>0.0547456933847368</v>
      </c>
    </row>
    <row r="776" customFormat="false" ht="17.15" hidden="false" customHeight="false" outlineLevel="0" collapsed="false">
      <c r="A776" s="0" t="s">
        <v>462</v>
      </c>
      <c r="B776" s="0" t="s">
        <v>52</v>
      </c>
      <c r="D776" s="11" t="n">
        <f aca="false">D773/D758</f>
        <v>0.0432307213692399</v>
      </c>
      <c r="E776" s="11" t="n">
        <f aca="false">E773/E758</f>
        <v>0.0442537935061639</v>
      </c>
      <c r="F776" s="11" t="n">
        <f aca="false">F773/F758</f>
        <v>0.0492826336773188</v>
      </c>
      <c r="G776" s="11" t="n">
        <f aca="false">G773/G758</f>
        <v>0.0522999377800118</v>
      </c>
      <c r="H776" s="4" t="s">
        <v>463</v>
      </c>
    </row>
    <row r="777" customFormat="false" ht="15" hidden="false" customHeight="false" outlineLevel="0" collapsed="false">
      <c r="A777" s="4" t="s">
        <v>464</v>
      </c>
      <c r="B777" s="0" t="s">
        <v>195</v>
      </c>
      <c r="C777" s="19" t="n">
        <f aca="false">a25_opx</f>
        <v>60.7375054</v>
      </c>
      <c r="D777" s="19" t="n">
        <f aca="false">a26_opx</f>
        <v>71.1893725</v>
      </c>
      <c r="E777" s="19" t="n">
        <f aca="false">D777*(1+MAX(0,phi*E767))</f>
        <v>83.3794423716459</v>
      </c>
      <c r="F777" s="19" t="n">
        <f aca="false">E777*(1+MAX(0,phi*F767))</f>
        <v>85.3402706461345</v>
      </c>
      <c r="G777" s="19" t="n">
        <f aca="false">F777*(1+MAX(0,phi*G767))</f>
        <v>85.8040465651438</v>
      </c>
    </row>
    <row r="778" customFormat="false" ht="15" hidden="false" customHeight="false" outlineLevel="0" collapsed="false">
      <c r="A778" s="4" t="s">
        <v>349</v>
      </c>
      <c r="B778" s="0" t="s">
        <v>195</v>
      </c>
      <c r="C778" s="19" t="n">
        <f aca="false">C777</f>
        <v>60.7375054</v>
      </c>
      <c r="D778" s="19" t="n">
        <f aca="false">D777</f>
        <v>71.1893725</v>
      </c>
      <c r="E778" s="19" t="n">
        <f aca="false">E777+opx_adj_hi*E761</f>
        <v>94.8004602988185</v>
      </c>
      <c r="F778" s="19" t="n">
        <f aca="false">F777+opx_adj_hi*F761</f>
        <v>97.4327566905686</v>
      </c>
      <c r="G778" s="19" t="n">
        <f aca="false">G777+opx_adj_hi*G761</f>
        <v>98.0608220999294</v>
      </c>
    </row>
    <row r="779" customFormat="false" ht="15" hidden="false" customHeight="false" outlineLevel="0" collapsed="false">
      <c r="A779" s="4" t="s">
        <v>352</v>
      </c>
      <c r="B779" s="0" t="s">
        <v>195</v>
      </c>
      <c r="C779" s="19" t="n">
        <f aca="false">C774-C778</f>
        <v>87.4959868</v>
      </c>
      <c r="D779" s="19" t="n">
        <f aca="false">D774-D778</f>
        <v>127.2697375</v>
      </c>
      <c r="E779" s="19" t="n">
        <f aca="false">E774-E778</f>
        <v>182.922368473387</v>
      </c>
      <c r="F779" s="19" t="n">
        <f aca="false">F774-F778</f>
        <v>219.292939619075</v>
      </c>
      <c r="G779" s="19" t="n">
        <f aca="false">G774-G778</f>
        <v>237.442015556528</v>
      </c>
    </row>
    <row r="780" customFormat="false" ht="15" hidden="false" customHeight="false" outlineLevel="0" collapsed="false">
      <c r="A780" s="4" t="s">
        <v>355</v>
      </c>
      <c r="B780" s="0" t="s">
        <v>52</v>
      </c>
      <c r="C780" s="11" t="n">
        <f aca="false">C779/C761</f>
        <v>0.0412</v>
      </c>
      <c r="D780" s="11" t="n">
        <f aca="false">D779/D761</f>
        <v>0.0318276590104571</v>
      </c>
      <c r="E780" s="11" t="n">
        <f aca="false">E779/E761</f>
        <v>0.0320325858237527</v>
      </c>
      <c r="F780" s="11" t="n">
        <f aca="false">F779/F761</f>
        <v>0.0362692896751384</v>
      </c>
      <c r="G780" s="11" t="n">
        <f aca="false">G779/G761</f>
        <v>0.0387446135213378</v>
      </c>
    </row>
    <row r="781" customFormat="false" ht="17.15" hidden="false" customHeight="false" outlineLevel="0" collapsed="false">
      <c r="A781" s="4" t="s">
        <v>229</v>
      </c>
      <c r="B781" s="0" t="s">
        <v>52</v>
      </c>
      <c r="C781" s="15" t="n">
        <f aca="false">a25_ni/a25_oi</f>
        <v>0.856953590013114</v>
      </c>
      <c r="D781" s="15" t="n">
        <f aca="false">a26_ni/a26_oi</f>
        <v>0.869913569398224</v>
      </c>
      <c r="E781" s="15" t="n">
        <f aca="false">nio_f</f>
        <v>0.865</v>
      </c>
      <c r="F781" s="15" t="n">
        <f aca="false">nio_f</f>
        <v>0.865</v>
      </c>
      <c r="G781" s="15" t="n">
        <f aca="false">nio_f</f>
        <v>0.865</v>
      </c>
    </row>
    <row r="782" customFormat="false" ht="15" hidden="false" customHeight="false" outlineLevel="0" collapsed="false">
      <c r="A782" s="4" t="s">
        <v>356</v>
      </c>
      <c r="B782" s="0" t="s">
        <v>195</v>
      </c>
      <c r="C782" s="19" t="n">
        <f aca="false">a25_ni</f>
        <v>74.98</v>
      </c>
      <c r="D782" s="19" t="n">
        <f aca="false">a26_ni</f>
        <v>110.713671625</v>
      </c>
      <c r="E782" s="19" t="n">
        <f aca="false">E779*E781</f>
        <v>158.22784872948</v>
      </c>
      <c r="F782" s="19" t="n">
        <f aca="false">F779*F781</f>
        <v>189.6883927705</v>
      </c>
      <c r="G782" s="19" t="n">
        <f aca="false">G779*G781</f>
        <v>205.387343456397</v>
      </c>
    </row>
    <row r="783" customFormat="false" ht="15" hidden="false" customHeight="false" outlineLevel="0" collapsed="false">
      <c r="A783" s="4" t="s">
        <v>465</v>
      </c>
      <c r="B783" s="4" t="s">
        <v>216</v>
      </c>
      <c r="C783" s="22" t="n">
        <f aca="false">a25_sh</f>
        <v>3.85501285347044</v>
      </c>
      <c r="D783" s="22" t="n">
        <f aca="false">a26_sh</f>
        <v>3.85460170146945</v>
      </c>
      <c r="E783" s="22" t="n">
        <f aca="false">D783*(1+sh_g)</f>
        <v>3.85460170146945</v>
      </c>
      <c r="F783" s="22" t="n">
        <f aca="false">E783*(1+sh_g)</f>
        <v>3.85460170146945</v>
      </c>
      <c r="G783" s="22" t="n">
        <f aca="false">F783*(1+sh_g)</f>
        <v>3.85460170146945</v>
      </c>
    </row>
    <row r="784" customFormat="false" ht="15" hidden="false" customHeight="false" outlineLevel="0" collapsed="false">
      <c r="A784" s="0" t="s">
        <v>362</v>
      </c>
      <c r="B784" s="0" t="s">
        <v>246</v>
      </c>
      <c r="C784" s="21" t="n">
        <f aca="false">C782/C783</f>
        <v>19.45</v>
      </c>
      <c r="D784" s="21" t="n">
        <f aca="false">D782/D783</f>
        <v>28.7224673778341</v>
      </c>
      <c r="E784" s="21" t="n">
        <f aca="false">E782/E783</f>
        <v>41.0490787333903</v>
      </c>
      <c r="F784" s="21" t="n">
        <f aca="false">F782/F783</f>
        <v>49.2108932287833</v>
      </c>
      <c r="G784" s="21" t="n">
        <f aca="false">G782/G783</f>
        <v>53.2836747771109</v>
      </c>
    </row>
    <row r="785" customFormat="false" ht="17.15" hidden="false" customHeight="false" outlineLevel="0" collapsed="false">
      <c r="A785" s="0" t="s">
        <v>466</v>
      </c>
      <c r="B785" s="0" t="s">
        <v>52</v>
      </c>
      <c r="D785" s="15" t="n">
        <f aca="false">D784/C784-1</f>
        <v>0.476733541276816</v>
      </c>
      <c r="E785" s="15" t="n">
        <f aca="false">E784/D784-1</f>
        <v>0.429162689730098</v>
      </c>
      <c r="F785" s="15" t="n">
        <f aca="false">F784/E784-1</f>
        <v>0.198830637549825</v>
      </c>
      <c r="G785" s="15" t="n">
        <f aca="false">G784/F784-1</f>
        <v>0.0827617887241572</v>
      </c>
    </row>
    <row r="788" customFormat="false" ht="17.15" hidden="false" customHeight="false" outlineLevel="0" collapsed="false">
      <c r="A788" s="1" t="s">
        <v>788</v>
      </c>
    </row>
    <row r="789" customFormat="false" ht="17.15" hidden="false" customHeight="false" outlineLevel="0" collapsed="false">
      <c r="A789" s="5" t="s">
        <v>21</v>
      </c>
      <c r="B789" s="5" t="s">
        <v>22</v>
      </c>
      <c r="C789" s="12" t="s">
        <v>335</v>
      </c>
      <c r="D789" s="12" t="s">
        <v>411</v>
      </c>
      <c r="E789" s="12" t="s">
        <v>412</v>
      </c>
      <c r="F789" s="12" t="s">
        <v>413</v>
      </c>
      <c r="G789" s="12" t="s">
        <v>414</v>
      </c>
      <c r="H789" s="5" t="s">
        <v>384</v>
      </c>
    </row>
    <row r="790" customFormat="false" ht="17.15" hidden="false" customHeight="false" outlineLevel="0" collapsed="false">
      <c r="A790" s="6" t="s">
        <v>431</v>
      </c>
    </row>
    <row r="791" customFormat="false" ht="17.15" hidden="false" customHeight="false" outlineLevel="0" collapsed="false">
      <c r="A791" s="0" t="s">
        <v>432</v>
      </c>
      <c r="B791" s="0" t="s">
        <v>32</v>
      </c>
      <c r="D791" s="21" t="n">
        <f aca="false">itc_26*1</f>
        <v>781.872916666666</v>
      </c>
      <c r="E791" s="21" t="n">
        <f aca="false">itc_27*1*1</f>
        <v>1565.35</v>
      </c>
      <c r="F791" s="21" t="n">
        <f aca="false">itc_28*um28_A*1</f>
        <v>1984.26388888889</v>
      </c>
      <c r="G791" s="21" t="n">
        <f aca="false">itc_29*um29_A*1</f>
        <v>2260.39027777778</v>
      </c>
    </row>
    <row r="792" customFormat="false" ht="17.15" hidden="false" customHeight="false" outlineLevel="0" collapsed="false">
      <c r="A792" s="4" t="s">
        <v>433</v>
      </c>
      <c r="B792" s="0" t="s">
        <v>32</v>
      </c>
      <c r="D792" s="21" t="n">
        <f aca="false">itpg_gb*(1-vr26)+itpg_vr*vr26</f>
        <v>33.41403216</v>
      </c>
      <c r="E792" s="21" t="n">
        <f aca="false">itpg_vr</f>
        <v>37.586352</v>
      </c>
      <c r="F792" s="21" t="n">
        <f aca="false">itpg_vr</f>
        <v>37.586352</v>
      </c>
      <c r="G792" s="21" t="n">
        <f aca="false">itpg_vr</f>
        <v>37.586352</v>
      </c>
    </row>
    <row r="793" customFormat="false" ht="17.15" hidden="false" customHeight="false" outlineLevel="0" collapsed="false">
      <c r="A793" s="4" t="s">
        <v>434</v>
      </c>
      <c r="B793" s="0" t="s">
        <v>386</v>
      </c>
      <c r="D793" s="18" t="n">
        <f aca="false">D791/D792</f>
        <v>23.3995380420639</v>
      </c>
      <c r="E793" s="18" t="n">
        <f aca="false">E791/E792</f>
        <v>41.6467658260637</v>
      </c>
      <c r="F793" s="18" t="n">
        <f aca="false">F791/F792</f>
        <v>52.792138191248</v>
      </c>
      <c r="G793" s="18" t="n">
        <f aca="false">G791/G792</f>
        <v>60.1385917361116</v>
      </c>
    </row>
    <row r="794" customFormat="false" ht="17.15" hidden="false" customHeight="false" outlineLevel="0" collapsed="false">
      <c r="A794" s="4" t="s">
        <v>388</v>
      </c>
      <c r="B794" s="0" t="s">
        <v>389</v>
      </c>
      <c r="D794" s="16" t="n">
        <f aca="false">(racks_gb*odm_gb*(1-vr26)+racks_vr*odm_vr*vr26)/1000</f>
        <v>27.1209</v>
      </c>
      <c r="E794" s="16" t="n">
        <f aca="false">racks_vr*odm_vr/1000</f>
        <v>27.351</v>
      </c>
      <c r="F794" s="16" t="n">
        <f aca="false">$E794*vpg_28</f>
        <v>27.351</v>
      </c>
      <c r="G794" s="16" t="n">
        <f aca="false">$E794*vpg_29</f>
        <v>27.351</v>
      </c>
      <c r="H794" s="4" t="s">
        <v>435</v>
      </c>
    </row>
    <row r="795" customFormat="false" ht="17.15" hidden="false" customHeight="false" outlineLevel="0" collapsed="false">
      <c r="A795" s="0" t="s">
        <v>436</v>
      </c>
      <c r="B795" s="0" t="s">
        <v>32</v>
      </c>
      <c r="D795" s="19" t="n">
        <f aca="false">D793*D794</f>
        <v>634.61653128501</v>
      </c>
      <c r="E795" s="19" t="n">
        <f aca="false">E793*E794</f>
        <v>1139.08069210867</v>
      </c>
      <c r="F795" s="19" t="n">
        <f aca="false">F793*F794</f>
        <v>1443.91777166882</v>
      </c>
      <c r="G795" s="19" t="n">
        <f aca="false">G793*G794</f>
        <v>1644.85062257439</v>
      </c>
    </row>
    <row r="796" customFormat="false" ht="17.15" hidden="false" customHeight="false" outlineLevel="0" collapsed="false">
      <c r="A796" s="0" t="s">
        <v>437</v>
      </c>
      <c r="B796" s="0" t="s">
        <v>195</v>
      </c>
      <c r="D796" s="19" t="n">
        <f aca="false">D795*fx</f>
        <v>20307.7290011203</v>
      </c>
      <c r="E796" s="19" t="n">
        <f aca="false">E795*fx</f>
        <v>36450.5821474774</v>
      </c>
      <c r="F796" s="19" t="n">
        <f aca="false">F795*fx</f>
        <v>46205.3686934024</v>
      </c>
      <c r="G796" s="19" t="n">
        <f aca="false">G795*fx</f>
        <v>52635.2199223804</v>
      </c>
    </row>
    <row r="797" customFormat="false" ht="17.15" hidden="false" customHeight="false" outlineLevel="0" collapsed="false">
      <c r="A797" s="4" t="s">
        <v>438</v>
      </c>
      <c r="B797" s="0" t="s">
        <v>52</v>
      </c>
      <c r="D797" s="15" t="n">
        <f aca="false">a26_ai/D796</f>
        <v>0.133896123975753</v>
      </c>
      <c r="H797" s="8" t="s">
        <v>439</v>
      </c>
    </row>
    <row r="798" customFormat="false" ht="17.15" hidden="false" customHeight="false" outlineLevel="0" collapsed="false">
      <c r="A798" s="4" t="s">
        <v>440</v>
      </c>
      <c r="B798" s="0" t="s">
        <v>72</v>
      </c>
      <c r="D798" s="16" t="n">
        <f aca="false">1</f>
        <v>1</v>
      </c>
      <c r="E798" s="16" t="n">
        <f aca="false">rel_27</f>
        <v>1</v>
      </c>
      <c r="F798" s="16" t="n">
        <f aca="false">rel_28</f>
        <v>0.95</v>
      </c>
      <c r="G798" s="16" t="n">
        <f aca="false">rel_29</f>
        <v>0.9</v>
      </c>
    </row>
    <row r="799" customFormat="false" ht="15" hidden="false" customHeight="false" outlineLevel="0" collapsed="false">
      <c r="A799" s="4" t="s">
        <v>393</v>
      </c>
      <c r="B799" s="0" t="s">
        <v>52</v>
      </c>
      <c r="D799" s="15" t="n">
        <f aca="false">$D$797*D798</f>
        <v>0.133896123975753</v>
      </c>
      <c r="E799" s="15" t="n">
        <f aca="false">$D$797*E798</f>
        <v>0.133896123975753</v>
      </c>
      <c r="F799" s="15" t="n">
        <f aca="false">$D$797*F798</f>
        <v>0.127201317776965</v>
      </c>
      <c r="G799" s="15" t="n">
        <f aca="false">$D$797*G798</f>
        <v>0.120506511578178</v>
      </c>
    </row>
    <row r="800" customFormat="false" ht="17.15" hidden="false" customHeight="false" outlineLevel="0" collapsed="false">
      <c r="A800" s="0" t="s">
        <v>441</v>
      </c>
      <c r="B800" s="0" t="s">
        <v>195</v>
      </c>
      <c r="D800" s="19" t="n">
        <f aca="false">D796*D799</f>
        <v>2719.1262</v>
      </c>
      <c r="E800" s="19" t="n">
        <f aca="false">E796*E799</f>
        <v>4880.59166620699</v>
      </c>
      <c r="F800" s="19" t="n">
        <f aca="false">F796*F799</f>
        <v>5877.38378617131</v>
      </c>
      <c r="G800" s="19" t="n">
        <f aca="false">G796*G799</f>
        <v>6342.88673899626</v>
      </c>
    </row>
    <row r="801" customFormat="false" ht="17.15" hidden="false" customHeight="false" outlineLevel="0" collapsed="false">
      <c r="A801" s="4" t="s">
        <v>397</v>
      </c>
      <c r="B801" s="0" t="s">
        <v>52</v>
      </c>
      <c r="D801" s="15" t="n">
        <f aca="false">0</f>
        <v>0</v>
      </c>
      <c r="E801" s="15" t="n">
        <f aca="false">cs_27</f>
        <v>0.1</v>
      </c>
      <c r="F801" s="15" t="n">
        <f aca="false">cs_28</f>
        <v>0.2</v>
      </c>
      <c r="G801" s="15" t="n">
        <f aca="false">cs_29</f>
        <v>0.25</v>
      </c>
      <c r="H801" s="8" t="s">
        <v>442</v>
      </c>
    </row>
    <row r="802" customFormat="false" ht="17.15" hidden="false" customHeight="false" outlineLevel="0" collapsed="false">
      <c r="A802" s="0" t="s">
        <v>443</v>
      </c>
      <c r="B802" s="0" t="s">
        <v>195</v>
      </c>
      <c r="C802" s="19" t="n">
        <f aca="false">a25_ai</f>
        <v>905.033</v>
      </c>
      <c r="D802" s="19" t="n">
        <f aca="false">D800*(1-D801)</f>
        <v>2719.1262</v>
      </c>
      <c r="E802" s="19" t="n">
        <f aca="false">E800*(1-E801)</f>
        <v>4392.53249958629</v>
      </c>
      <c r="F802" s="19" t="n">
        <f aca="false">F800*(1-F801)</f>
        <v>4701.90702893705</v>
      </c>
      <c r="G802" s="19" t="n">
        <f aca="false">G800*(1-G801)</f>
        <v>4757.16505424719</v>
      </c>
    </row>
    <row r="803" customFormat="false" ht="17.15" hidden="false" customHeight="false" outlineLevel="0" collapsed="false">
      <c r="A803" s="6" t="s">
        <v>444</v>
      </c>
    </row>
    <row r="804" customFormat="false" ht="17.15" hidden="false" customHeight="false" outlineLevel="0" collapsed="false">
      <c r="A804" s="4" t="s">
        <v>370</v>
      </c>
      <c r="B804" s="0" t="s">
        <v>195</v>
      </c>
      <c r="C804" s="19" t="n">
        <f aca="false">a25_nai</f>
        <v>1218.656</v>
      </c>
      <c r="D804" s="19" t="n">
        <f aca="false">a26_nai</f>
        <v>1279.5888</v>
      </c>
      <c r="E804" s="19" t="n">
        <f aca="false">D804*(1+g_nai27)</f>
        <v>1317.976464</v>
      </c>
      <c r="F804" s="19" t="n">
        <f aca="false">E804*(1+g_nai28)</f>
        <v>1344.33599328</v>
      </c>
      <c r="G804" s="19" t="n">
        <f aca="false">F804*(1+g_nai29)</f>
        <v>1371.2227131456</v>
      </c>
    </row>
    <row r="805" customFormat="false" ht="15" hidden="false" customHeight="false" outlineLevel="0" collapsed="false">
      <c r="A805" s="4" t="s">
        <v>341</v>
      </c>
      <c r="B805" s="0" t="s">
        <v>195</v>
      </c>
      <c r="C805" s="19" t="n">
        <f aca="false">C802+C804</f>
        <v>2123.689</v>
      </c>
      <c r="D805" s="19" t="n">
        <f aca="false">D802+D804</f>
        <v>3998.715</v>
      </c>
      <c r="E805" s="19" t="n">
        <f aca="false">E802+E804</f>
        <v>5710.50896358629</v>
      </c>
      <c r="F805" s="19" t="n">
        <f aca="false">F802+F804</f>
        <v>6046.24302221705</v>
      </c>
      <c r="G805" s="19" t="n">
        <f aca="false">G802+G804</f>
        <v>6128.38776739279</v>
      </c>
    </row>
    <row r="806" customFormat="false" ht="17.15" hidden="false" customHeight="false" outlineLevel="0" collapsed="false">
      <c r="A806" s="4" t="s">
        <v>445</v>
      </c>
      <c r="B806" s="0" t="s">
        <v>195</v>
      </c>
      <c r="C806" s="19" t="n">
        <f aca="false">srv_25*C805-C802</f>
        <v>602.78619</v>
      </c>
      <c r="D806" s="19" t="n">
        <f aca="false">srv_26*D805-D802</f>
        <v>679.78155</v>
      </c>
      <c r="E806" s="19" t="n">
        <f aca="false">D806*(1+g_gs27)</f>
        <v>747.759705</v>
      </c>
      <c r="F806" s="19" t="n">
        <f aca="false">E806*(1+g_gs28)</f>
        <v>785.14769025</v>
      </c>
      <c r="G806" s="19" t="n">
        <f aca="false">F806*(1+g_gs29)</f>
        <v>824.4050747625</v>
      </c>
      <c r="H806" s="8" t="s">
        <v>446</v>
      </c>
    </row>
    <row r="807" customFormat="false" ht="17.15" hidden="false" customHeight="false" outlineLevel="0" collapsed="false">
      <c r="A807" s="4" t="s">
        <v>447</v>
      </c>
      <c r="B807" s="0" t="s">
        <v>195</v>
      </c>
      <c r="C807" s="19" t="n">
        <f aca="false">C802+C806</f>
        <v>1507.81919</v>
      </c>
      <c r="D807" s="19" t="n">
        <f aca="false">D802+D806</f>
        <v>3398.90775</v>
      </c>
      <c r="E807" s="19" t="n">
        <f aca="false">E802+E806</f>
        <v>5140.29220458629</v>
      </c>
      <c r="F807" s="19" t="n">
        <f aca="false">F802+F806</f>
        <v>5487.05471918705</v>
      </c>
      <c r="G807" s="19" t="n">
        <f aca="false">G802+G806</f>
        <v>5581.57012900969</v>
      </c>
      <c r="H807" s="4" t="s">
        <v>448</v>
      </c>
    </row>
    <row r="808" customFormat="false" ht="15" hidden="false" customHeight="false" outlineLevel="0" collapsed="false">
      <c r="A808" s="4" t="s">
        <v>449</v>
      </c>
      <c r="B808" s="0" t="s">
        <v>195</v>
      </c>
      <c r="C808" s="19" t="n">
        <f aca="false">nbsh_25*C805</f>
        <v>467.21158</v>
      </c>
      <c r="D808" s="19" t="n">
        <f aca="false">nbsh_26*D805</f>
        <v>439.85865</v>
      </c>
      <c r="E808" s="19" t="n">
        <f aca="false">D808*(1+g_nb27)</f>
        <v>395.872785</v>
      </c>
      <c r="F808" s="19" t="n">
        <f aca="false">E808*(1+g_nb28)</f>
        <v>376.07914575</v>
      </c>
      <c r="G808" s="19" t="n">
        <f aca="false">F808*(1+g_nb29)</f>
        <v>364.7967713775</v>
      </c>
      <c r="H808" s="4" t="s">
        <v>450</v>
      </c>
    </row>
    <row r="809" customFormat="false" ht="17.15" hidden="false" customHeight="false" outlineLevel="0" collapsed="false">
      <c r="A809" s="4" t="s">
        <v>451</v>
      </c>
      <c r="B809" s="0" t="s">
        <v>195</v>
      </c>
      <c r="C809" s="19" t="n">
        <f aca="false">C804-C808-C806</f>
        <v>148.65823</v>
      </c>
      <c r="D809" s="19" t="n">
        <f aca="false">D804-D808-D806</f>
        <v>159.9486</v>
      </c>
      <c r="E809" s="19" t="n">
        <f aca="false">E804-E808-E806</f>
        <v>174.343974</v>
      </c>
      <c r="F809" s="19" t="n">
        <f aca="false">F804-F808-F806</f>
        <v>183.10915728</v>
      </c>
      <c r="G809" s="19" t="n">
        <f aca="false">G804-G808-G806</f>
        <v>182.0208670056</v>
      </c>
    </row>
    <row r="810" customFormat="false" ht="15" hidden="false" customHeight="false" outlineLevel="0" collapsed="false">
      <c r="A810" s="4" t="s">
        <v>452</v>
      </c>
      <c r="B810" s="0" t="s">
        <v>195</v>
      </c>
      <c r="C810" s="22" t="n">
        <f aca="false">C807+C808+C809-C805</f>
        <v>0</v>
      </c>
      <c r="D810" s="22" t="n">
        <f aca="false">D807+D808+D809-D805</f>
        <v>0</v>
      </c>
      <c r="E810" s="22" t="n">
        <f aca="false">E807+E808+E809-E805</f>
        <v>0</v>
      </c>
      <c r="F810" s="22" t="n">
        <f aca="false">F807+F808+F809-F805</f>
        <v>0</v>
      </c>
      <c r="G810" s="22" t="n">
        <f aca="false">G807+G808+G809-G805</f>
        <v>0</v>
      </c>
    </row>
    <row r="811" customFormat="false" ht="15" hidden="false" customHeight="false" outlineLevel="0" collapsed="false">
      <c r="A811" s="4" t="s">
        <v>453</v>
      </c>
      <c r="B811" s="0" t="s">
        <v>52</v>
      </c>
      <c r="D811" s="15" t="n">
        <f aca="false">D805/C805-1</f>
        <v>0.88290987993063</v>
      </c>
      <c r="E811" s="15" t="n">
        <f aca="false">E805/D805-1</f>
        <v>0.428086013528419</v>
      </c>
      <c r="F811" s="15" t="n">
        <f aca="false">F805/E805-1</f>
        <v>0.0587923179477705</v>
      </c>
      <c r="G811" s="15" t="n">
        <f aca="false">G805/F805-1</f>
        <v>0.0135860806245958</v>
      </c>
    </row>
    <row r="812" customFormat="false" ht="17.15" hidden="false" customHeight="false" outlineLevel="0" collapsed="false">
      <c r="A812" s="0" t="s">
        <v>454</v>
      </c>
      <c r="B812" s="0" t="s">
        <v>52</v>
      </c>
      <c r="C812" s="15" t="n">
        <f aca="false">C802/C805</f>
        <v>0.426160798497332</v>
      </c>
      <c r="D812" s="15" t="n">
        <f aca="false">D802/D805</f>
        <v>0.68</v>
      </c>
      <c r="E812" s="15" t="n">
        <f aca="false">E802/E805</f>
        <v>0.769201576881461</v>
      </c>
      <c r="F812" s="15" t="n">
        <f aca="false">F802/F805</f>
        <v>0.777657631633362</v>
      </c>
      <c r="G812" s="15" t="n">
        <f aca="false">G802/G805</f>
        <v>0.776250660827724</v>
      </c>
    </row>
    <row r="813" customFormat="false" ht="17.15" hidden="false" customHeight="false" outlineLevel="0" collapsed="false">
      <c r="A813" s="4" t="s">
        <v>403</v>
      </c>
      <c r="B813" s="0" t="s">
        <v>389</v>
      </c>
      <c r="D813" s="16" t="n">
        <f aca="false">D802/fx/D793</f>
        <v>3.631383388734</v>
      </c>
      <c r="E813" s="16" t="n">
        <f aca="false">E802/fx/E793</f>
        <v>3.29597359817473</v>
      </c>
      <c r="F813" s="16" t="n">
        <f aca="false">F802/fx/F793</f>
        <v>2.78326659401422</v>
      </c>
      <c r="G813" s="16" t="n">
        <f aca="false">G802/fx/G793</f>
        <v>2.47198019863105</v>
      </c>
    </row>
    <row r="814" customFormat="false" ht="17.15" hidden="false" customHeight="false" outlineLevel="0" collapsed="false">
      <c r="A814" s="4" t="s">
        <v>455</v>
      </c>
      <c r="B814" s="4" t="s">
        <v>401</v>
      </c>
      <c r="D814" s="19" t="n">
        <f aca="false">D800/fx/(odm_gb*(1-vr26)+odm_vr*vr26)</f>
        <v>18.4522679153094</v>
      </c>
      <c r="E814" s="19" t="n">
        <f aca="false">E800/fx/odm_vr</f>
        <v>22.5953317879953</v>
      </c>
      <c r="F814" s="19" t="n">
        <f aca="false">F800/fx/odm_vr</f>
        <v>27.2101101211635</v>
      </c>
      <c r="G814" s="19" t="n">
        <f aca="false">G800/fx/odm_vr</f>
        <v>29.3652163842419</v>
      </c>
      <c r="H814" s="4" t="s">
        <v>456</v>
      </c>
    </row>
    <row r="815" customFormat="false" ht="17.15" hidden="false" customHeight="false" outlineLevel="0" collapsed="false">
      <c r="A815" s="6" t="s">
        <v>457</v>
      </c>
    </row>
    <row r="816" customFormat="false" ht="17.15" hidden="false" customHeight="false" outlineLevel="0" collapsed="false">
      <c r="A816" s="4" t="s">
        <v>458</v>
      </c>
      <c r="B816" s="0" t="s">
        <v>52</v>
      </c>
      <c r="D816" s="11" t="n">
        <f aca="false">a26_gp/D805-d_ai*D812</f>
        <v>0.0632307213692399</v>
      </c>
      <c r="H816" s="8" t="s">
        <v>459</v>
      </c>
    </row>
    <row r="817" customFormat="false" ht="17.15" hidden="false" customHeight="false" outlineLevel="0" collapsed="false">
      <c r="A817" s="0" t="s">
        <v>460</v>
      </c>
      <c r="B817" s="0" t="s">
        <v>195</v>
      </c>
      <c r="D817" s="21" t="n">
        <f aca="false">($D$816+d_ai)*D800*(1-D801*(1-keep))</f>
        <v>117.54978712</v>
      </c>
      <c r="E817" s="21" t="n">
        <f aca="false">($D$816+d_ai+vrd)*E800*(1-E801*(1-keep))</f>
        <v>194.386226205806</v>
      </c>
      <c r="F817" s="21" t="n">
        <f aca="false">($D$816+d_ai+vrd)*F800*(1-F801*(1-keep))</f>
        <v>231.722361691915</v>
      </c>
      <c r="G817" s="21" t="n">
        <f aca="false">($D$816+d_ai+vrd)*G800*(1-G801*(1-keep))</f>
        <v>248.799436346375</v>
      </c>
      <c r="H817" s="4" t="s">
        <v>461</v>
      </c>
    </row>
    <row r="818" customFormat="false" ht="15" hidden="false" customHeight="false" outlineLevel="0" collapsed="false">
      <c r="A818" s="4" t="s">
        <v>345</v>
      </c>
      <c r="B818" s="0" t="s">
        <v>195</v>
      </c>
      <c r="C818" s="19" t="n">
        <f aca="false">a25_gp</f>
        <v>148.2334922</v>
      </c>
      <c r="D818" s="19" t="n">
        <f aca="false">a26_gp</f>
        <v>198.45911</v>
      </c>
      <c r="E818" s="19" t="n">
        <f aca="false">$D$816*E804+E817</f>
        <v>277.722828772206</v>
      </c>
      <c r="F818" s="19" t="n">
        <f aca="false">$D$816*F804+F817</f>
        <v>316.725696309643</v>
      </c>
      <c r="G818" s="19" t="n">
        <f aca="false">$D$816*G804+G817</f>
        <v>335.502837656457</v>
      </c>
    </row>
    <row r="819" customFormat="false" ht="15" hidden="false" customHeight="false" outlineLevel="0" collapsed="false">
      <c r="A819" s="4" t="s">
        <v>348</v>
      </c>
      <c r="B819" s="0" t="s">
        <v>52</v>
      </c>
      <c r="C819" s="11" t="n">
        <f aca="false">C818/C805</f>
        <v>0.0698</v>
      </c>
      <c r="D819" s="11" t="n">
        <f aca="false">D818/D805</f>
        <v>0.0496307213692399</v>
      </c>
      <c r="E819" s="11" t="n">
        <f aca="false">E818/E805</f>
        <v>0.0486336385325961</v>
      </c>
      <c r="F819" s="11" t="n">
        <f aca="false">F818/F805</f>
        <v>0.0523838845289261</v>
      </c>
      <c r="G819" s="11" t="n">
        <f aca="false">G818/G805</f>
        <v>0.0547456933847368</v>
      </c>
    </row>
    <row r="820" customFormat="false" ht="17.15" hidden="false" customHeight="false" outlineLevel="0" collapsed="false">
      <c r="A820" s="0" t="s">
        <v>462</v>
      </c>
      <c r="B820" s="0" t="s">
        <v>52</v>
      </c>
      <c r="D820" s="11" t="n">
        <f aca="false">D817/D802</f>
        <v>0.0432307213692399</v>
      </c>
      <c r="E820" s="11" t="n">
        <f aca="false">E817/E802</f>
        <v>0.0442537935061639</v>
      </c>
      <c r="F820" s="11" t="n">
        <f aca="false">F817/F802</f>
        <v>0.0492826336773188</v>
      </c>
      <c r="G820" s="11" t="n">
        <f aca="false">G817/G802</f>
        <v>0.0522999377800118</v>
      </c>
      <c r="H820" s="4" t="s">
        <v>463</v>
      </c>
    </row>
    <row r="821" customFormat="false" ht="15" hidden="false" customHeight="false" outlineLevel="0" collapsed="false">
      <c r="A821" s="4" t="s">
        <v>464</v>
      </c>
      <c r="B821" s="0" t="s">
        <v>195</v>
      </c>
      <c r="C821" s="19" t="n">
        <f aca="false">a25_opx</f>
        <v>60.7375054</v>
      </c>
      <c r="D821" s="19" t="n">
        <f aca="false">a26_opx</f>
        <v>71.1893725</v>
      </c>
      <c r="E821" s="19" t="n">
        <f aca="false">D821*(1+MAX(0,phi*E811))</f>
        <v>83.3794423716459</v>
      </c>
      <c r="F821" s="19" t="n">
        <f aca="false">E821*(1+MAX(0,phi*F811))</f>
        <v>85.3402706461345</v>
      </c>
      <c r="G821" s="19" t="n">
        <f aca="false">F821*(1+MAX(0,phi*G811))</f>
        <v>85.8040465651438</v>
      </c>
    </row>
    <row r="822" customFormat="false" ht="15" hidden="false" customHeight="false" outlineLevel="0" collapsed="false">
      <c r="A822" s="4" t="s">
        <v>349</v>
      </c>
      <c r="B822" s="0" t="s">
        <v>195</v>
      </c>
      <c r="C822" s="19" t="n">
        <f aca="false">C821</f>
        <v>60.7375054</v>
      </c>
      <c r="D822" s="19" t="n">
        <f aca="false">D821</f>
        <v>71.1893725</v>
      </c>
      <c r="E822" s="19" t="n">
        <f aca="false">E821+0*E805</f>
        <v>83.3794423716459</v>
      </c>
      <c r="F822" s="19" t="n">
        <f aca="false">F821+0*F805</f>
        <v>85.3402706461345</v>
      </c>
      <c r="G822" s="19" t="n">
        <f aca="false">G821+0*G805</f>
        <v>85.8040465651438</v>
      </c>
    </row>
    <row r="823" customFormat="false" ht="15" hidden="false" customHeight="false" outlineLevel="0" collapsed="false">
      <c r="A823" s="4" t="s">
        <v>352</v>
      </c>
      <c r="B823" s="0" t="s">
        <v>195</v>
      </c>
      <c r="C823" s="19" t="n">
        <f aca="false">C818-C822</f>
        <v>87.4959868</v>
      </c>
      <c r="D823" s="19" t="n">
        <f aca="false">D818-D822</f>
        <v>127.2697375</v>
      </c>
      <c r="E823" s="19" t="n">
        <f aca="false">E818-E822</f>
        <v>194.34338640056</v>
      </c>
      <c r="F823" s="19" t="n">
        <f aca="false">F818-F822</f>
        <v>231.385425663509</v>
      </c>
      <c r="G823" s="19" t="n">
        <f aca="false">G818-G822</f>
        <v>249.698791091314</v>
      </c>
    </row>
    <row r="824" customFormat="false" ht="15" hidden="false" customHeight="false" outlineLevel="0" collapsed="false">
      <c r="A824" s="4" t="s">
        <v>355</v>
      </c>
      <c r="B824" s="0" t="s">
        <v>52</v>
      </c>
      <c r="C824" s="11" t="n">
        <f aca="false">C823/C805</f>
        <v>0.0412</v>
      </c>
      <c r="D824" s="11" t="n">
        <f aca="false">D823/D805</f>
        <v>0.0318276590104571</v>
      </c>
      <c r="E824" s="11" t="n">
        <f aca="false">E823/E805</f>
        <v>0.0340325858237527</v>
      </c>
      <c r="F824" s="11" t="n">
        <f aca="false">F823/F805</f>
        <v>0.0382692896751384</v>
      </c>
      <c r="G824" s="11" t="n">
        <f aca="false">G823/G805</f>
        <v>0.0407446135213378</v>
      </c>
    </row>
    <row r="825" customFormat="false" ht="17.15" hidden="false" customHeight="false" outlineLevel="0" collapsed="false">
      <c r="A825" s="4" t="s">
        <v>229</v>
      </c>
      <c r="B825" s="0" t="s">
        <v>52</v>
      </c>
      <c r="C825" s="15" t="n">
        <f aca="false">a25_ni/a25_oi</f>
        <v>0.856953590013114</v>
      </c>
      <c r="D825" s="15" t="n">
        <f aca="false">a26_ni/a26_oi</f>
        <v>0.869913569398224</v>
      </c>
      <c r="E825" s="15" t="n">
        <f aca="false">nio_f_lo</f>
        <v>0.75</v>
      </c>
      <c r="F825" s="15" t="n">
        <f aca="false">nio_f_lo</f>
        <v>0.75</v>
      </c>
      <c r="G825" s="15" t="n">
        <f aca="false">nio_f_lo</f>
        <v>0.75</v>
      </c>
    </row>
    <row r="826" customFormat="false" ht="15" hidden="false" customHeight="false" outlineLevel="0" collapsed="false">
      <c r="A826" s="4" t="s">
        <v>356</v>
      </c>
      <c r="B826" s="0" t="s">
        <v>195</v>
      </c>
      <c r="C826" s="19" t="n">
        <f aca="false">a25_ni</f>
        <v>74.98</v>
      </c>
      <c r="D826" s="19" t="n">
        <f aca="false">a26_ni</f>
        <v>110.713671625</v>
      </c>
      <c r="E826" s="19" t="n">
        <f aca="false">E823*E825</f>
        <v>145.75753980042</v>
      </c>
      <c r="F826" s="19" t="n">
        <f aca="false">F823*F825</f>
        <v>173.539069247632</v>
      </c>
      <c r="G826" s="19" t="n">
        <f aca="false">G823*G825</f>
        <v>187.274093318485</v>
      </c>
    </row>
    <row r="827" customFormat="false" ht="15" hidden="false" customHeight="false" outlineLevel="0" collapsed="false">
      <c r="A827" s="4" t="s">
        <v>465</v>
      </c>
      <c r="B827" s="4" t="s">
        <v>216</v>
      </c>
      <c r="C827" s="22" t="n">
        <f aca="false">a25_sh</f>
        <v>3.85501285347044</v>
      </c>
      <c r="D827" s="22" t="n">
        <f aca="false">a26_sh</f>
        <v>3.85460170146945</v>
      </c>
      <c r="E827" s="22" t="n">
        <f aca="false">D827*(1+sh_g)</f>
        <v>3.85460170146945</v>
      </c>
      <c r="F827" s="22" t="n">
        <f aca="false">E827*(1+sh_g)</f>
        <v>3.85460170146945</v>
      </c>
      <c r="G827" s="22" t="n">
        <f aca="false">F827*(1+sh_g)</f>
        <v>3.85460170146945</v>
      </c>
    </row>
    <row r="828" customFormat="false" ht="15" hidden="false" customHeight="false" outlineLevel="0" collapsed="false">
      <c r="A828" s="0" t="s">
        <v>362</v>
      </c>
      <c r="B828" s="0" t="s">
        <v>246</v>
      </c>
      <c r="C828" s="21" t="n">
        <f aca="false">C826/C827</f>
        <v>19.45</v>
      </c>
      <c r="D828" s="21" t="n">
        <f aca="false">D826/D827</f>
        <v>28.7224673778341</v>
      </c>
      <c r="E828" s="21" t="n">
        <f aca="false">E826/E827</f>
        <v>37.8139042861041</v>
      </c>
      <c r="F828" s="21" t="n">
        <f aca="false">F826/F827</f>
        <v>45.0212713758402</v>
      </c>
      <c r="G828" s="21" t="n">
        <f aca="false">G826/G827</f>
        <v>48.5845510956664</v>
      </c>
    </row>
    <row r="829" customFormat="false" ht="17.15" hidden="false" customHeight="false" outlineLevel="0" collapsed="false">
      <c r="A829" s="0" t="s">
        <v>466</v>
      </c>
      <c r="B829" s="0" t="s">
        <v>52</v>
      </c>
      <c r="D829" s="15" t="n">
        <f aca="false">D828/C828-1</f>
        <v>0.476733541276816</v>
      </c>
      <c r="E829" s="15" t="n">
        <f aca="false">E828/D828-1</f>
        <v>0.31652701659211</v>
      </c>
      <c r="F829" s="15" t="n">
        <f aca="false">F828/E828-1</f>
        <v>0.190600976699058</v>
      </c>
      <c r="G829" s="15" t="n">
        <f aca="false">G828/F828-1</f>
        <v>0.0791465814032588</v>
      </c>
    </row>
    <row r="832" customFormat="false" ht="17.15" hidden="false" customHeight="false" outlineLevel="0" collapsed="false">
      <c r="A832" s="1" t="s">
        <v>789</v>
      </c>
    </row>
    <row r="833" customFormat="false" ht="17.15" hidden="false" customHeight="false" outlineLevel="0" collapsed="false">
      <c r="A833" s="5" t="s">
        <v>719</v>
      </c>
      <c r="B833" s="5" t="s">
        <v>720</v>
      </c>
      <c r="C833" s="12" t="s">
        <v>790</v>
      </c>
      <c r="D833" s="12" t="s">
        <v>791</v>
      </c>
      <c r="E833" s="5" t="s">
        <v>792</v>
      </c>
      <c r="F833" s="5" t="s">
        <v>793</v>
      </c>
    </row>
    <row r="834" customFormat="false" ht="17.15" hidden="false" customHeight="false" outlineLevel="0" collapsed="false">
      <c r="A834" s="4" t="s">
        <v>24</v>
      </c>
      <c r="B834" s="0" t="s">
        <v>794</v>
      </c>
      <c r="C834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834" s="27" t="n">
        <f aca="false">Val!B116</f>
        <v>488.861971301704</v>
      </c>
      <c r="E834" s="27" t="n">
        <f aca="false">tp_w_dcf*C834+(1-tp_w_dcf)*D834</f>
        <v>566.562292345013</v>
      </c>
      <c r="F834" s="15" t="n">
        <f aca="false">E834/E$834-1</f>
        <v>0</v>
      </c>
    </row>
    <row r="835" customFormat="false" ht="17.15" hidden="false" customHeight="false" outlineLevel="0" collapsed="false">
      <c r="A835" s="4" t="s">
        <v>795</v>
      </c>
      <c r="B835" s="0" t="s">
        <v>796</v>
      </c>
      <c r="C835" s="2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558.131155474737</v>
      </c>
      <c r="D835" s="27" t="n">
        <f aca="false">Val!B116</f>
        <v>488.861971301704</v>
      </c>
      <c r="E835" s="27" t="n">
        <f aca="false">tp_w_dcf*C835+(1-tp_w_dcf)*D835</f>
        <v>523.496563388221</v>
      </c>
      <c r="F835" s="15" t="n">
        <f aca="false">E835/E$834-1</f>
        <v>-0.0760123459302987</v>
      </c>
    </row>
    <row r="836" customFormat="false" ht="17.15" hidden="false" customHeight="false" outlineLevel="0" collapsed="false">
      <c r="A836" s="4" t="s">
        <v>797</v>
      </c>
      <c r="B836" s="0" t="s">
        <v>798</v>
      </c>
      <c r="C836" s="2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764.806855288278</v>
      </c>
      <c r="D836" s="27" t="n">
        <f aca="false">Val!B116</f>
        <v>488.861971301704</v>
      </c>
      <c r="E836" s="27" t="n">
        <f aca="false">tp_w_dcf*C836+(1-tp_w_dcf)*D836</f>
        <v>626.834413294991</v>
      </c>
      <c r="F836" s="15" t="n">
        <f aca="false">E836/E$834-1</f>
        <v>0.106382160910341</v>
      </c>
    </row>
    <row r="837" customFormat="false" ht="17.15" hidden="false" customHeight="false" outlineLevel="0" collapsed="false">
      <c r="A837" s="4" t="s">
        <v>799</v>
      </c>
      <c r="B837" s="0" t="s">
        <v>800</v>
      </c>
      <c r="C837" s="2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708.513468912035</v>
      </c>
      <c r="D837" s="27" t="n">
        <f aca="false">Val!B116</f>
        <v>488.861971301704</v>
      </c>
      <c r="E837" s="27" t="n">
        <f aca="false">tp_w_dcf*C837+(1-tp_w_dcf)*D837</f>
        <v>598.687720106869</v>
      </c>
      <c r="F837" s="15" t="n">
        <f aca="false">E837/E$834-1</f>
        <v>0.056702375353801</v>
      </c>
    </row>
    <row r="838" customFormat="false" ht="17.15" hidden="false" customHeight="false" outlineLevel="0" collapsed="false">
      <c r="A838" s="4" t="s">
        <v>801</v>
      </c>
      <c r="B838" s="0" t="s">
        <v>802</v>
      </c>
      <c r="C838" s="2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600.381785409184</v>
      </c>
      <c r="D838" s="27" t="n">
        <f aca="false">Val!B116</f>
        <v>488.861971301704</v>
      </c>
      <c r="E838" s="27" t="n">
        <f aca="false">tp_w_dcf*C838+(1-tp_w_dcf)*D838</f>
        <v>544.621878355444</v>
      </c>
      <c r="F838" s="15" t="n">
        <f aca="false">E838/E$834-1</f>
        <v>-0.0387255104796271</v>
      </c>
    </row>
    <row r="839" customFormat="false" ht="17.15" hidden="false" customHeight="false" outlineLevel="0" collapsed="false">
      <c r="A839" s="0" t="s">
        <v>803</v>
      </c>
      <c r="B839" s="0" t="s">
        <v>804</v>
      </c>
      <c r="C839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839" s="27" t="n">
        <f aca="false">Val!B116</f>
        <v>488.861971301704</v>
      </c>
      <c r="E839" s="27" t="n">
        <f aca="false">0.4*C839+(1-0.4)*D839</f>
        <v>551.022228136351</v>
      </c>
      <c r="F839" s="15" t="n">
        <f aca="false">E839/E$834-1</f>
        <v>-0.0274286948118997</v>
      </c>
    </row>
    <row r="840" customFormat="false" ht="17.15" hidden="false" customHeight="false" outlineLevel="0" collapsed="false">
      <c r="A840" s="0" t="s">
        <v>805</v>
      </c>
      <c r="B840" s="0" t="s">
        <v>806</v>
      </c>
      <c r="C840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840" s="27" t="n">
        <f aca="false">Val!B116</f>
        <v>488.861971301704</v>
      </c>
      <c r="E840" s="27" t="n">
        <f aca="false">0.8*C840+(1-0.8)*D840</f>
        <v>613.182484970998</v>
      </c>
      <c r="F840" s="15" t="n">
        <f aca="false">E840/E$834-1</f>
        <v>0.0822860844356994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807</v>
      </c>
    </row>
    <row r="2" customFormat="false" ht="17.15" hidden="false" customHeight="false" outlineLevel="0" collapsed="false">
      <c r="A2" s="4" t="s">
        <v>808</v>
      </c>
      <c r="B2" s="0" t="s">
        <v>809</v>
      </c>
    </row>
    <row r="3" customFormat="false" ht="17.15" hidden="false" customHeight="false" outlineLevel="0" collapsed="false">
      <c r="A3" s="4" t="s">
        <v>810</v>
      </c>
      <c r="B3" s="0" t="s">
        <v>811</v>
      </c>
    </row>
    <row r="4" customFormat="false" ht="17.15" hidden="false" customHeight="false" outlineLevel="0" collapsed="false">
      <c r="A4" s="4" t="s">
        <v>812</v>
      </c>
      <c r="B4" s="0" t="s">
        <v>813</v>
      </c>
    </row>
    <row r="5" customFormat="false" ht="17.15" hidden="false" customHeight="false" outlineLevel="0" collapsed="false">
      <c r="A5" s="4" t="s">
        <v>814</v>
      </c>
      <c r="B5" s="0" t="s">
        <v>815</v>
      </c>
    </row>
    <row r="6" customFormat="false" ht="17.15" hidden="false" customHeight="false" outlineLevel="0" collapsed="false">
      <c r="A6" s="4" t="s">
        <v>816</v>
      </c>
      <c r="B6" s="0" t="s">
        <v>817</v>
      </c>
    </row>
    <row r="7" customFormat="false" ht="17.15" hidden="false" customHeight="false" outlineLevel="0" collapsed="false">
      <c r="A7" s="4" t="s">
        <v>818</v>
      </c>
      <c r="B7" s="0" t="s">
        <v>242</v>
      </c>
    </row>
    <row r="8" customFormat="false" ht="17.15" hidden="false" customHeight="false" outlineLevel="0" collapsed="false">
      <c r="A8" s="4" t="s">
        <v>819</v>
      </c>
      <c r="B8" s="0" t="s">
        <v>820</v>
      </c>
    </row>
    <row r="9" customFormat="false" ht="17.15" hidden="false" customHeight="false" outlineLevel="0" collapsed="false">
      <c r="A9" s="4" t="s">
        <v>821</v>
      </c>
      <c r="B9" s="0" t="s">
        <v>822</v>
      </c>
    </row>
    <row r="10" customFormat="false" ht="17.15" hidden="false" customHeight="false" outlineLevel="0" collapsed="false">
      <c r="A10" s="4" t="s">
        <v>823</v>
      </c>
      <c r="B10" s="0" t="s">
        <v>824</v>
      </c>
    </row>
    <row r="11" customFormat="false" ht="17.15" hidden="false" customHeight="false" outlineLevel="0" collapsed="false">
      <c r="A11" s="4" t="s">
        <v>825</v>
      </c>
      <c r="B11" s="0" t="s">
        <v>826</v>
      </c>
    </row>
    <row r="12" customFormat="false" ht="17.15" hidden="false" customHeight="false" outlineLevel="0" collapsed="false">
      <c r="A12" s="4" t="s">
        <v>827</v>
      </c>
      <c r="B12" s="0" t="s">
        <v>828</v>
      </c>
    </row>
    <row r="13" customFormat="false" ht="17.15" hidden="false" customHeight="false" outlineLevel="0" collapsed="false">
      <c r="A13" s="4" t="s">
        <v>829</v>
      </c>
      <c r="B13" s="0" t="s">
        <v>830</v>
      </c>
    </row>
    <row r="14" customFormat="false" ht="17.15" hidden="false" customHeight="false" outlineLevel="0" collapsed="false">
      <c r="A14" s="4" t="s">
        <v>831</v>
      </c>
    </row>
    <row r="15" customFormat="false" ht="17.15" hidden="false" customHeight="false" outlineLevel="0" collapsed="false">
      <c r="A15" s="4" t="s">
        <v>832</v>
      </c>
      <c r="B15" s="4" t="s">
        <v>833</v>
      </c>
    </row>
    <row r="16" customFormat="false" ht="15" hidden="false" customHeight="false" outlineLevel="0" collapsed="false">
      <c r="A16" s="0" t="s">
        <v>834</v>
      </c>
      <c r="B16" s="4" t="s">
        <v>835</v>
      </c>
    </row>
    <row r="17" customFormat="false" ht="17.15" hidden="false" customHeight="false" outlineLevel="0" collapsed="false">
      <c r="A17" s="0" t="s">
        <v>836</v>
      </c>
      <c r="B17" s="0" t="s">
        <v>837</v>
      </c>
    </row>
    <row r="18" customFormat="false" ht="17.15" hidden="false" customHeight="false" outlineLevel="0" collapsed="false">
      <c r="A18" s="0" t="s">
        <v>838</v>
      </c>
      <c r="B18" s="4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2026-10-28T07:45:18Z</dcterms:created>
  <dc:creator>openpyxl</dc:creator>
  <dc:description/>
  <dc:language>en-US</dc:language>
  <cp:lastModifiedBy/>
  <dcterms:modified xsi:type="dcterms:W3CDTF">2026-10-28T07:45:19Z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