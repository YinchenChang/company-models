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RC_ZP 全部列" sheetId="1" state="visible" r:id="rId1"/>
    <sheet xmlns:r="http://schemas.openxmlformats.org/officeDocument/2006/relationships" name="關鍵財報" sheetId="2" state="visible" r:id="rId2"/>
    <sheet xmlns:r="http://schemas.openxmlformats.org/officeDocument/2006/relationships" name="找不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6" customWidth="1" min="3" max="3"/>
    <col width="26" customWidth="1" min="4" max="4"/>
    <col width="34" customWidth="1" min="5" max="5"/>
    <col width="10" customWidth="1" min="6" max="6"/>
    <col width="10" customWidth="1" min="7" max="7"/>
    <col width="8" customWidth="1" min="8" max="8"/>
    <col width="8" customWidth="1" min="9" max="9"/>
    <col width="10" customWidth="1" min="10" max="10"/>
    <col width="14" customWidth="1" min="11" max="11"/>
    <col width="24" customWidth="1" min="12" max="12"/>
    <col width="14" customWidth="1" min="13" max="13"/>
    <col width="34" customWidth="1" min="14" max="14"/>
    <col width="40" customWidth="1" min="15" max="15"/>
    <col width="11" customWidth="1" min="16" max="16"/>
    <col width="50" customWidth="1" min="17" max="17"/>
  </cols>
  <sheetData>
    <row r="1">
      <c r="A1" s="1" t="inlineStr">
        <is>
          <t>id</t>
        </is>
      </c>
      <c r="B1" s="1" t="inlineStr">
        <is>
          <t>team</t>
        </is>
      </c>
      <c r="C1" s="1" t="inlineStr">
        <is>
          <t>group</t>
        </is>
      </c>
      <c r="D1" s="1" t="inlineStr">
        <is>
          <t>key</t>
        </is>
      </c>
      <c r="E1" s="1" t="inlineStr">
        <is>
          <t>metric</t>
        </is>
      </c>
      <c r="F1" s="1" t="inlineStr">
        <is>
          <t>period</t>
        </is>
      </c>
      <c r="G1" s="1" t="inlineStr">
        <is>
          <t>value</t>
        </is>
      </c>
      <c r="H1" s="1" t="inlineStr">
        <is>
          <t>lo</t>
        </is>
      </c>
      <c r="I1" s="1" t="inlineStr">
        <is>
          <t>hi</t>
        </is>
      </c>
      <c r="J1" s="1" t="inlineStr">
        <is>
          <t>unit</t>
        </is>
      </c>
      <c r="K1" s="1" t="inlineStr">
        <is>
          <t>tag</t>
        </is>
      </c>
      <c r="L1" s="1" t="inlineStr">
        <is>
          <t>party</t>
        </is>
      </c>
      <c r="M1" s="1" t="inlineStr">
        <is>
          <t>basis</t>
        </is>
      </c>
      <c r="N1" s="1" t="inlineStr">
        <is>
          <t>source</t>
        </is>
      </c>
      <c r="O1" s="1" t="inlineStr">
        <is>
          <t>url</t>
        </is>
      </c>
      <c r="P1" s="1" t="inlineStr">
        <is>
          <t>doc_date</t>
        </is>
      </c>
      <c r="Q1" s="1" t="inlineStr">
        <is>
          <t>note</t>
        </is>
      </c>
    </row>
    <row r="2">
      <c r="A2" t="inlineStr">
        <is>
          <t>SRC_ZP_001</t>
        </is>
      </c>
      <c r="B2" t="inlineStr">
        <is>
          <t>Z1-F</t>
        </is>
      </c>
      <c r="C2" t="inlineStr">
        <is>
          <t>A</t>
        </is>
      </c>
      <c r="D2" t="inlineStr">
        <is>
          <t>rev_total_fy22</t>
        </is>
      </c>
      <c r="E2" t="inlineStr">
        <is>
          <t>營收總額</t>
        </is>
      </c>
      <c r="F2" t="inlineStr">
        <is>
          <t>FY2022</t>
        </is>
      </c>
      <c r="G2" t="n">
        <v>0.5741000000000001</v>
      </c>
      <c r="J2" t="inlineStr">
        <is>
          <t>RMB 億</t>
        </is>
      </c>
      <c r="K2" t="inlineStr">
        <is>
          <t>Verified</t>
        </is>
      </c>
      <c r="M2" t="inlineStr">
        <is>
          <t>經審計（會計師報告，招股章程概要轉載）</t>
        </is>
      </c>
      <c r="N2" t="inlineStr">
        <is>
          <t>智譜招股章程（概要節）</t>
        </is>
      </c>
      <c r="O2" t="inlineStr">
        <is>
          <t>https://www1.hkexnews.hk/listedco/listconews/sehk/2025/1230/2025123000018_c.pdf</t>
        </is>
      </c>
      <c r="P2" t="inlineStr">
        <is>
          <t>2025-12-30</t>
        </is>
      </c>
      <c r="Q2" t="inlineStr">
        <is>
          <t>原文「收入 57,409 100.0」；千元值 57,409；RMB 千元÷100,000 換算成億</t>
        </is>
      </c>
    </row>
    <row r="3">
      <c r="A3" t="inlineStr">
        <is>
          <t>SRC_ZP_002</t>
        </is>
      </c>
      <c r="B3" t="inlineStr">
        <is>
          <t>Z1-F</t>
        </is>
      </c>
      <c r="C3" t="inlineStr">
        <is>
          <t>A</t>
        </is>
      </c>
      <c r="D3" t="inlineStr">
        <is>
          <t>rev_total_fy23</t>
        </is>
      </c>
      <c r="E3" t="inlineStr">
        <is>
          <t>營收總額</t>
        </is>
      </c>
      <c r="F3" t="inlineStr">
        <is>
          <t>FY2023</t>
        </is>
      </c>
      <c r="G3" t="n">
        <v>1.2454</v>
      </c>
      <c r="J3" t="inlineStr">
        <is>
          <t>RMB 億</t>
        </is>
      </c>
      <c r="K3" t="inlineStr">
        <is>
          <t>Verified</t>
        </is>
      </c>
      <c r="M3" t="inlineStr">
        <is>
          <t>經審計（會計師報告，招股章程概要轉載）</t>
        </is>
      </c>
      <c r="N3" t="inlineStr">
        <is>
          <t>智譜招股章程（概要節）</t>
        </is>
      </c>
      <c r="O3" t="inlineStr">
        <is>
          <t>https://www1.hkexnews.hk/listedco/listconews/sehk/2025/1230/2025123000018_c.pdf</t>
        </is>
      </c>
      <c r="P3" t="inlineStr">
        <is>
          <t>2025-12-30</t>
        </is>
      </c>
      <c r="Q3" t="inlineStr">
        <is>
          <t>原文「收入 57,409 100.0」；千元值 124,538；RMB 千元÷100,000 換算成億</t>
        </is>
      </c>
    </row>
    <row r="4">
      <c r="A4" t="inlineStr">
        <is>
          <t>SRC_ZP_003</t>
        </is>
      </c>
      <c r="B4" t="inlineStr">
        <is>
          <t>Z1-F</t>
        </is>
      </c>
      <c r="C4" t="inlineStr">
        <is>
          <t>A</t>
        </is>
      </c>
      <c r="D4" t="inlineStr">
        <is>
          <t>rev_total_fy24</t>
        </is>
      </c>
      <c r="E4" t="inlineStr">
        <is>
          <t>營收總額</t>
        </is>
      </c>
      <c r="F4" t="inlineStr">
        <is>
          <t>FY2024</t>
        </is>
      </c>
      <c r="G4" t="n">
        <v>3.1241</v>
      </c>
      <c r="J4" t="inlineStr">
        <is>
          <t>RMB 億</t>
        </is>
      </c>
      <c r="K4" t="inlineStr">
        <is>
          <t>Verified</t>
        </is>
      </c>
      <c r="M4" t="inlineStr">
        <is>
          <t>經審計（會計師報告，招股章程概要轉載）</t>
        </is>
      </c>
      <c r="N4" t="inlineStr">
        <is>
          <t>智譜招股章程（概要節）</t>
        </is>
      </c>
      <c r="O4" t="inlineStr">
        <is>
          <t>https://www1.hkexnews.hk/listedco/listconews/sehk/2025/1230/2025123000018_c.pdf</t>
        </is>
      </c>
      <c r="P4" t="inlineStr">
        <is>
          <t>2025-12-30</t>
        </is>
      </c>
      <c r="Q4" t="inlineStr">
        <is>
          <t>原文「收入 57,409 100.0」；千元值 312,414；RMB 千元÷100,000 換算成億</t>
        </is>
      </c>
    </row>
    <row r="5">
      <c r="A5" t="inlineStr">
        <is>
          <t>SRC_ZP_004</t>
        </is>
      </c>
      <c r="B5" t="inlineStr">
        <is>
          <t>Z1-F</t>
        </is>
      </c>
      <c r="C5" t="inlineStr">
        <is>
          <t>A</t>
        </is>
      </c>
      <c r="D5" t="inlineStr">
        <is>
          <t>rev_total_1h24</t>
        </is>
      </c>
      <c r="E5" t="inlineStr">
        <is>
          <t>營收總額</t>
        </is>
      </c>
      <c r="F5" t="inlineStr">
        <is>
          <t>1H2024</t>
        </is>
      </c>
      <c r="G5" t="n">
        <v>0.4491</v>
      </c>
      <c r="J5" t="inlineStr">
        <is>
          <t>RMB 億</t>
        </is>
      </c>
      <c r="K5" t="inlineStr">
        <is>
          <t>Verified</t>
        </is>
      </c>
      <c r="M5" t="inlineStr">
        <is>
          <t>會計師報告（1H2024 比較期通常為未經審計已審閱；招股章程概要轉載）</t>
        </is>
      </c>
      <c r="N5" t="inlineStr">
        <is>
          <t>智譜招股章程（概要節）</t>
        </is>
      </c>
      <c r="O5" t="inlineStr">
        <is>
          <t>https://www1.hkexnews.hk/listedco/listconews/sehk/2025/1230/2025123000018_c.pdf</t>
        </is>
      </c>
      <c r="P5" t="inlineStr">
        <is>
          <t>2025-12-30</t>
        </is>
      </c>
      <c r="Q5" t="inlineStr">
        <is>
          <t>原文「收入 57,409 100.0」；千元值 44,909；RMB 千元÷100,000 換算成億</t>
        </is>
      </c>
    </row>
    <row r="6">
      <c r="A6" t="inlineStr">
        <is>
          <t>SRC_ZP_005</t>
        </is>
      </c>
      <c r="B6" t="inlineStr">
        <is>
          <t>Z1-F</t>
        </is>
      </c>
      <c r="C6" t="inlineStr">
        <is>
          <t>A</t>
        </is>
      </c>
      <c r="D6" t="inlineStr">
        <is>
          <t>rev_total_1h25</t>
        </is>
      </c>
      <c r="E6" t="inlineStr">
        <is>
          <t>營收總額</t>
        </is>
      </c>
      <c r="F6" t="inlineStr">
        <is>
          <t>1H2025</t>
        </is>
      </c>
      <c r="G6" t="n">
        <v>1.9088</v>
      </c>
      <c r="J6" t="inlineStr">
        <is>
          <t>RMB 億</t>
        </is>
      </c>
      <c r="K6" t="inlineStr">
        <is>
          <t>Verified</t>
        </is>
      </c>
      <c r="M6" t="inlineStr">
        <is>
          <t>經審計（會計師報告，招股章程概要轉載）</t>
        </is>
      </c>
      <c r="N6" t="inlineStr">
        <is>
          <t>智譜招股章程（概要節）</t>
        </is>
      </c>
      <c r="O6" t="inlineStr">
        <is>
          <t>https://www1.hkexnews.hk/listedco/listconews/sehk/2025/1230/2025123000018_c.pdf</t>
        </is>
      </c>
      <c r="P6" t="inlineStr">
        <is>
          <t>2025-12-30</t>
        </is>
      </c>
      <c r="Q6" t="inlineStr">
        <is>
          <t>原文「收入 57,409 100.0」；千元值 190,877；RMB 千元÷100,000 換算成億</t>
        </is>
      </c>
    </row>
    <row r="7">
      <c r="A7" t="inlineStr">
        <is>
          <t>SRC_ZP_006</t>
        </is>
      </c>
      <c r="B7" t="inlineStr">
        <is>
          <t>Z1-F</t>
        </is>
      </c>
      <c r="C7" t="inlineStr">
        <is>
          <t>A</t>
        </is>
      </c>
      <c r="D7" t="inlineStr">
        <is>
          <t>rev_onprem_fy22</t>
        </is>
      </c>
      <c r="E7" t="inlineStr">
        <is>
          <t>本地化部署收入（舊分部）</t>
        </is>
      </c>
      <c r="F7" t="inlineStr">
        <is>
          <t>FY2022</t>
        </is>
      </c>
      <c r="G7" t="n">
        <v>0.5482</v>
      </c>
      <c r="J7" t="inlineStr">
        <is>
          <t>RMB 億</t>
        </is>
      </c>
      <c r="K7" t="inlineStr">
        <is>
          <t>Verified</t>
        </is>
      </c>
      <c r="M7" t="inlineStr">
        <is>
          <t>經審計（會計師報告，招股章程概要轉載）</t>
        </is>
      </c>
      <c r="N7" t="inlineStr">
        <is>
          <t>智譜招股章程（概要節）</t>
        </is>
      </c>
      <c r="O7" t="inlineStr">
        <is>
          <t>https://www1.hkexnews.hk/listedco/listconews/sehk/2025/1230/2025123000018_c.pdf</t>
        </is>
      </c>
      <c r="P7" t="inlineStr">
        <is>
          <t>2025-12-30</t>
        </is>
      </c>
      <c r="Q7" t="inlineStr">
        <is>
          <t>原文「本地化部署 54,815 95.5%」；千元值 54,815；RMB 千元÷100,000 換算成億；占比 95.5/90.4/84.5/59.7/84.8%</t>
        </is>
      </c>
    </row>
    <row r="8">
      <c r="A8" t="inlineStr">
        <is>
          <t>SRC_ZP_007</t>
        </is>
      </c>
      <c r="B8" t="inlineStr">
        <is>
          <t>Z1-F</t>
        </is>
      </c>
      <c r="C8" t="inlineStr">
        <is>
          <t>A</t>
        </is>
      </c>
      <c r="D8" t="inlineStr">
        <is>
          <t>rev_onprem_fy23</t>
        </is>
      </c>
      <c r="E8" t="inlineStr">
        <is>
          <t>本地化部署收入（舊分部）</t>
        </is>
      </c>
      <c r="F8" t="inlineStr">
        <is>
          <t>FY2023</t>
        </is>
      </c>
      <c r="G8" t="n">
        <v>1.1261</v>
      </c>
      <c r="J8" t="inlineStr">
        <is>
          <t>RMB 億</t>
        </is>
      </c>
      <c r="K8" t="inlineStr">
        <is>
          <t>Verified</t>
        </is>
      </c>
      <c r="M8" t="inlineStr">
        <is>
          <t>經審計（會計師報告，招股章程概要轉載）</t>
        </is>
      </c>
      <c r="N8" t="inlineStr">
        <is>
          <t>智譜招股章程（概要節）</t>
        </is>
      </c>
      <c r="O8" t="inlineStr">
        <is>
          <t>https://www1.hkexnews.hk/listedco/listconews/sehk/2025/1230/2025123000018_c.pdf</t>
        </is>
      </c>
      <c r="P8" t="inlineStr">
        <is>
          <t>2025-12-30</t>
        </is>
      </c>
      <c r="Q8" t="inlineStr">
        <is>
          <t>原文「本地化部署 54,815 95.5%」；千元值 112,614；RMB 千元÷100,000 換算成億；占比 95.5/90.4/84.5/59.7/84.8%</t>
        </is>
      </c>
    </row>
    <row r="9">
      <c r="A9" t="inlineStr">
        <is>
          <t>SRC_ZP_008</t>
        </is>
      </c>
      <c r="B9" t="inlineStr">
        <is>
          <t>Z1-F</t>
        </is>
      </c>
      <c r="C9" t="inlineStr">
        <is>
          <t>A</t>
        </is>
      </c>
      <c r="D9" t="inlineStr">
        <is>
          <t>rev_onprem_fy24</t>
        </is>
      </c>
      <c r="E9" t="inlineStr">
        <is>
          <t>本地化部署收入（舊分部）</t>
        </is>
      </c>
      <c r="F9" t="inlineStr">
        <is>
          <t>FY2024</t>
        </is>
      </c>
      <c r="G9" t="n">
        <v>2.6393</v>
      </c>
      <c r="J9" t="inlineStr">
        <is>
          <t>RMB 億</t>
        </is>
      </c>
      <c r="K9" t="inlineStr">
        <is>
          <t>Verified</t>
        </is>
      </c>
      <c r="M9" t="inlineStr">
        <is>
          <t>經審計（會計師報告，招股章程概要轉載）</t>
        </is>
      </c>
      <c r="N9" t="inlineStr">
        <is>
          <t>智譜招股章程（概要節）</t>
        </is>
      </c>
      <c r="O9" t="inlineStr">
        <is>
          <t>https://www1.hkexnews.hk/listedco/listconews/sehk/2025/1230/2025123000018_c.pdf</t>
        </is>
      </c>
      <c r="P9" t="inlineStr">
        <is>
          <t>2025-12-30</t>
        </is>
      </c>
      <c r="Q9" t="inlineStr">
        <is>
          <t>原文「本地化部署 54,815 95.5%」；千元值 263,930；RMB 千元÷100,000 換算成億；占比 95.5/90.4/84.5/59.7/84.8%</t>
        </is>
      </c>
    </row>
    <row r="10">
      <c r="A10" t="inlineStr">
        <is>
          <t>SRC_ZP_009</t>
        </is>
      </c>
      <c r="B10" t="inlineStr">
        <is>
          <t>Z1-F</t>
        </is>
      </c>
      <c r="C10" t="inlineStr">
        <is>
          <t>A</t>
        </is>
      </c>
      <c r="D10" t="inlineStr">
        <is>
          <t>rev_onprem_1h24</t>
        </is>
      </c>
      <c r="E10" t="inlineStr">
        <is>
          <t>本地化部署收入（舊分部）</t>
        </is>
      </c>
      <c r="F10" t="inlineStr">
        <is>
          <t>1H2024</t>
        </is>
      </c>
      <c r="G10" t="n">
        <v>0.2681</v>
      </c>
      <c r="J10" t="inlineStr">
        <is>
          <t>RMB 億</t>
        </is>
      </c>
      <c r="K10" t="inlineStr">
        <is>
          <t>Verified</t>
        </is>
      </c>
      <c r="M10" t="inlineStr">
        <is>
          <t>會計師報告（1H2024 比較期通常為未經審計已審閱；招股章程概要轉載）</t>
        </is>
      </c>
      <c r="N10" t="inlineStr">
        <is>
          <t>智譜招股章程（概要節）</t>
        </is>
      </c>
      <c r="O10" t="inlineStr">
        <is>
          <t>https://www1.hkexnews.hk/listedco/listconews/sehk/2025/1230/2025123000018_c.pdf</t>
        </is>
      </c>
      <c r="P10" t="inlineStr">
        <is>
          <t>2025-12-30</t>
        </is>
      </c>
      <c r="Q10" t="inlineStr">
        <is>
          <t>原文「本地化部署 54,815 95.5%」；千元值 26,806；RMB 千元÷100,000 換算成億；占比 95.5/90.4/84.5/59.7/84.8%</t>
        </is>
      </c>
    </row>
    <row r="11">
      <c r="A11" t="inlineStr">
        <is>
          <t>SRC_ZP_010</t>
        </is>
      </c>
      <c r="B11" t="inlineStr">
        <is>
          <t>Z1-F</t>
        </is>
      </c>
      <c r="C11" t="inlineStr">
        <is>
          <t>A</t>
        </is>
      </c>
      <c r="D11" t="inlineStr">
        <is>
          <t>rev_onprem_1h25</t>
        </is>
      </c>
      <c r="E11" t="inlineStr">
        <is>
          <t>本地化部署收入（舊分部）</t>
        </is>
      </c>
      <c r="F11" t="inlineStr">
        <is>
          <t>1H2025</t>
        </is>
      </c>
      <c r="G11" t="n">
        <v>1.6178</v>
      </c>
      <c r="J11" t="inlineStr">
        <is>
          <t>RMB 億</t>
        </is>
      </c>
      <c r="K11" t="inlineStr">
        <is>
          <t>Verified</t>
        </is>
      </c>
      <c r="M11" t="inlineStr">
        <is>
          <t>經審計（會計師報告，招股章程概要轉載）</t>
        </is>
      </c>
      <c r="N11" t="inlineStr">
        <is>
          <t>智譜招股章程（概要節）</t>
        </is>
      </c>
      <c r="O11" t="inlineStr">
        <is>
          <t>https://www1.hkexnews.hk/listedco/listconews/sehk/2025/1230/2025123000018_c.pdf</t>
        </is>
      </c>
      <c r="P11" t="inlineStr">
        <is>
          <t>2025-12-30</t>
        </is>
      </c>
      <c r="Q11" t="inlineStr">
        <is>
          <t>原文「本地化部署 54,815 95.5%」；千元值 161,777；RMB 千元÷100,000 換算成億；占比 95.5/90.4/84.5/59.7/84.8%</t>
        </is>
      </c>
    </row>
    <row r="12">
      <c r="A12" t="inlineStr">
        <is>
          <t>SRC_ZP_011</t>
        </is>
      </c>
      <c r="B12" t="inlineStr">
        <is>
          <t>Z1-F</t>
        </is>
      </c>
      <c r="C12" t="inlineStr">
        <is>
          <t>A</t>
        </is>
      </c>
      <c r="D12" t="inlineStr">
        <is>
          <t>rev_cloud_fy22</t>
        </is>
      </c>
      <c r="E12" t="inlineStr">
        <is>
          <t>雲端部署收入（舊分部；＝開放平台及API）</t>
        </is>
      </c>
      <c r="F12" t="inlineStr">
        <is>
          <t>FY2022</t>
        </is>
      </c>
      <c r="G12" t="n">
        <v>0.0259</v>
      </c>
      <c r="J12" t="inlineStr">
        <is>
          <t>RMB 億</t>
        </is>
      </c>
      <c r="K12" t="inlineStr">
        <is>
          <t>Verified</t>
        </is>
      </c>
      <c r="M12" t="inlineStr">
        <is>
          <t>經審計（會計師報告，招股章程概要轉載）</t>
        </is>
      </c>
      <c r="N12" t="inlineStr">
        <is>
          <t>智譜招股章程（概要節）</t>
        </is>
      </c>
      <c r="O12" t="inlineStr">
        <is>
          <t>https://www1.hkexnews.hk/listedco/listconews/sehk/2025/1230/2025123000018_c.pdf</t>
        </is>
      </c>
      <c r="P12" t="inlineStr">
        <is>
          <t>2025-12-30</t>
        </is>
      </c>
      <c r="Q12" t="inlineStr">
        <is>
          <t>原文「雲端部署 2,594 4.5%」；千元值 2,594；RMB 千元÷100,000 換算成億；占比 4.5/9.6/15.5/40.3/15.2%；2025 起新分類下雲端部署＝開放平台及 API</t>
        </is>
      </c>
    </row>
    <row r="13">
      <c r="A13" t="inlineStr">
        <is>
          <t>SRC_ZP_012</t>
        </is>
      </c>
      <c r="B13" t="inlineStr">
        <is>
          <t>Z1-F</t>
        </is>
      </c>
      <c r="C13" t="inlineStr">
        <is>
          <t>A</t>
        </is>
      </c>
      <c r="D13" t="inlineStr">
        <is>
          <t>rev_cloud_fy23</t>
        </is>
      </c>
      <c r="E13" t="inlineStr">
        <is>
          <t>雲端部署收入（舊分部；＝開放平台及API）</t>
        </is>
      </c>
      <c r="F13" t="inlineStr">
        <is>
          <t>FY2023</t>
        </is>
      </c>
      <c r="G13" t="n">
        <v>0.1192</v>
      </c>
      <c r="J13" t="inlineStr">
        <is>
          <t>RMB 億</t>
        </is>
      </c>
      <c r="K13" t="inlineStr">
        <is>
          <t>Verified</t>
        </is>
      </c>
      <c r="M13" t="inlineStr">
        <is>
          <t>經審計（會計師報告，招股章程概要轉載）</t>
        </is>
      </c>
      <c r="N13" t="inlineStr">
        <is>
          <t>智譜招股章程（概要節）</t>
        </is>
      </c>
      <c r="O13" t="inlineStr">
        <is>
          <t>https://www1.hkexnews.hk/listedco/listconews/sehk/2025/1230/2025123000018_c.pdf</t>
        </is>
      </c>
      <c r="P13" t="inlineStr">
        <is>
          <t>2025-12-30</t>
        </is>
      </c>
      <c r="Q13" t="inlineStr">
        <is>
          <t>原文「雲端部署 2,594 4.5%」；千元值 11,924；RMB 千元÷100,000 換算成億；占比 4.5/9.6/15.5/40.3/15.2%；2025 起新分類下雲端部署＝開放平台及 API</t>
        </is>
      </c>
    </row>
    <row r="14">
      <c r="A14" t="inlineStr">
        <is>
          <t>SRC_ZP_013</t>
        </is>
      </c>
      <c r="B14" t="inlineStr">
        <is>
          <t>Z1-F</t>
        </is>
      </c>
      <c r="C14" t="inlineStr">
        <is>
          <t>A</t>
        </is>
      </c>
      <c r="D14" t="inlineStr">
        <is>
          <t>rev_cloud_fy24</t>
        </is>
      </c>
      <c r="E14" t="inlineStr">
        <is>
          <t>雲端部署收入（舊分部；＝開放平台及API）</t>
        </is>
      </c>
      <c r="F14" t="inlineStr">
        <is>
          <t>FY2024</t>
        </is>
      </c>
      <c r="G14" t="n">
        <v>0.4848</v>
      </c>
      <c r="J14" t="inlineStr">
        <is>
          <t>RMB 億</t>
        </is>
      </c>
      <c r="K14" t="inlineStr">
        <is>
          <t>Verified</t>
        </is>
      </c>
      <c r="M14" t="inlineStr">
        <is>
          <t>經審計（會計師報告，招股章程概要轉載）</t>
        </is>
      </c>
      <c r="N14" t="inlineStr">
        <is>
          <t>智譜招股章程（概要節）</t>
        </is>
      </c>
      <c r="O14" t="inlineStr">
        <is>
          <t>https://www1.hkexnews.hk/listedco/listconews/sehk/2025/1230/2025123000018_c.pdf</t>
        </is>
      </c>
      <c r="P14" t="inlineStr">
        <is>
          <t>2025-12-30</t>
        </is>
      </c>
      <c r="Q14" t="inlineStr">
        <is>
          <t>原文「雲端部署 2,594 4.5%」；千元值 48,484；RMB 千元÷100,000 換算成億；占比 4.5/9.6/15.5/40.3/15.2%；2025 起新分類下雲端部署＝開放平台及 API</t>
        </is>
      </c>
    </row>
    <row r="15">
      <c r="A15" t="inlineStr">
        <is>
          <t>SRC_ZP_014</t>
        </is>
      </c>
      <c r="B15" t="inlineStr">
        <is>
          <t>Z1-F</t>
        </is>
      </c>
      <c r="C15" t="inlineStr">
        <is>
          <t>A</t>
        </is>
      </c>
      <c r="D15" t="inlineStr">
        <is>
          <t>rev_cloud_1h24</t>
        </is>
      </c>
      <c r="E15" t="inlineStr">
        <is>
          <t>雲端部署收入（舊分部；＝開放平台及API）</t>
        </is>
      </c>
      <c r="F15" t="inlineStr">
        <is>
          <t>1H2024</t>
        </is>
      </c>
      <c r="G15" t="n">
        <v>0.181</v>
      </c>
      <c r="J15" t="inlineStr">
        <is>
          <t>RMB 億</t>
        </is>
      </c>
      <c r="K15" t="inlineStr">
        <is>
          <t>Verified</t>
        </is>
      </c>
      <c r="M15" t="inlineStr">
        <is>
          <t>會計師報告（1H2024 比較期通常為未經審計已審閱；招股章程概要轉載）</t>
        </is>
      </c>
      <c r="N15" t="inlineStr">
        <is>
          <t>智譜招股章程（概要節）</t>
        </is>
      </c>
      <c r="O15" t="inlineStr">
        <is>
          <t>https://www1.hkexnews.hk/listedco/listconews/sehk/2025/1230/2025123000018_c.pdf</t>
        </is>
      </c>
      <c r="P15" t="inlineStr">
        <is>
          <t>2025-12-30</t>
        </is>
      </c>
      <c r="Q15" t="inlineStr">
        <is>
          <t>原文「雲端部署 2,594 4.5%」；千元值 18,103；RMB 千元÷100,000 換算成億；占比 4.5/9.6/15.5/40.3/15.2%；2025 起新分類下雲端部署＝開放平台及 API</t>
        </is>
      </c>
    </row>
    <row r="16">
      <c r="A16" t="inlineStr">
        <is>
          <t>SRC_ZP_015</t>
        </is>
      </c>
      <c r="B16" t="inlineStr">
        <is>
          <t>Z1-F</t>
        </is>
      </c>
      <c r="C16" t="inlineStr">
        <is>
          <t>A</t>
        </is>
      </c>
      <c r="D16" t="inlineStr">
        <is>
          <t>rev_cloud_1h25</t>
        </is>
      </c>
      <c r="E16" t="inlineStr">
        <is>
          <t>雲端部署收入（舊分部；＝開放平台及API）</t>
        </is>
      </c>
      <c r="F16" t="inlineStr">
        <is>
          <t>1H2025</t>
        </is>
      </c>
      <c r="G16" t="n">
        <v>0.291</v>
      </c>
      <c r="J16" t="inlineStr">
        <is>
          <t>RMB 億</t>
        </is>
      </c>
      <c r="K16" t="inlineStr">
        <is>
          <t>Verified</t>
        </is>
      </c>
      <c r="M16" t="inlineStr">
        <is>
          <t>經審計（會計師報告，招股章程概要轉載）</t>
        </is>
      </c>
      <c r="N16" t="inlineStr">
        <is>
          <t>智譜招股章程（概要節）</t>
        </is>
      </c>
      <c r="O16" t="inlineStr">
        <is>
          <t>https://www1.hkexnews.hk/listedco/listconews/sehk/2025/1230/2025123000018_c.pdf</t>
        </is>
      </c>
      <c r="P16" t="inlineStr">
        <is>
          <t>2025-12-30</t>
        </is>
      </c>
      <c r="Q16" t="inlineStr">
        <is>
          <t>原文「雲端部署 2,594 4.5%」；千元值 29,100；RMB 千元÷100,000 換算成億；占比 4.5/9.6/15.5/40.3/15.2%；2025 起新分類下雲端部署＝開放平台及 API</t>
        </is>
      </c>
    </row>
    <row r="17">
      <c r="A17" t="inlineStr">
        <is>
          <t>SRC_ZP_016</t>
        </is>
      </c>
      <c r="B17" t="inlineStr">
        <is>
          <t>Z1-F</t>
        </is>
      </c>
      <c r="C17" t="inlineStr">
        <is>
          <t>A</t>
        </is>
      </c>
      <c r="D17" t="inlineStr">
        <is>
          <t>cogs_fy22</t>
        </is>
      </c>
      <c r="E17" t="inlineStr">
        <is>
          <t>銷售成本（營業成本）</t>
        </is>
      </c>
      <c r="F17" t="inlineStr">
        <is>
          <t>FY2022</t>
        </is>
      </c>
      <c r="G17" t="n">
        <v>0.2605</v>
      </c>
      <c r="J17" t="inlineStr">
        <is>
          <t>RMB 億</t>
        </is>
      </c>
      <c r="K17" t="inlineStr">
        <is>
          <t>Verified</t>
        </is>
      </c>
      <c r="M17" t="inlineStr">
        <is>
          <t>經審計（會計師報告，招股章程概要轉載）</t>
        </is>
      </c>
      <c r="N17" t="inlineStr">
        <is>
          <t>智譜招股章程（概要節）</t>
        </is>
      </c>
      <c r="O17" t="inlineStr">
        <is>
          <t>https://www1.hkexnews.hk/listedco/listconews/sehk/2025/1230/2025123000018_c.pdf</t>
        </is>
      </c>
      <c r="P17" t="inlineStr">
        <is>
          <t>2025-12-30</t>
        </is>
      </c>
      <c r="Q17" t="inlineStr">
        <is>
          <t>原文「營業成本 (26,049)」；千元值 26,049；RMB 千元÷100,000 換算成億</t>
        </is>
      </c>
    </row>
    <row r="18">
      <c r="A18" t="inlineStr">
        <is>
          <t>SRC_ZP_017</t>
        </is>
      </c>
      <c r="B18" t="inlineStr">
        <is>
          <t>Z1-F</t>
        </is>
      </c>
      <c r="C18" t="inlineStr">
        <is>
          <t>A</t>
        </is>
      </c>
      <c r="D18" t="inlineStr">
        <is>
          <t>cogs_fy23</t>
        </is>
      </c>
      <c r="E18" t="inlineStr">
        <is>
          <t>銷售成本（營業成本）</t>
        </is>
      </c>
      <c r="F18" t="inlineStr">
        <is>
          <t>FY2023</t>
        </is>
      </c>
      <c r="G18" t="n">
        <v>0.4406</v>
      </c>
      <c r="J18" t="inlineStr">
        <is>
          <t>RMB 億</t>
        </is>
      </c>
      <c r="K18" t="inlineStr">
        <is>
          <t>Verified</t>
        </is>
      </c>
      <c r="M18" t="inlineStr">
        <is>
          <t>經審計（會計師報告，招股章程概要轉載）</t>
        </is>
      </c>
      <c r="N18" t="inlineStr">
        <is>
          <t>智譜招股章程（概要節）</t>
        </is>
      </c>
      <c r="O18" t="inlineStr">
        <is>
          <t>https://www1.hkexnews.hk/listedco/listconews/sehk/2025/1230/2025123000018_c.pdf</t>
        </is>
      </c>
      <c r="P18" t="inlineStr">
        <is>
          <t>2025-12-30</t>
        </is>
      </c>
      <c r="Q18" t="inlineStr">
        <is>
          <t>原文「營業成本 (26,049)」；千元值 44,056；RMB 千元÷100,000 換算成億</t>
        </is>
      </c>
    </row>
    <row r="19">
      <c r="A19" t="inlineStr">
        <is>
          <t>SRC_ZP_018</t>
        </is>
      </c>
      <c r="B19" t="inlineStr">
        <is>
          <t>Z1-F</t>
        </is>
      </c>
      <c r="C19" t="inlineStr">
        <is>
          <t>A</t>
        </is>
      </c>
      <c r="D19" t="inlineStr">
        <is>
          <t>cogs_fy24</t>
        </is>
      </c>
      <c r="E19" t="inlineStr">
        <is>
          <t>銷售成本（營業成本）</t>
        </is>
      </c>
      <c r="F19" t="inlineStr">
        <is>
          <t>FY2024</t>
        </is>
      </c>
      <c r="G19" t="n">
        <v>1.3653</v>
      </c>
      <c r="J19" t="inlineStr">
        <is>
          <t>RMB 億</t>
        </is>
      </c>
      <c r="K19" t="inlineStr">
        <is>
          <t>Verified</t>
        </is>
      </c>
      <c r="M19" t="inlineStr">
        <is>
          <t>經審計（會計師報告，招股章程概要轉載）</t>
        </is>
      </c>
      <c r="N19" t="inlineStr">
        <is>
          <t>智譜招股章程（概要節）</t>
        </is>
      </c>
      <c r="O19" t="inlineStr">
        <is>
          <t>https://www1.hkexnews.hk/listedco/listconews/sehk/2025/1230/2025123000018_c.pdf</t>
        </is>
      </c>
      <c r="P19" t="inlineStr">
        <is>
          <t>2025-12-30</t>
        </is>
      </c>
      <c r="Q19" t="inlineStr">
        <is>
          <t>原文「營業成本 (26,049)」；千元值 136,525；RMB 千元÷100,000 換算成億</t>
        </is>
      </c>
    </row>
    <row r="20">
      <c r="A20" t="inlineStr">
        <is>
          <t>SRC_ZP_019</t>
        </is>
      </c>
      <c r="B20" t="inlineStr">
        <is>
          <t>Z1-F</t>
        </is>
      </c>
      <c r="C20" t="inlineStr">
        <is>
          <t>A</t>
        </is>
      </c>
      <c r="D20" t="inlineStr">
        <is>
          <t>cogs_1h24</t>
        </is>
      </c>
      <c r="E20" t="inlineStr">
        <is>
          <t>銷售成本（營業成本）</t>
        </is>
      </c>
      <c r="F20" t="inlineStr">
        <is>
          <t>1H2024</t>
        </is>
      </c>
      <c r="G20" t="n">
        <v>0.2295</v>
      </c>
      <c r="J20" t="inlineStr">
        <is>
          <t>RMB 億</t>
        </is>
      </c>
      <c r="K20" t="inlineStr">
        <is>
          <t>Verified</t>
        </is>
      </c>
      <c r="M20" t="inlineStr">
        <is>
          <t>會計師報告（1H2024 比較期通常為未經審計已審閱；招股章程概要轉載）</t>
        </is>
      </c>
      <c r="N20" t="inlineStr">
        <is>
          <t>智譜招股章程（概要節）</t>
        </is>
      </c>
      <c r="O20" t="inlineStr">
        <is>
          <t>https://www1.hkexnews.hk/listedco/listconews/sehk/2025/1230/2025123000018_c.pdf</t>
        </is>
      </c>
      <c r="P20" t="inlineStr">
        <is>
          <t>2025-12-30</t>
        </is>
      </c>
      <c r="Q20" t="inlineStr">
        <is>
          <t>原文「營業成本 (26,049)」；千元值 22,950；RMB 千元÷100,000 換算成億</t>
        </is>
      </c>
    </row>
    <row r="21">
      <c r="A21" t="inlineStr">
        <is>
          <t>SRC_ZP_020</t>
        </is>
      </c>
      <c r="B21" t="inlineStr">
        <is>
          <t>Z1-F</t>
        </is>
      </c>
      <c r="C21" t="inlineStr">
        <is>
          <t>A</t>
        </is>
      </c>
      <c r="D21" t="inlineStr">
        <is>
          <t>cogs_1h25</t>
        </is>
      </c>
      <c r="E21" t="inlineStr">
        <is>
          <t>銷售成本（營業成本）</t>
        </is>
      </c>
      <c r="F21" t="inlineStr">
        <is>
          <t>1H2025</t>
        </is>
      </c>
      <c r="G21" t="n">
        <v>0.9545</v>
      </c>
      <c r="J21" t="inlineStr">
        <is>
          <t>RMB 億</t>
        </is>
      </c>
      <c r="K21" t="inlineStr">
        <is>
          <t>Verified</t>
        </is>
      </c>
      <c r="M21" t="inlineStr">
        <is>
          <t>經審計（會計師報告，招股章程概要轉載）</t>
        </is>
      </c>
      <c r="N21" t="inlineStr">
        <is>
          <t>智譜招股章程（概要節）</t>
        </is>
      </c>
      <c r="O21" t="inlineStr">
        <is>
          <t>https://www1.hkexnews.hk/listedco/listconews/sehk/2025/1230/2025123000018_c.pdf</t>
        </is>
      </c>
      <c r="P21" t="inlineStr">
        <is>
          <t>2025-12-30</t>
        </is>
      </c>
      <c r="Q21" t="inlineStr">
        <is>
          <t>原文「營業成本 (26,049)」；千元值 95,453；RMB 千元÷100,000 換算成億</t>
        </is>
      </c>
    </row>
    <row r="22">
      <c r="A22" t="inlineStr">
        <is>
          <t>SRC_ZP_021</t>
        </is>
      </c>
      <c r="B22" t="inlineStr">
        <is>
          <t>Z1-F</t>
        </is>
      </c>
      <c r="C22" t="inlineStr">
        <is>
          <t>A</t>
        </is>
      </c>
      <c r="D22" t="inlineStr">
        <is>
          <t>cogs_compute_fy22</t>
        </is>
      </c>
      <c r="E22" t="inlineStr">
        <is>
          <t>銷售成本中計算服務費</t>
        </is>
      </c>
      <c r="F22" t="inlineStr">
        <is>
          <t>FY2022</t>
        </is>
      </c>
      <c r="G22" t="n">
        <v>0</v>
      </c>
      <c r="J22" t="inlineStr">
        <is>
          <t>RMB 億</t>
        </is>
      </c>
      <c r="K22" t="inlineStr">
        <is>
          <t>Verified</t>
        </is>
      </c>
      <c r="M22" t="inlineStr">
        <is>
          <t>經審計（會計師報告，招股章程概要轉載）</t>
        </is>
      </c>
      <c r="N22" t="inlineStr">
        <is>
          <t>智譜招股章程（概要節）</t>
        </is>
      </c>
      <c r="O22" t="inlineStr">
        <is>
          <t>https://www1.hkexnews.hk/listedco/listconews/sehk/2025/1230/2025123000018_c.pdf</t>
        </is>
      </c>
      <c r="P22" t="inlineStr">
        <is>
          <t>2025-12-30</t>
        </is>
      </c>
      <c r="Q22" t="inlineStr">
        <is>
          <t>原文「計算服務費 — — 11,996」；千元值 0；RMB 千元÷100,000 換算成億；2022 原文為「—」（記 0）；此為銷售成本內，不含研發中的算力服務費</t>
        </is>
      </c>
    </row>
    <row r="23">
      <c r="A23" t="inlineStr">
        <is>
          <t>SRC_ZP_022</t>
        </is>
      </c>
      <c r="B23" t="inlineStr">
        <is>
          <t>Z1-F</t>
        </is>
      </c>
      <c r="C23" t="inlineStr">
        <is>
          <t>A</t>
        </is>
      </c>
      <c r="D23" t="inlineStr">
        <is>
          <t>cogs_compute_fy23</t>
        </is>
      </c>
      <c r="E23" t="inlineStr">
        <is>
          <t>銷售成本中計算服務費</t>
        </is>
      </c>
      <c r="F23" t="inlineStr">
        <is>
          <t>FY2023</t>
        </is>
      </c>
      <c r="G23" t="n">
        <v>0.12</v>
      </c>
      <c r="J23" t="inlineStr">
        <is>
          <t>RMB 億</t>
        </is>
      </c>
      <c r="K23" t="inlineStr">
        <is>
          <t>Verified</t>
        </is>
      </c>
      <c r="M23" t="inlineStr">
        <is>
          <t>經審計（會計師報告，招股章程概要轉載）</t>
        </is>
      </c>
      <c r="N23" t="inlineStr">
        <is>
          <t>智譜招股章程（概要節）</t>
        </is>
      </c>
      <c r="O23" t="inlineStr">
        <is>
          <t>https://www1.hkexnews.hk/listedco/listconews/sehk/2025/1230/2025123000018_c.pdf</t>
        </is>
      </c>
      <c r="P23" t="inlineStr">
        <is>
          <t>2025-12-30</t>
        </is>
      </c>
      <c r="Q23" t="inlineStr">
        <is>
          <t>原文「計算服務費 — — 11,996」；千元值 11,996；RMB 千元÷100,000 換算成億；2022 原文為「—」（記 0）；此為銷售成本內，不含研發中的算力服務費</t>
        </is>
      </c>
    </row>
    <row r="24">
      <c r="A24" t="inlineStr">
        <is>
          <t>SRC_ZP_023</t>
        </is>
      </c>
      <c r="B24" t="inlineStr">
        <is>
          <t>Z1-F</t>
        </is>
      </c>
      <c r="C24" t="inlineStr">
        <is>
          <t>A</t>
        </is>
      </c>
      <c r="D24" t="inlineStr">
        <is>
          <t>cogs_compute_fy24</t>
        </is>
      </c>
      <c r="E24" t="inlineStr">
        <is>
          <t>銷售成本中計算服務費</t>
        </is>
      </c>
      <c r="F24" t="inlineStr">
        <is>
          <t>FY2024</t>
        </is>
      </c>
      <c r="G24" t="n">
        <v>0.3017</v>
      </c>
      <c r="J24" t="inlineStr">
        <is>
          <t>RMB 億</t>
        </is>
      </c>
      <c r="K24" t="inlineStr">
        <is>
          <t>Verified</t>
        </is>
      </c>
      <c r="M24" t="inlineStr">
        <is>
          <t>經審計（會計師報告，招股章程概要轉載）</t>
        </is>
      </c>
      <c r="N24" t="inlineStr">
        <is>
          <t>智譜招股章程（概要節）</t>
        </is>
      </c>
      <c r="O24" t="inlineStr">
        <is>
          <t>https://www1.hkexnews.hk/listedco/listconews/sehk/2025/1230/2025123000018_c.pdf</t>
        </is>
      </c>
      <c r="P24" t="inlineStr">
        <is>
          <t>2025-12-30</t>
        </is>
      </c>
      <c r="Q24" t="inlineStr">
        <is>
          <t>原文「計算服務費 — — 11,996」；千元值 30,173；RMB 千元÷100,000 換算成億；2022 原文為「—」（記 0）；此為銷售成本內，不含研發中的算力服務費</t>
        </is>
      </c>
    </row>
    <row r="25">
      <c r="A25" t="inlineStr">
        <is>
          <t>SRC_ZP_024</t>
        </is>
      </c>
      <c r="B25" t="inlineStr">
        <is>
          <t>Z1-F</t>
        </is>
      </c>
      <c r="C25" t="inlineStr">
        <is>
          <t>A</t>
        </is>
      </c>
      <c r="D25" t="inlineStr">
        <is>
          <t>cogs_compute_1h24</t>
        </is>
      </c>
      <c r="E25" t="inlineStr">
        <is>
          <t>銷售成本中計算服務費</t>
        </is>
      </c>
      <c r="F25" t="inlineStr">
        <is>
          <t>1H2024</t>
        </is>
      </c>
      <c r="G25" t="n">
        <v>0.08450000000000001</v>
      </c>
      <c r="J25" t="inlineStr">
        <is>
          <t>RMB 億</t>
        </is>
      </c>
      <c r="K25" t="inlineStr">
        <is>
          <t>Verified</t>
        </is>
      </c>
      <c r="M25" t="inlineStr">
        <is>
          <t>會計師報告（1H2024 比較期通常為未經審計已審閱；招股章程概要轉載）</t>
        </is>
      </c>
      <c r="N25" t="inlineStr">
        <is>
          <t>智譜招股章程（概要節）</t>
        </is>
      </c>
      <c r="O25" t="inlineStr">
        <is>
          <t>https://www1.hkexnews.hk/listedco/listconews/sehk/2025/1230/2025123000018_c.pdf</t>
        </is>
      </c>
      <c r="P25" t="inlineStr">
        <is>
          <t>2025-12-30</t>
        </is>
      </c>
      <c r="Q25" t="inlineStr">
        <is>
          <t>原文「計算服務費 — — 11,996」；千元值 8,451；RMB 千元÷100,000 換算成億；2022 原文為「—」（記 0）；此為銷售成本內，不含研發中的算力服務費</t>
        </is>
      </c>
    </row>
    <row r="26">
      <c r="A26" t="inlineStr">
        <is>
          <t>SRC_ZP_025</t>
        </is>
      </c>
      <c r="B26" t="inlineStr">
        <is>
          <t>Z1-F</t>
        </is>
      </c>
      <c r="C26" t="inlineStr">
        <is>
          <t>A</t>
        </is>
      </c>
      <c r="D26" t="inlineStr">
        <is>
          <t>cogs_compute_1h25</t>
        </is>
      </c>
      <c r="E26" t="inlineStr">
        <is>
          <t>銷售成本中計算服務費</t>
        </is>
      </c>
      <c r="F26" t="inlineStr">
        <is>
          <t>1H2025</t>
        </is>
      </c>
      <c r="G26" t="n">
        <v>0.3584</v>
      </c>
      <c r="J26" t="inlineStr">
        <is>
          <t>RMB 億</t>
        </is>
      </c>
      <c r="K26" t="inlineStr">
        <is>
          <t>Verified</t>
        </is>
      </c>
      <c r="M26" t="inlineStr">
        <is>
          <t>經審計（會計師報告，招股章程概要轉載）</t>
        </is>
      </c>
      <c r="N26" t="inlineStr">
        <is>
          <t>智譜招股章程（概要節）</t>
        </is>
      </c>
      <c r="O26" t="inlineStr">
        <is>
          <t>https://www1.hkexnews.hk/listedco/listconews/sehk/2025/1230/2025123000018_c.pdf</t>
        </is>
      </c>
      <c r="P26" t="inlineStr">
        <is>
          <t>2025-12-30</t>
        </is>
      </c>
      <c r="Q26" t="inlineStr">
        <is>
          <t>原文「計算服務費 — — 11,996」；千元值 35,845；RMB 千元÷100,000 換算成億；2022 原文為「—」（記 0）；此為銷售成本內，不含研發中的算力服務費</t>
        </is>
      </c>
    </row>
    <row r="27">
      <c r="A27" t="inlineStr">
        <is>
          <t>SRC_ZP_026</t>
        </is>
      </c>
      <c r="B27" t="inlineStr">
        <is>
          <t>Z1-F</t>
        </is>
      </c>
      <c r="C27" t="inlineStr">
        <is>
          <t>A</t>
        </is>
      </c>
      <c r="D27" t="inlineStr">
        <is>
          <t>cogs_staff_fy22</t>
        </is>
      </c>
      <c r="E27" t="inlineStr">
        <is>
          <t>銷售成本中工資成本</t>
        </is>
      </c>
      <c r="F27" t="inlineStr">
        <is>
          <t>FY2022</t>
        </is>
      </c>
      <c r="G27" t="n">
        <v>0.1643</v>
      </c>
      <c r="J27" t="inlineStr">
        <is>
          <t>RMB 億</t>
        </is>
      </c>
      <c r="K27" t="inlineStr">
        <is>
          <t>Verified</t>
        </is>
      </c>
      <c r="M27" t="inlineStr">
        <is>
          <t>經審計（會計師報告，招股章程概要轉載）</t>
        </is>
      </c>
      <c r="N27" t="inlineStr">
        <is>
          <t>智譜招股章程（概要節）</t>
        </is>
      </c>
      <c r="O27" t="inlineStr">
        <is>
          <t>https://www1.hkexnews.hk/listedco/listconews/sehk/2025/1230/2025123000018_c.pdf</t>
        </is>
      </c>
      <c r="P27" t="inlineStr">
        <is>
          <t>2025-12-30</t>
        </is>
      </c>
      <c r="Q27" t="inlineStr">
        <is>
          <t>原文「工資成本 16,434」；千元值 16,434；RMB 千元÷100,000 換算成億；招股章程概要營業成本明細</t>
        </is>
      </c>
    </row>
    <row r="28">
      <c r="A28" t="inlineStr">
        <is>
          <t>SRC_ZP_027</t>
        </is>
      </c>
      <c r="B28" t="inlineStr">
        <is>
          <t>Z1-F</t>
        </is>
      </c>
      <c r="C28" t="inlineStr">
        <is>
          <t>A</t>
        </is>
      </c>
      <c r="D28" t="inlineStr">
        <is>
          <t>cogs_staff_fy23</t>
        </is>
      </c>
      <c r="E28" t="inlineStr">
        <is>
          <t>銷售成本中工資成本</t>
        </is>
      </c>
      <c r="F28" t="inlineStr">
        <is>
          <t>FY2023</t>
        </is>
      </c>
      <c r="G28" t="n">
        <v>0.1537</v>
      </c>
      <c r="J28" t="inlineStr">
        <is>
          <t>RMB 億</t>
        </is>
      </c>
      <c r="K28" t="inlineStr">
        <is>
          <t>Verified</t>
        </is>
      </c>
      <c r="M28" t="inlineStr">
        <is>
          <t>經審計（會計師報告，招股章程概要轉載）</t>
        </is>
      </c>
      <c r="N28" t="inlineStr">
        <is>
          <t>智譜招股章程（概要節）</t>
        </is>
      </c>
      <c r="O28" t="inlineStr">
        <is>
          <t>https://www1.hkexnews.hk/listedco/listconews/sehk/2025/1230/2025123000018_c.pdf</t>
        </is>
      </c>
      <c r="P28" t="inlineStr">
        <is>
          <t>2025-12-30</t>
        </is>
      </c>
      <c r="Q28" t="inlineStr">
        <is>
          <t>原文「工資成本 16,434」；千元值 15,375；RMB 千元÷100,000 換算成億；招股章程概要營業成本明細</t>
        </is>
      </c>
    </row>
    <row r="29">
      <c r="A29" t="inlineStr">
        <is>
          <t>SRC_ZP_028</t>
        </is>
      </c>
      <c r="B29" t="inlineStr">
        <is>
          <t>Z1-F</t>
        </is>
      </c>
      <c r="C29" t="inlineStr">
        <is>
          <t>A</t>
        </is>
      </c>
      <c r="D29" t="inlineStr">
        <is>
          <t>cogs_staff_fy24</t>
        </is>
      </c>
      <c r="E29" t="inlineStr">
        <is>
          <t>銷售成本中工資成本</t>
        </is>
      </c>
      <c r="F29" t="inlineStr">
        <is>
          <t>FY2024</t>
        </is>
      </c>
      <c r="G29" t="n">
        <v>0.7426</v>
      </c>
      <c r="J29" t="inlineStr">
        <is>
          <t>RMB 億</t>
        </is>
      </c>
      <c r="K29" t="inlineStr">
        <is>
          <t>Verified</t>
        </is>
      </c>
      <c r="M29" t="inlineStr">
        <is>
          <t>經審計（會計師報告，招股章程概要轉載）</t>
        </is>
      </c>
      <c r="N29" t="inlineStr">
        <is>
          <t>智譜招股章程（概要節）</t>
        </is>
      </c>
      <c r="O29" t="inlineStr">
        <is>
          <t>https://www1.hkexnews.hk/listedco/listconews/sehk/2025/1230/2025123000018_c.pdf</t>
        </is>
      </c>
      <c r="P29" t="inlineStr">
        <is>
          <t>2025-12-30</t>
        </is>
      </c>
      <c r="Q29" t="inlineStr">
        <is>
          <t>原文「工資成本 16,434」；千元值 74,262；RMB 千元÷100,000 換算成億；招股章程概要營業成本明細</t>
        </is>
      </c>
    </row>
    <row r="30">
      <c r="A30" t="inlineStr">
        <is>
          <t>SRC_ZP_029</t>
        </is>
      </c>
      <c r="B30" t="inlineStr">
        <is>
          <t>Z1-F</t>
        </is>
      </c>
      <c r="C30" t="inlineStr">
        <is>
          <t>A</t>
        </is>
      </c>
      <c r="D30" t="inlineStr">
        <is>
          <t>cogs_staff_1h24</t>
        </is>
      </c>
      <c r="E30" t="inlineStr">
        <is>
          <t>銷售成本中工資成本</t>
        </is>
      </c>
      <c r="F30" t="inlineStr">
        <is>
          <t>1H2024</t>
        </is>
      </c>
      <c r="G30" t="n">
        <v>0.1083</v>
      </c>
      <c r="J30" t="inlineStr">
        <is>
          <t>RMB 億</t>
        </is>
      </c>
      <c r="K30" t="inlineStr">
        <is>
          <t>Verified</t>
        </is>
      </c>
      <c r="M30" t="inlineStr">
        <is>
          <t>會計師報告（1H2024 比較期通常為未經審計已審閱；招股章程概要轉載）</t>
        </is>
      </c>
      <c r="N30" t="inlineStr">
        <is>
          <t>智譜招股章程（概要節）</t>
        </is>
      </c>
      <c r="O30" t="inlineStr">
        <is>
          <t>https://www1.hkexnews.hk/listedco/listconews/sehk/2025/1230/2025123000018_c.pdf</t>
        </is>
      </c>
      <c r="P30" t="inlineStr">
        <is>
          <t>2025-12-30</t>
        </is>
      </c>
      <c r="Q30" t="inlineStr">
        <is>
          <t>原文「工資成本 16,434」；千元值 10,832；RMB 千元÷100,000 換算成億；招股章程概要營業成本明細</t>
        </is>
      </c>
    </row>
    <row r="31">
      <c r="A31" t="inlineStr">
        <is>
          <t>SRC_ZP_030</t>
        </is>
      </c>
      <c r="B31" t="inlineStr">
        <is>
          <t>Z1-F</t>
        </is>
      </c>
      <c r="C31" t="inlineStr">
        <is>
          <t>A</t>
        </is>
      </c>
      <c r="D31" t="inlineStr">
        <is>
          <t>cogs_staff_1h25</t>
        </is>
      </c>
      <c r="E31" t="inlineStr">
        <is>
          <t>銷售成本中工資成本</t>
        </is>
      </c>
      <c r="F31" t="inlineStr">
        <is>
          <t>1H2025</t>
        </is>
      </c>
      <c r="G31" t="n">
        <v>0.3763</v>
      </c>
      <c r="J31" t="inlineStr">
        <is>
          <t>RMB 億</t>
        </is>
      </c>
      <c r="K31" t="inlineStr">
        <is>
          <t>Verified</t>
        </is>
      </c>
      <c r="M31" t="inlineStr">
        <is>
          <t>經審計（會計師報告，招股章程概要轉載）</t>
        </is>
      </c>
      <c r="N31" t="inlineStr">
        <is>
          <t>智譜招股章程（概要節）</t>
        </is>
      </c>
      <c r="O31" t="inlineStr">
        <is>
          <t>https://www1.hkexnews.hk/listedco/listconews/sehk/2025/1230/2025123000018_c.pdf</t>
        </is>
      </c>
      <c r="P31" t="inlineStr">
        <is>
          <t>2025-12-30</t>
        </is>
      </c>
      <c r="Q31" t="inlineStr">
        <is>
          <t>原文「工資成本 16,434」；千元值 37,628；RMB 千元÷100,000 換算成億；招股章程概要營業成本明細</t>
        </is>
      </c>
    </row>
    <row r="32">
      <c r="A32" t="inlineStr">
        <is>
          <t>SRC_ZP_031</t>
        </is>
      </c>
      <c r="B32" t="inlineStr">
        <is>
          <t>Z1-F</t>
        </is>
      </c>
      <c r="C32" t="inlineStr">
        <is>
          <t>A</t>
        </is>
      </c>
      <c r="D32" t="inlineStr">
        <is>
          <t>gp_total_fy22</t>
        </is>
      </c>
      <c r="E32" t="inlineStr">
        <is>
          <t>毛利</t>
        </is>
      </c>
      <c r="F32" t="inlineStr">
        <is>
          <t>FY2022</t>
        </is>
      </c>
      <c r="G32" t="n">
        <v>0.3136</v>
      </c>
      <c r="J32" t="inlineStr">
        <is>
          <t>RMB 億</t>
        </is>
      </c>
      <c r="K32" t="inlineStr">
        <is>
          <t>Verified</t>
        </is>
      </c>
      <c r="M32" t="inlineStr">
        <is>
          <t>經審計（會計師報告，招股章程概要轉載）</t>
        </is>
      </c>
      <c r="N32" t="inlineStr">
        <is>
          <t>智譜招股章程（概要節）</t>
        </is>
      </c>
      <c r="O32" t="inlineStr">
        <is>
          <t>https://www1.hkexnews.hk/listedco/listconews/sehk/2025/1230/2025123000018_c.pdf</t>
        </is>
      </c>
      <c r="P32" t="inlineStr">
        <is>
          <t>2025-12-30</t>
        </is>
      </c>
      <c r="Q32" t="inlineStr">
        <is>
          <t>原文「毛利 31,360 54.6」；千元值 31,360；RMB 千元÷100,000 換算成億；毛利率 54.6/64.6/56.3/48.9/50.0%</t>
        </is>
      </c>
    </row>
    <row r="33">
      <c r="A33" t="inlineStr">
        <is>
          <t>SRC_ZP_032</t>
        </is>
      </c>
      <c r="B33" t="inlineStr">
        <is>
          <t>Z1-F</t>
        </is>
      </c>
      <c r="C33" t="inlineStr">
        <is>
          <t>A</t>
        </is>
      </c>
      <c r="D33" t="inlineStr">
        <is>
          <t>gp_total_fy23</t>
        </is>
      </c>
      <c r="E33" t="inlineStr">
        <is>
          <t>毛利</t>
        </is>
      </c>
      <c r="F33" t="inlineStr">
        <is>
          <t>FY2023</t>
        </is>
      </c>
      <c r="G33" t="n">
        <v>0.8048</v>
      </c>
      <c r="J33" t="inlineStr">
        <is>
          <t>RMB 億</t>
        </is>
      </c>
      <c r="K33" t="inlineStr">
        <is>
          <t>Verified</t>
        </is>
      </c>
      <c r="M33" t="inlineStr">
        <is>
          <t>經審計（會計師報告，招股章程概要轉載）</t>
        </is>
      </c>
      <c r="N33" t="inlineStr">
        <is>
          <t>智譜招股章程（概要節）</t>
        </is>
      </c>
      <c r="O33" t="inlineStr">
        <is>
          <t>https://www1.hkexnews.hk/listedco/listconews/sehk/2025/1230/2025123000018_c.pdf</t>
        </is>
      </c>
      <c r="P33" t="inlineStr">
        <is>
          <t>2025-12-30</t>
        </is>
      </c>
      <c r="Q33" t="inlineStr">
        <is>
          <t>原文「毛利 31,360 54.6」；千元值 80,482；RMB 千元÷100,000 換算成億；毛利率 54.6/64.6/56.3/48.9/50.0%</t>
        </is>
      </c>
    </row>
    <row r="34">
      <c r="A34" t="inlineStr">
        <is>
          <t>SRC_ZP_033</t>
        </is>
      </c>
      <c r="B34" t="inlineStr">
        <is>
          <t>Z1-F</t>
        </is>
      </c>
      <c r="C34" t="inlineStr">
        <is>
          <t>A</t>
        </is>
      </c>
      <c r="D34" t="inlineStr">
        <is>
          <t>gp_total_fy24</t>
        </is>
      </c>
      <c r="E34" t="inlineStr">
        <is>
          <t>毛利</t>
        </is>
      </c>
      <c r="F34" t="inlineStr">
        <is>
          <t>FY2024</t>
        </is>
      </c>
      <c r="G34" t="n">
        <v>1.7589</v>
      </c>
      <c r="J34" t="inlineStr">
        <is>
          <t>RMB 億</t>
        </is>
      </c>
      <c r="K34" t="inlineStr">
        <is>
          <t>Verified</t>
        </is>
      </c>
      <c r="M34" t="inlineStr">
        <is>
          <t>經審計（會計師報告，招股章程概要轉載）</t>
        </is>
      </c>
      <c r="N34" t="inlineStr">
        <is>
          <t>智譜招股章程（概要節）</t>
        </is>
      </c>
      <c r="O34" t="inlineStr">
        <is>
          <t>https://www1.hkexnews.hk/listedco/listconews/sehk/2025/1230/2025123000018_c.pdf</t>
        </is>
      </c>
      <c r="P34" t="inlineStr">
        <is>
          <t>2025-12-30</t>
        </is>
      </c>
      <c r="Q34" t="inlineStr">
        <is>
          <t>原文「毛利 31,360 54.6」；千元值 175,889；RMB 千元÷100,000 換算成億；毛利率 54.6/64.6/56.3/48.9/50.0%</t>
        </is>
      </c>
    </row>
    <row r="35">
      <c r="A35" t="inlineStr">
        <is>
          <t>SRC_ZP_034</t>
        </is>
      </c>
      <c r="B35" t="inlineStr">
        <is>
          <t>Z1-F</t>
        </is>
      </c>
      <c r="C35" t="inlineStr">
        <is>
          <t>A</t>
        </is>
      </c>
      <c r="D35" t="inlineStr">
        <is>
          <t>gp_total_1h24</t>
        </is>
      </c>
      <c r="E35" t="inlineStr">
        <is>
          <t>毛利</t>
        </is>
      </c>
      <c r="F35" t="inlineStr">
        <is>
          <t>1H2024</t>
        </is>
      </c>
      <c r="G35" t="n">
        <v>0.2196</v>
      </c>
      <c r="J35" t="inlineStr">
        <is>
          <t>RMB 億</t>
        </is>
      </c>
      <c r="K35" t="inlineStr">
        <is>
          <t>Verified</t>
        </is>
      </c>
      <c r="M35" t="inlineStr">
        <is>
          <t>會計師報告（1H2024 比較期通常為未經審計已審閱；招股章程概要轉載）</t>
        </is>
      </c>
      <c r="N35" t="inlineStr">
        <is>
          <t>智譜招股章程（概要節）</t>
        </is>
      </c>
      <c r="O35" t="inlineStr">
        <is>
          <t>https://www1.hkexnews.hk/listedco/listconews/sehk/2025/1230/2025123000018_c.pdf</t>
        </is>
      </c>
      <c r="P35" t="inlineStr">
        <is>
          <t>2025-12-30</t>
        </is>
      </c>
      <c r="Q35" t="inlineStr">
        <is>
          <t>原文「毛利 31,360 54.6」；千元值 21,959；RMB 千元÷100,000 換算成億；毛利率 54.6/64.6/56.3/48.9/50.0%</t>
        </is>
      </c>
    </row>
    <row r="36">
      <c r="A36" t="inlineStr">
        <is>
          <t>SRC_ZP_035</t>
        </is>
      </c>
      <c r="B36" t="inlineStr">
        <is>
          <t>Z1-F</t>
        </is>
      </c>
      <c r="C36" t="inlineStr">
        <is>
          <t>A</t>
        </is>
      </c>
      <c r="D36" t="inlineStr">
        <is>
          <t>gp_total_1h25</t>
        </is>
      </c>
      <c r="E36" t="inlineStr">
        <is>
          <t>毛利</t>
        </is>
      </c>
      <c r="F36" t="inlineStr">
        <is>
          <t>1H2025</t>
        </is>
      </c>
      <c r="G36" t="n">
        <v>0.9542</v>
      </c>
      <c r="J36" t="inlineStr">
        <is>
          <t>RMB 億</t>
        </is>
      </c>
      <c r="K36" t="inlineStr">
        <is>
          <t>Verified</t>
        </is>
      </c>
      <c r="M36" t="inlineStr">
        <is>
          <t>經審計（會計師報告，招股章程概要轉載）</t>
        </is>
      </c>
      <c r="N36" t="inlineStr">
        <is>
          <t>智譜招股章程（概要節）</t>
        </is>
      </c>
      <c r="O36" t="inlineStr">
        <is>
          <t>https://www1.hkexnews.hk/listedco/listconews/sehk/2025/1230/2025123000018_c.pdf</t>
        </is>
      </c>
      <c r="P36" t="inlineStr">
        <is>
          <t>2025-12-30</t>
        </is>
      </c>
      <c r="Q36" t="inlineStr">
        <is>
          <t>原文「毛利 31,360 54.6」；千元值 95,424；RMB 千元÷100,000 換算成億；毛利率 54.6/64.6/56.3/48.9/50.0%</t>
        </is>
      </c>
    </row>
    <row r="37">
      <c r="A37" t="inlineStr">
        <is>
          <t>SRC_ZP_036</t>
        </is>
      </c>
      <c r="B37" t="inlineStr">
        <is>
          <t>Z1-F</t>
        </is>
      </c>
      <c r="C37" t="inlineStr">
        <is>
          <t>A</t>
        </is>
      </c>
      <c r="D37" t="inlineStr">
        <is>
          <t>gp_onprem_fy22</t>
        </is>
      </c>
      <c r="E37" t="inlineStr">
        <is>
          <t>本地化部署毛利</t>
        </is>
      </c>
      <c r="F37" t="inlineStr">
        <is>
          <t>FY2022</t>
        </is>
      </c>
      <c r="G37" t="n">
        <v>0.2939</v>
      </c>
      <c r="J37" t="inlineStr">
        <is>
          <t>RMB 億</t>
        </is>
      </c>
      <c r="K37" t="inlineStr">
        <is>
          <t>Verified</t>
        </is>
      </c>
      <c r="M37" t="inlineStr">
        <is>
          <t>經審計（會計師報告，招股章程概要轉載）</t>
        </is>
      </c>
      <c r="N37" t="inlineStr">
        <is>
          <t>智譜招股章程（概要節）</t>
        </is>
      </c>
      <c r="O37" t="inlineStr">
        <is>
          <t>https://www1.hkexnews.hk/listedco/listconews/sehk/2025/1230/2025123000018_c.pdf</t>
        </is>
      </c>
      <c r="P37" t="inlineStr">
        <is>
          <t>2025-12-30</t>
        </is>
      </c>
      <c r="Q37" t="inlineStr">
        <is>
          <t>原文「本地化部署 29,386 53.6%」；千元值 29,386；RMB 千元÷100,000 換算成億；毛利率 53.6/68.2/66.0/62.6/59.1%</t>
        </is>
      </c>
    </row>
    <row r="38">
      <c r="A38" t="inlineStr">
        <is>
          <t>SRC_ZP_037</t>
        </is>
      </c>
      <c r="B38" t="inlineStr">
        <is>
          <t>Z1-F</t>
        </is>
      </c>
      <c r="C38" t="inlineStr">
        <is>
          <t>A</t>
        </is>
      </c>
      <c r="D38" t="inlineStr">
        <is>
          <t>gp_onprem_fy23</t>
        </is>
      </c>
      <c r="E38" t="inlineStr">
        <is>
          <t>本地化部署毛利</t>
        </is>
      </c>
      <c r="F38" t="inlineStr">
        <is>
          <t>FY2023</t>
        </is>
      </c>
      <c r="G38" t="n">
        <v>0.7678</v>
      </c>
      <c r="J38" t="inlineStr">
        <is>
          <t>RMB 億</t>
        </is>
      </c>
      <c r="K38" t="inlineStr">
        <is>
          <t>Verified</t>
        </is>
      </c>
      <c r="M38" t="inlineStr">
        <is>
          <t>經審計（會計師報告，招股章程概要轉載）</t>
        </is>
      </c>
      <c r="N38" t="inlineStr">
        <is>
          <t>智譜招股章程（概要節）</t>
        </is>
      </c>
      <c r="O38" t="inlineStr">
        <is>
          <t>https://www1.hkexnews.hk/listedco/listconews/sehk/2025/1230/2025123000018_c.pdf</t>
        </is>
      </c>
      <c r="P38" t="inlineStr">
        <is>
          <t>2025-12-30</t>
        </is>
      </c>
      <c r="Q38" t="inlineStr">
        <is>
          <t>原文「本地化部署 29,386 53.6%」；千元值 76,781；RMB 千元÷100,000 換算成億；毛利率 53.6/68.2/66.0/62.6/59.1%</t>
        </is>
      </c>
    </row>
    <row r="39">
      <c r="A39" t="inlineStr">
        <is>
          <t>SRC_ZP_038</t>
        </is>
      </c>
      <c r="B39" t="inlineStr">
        <is>
          <t>Z1-F</t>
        </is>
      </c>
      <c r="C39" t="inlineStr">
        <is>
          <t>A</t>
        </is>
      </c>
      <c r="D39" t="inlineStr">
        <is>
          <t>gp_onprem_fy24</t>
        </is>
      </c>
      <c r="E39" t="inlineStr">
        <is>
          <t>本地化部署毛利</t>
        </is>
      </c>
      <c r="F39" t="inlineStr">
        <is>
          <t>FY2024</t>
        </is>
      </c>
      <c r="G39" t="n">
        <v>1.7426</v>
      </c>
      <c r="J39" t="inlineStr">
        <is>
          <t>RMB 億</t>
        </is>
      </c>
      <c r="K39" t="inlineStr">
        <is>
          <t>Verified</t>
        </is>
      </c>
      <c r="M39" t="inlineStr">
        <is>
          <t>經審計（會計師報告，招股章程概要轉載）</t>
        </is>
      </c>
      <c r="N39" t="inlineStr">
        <is>
          <t>智譜招股章程（概要節）</t>
        </is>
      </c>
      <c r="O39" t="inlineStr">
        <is>
          <t>https://www1.hkexnews.hk/listedco/listconews/sehk/2025/1230/2025123000018_c.pdf</t>
        </is>
      </c>
      <c r="P39" t="inlineStr">
        <is>
          <t>2025-12-30</t>
        </is>
      </c>
      <c r="Q39" t="inlineStr">
        <is>
          <t>原文「本地化部署 29,386 53.6%」；千元值 174,256；RMB 千元÷100,000 換算成億；毛利率 53.6/68.2/66.0/62.6/59.1%</t>
        </is>
      </c>
    </row>
    <row r="40">
      <c r="A40" t="inlineStr">
        <is>
          <t>SRC_ZP_039</t>
        </is>
      </c>
      <c r="B40" t="inlineStr">
        <is>
          <t>Z1-F</t>
        </is>
      </c>
      <c r="C40" t="inlineStr">
        <is>
          <t>A</t>
        </is>
      </c>
      <c r="D40" t="inlineStr">
        <is>
          <t>gp_onprem_1h24</t>
        </is>
      </c>
      <c r="E40" t="inlineStr">
        <is>
          <t>本地化部署毛利</t>
        </is>
      </c>
      <c r="F40" t="inlineStr">
        <is>
          <t>1H2024</t>
        </is>
      </c>
      <c r="G40" t="n">
        <v>0.1678</v>
      </c>
      <c r="J40" t="inlineStr">
        <is>
          <t>RMB 億</t>
        </is>
      </c>
      <c r="K40" t="inlineStr">
        <is>
          <t>Verified</t>
        </is>
      </c>
      <c r="M40" t="inlineStr">
        <is>
          <t>會計師報告（1H2024 比較期通常為未經審計已審閱；招股章程概要轉載）</t>
        </is>
      </c>
      <c r="N40" t="inlineStr">
        <is>
          <t>智譜招股章程（概要節）</t>
        </is>
      </c>
      <c r="O40" t="inlineStr">
        <is>
          <t>https://www1.hkexnews.hk/listedco/listconews/sehk/2025/1230/2025123000018_c.pdf</t>
        </is>
      </c>
      <c r="P40" t="inlineStr">
        <is>
          <t>2025-12-30</t>
        </is>
      </c>
      <c r="Q40" t="inlineStr">
        <is>
          <t>原文「本地化部署 29,386 53.6%」；千元值 16,776；RMB 千元÷100,000 換算成億；毛利率 53.6/68.2/66.0/62.6/59.1%</t>
        </is>
      </c>
    </row>
    <row r="41">
      <c r="A41" t="inlineStr">
        <is>
          <t>SRC_ZP_040</t>
        </is>
      </c>
      <c r="B41" t="inlineStr">
        <is>
          <t>Z1-F</t>
        </is>
      </c>
      <c r="C41" t="inlineStr">
        <is>
          <t>A</t>
        </is>
      </c>
      <c r="D41" t="inlineStr">
        <is>
          <t>gp_onprem_1h25</t>
        </is>
      </c>
      <c r="E41" t="inlineStr">
        <is>
          <t>本地化部署毛利</t>
        </is>
      </c>
      <c r="F41" t="inlineStr">
        <is>
          <t>1H2025</t>
        </is>
      </c>
      <c r="G41" t="n">
        <v>0.9554</v>
      </c>
      <c r="J41" t="inlineStr">
        <is>
          <t>RMB 億</t>
        </is>
      </c>
      <c r="K41" t="inlineStr">
        <is>
          <t>Verified</t>
        </is>
      </c>
      <c r="M41" t="inlineStr">
        <is>
          <t>經審計（會計師報告，招股章程概要轉載）</t>
        </is>
      </c>
      <c r="N41" t="inlineStr">
        <is>
          <t>智譜招股章程（概要節）</t>
        </is>
      </c>
      <c r="O41" t="inlineStr">
        <is>
          <t>https://www1.hkexnews.hk/listedco/listconews/sehk/2025/1230/2025123000018_c.pdf</t>
        </is>
      </c>
      <c r="P41" t="inlineStr">
        <is>
          <t>2025-12-30</t>
        </is>
      </c>
      <c r="Q41" t="inlineStr">
        <is>
          <t>原文「本地化部署 29,386 53.6%」；千元值 95,540；RMB 千元÷100,000 換算成億；毛利率 53.6/68.2/66.0/62.6/59.1%</t>
        </is>
      </c>
    </row>
    <row r="42">
      <c r="A42" t="inlineStr">
        <is>
          <t>SRC_ZP_041</t>
        </is>
      </c>
      <c r="B42" t="inlineStr">
        <is>
          <t>Z1-F</t>
        </is>
      </c>
      <c r="C42" t="inlineStr">
        <is>
          <t>A</t>
        </is>
      </c>
      <c r="D42" t="inlineStr">
        <is>
          <t>gp_cloud_fy22</t>
        </is>
      </c>
      <c r="E42" t="inlineStr">
        <is>
          <t>雲端部署毛利</t>
        </is>
      </c>
      <c r="F42" t="inlineStr">
        <is>
          <t>FY2022</t>
        </is>
      </c>
      <c r="G42" t="n">
        <v>0.0197</v>
      </c>
      <c r="J42" t="inlineStr">
        <is>
          <t>RMB 億</t>
        </is>
      </c>
      <c r="K42" t="inlineStr">
        <is>
          <t>Verified</t>
        </is>
      </c>
      <c r="M42" t="inlineStr">
        <is>
          <t>經審計（會計師報告，招股章程概要轉載）</t>
        </is>
      </c>
      <c r="N42" t="inlineStr">
        <is>
          <t>智譜招股章程（概要節）</t>
        </is>
      </c>
      <c r="O42" t="inlineStr">
        <is>
          <t>https://www1.hkexnews.hk/listedco/listconews/sehk/2025/1230/2025123000018_c.pdf</t>
        </is>
      </c>
      <c r="P42" t="inlineStr">
        <is>
          <t>2025-12-30</t>
        </is>
      </c>
      <c r="Q42" t="inlineStr">
        <is>
          <t>原文「雲端部署 1,974 76.1%」；千元值 1,974；RMB 千元÷100,000 換算成億；毛利率 76.1/31.0/3.4/28.6/(0.4)%</t>
        </is>
      </c>
    </row>
    <row r="43">
      <c r="A43" t="inlineStr">
        <is>
          <t>SRC_ZP_042</t>
        </is>
      </c>
      <c r="B43" t="inlineStr">
        <is>
          <t>Z1-F</t>
        </is>
      </c>
      <c r="C43" t="inlineStr">
        <is>
          <t>A</t>
        </is>
      </c>
      <c r="D43" t="inlineStr">
        <is>
          <t>gp_cloud_fy23</t>
        </is>
      </c>
      <c r="E43" t="inlineStr">
        <is>
          <t>雲端部署毛利</t>
        </is>
      </c>
      <c r="F43" t="inlineStr">
        <is>
          <t>FY2023</t>
        </is>
      </c>
      <c r="G43" t="n">
        <v>0.037</v>
      </c>
      <c r="J43" t="inlineStr">
        <is>
          <t>RMB 億</t>
        </is>
      </c>
      <c r="K43" t="inlineStr">
        <is>
          <t>Verified</t>
        </is>
      </c>
      <c r="M43" t="inlineStr">
        <is>
          <t>經審計（會計師報告，招股章程概要轉載）</t>
        </is>
      </c>
      <c r="N43" t="inlineStr">
        <is>
          <t>智譜招股章程（概要節）</t>
        </is>
      </c>
      <c r="O43" t="inlineStr">
        <is>
          <t>https://www1.hkexnews.hk/listedco/listconews/sehk/2025/1230/2025123000018_c.pdf</t>
        </is>
      </c>
      <c r="P43" t="inlineStr">
        <is>
          <t>2025-12-30</t>
        </is>
      </c>
      <c r="Q43" t="inlineStr">
        <is>
          <t>原文「雲端部署 1,974 76.1%」；千元值 3,701；RMB 千元÷100,000 換算成億；毛利率 76.1/31.0/3.4/28.6/(0.4)%</t>
        </is>
      </c>
    </row>
    <row r="44">
      <c r="A44" t="inlineStr">
        <is>
          <t>SRC_ZP_043</t>
        </is>
      </c>
      <c r="B44" t="inlineStr">
        <is>
          <t>Z1-F</t>
        </is>
      </c>
      <c r="C44" t="inlineStr">
        <is>
          <t>A</t>
        </is>
      </c>
      <c r="D44" t="inlineStr">
        <is>
          <t>gp_cloud_fy24</t>
        </is>
      </c>
      <c r="E44" t="inlineStr">
        <is>
          <t>雲端部署毛利</t>
        </is>
      </c>
      <c r="F44" t="inlineStr">
        <is>
          <t>FY2024</t>
        </is>
      </c>
      <c r="G44" t="n">
        <v>0.0163</v>
      </c>
      <c r="J44" t="inlineStr">
        <is>
          <t>RMB 億</t>
        </is>
      </c>
      <c r="K44" t="inlineStr">
        <is>
          <t>Verified</t>
        </is>
      </c>
      <c r="M44" t="inlineStr">
        <is>
          <t>經審計（會計師報告，招股章程概要轉載）</t>
        </is>
      </c>
      <c r="N44" t="inlineStr">
        <is>
          <t>智譜招股章程（概要節）</t>
        </is>
      </c>
      <c r="O44" t="inlineStr">
        <is>
          <t>https://www1.hkexnews.hk/listedco/listconews/sehk/2025/1230/2025123000018_c.pdf</t>
        </is>
      </c>
      <c r="P44" t="inlineStr">
        <is>
          <t>2025-12-30</t>
        </is>
      </c>
      <c r="Q44" t="inlineStr">
        <is>
          <t>原文「雲端部署 1,974 76.1%」；千元值 1,633；RMB 千元÷100,000 換算成億；毛利率 76.1/31.0/3.4/28.6/(0.4)%</t>
        </is>
      </c>
    </row>
    <row r="45">
      <c r="A45" t="inlineStr">
        <is>
          <t>SRC_ZP_044</t>
        </is>
      </c>
      <c r="B45" t="inlineStr">
        <is>
          <t>Z1-F</t>
        </is>
      </c>
      <c r="C45" t="inlineStr">
        <is>
          <t>A</t>
        </is>
      </c>
      <c r="D45" t="inlineStr">
        <is>
          <t>gp_cloud_1h24</t>
        </is>
      </c>
      <c r="E45" t="inlineStr">
        <is>
          <t>雲端部署毛利</t>
        </is>
      </c>
      <c r="F45" t="inlineStr">
        <is>
          <t>1H2024</t>
        </is>
      </c>
      <c r="G45" t="n">
        <v>0.0518</v>
      </c>
      <c r="J45" t="inlineStr">
        <is>
          <t>RMB 億</t>
        </is>
      </c>
      <c r="K45" t="inlineStr">
        <is>
          <t>Verified</t>
        </is>
      </c>
      <c r="M45" t="inlineStr">
        <is>
          <t>會計師報告（1H2024 比較期通常為未經審計已審閱；招股章程概要轉載）</t>
        </is>
      </c>
      <c r="N45" t="inlineStr">
        <is>
          <t>智譜招股章程（概要節）</t>
        </is>
      </c>
      <c r="O45" t="inlineStr">
        <is>
          <t>https://www1.hkexnews.hk/listedco/listconews/sehk/2025/1230/2025123000018_c.pdf</t>
        </is>
      </c>
      <c r="P45" t="inlineStr">
        <is>
          <t>2025-12-30</t>
        </is>
      </c>
      <c r="Q45" t="inlineStr">
        <is>
          <t>原文「雲端部署 1,974 76.1%」；千元值 5,183；RMB 千元÷100,000 換算成億；毛利率 76.1/31.0/3.4/28.6/(0.4)%</t>
        </is>
      </c>
    </row>
    <row r="46">
      <c r="A46" t="inlineStr">
        <is>
          <t>SRC_ZP_045</t>
        </is>
      </c>
      <c r="B46" t="inlineStr">
        <is>
          <t>Z1-F</t>
        </is>
      </c>
      <c r="C46" t="inlineStr">
        <is>
          <t>A</t>
        </is>
      </c>
      <c r="D46" t="inlineStr">
        <is>
          <t>gp_cloud_1h25</t>
        </is>
      </c>
      <c r="E46" t="inlineStr">
        <is>
          <t>雲端部署毛利</t>
        </is>
      </c>
      <c r="F46" t="inlineStr">
        <is>
          <t>1H2025</t>
        </is>
      </c>
      <c r="G46" t="n">
        <v>-0.0012</v>
      </c>
      <c r="J46" t="inlineStr">
        <is>
          <t>RMB 億</t>
        </is>
      </c>
      <c r="K46" t="inlineStr">
        <is>
          <t>Verified</t>
        </is>
      </c>
      <c r="M46" t="inlineStr">
        <is>
          <t>經審計（會計師報告，招股章程概要轉載）</t>
        </is>
      </c>
      <c r="N46" t="inlineStr">
        <is>
          <t>智譜招股章程（概要節）</t>
        </is>
      </c>
      <c r="O46" t="inlineStr">
        <is>
          <t>https://www1.hkexnews.hk/listedco/listconews/sehk/2025/1230/2025123000018_c.pdf</t>
        </is>
      </c>
      <c r="P46" t="inlineStr">
        <is>
          <t>2025-12-30</t>
        </is>
      </c>
      <c r="Q46" t="inlineStr">
        <is>
          <t>原文「雲端部署 1,974 76.1%」；千元值 -116；RMB 千元÷100,000 換算成億；毛利率 76.1/31.0/3.4/28.6/(0.4)%</t>
        </is>
      </c>
    </row>
    <row r="47">
      <c r="A47" t="inlineStr">
        <is>
          <t>SRC_ZP_046</t>
        </is>
      </c>
      <c r="B47" t="inlineStr">
        <is>
          <t>Z1-F</t>
        </is>
      </c>
      <c r="C47" t="inlineStr">
        <is>
          <t>A</t>
        </is>
      </c>
      <c r="D47" t="inlineStr">
        <is>
          <t>rd_fy22</t>
        </is>
      </c>
      <c r="E47" t="inlineStr">
        <is>
          <t>研發開支</t>
        </is>
      </c>
      <c r="F47" t="inlineStr">
        <is>
          <t>FY2022</t>
        </is>
      </c>
      <c r="G47" t="n">
        <v>0.8438</v>
      </c>
      <c r="J47" t="inlineStr">
        <is>
          <t>RMB 億</t>
        </is>
      </c>
      <c r="K47" t="inlineStr">
        <is>
          <t>Verified</t>
        </is>
      </c>
      <c r="M47" t="inlineStr">
        <is>
          <t>經審計（會計師報告，招股章程概要轉載）</t>
        </is>
      </c>
      <c r="N47" t="inlineStr">
        <is>
          <t>智譜招股章程（概要節）</t>
        </is>
      </c>
      <c r="O47" t="inlineStr">
        <is>
          <t>https://www1.hkexnews.hk/listedco/listconews/sehk/2025/1230/2025123000018_c.pdf</t>
        </is>
      </c>
      <c r="P47" t="inlineStr">
        <is>
          <t>2025-12-30</t>
        </is>
      </c>
      <c r="Q47" t="inlineStr">
        <is>
          <t>原文「研發開支 (84,377)」；千元值 84,377；RMB 千元÷100,000 換算成億；全數費用化</t>
        </is>
      </c>
    </row>
    <row r="48">
      <c r="A48" t="inlineStr">
        <is>
          <t>SRC_ZP_047</t>
        </is>
      </c>
      <c r="B48" t="inlineStr">
        <is>
          <t>Z1-F</t>
        </is>
      </c>
      <c r="C48" t="inlineStr">
        <is>
          <t>A</t>
        </is>
      </c>
      <c r="D48" t="inlineStr">
        <is>
          <t>rd_fy23</t>
        </is>
      </c>
      <c r="E48" t="inlineStr">
        <is>
          <t>研發開支</t>
        </is>
      </c>
      <c r="F48" t="inlineStr">
        <is>
          <t>FY2023</t>
        </is>
      </c>
      <c r="G48" t="n">
        <v>5.2888</v>
      </c>
      <c r="J48" t="inlineStr">
        <is>
          <t>RMB 億</t>
        </is>
      </c>
      <c r="K48" t="inlineStr">
        <is>
          <t>Verified</t>
        </is>
      </c>
      <c r="M48" t="inlineStr">
        <is>
          <t>經審計（會計師報告，招股章程概要轉載）</t>
        </is>
      </c>
      <c r="N48" t="inlineStr">
        <is>
          <t>智譜招股章程（概要節）</t>
        </is>
      </c>
      <c r="O48" t="inlineStr">
        <is>
          <t>https://www1.hkexnews.hk/listedco/listconews/sehk/2025/1230/2025123000018_c.pdf</t>
        </is>
      </c>
      <c r="P48" t="inlineStr">
        <is>
          <t>2025-12-30</t>
        </is>
      </c>
      <c r="Q48" t="inlineStr">
        <is>
          <t>原文「研發開支 (84,377)」；千元值 528,884；RMB 千元÷100,000 換算成億；全數費用化</t>
        </is>
      </c>
    </row>
    <row r="49">
      <c r="A49" t="inlineStr">
        <is>
          <t>SRC_ZP_048</t>
        </is>
      </c>
      <c r="B49" t="inlineStr">
        <is>
          <t>Z1-F</t>
        </is>
      </c>
      <c r="C49" t="inlineStr">
        <is>
          <t>A</t>
        </is>
      </c>
      <c r="D49" t="inlineStr">
        <is>
          <t>rd_fy24</t>
        </is>
      </c>
      <c r="E49" t="inlineStr">
        <is>
          <t>研發開支</t>
        </is>
      </c>
      <c r="F49" t="inlineStr">
        <is>
          <t>FY2024</t>
        </is>
      </c>
      <c r="G49" t="n">
        <v>21.9544</v>
      </c>
      <c r="J49" t="inlineStr">
        <is>
          <t>RMB 億</t>
        </is>
      </c>
      <c r="K49" t="inlineStr">
        <is>
          <t>Verified</t>
        </is>
      </c>
      <c r="M49" t="inlineStr">
        <is>
          <t>經審計（會計師報告，招股章程概要轉載）</t>
        </is>
      </c>
      <c r="N49" t="inlineStr">
        <is>
          <t>智譜招股章程（概要節）</t>
        </is>
      </c>
      <c r="O49" t="inlineStr">
        <is>
          <t>https://www1.hkexnews.hk/listedco/listconews/sehk/2025/1230/2025123000018_c.pdf</t>
        </is>
      </c>
      <c r="P49" t="inlineStr">
        <is>
          <t>2025-12-30</t>
        </is>
      </c>
      <c r="Q49" t="inlineStr">
        <is>
          <t>原文「研發開支 (84,377)」；千元值 2,195,436；RMB 千元÷100,000 換算成億；全數費用化</t>
        </is>
      </c>
    </row>
    <row r="50">
      <c r="A50" t="inlineStr">
        <is>
          <t>SRC_ZP_049</t>
        </is>
      </c>
      <c r="B50" t="inlineStr">
        <is>
          <t>Z1-F</t>
        </is>
      </c>
      <c r="C50" t="inlineStr">
        <is>
          <t>A</t>
        </is>
      </c>
      <c r="D50" t="inlineStr">
        <is>
          <t>rd_1h24</t>
        </is>
      </c>
      <c r="E50" t="inlineStr">
        <is>
          <t>研發開支</t>
        </is>
      </c>
      <c r="F50" t="inlineStr">
        <is>
          <t>1H2024</t>
        </is>
      </c>
      <c r="G50" t="n">
        <v>8.5922</v>
      </c>
      <c r="J50" t="inlineStr">
        <is>
          <t>RMB 億</t>
        </is>
      </c>
      <c r="K50" t="inlineStr">
        <is>
          <t>Verified</t>
        </is>
      </c>
      <c r="M50" t="inlineStr">
        <is>
          <t>會計師報告（1H2024 比較期通常為未經審計已審閱；招股章程概要轉載）</t>
        </is>
      </c>
      <c r="N50" t="inlineStr">
        <is>
          <t>智譜招股章程（概要節）</t>
        </is>
      </c>
      <c r="O50" t="inlineStr">
        <is>
          <t>https://www1.hkexnews.hk/listedco/listconews/sehk/2025/1230/2025123000018_c.pdf</t>
        </is>
      </c>
      <c r="P50" t="inlineStr">
        <is>
          <t>2025-12-30</t>
        </is>
      </c>
      <c r="Q50" t="inlineStr">
        <is>
          <t>原文「研發開支 (84,377)」；千元值 859,217；RMB 千元÷100,000 換算成億；全數費用化</t>
        </is>
      </c>
    </row>
    <row r="51">
      <c r="A51" t="inlineStr">
        <is>
          <t>SRC_ZP_050</t>
        </is>
      </c>
      <c r="B51" t="inlineStr">
        <is>
          <t>Z1-F</t>
        </is>
      </c>
      <c r="C51" t="inlineStr">
        <is>
          <t>A</t>
        </is>
      </c>
      <c r="D51" t="inlineStr">
        <is>
          <t>rd_1h25</t>
        </is>
      </c>
      <c r="E51" t="inlineStr">
        <is>
          <t>研發開支</t>
        </is>
      </c>
      <c r="F51" t="inlineStr">
        <is>
          <t>1H2025</t>
        </is>
      </c>
      <c r="G51" t="n">
        <v>15.9466</v>
      </c>
      <c r="J51" t="inlineStr">
        <is>
          <t>RMB 億</t>
        </is>
      </c>
      <c r="K51" t="inlineStr">
        <is>
          <t>Verified</t>
        </is>
      </c>
      <c r="M51" t="inlineStr">
        <is>
          <t>經審計（會計師報告，招股章程概要轉載）</t>
        </is>
      </c>
      <c r="N51" t="inlineStr">
        <is>
          <t>智譜招股章程（概要節）</t>
        </is>
      </c>
      <c r="O51" t="inlineStr">
        <is>
          <t>https://www1.hkexnews.hk/listedco/listconews/sehk/2025/1230/2025123000018_c.pdf</t>
        </is>
      </c>
      <c r="P51" t="inlineStr">
        <is>
          <t>2025-12-30</t>
        </is>
      </c>
      <c r="Q51" t="inlineStr">
        <is>
          <t>原文「研發開支 (84,377)」；千元值 1,594,661；RMB 千元÷100,000 換算成億；全數費用化</t>
        </is>
      </c>
    </row>
    <row r="52">
      <c r="A52" t="inlineStr">
        <is>
          <t>SRC_ZP_051</t>
        </is>
      </c>
      <c r="B52" t="inlineStr">
        <is>
          <t>Z1-F</t>
        </is>
      </c>
      <c r="C52" t="inlineStr">
        <is>
          <t>A</t>
        </is>
      </c>
      <c r="D52" t="inlineStr">
        <is>
          <t>sm_fy22</t>
        </is>
      </c>
      <c r="E52" t="inlineStr">
        <is>
          <t>銷售及營銷開支</t>
        </is>
      </c>
      <c r="F52" t="inlineStr">
        <is>
          <t>FY2022</t>
        </is>
      </c>
      <c r="G52" t="n">
        <v>0.1514</v>
      </c>
      <c r="J52" t="inlineStr">
        <is>
          <t>RMB 億</t>
        </is>
      </c>
      <c r="K52" t="inlineStr">
        <is>
          <t>Verified</t>
        </is>
      </c>
      <c r="M52" t="inlineStr">
        <is>
          <t>經審計（會計師報告，招股章程概要轉載）</t>
        </is>
      </c>
      <c r="N52" t="inlineStr">
        <is>
          <t>智譜招股章程（概要節）</t>
        </is>
      </c>
      <c r="O52" t="inlineStr">
        <is>
          <t>https://www1.hkexnews.hk/listedco/listconews/sehk/2025/1230/2025123000018_c.pdf</t>
        </is>
      </c>
      <c r="P52" t="inlineStr">
        <is>
          <t>2025-12-30</t>
        </is>
      </c>
      <c r="Q52" t="inlineStr">
        <is>
          <t>原文「銷售及營銷開支」；千元值 15,139；RMB 千元÷100,000 換算成億</t>
        </is>
      </c>
    </row>
    <row r="53">
      <c r="A53" t="inlineStr">
        <is>
          <t>SRC_ZP_052</t>
        </is>
      </c>
      <c r="B53" t="inlineStr">
        <is>
          <t>Z1-F</t>
        </is>
      </c>
      <c r="C53" t="inlineStr">
        <is>
          <t>A</t>
        </is>
      </c>
      <c r="D53" t="inlineStr">
        <is>
          <t>sm_fy23</t>
        </is>
      </c>
      <c r="E53" t="inlineStr">
        <is>
          <t>銷售及營銷開支</t>
        </is>
      </c>
      <c r="F53" t="inlineStr">
        <is>
          <t>FY2023</t>
        </is>
      </c>
      <c r="G53" t="n">
        <v>1.012</v>
      </c>
      <c r="J53" t="inlineStr">
        <is>
          <t>RMB 億</t>
        </is>
      </c>
      <c r="K53" t="inlineStr">
        <is>
          <t>Verified</t>
        </is>
      </c>
      <c r="M53" t="inlineStr">
        <is>
          <t>經審計（會計師報告，招股章程概要轉載）</t>
        </is>
      </c>
      <c r="N53" t="inlineStr">
        <is>
          <t>智譜招股章程（概要節）</t>
        </is>
      </c>
      <c r="O53" t="inlineStr">
        <is>
          <t>https://www1.hkexnews.hk/listedco/listconews/sehk/2025/1230/2025123000018_c.pdf</t>
        </is>
      </c>
      <c r="P53" t="inlineStr">
        <is>
          <t>2025-12-30</t>
        </is>
      </c>
      <c r="Q53" t="inlineStr">
        <is>
          <t>原文「銷售及營銷開支」；千元值 101,198；RMB 千元÷100,000 換算成億</t>
        </is>
      </c>
    </row>
    <row r="54">
      <c r="A54" t="inlineStr">
        <is>
          <t>SRC_ZP_053</t>
        </is>
      </c>
      <c r="B54" t="inlineStr">
        <is>
          <t>Z1-F</t>
        </is>
      </c>
      <c r="C54" t="inlineStr">
        <is>
          <t>A</t>
        </is>
      </c>
      <c r="D54" t="inlineStr">
        <is>
          <t>sm_fy24</t>
        </is>
      </c>
      <c r="E54" t="inlineStr">
        <is>
          <t>銷售及營銷開支</t>
        </is>
      </c>
      <c r="F54" t="inlineStr">
        <is>
          <t>FY2024</t>
        </is>
      </c>
      <c r="G54" t="n">
        <v>3.8748</v>
      </c>
      <c r="J54" t="inlineStr">
        <is>
          <t>RMB 億</t>
        </is>
      </c>
      <c r="K54" t="inlineStr">
        <is>
          <t>Verified</t>
        </is>
      </c>
      <c r="M54" t="inlineStr">
        <is>
          <t>經審計（會計師報告，招股章程概要轉載）</t>
        </is>
      </c>
      <c r="N54" t="inlineStr">
        <is>
          <t>智譜招股章程（概要節）</t>
        </is>
      </c>
      <c r="O54" t="inlineStr">
        <is>
          <t>https://www1.hkexnews.hk/listedco/listconews/sehk/2025/1230/2025123000018_c.pdf</t>
        </is>
      </c>
      <c r="P54" t="inlineStr">
        <is>
          <t>2025-12-30</t>
        </is>
      </c>
      <c r="Q54" t="inlineStr">
        <is>
          <t>原文「銷售及營銷開支」；千元值 387,475；RMB 千元÷100,000 換算成億</t>
        </is>
      </c>
    </row>
    <row r="55">
      <c r="A55" t="inlineStr">
        <is>
          <t>SRC_ZP_054</t>
        </is>
      </c>
      <c r="B55" t="inlineStr">
        <is>
          <t>Z1-F</t>
        </is>
      </c>
      <c r="C55" t="inlineStr">
        <is>
          <t>A</t>
        </is>
      </c>
      <c r="D55" t="inlineStr">
        <is>
          <t>sm_1h24</t>
        </is>
      </c>
      <c r="E55" t="inlineStr">
        <is>
          <t>銷售及營銷開支</t>
        </is>
      </c>
      <c r="F55" t="inlineStr">
        <is>
          <t>1H2024</t>
        </is>
      </c>
      <c r="G55" t="n">
        <v>1.4419</v>
      </c>
      <c r="J55" t="inlineStr">
        <is>
          <t>RMB 億</t>
        </is>
      </c>
      <c r="K55" t="inlineStr">
        <is>
          <t>Verified</t>
        </is>
      </c>
      <c r="M55" t="inlineStr">
        <is>
          <t>會計師報告（1H2024 比較期通常為未經審計已審閱；招股章程概要轉載）</t>
        </is>
      </c>
      <c r="N55" t="inlineStr">
        <is>
          <t>智譜招股章程（概要節）</t>
        </is>
      </c>
      <c r="O55" t="inlineStr">
        <is>
          <t>https://www1.hkexnews.hk/listedco/listconews/sehk/2025/1230/2025123000018_c.pdf</t>
        </is>
      </c>
      <c r="P55" t="inlineStr">
        <is>
          <t>2025-12-30</t>
        </is>
      </c>
      <c r="Q55" t="inlineStr">
        <is>
          <t>原文「銷售及營銷開支」；千元值 144,194；RMB 千元÷100,000 換算成億</t>
        </is>
      </c>
    </row>
    <row r="56">
      <c r="A56" t="inlineStr">
        <is>
          <t>SRC_ZP_055</t>
        </is>
      </c>
      <c r="B56" t="inlineStr">
        <is>
          <t>Z1-F</t>
        </is>
      </c>
      <c r="C56" t="inlineStr">
        <is>
          <t>A</t>
        </is>
      </c>
      <c r="D56" t="inlineStr">
        <is>
          <t>sm_1h25</t>
        </is>
      </c>
      <c r="E56" t="inlineStr">
        <is>
          <t>銷售及營銷開支</t>
        </is>
      </c>
      <c r="F56" t="inlineStr">
        <is>
          <t>1H2025</t>
        </is>
      </c>
      <c r="G56" t="n">
        <v>2.0857</v>
      </c>
      <c r="J56" t="inlineStr">
        <is>
          <t>RMB 億</t>
        </is>
      </c>
      <c r="K56" t="inlineStr">
        <is>
          <t>Verified</t>
        </is>
      </c>
      <c r="M56" t="inlineStr">
        <is>
          <t>經審計（會計師報告，招股章程概要轉載）</t>
        </is>
      </c>
      <c r="N56" t="inlineStr">
        <is>
          <t>智譜招股章程（概要節）</t>
        </is>
      </c>
      <c r="O56" t="inlineStr">
        <is>
          <t>https://www1.hkexnews.hk/listedco/listconews/sehk/2025/1230/2025123000018_c.pdf</t>
        </is>
      </c>
      <c r="P56" t="inlineStr">
        <is>
          <t>2025-12-30</t>
        </is>
      </c>
      <c r="Q56" t="inlineStr">
        <is>
          <t>原文「銷售及營銷開支」；千元值 208,570；RMB 千元÷100,000 換算成億</t>
        </is>
      </c>
    </row>
    <row r="57">
      <c r="A57" t="inlineStr">
        <is>
          <t>SRC_ZP_056</t>
        </is>
      </c>
      <c r="B57" t="inlineStr">
        <is>
          <t>Z1-F</t>
        </is>
      </c>
      <c r="C57" t="inlineStr">
        <is>
          <t>A</t>
        </is>
      </c>
      <c r="D57" t="inlineStr">
        <is>
          <t>ga_fy22</t>
        </is>
      </c>
      <c r="E57" t="inlineStr">
        <is>
          <t>一般及行政開支</t>
        </is>
      </c>
      <c r="F57" t="inlineStr">
        <is>
          <t>FY2022</t>
        </is>
      </c>
      <c r="G57" t="n">
        <v>0.3232</v>
      </c>
      <c r="J57" t="inlineStr">
        <is>
          <t>RMB 億</t>
        </is>
      </c>
      <c r="K57" t="inlineStr">
        <is>
          <t>Verified</t>
        </is>
      </c>
      <c r="M57" t="inlineStr">
        <is>
          <t>經審計（會計師報告，招股章程概要轉載）</t>
        </is>
      </c>
      <c r="N57" t="inlineStr">
        <is>
          <t>智譜招股章程（概要節）</t>
        </is>
      </c>
      <c r="O57" t="inlineStr">
        <is>
          <t>https://www1.hkexnews.hk/listedco/listconews/sehk/2025/1230/2025123000018_c.pdf</t>
        </is>
      </c>
      <c r="P57" t="inlineStr">
        <is>
          <t>2025-12-30</t>
        </is>
      </c>
      <c r="Q57" t="inlineStr">
        <is>
          <t>原文「一般及行政開支」；千元值 32,316；RMB 千元÷100,000 換算成億</t>
        </is>
      </c>
    </row>
    <row r="58">
      <c r="A58" t="inlineStr">
        <is>
          <t>SRC_ZP_057</t>
        </is>
      </c>
      <c r="B58" t="inlineStr">
        <is>
          <t>Z1-F</t>
        </is>
      </c>
      <c r="C58" t="inlineStr">
        <is>
          <t>A</t>
        </is>
      </c>
      <c r="D58" t="inlineStr">
        <is>
          <t>ga_fy23</t>
        </is>
      </c>
      <c r="E58" t="inlineStr">
        <is>
          <t>一般及行政開支</t>
        </is>
      </c>
      <c r="F58" t="inlineStr">
        <is>
          <t>FY2023</t>
        </is>
      </c>
      <c r="G58" t="n">
        <v>0.663</v>
      </c>
      <c r="J58" t="inlineStr">
        <is>
          <t>RMB 億</t>
        </is>
      </c>
      <c r="K58" t="inlineStr">
        <is>
          <t>Verified</t>
        </is>
      </c>
      <c r="M58" t="inlineStr">
        <is>
          <t>經審計（會計師報告，招股章程概要轉載）</t>
        </is>
      </c>
      <c r="N58" t="inlineStr">
        <is>
          <t>智譜招股章程（概要節）</t>
        </is>
      </c>
      <c r="O58" t="inlineStr">
        <is>
          <t>https://www1.hkexnews.hk/listedco/listconews/sehk/2025/1230/2025123000018_c.pdf</t>
        </is>
      </c>
      <c r="P58" t="inlineStr">
        <is>
          <t>2025-12-30</t>
        </is>
      </c>
      <c r="Q58" t="inlineStr">
        <is>
          <t>原文「一般及行政開支」；千元值 66,302；RMB 千元÷100,000 換算成億</t>
        </is>
      </c>
    </row>
    <row r="59">
      <c r="A59" t="inlineStr">
        <is>
          <t>SRC_ZP_058</t>
        </is>
      </c>
      <c r="B59" t="inlineStr">
        <is>
          <t>Z1-F</t>
        </is>
      </c>
      <c r="C59" t="inlineStr">
        <is>
          <t>A</t>
        </is>
      </c>
      <c r="D59" t="inlineStr">
        <is>
          <t>ga_fy24</t>
        </is>
      </c>
      <c r="E59" t="inlineStr">
        <is>
          <t>一般及行政開支</t>
        </is>
      </c>
      <c r="F59" t="inlineStr">
        <is>
          <t>FY2024</t>
        </is>
      </c>
      <c r="G59" t="n">
        <v>1.336</v>
      </c>
      <c r="J59" t="inlineStr">
        <is>
          <t>RMB 億</t>
        </is>
      </c>
      <c r="K59" t="inlineStr">
        <is>
          <t>Verified</t>
        </is>
      </c>
      <c r="M59" t="inlineStr">
        <is>
          <t>經審計（會計師報告，招股章程概要轉載）</t>
        </is>
      </c>
      <c r="N59" t="inlineStr">
        <is>
          <t>智譜招股章程（概要節）</t>
        </is>
      </c>
      <c r="O59" t="inlineStr">
        <is>
          <t>https://www1.hkexnews.hk/listedco/listconews/sehk/2025/1230/2025123000018_c.pdf</t>
        </is>
      </c>
      <c r="P59" t="inlineStr">
        <is>
          <t>2025-12-30</t>
        </is>
      </c>
      <c r="Q59" t="inlineStr">
        <is>
          <t>原文「一般及行政開支」；千元值 133,603；RMB 千元÷100,000 換算成億</t>
        </is>
      </c>
    </row>
    <row r="60">
      <c r="A60" t="inlineStr">
        <is>
          <t>SRC_ZP_059</t>
        </is>
      </c>
      <c r="B60" t="inlineStr">
        <is>
          <t>Z1-F</t>
        </is>
      </c>
      <c r="C60" t="inlineStr">
        <is>
          <t>A</t>
        </is>
      </c>
      <c r="D60" t="inlineStr">
        <is>
          <t>ga_1h24</t>
        </is>
      </c>
      <c r="E60" t="inlineStr">
        <is>
          <t>一般及行政開支</t>
        </is>
      </c>
      <c r="F60" t="inlineStr">
        <is>
          <t>1H2024</t>
        </is>
      </c>
      <c r="G60" t="n">
        <v>0.5145</v>
      </c>
      <c r="J60" t="inlineStr">
        <is>
          <t>RMB 億</t>
        </is>
      </c>
      <c r="K60" t="inlineStr">
        <is>
          <t>Verified</t>
        </is>
      </c>
      <c r="M60" t="inlineStr">
        <is>
          <t>會計師報告（1H2024 比較期通常為未經審計已審閱；招股章程概要轉載）</t>
        </is>
      </c>
      <c r="N60" t="inlineStr">
        <is>
          <t>智譜招股章程（概要節）</t>
        </is>
      </c>
      <c r="O60" t="inlineStr">
        <is>
          <t>https://www1.hkexnews.hk/listedco/listconews/sehk/2025/1230/2025123000018_c.pdf</t>
        </is>
      </c>
      <c r="P60" t="inlineStr">
        <is>
          <t>2025-12-30</t>
        </is>
      </c>
      <c r="Q60" t="inlineStr">
        <is>
          <t>原文「一般及行政開支」；千元值 51,452；RMB 千元÷100,000 換算成億</t>
        </is>
      </c>
    </row>
    <row r="61">
      <c r="A61" t="inlineStr">
        <is>
          <t>SRC_ZP_060</t>
        </is>
      </c>
      <c r="B61" t="inlineStr">
        <is>
          <t>Z1-F</t>
        </is>
      </c>
      <c r="C61" t="inlineStr">
        <is>
          <t>A</t>
        </is>
      </c>
      <c r="D61" t="inlineStr">
        <is>
          <t>ga_1h25</t>
        </is>
      </c>
      <c r="E61" t="inlineStr">
        <is>
          <t>一般及行政開支</t>
        </is>
      </c>
      <c r="F61" t="inlineStr">
        <is>
          <t>1H2025</t>
        </is>
      </c>
      <c r="G61" t="n">
        <v>1.8517</v>
      </c>
      <c r="J61" t="inlineStr">
        <is>
          <t>RMB 億</t>
        </is>
      </c>
      <c r="K61" t="inlineStr">
        <is>
          <t>Verified</t>
        </is>
      </c>
      <c r="M61" t="inlineStr">
        <is>
          <t>經審計（會計師報告，招股章程概要轉載）</t>
        </is>
      </c>
      <c r="N61" t="inlineStr">
        <is>
          <t>智譜招股章程（概要節）</t>
        </is>
      </c>
      <c r="O61" t="inlineStr">
        <is>
          <t>https://www1.hkexnews.hk/listedco/listconews/sehk/2025/1230/2025123000018_c.pdf</t>
        </is>
      </c>
      <c r="P61" t="inlineStr">
        <is>
          <t>2025-12-30</t>
        </is>
      </c>
      <c r="Q61" t="inlineStr">
        <is>
          <t>原文「一般及行政開支」；千元值 185,165；RMB 千元÷100,000 換算成億</t>
        </is>
      </c>
    </row>
    <row r="62">
      <c r="A62" t="inlineStr">
        <is>
          <t>SRC_ZP_061</t>
        </is>
      </c>
      <c r="B62" t="inlineStr">
        <is>
          <t>Z1-F</t>
        </is>
      </c>
      <c r="C62" t="inlineStr">
        <is>
          <t>A</t>
        </is>
      </c>
      <c r="D62" t="inlineStr">
        <is>
          <t>other_inc_fy22</t>
        </is>
      </c>
      <c r="E62" t="inlineStr">
        <is>
          <t>其他收入</t>
        </is>
      </c>
      <c r="F62" t="inlineStr">
        <is>
          <t>FY2022</t>
        </is>
      </c>
      <c r="G62" t="n">
        <v>0.0178</v>
      </c>
      <c r="J62" t="inlineStr">
        <is>
          <t>RMB 億</t>
        </is>
      </c>
      <c r="K62" t="inlineStr">
        <is>
          <t>Verified</t>
        </is>
      </c>
      <c r="M62" t="inlineStr">
        <is>
          <t>經審計（會計師報告，招股章程概要轉載）</t>
        </is>
      </c>
      <c r="N62" t="inlineStr">
        <is>
          <t>智譜招股章程（概要節）</t>
        </is>
      </c>
      <c r="O62" t="inlineStr">
        <is>
          <t>https://www1.hkexnews.hk/listedco/listconews/sehk/2025/1230/2025123000018_c.pdf</t>
        </is>
      </c>
      <c r="P62" t="inlineStr">
        <is>
          <t>2025-12-30</t>
        </is>
      </c>
      <c r="Q62" t="inlineStr">
        <is>
          <t>原文「其他收入」；千元值 1,784；RMB 千元÷100,000 換算成億；未拆政府補助</t>
        </is>
      </c>
    </row>
    <row r="63">
      <c r="A63" t="inlineStr">
        <is>
          <t>SRC_ZP_062</t>
        </is>
      </c>
      <c r="B63" t="inlineStr">
        <is>
          <t>Z1-F</t>
        </is>
      </c>
      <c r="C63" t="inlineStr">
        <is>
          <t>A</t>
        </is>
      </c>
      <c r="D63" t="inlineStr">
        <is>
          <t>other_inc_fy23</t>
        </is>
      </c>
      <c r="E63" t="inlineStr">
        <is>
          <t>其他收入</t>
        </is>
      </c>
      <c r="F63" t="inlineStr">
        <is>
          <t>FY2023</t>
        </is>
      </c>
      <c r="G63" t="n">
        <v>0.0997</v>
      </c>
      <c r="J63" t="inlineStr">
        <is>
          <t>RMB 億</t>
        </is>
      </c>
      <c r="K63" t="inlineStr">
        <is>
          <t>Verified</t>
        </is>
      </c>
      <c r="M63" t="inlineStr">
        <is>
          <t>經審計（會計師報告，招股章程概要轉載）</t>
        </is>
      </c>
      <c r="N63" t="inlineStr">
        <is>
          <t>智譜招股章程（概要節）</t>
        </is>
      </c>
      <c r="O63" t="inlineStr">
        <is>
          <t>https://www1.hkexnews.hk/listedco/listconews/sehk/2025/1230/2025123000018_c.pdf</t>
        </is>
      </c>
      <c r="P63" t="inlineStr">
        <is>
          <t>2025-12-30</t>
        </is>
      </c>
      <c r="Q63" t="inlineStr">
        <is>
          <t>原文「其他收入」；千元值 9,965；RMB 千元÷100,000 換算成億；未拆政府補助</t>
        </is>
      </c>
    </row>
    <row r="64">
      <c r="A64" t="inlineStr">
        <is>
          <t>SRC_ZP_063</t>
        </is>
      </c>
      <c r="B64" t="inlineStr">
        <is>
          <t>Z1-F</t>
        </is>
      </c>
      <c r="C64" t="inlineStr">
        <is>
          <t>A</t>
        </is>
      </c>
      <c r="D64" t="inlineStr">
        <is>
          <t>other_inc_fy24</t>
        </is>
      </c>
      <c r="E64" t="inlineStr">
        <is>
          <t>其他收入</t>
        </is>
      </c>
      <c r="F64" t="inlineStr">
        <is>
          <t>FY2024</t>
        </is>
      </c>
      <c r="G64" t="n">
        <v>0.1928</v>
      </c>
      <c r="J64" t="inlineStr">
        <is>
          <t>RMB 億</t>
        </is>
      </c>
      <c r="K64" t="inlineStr">
        <is>
          <t>Verified</t>
        </is>
      </c>
      <c r="M64" t="inlineStr">
        <is>
          <t>經審計（會計師報告，招股章程概要轉載）</t>
        </is>
      </c>
      <c r="N64" t="inlineStr">
        <is>
          <t>智譜招股章程（概要節）</t>
        </is>
      </c>
      <c r="O64" t="inlineStr">
        <is>
          <t>https://www1.hkexnews.hk/listedco/listconews/sehk/2025/1230/2025123000018_c.pdf</t>
        </is>
      </c>
      <c r="P64" t="inlineStr">
        <is>
          <t>2025-12-30</t>
        </is>
      </c>
      <c r="Q64" t="inlineStr">
        <is>
          <t>原文「其他收入」；千元值 19,281；RMB 千元÷100,000 換算成億；未拆政府補助</t>
        </is>
      </c>
    </row>
    <row r="65">
      <c r="A65" t="inlineStr">
        <is>
          <t>SRC_ZP_064</t>
        </is>
      </c>
      <c r="B65" t="inlineStr">
        <is>
          <t>Z1-F</t>
        </is>
      </c>
      <c r="C65" t="inlineStr">
        <is>
          <t>A</t>
        </is>
      </c>
      <c r="D65" t="inlineStr">
        <is>
          <t>other_inc_1h24</t>
        </is>
      </c>
      <c r="E65" t="inlineStr">
        <is>
          <t>其他收入</t>
        </is>
      </c>
      <c r="F65" t="inlineStr">
        <is>
          <t>1H2024</t>
        </is>
      </c>
      <c r="G65" t="n">
        <v>0.0417</v>
      </c>
      <c r="J65" t="inlineStr">
        <is>
          <t>RMB 億</t>
        </is>
      </c>
      <c r="K65" t="inlineStr">
        <is>
          <t>Verified</t>
        </is>
      </c>
      <c r="M65" t="inlineStr">
        <is>
          <t>會計師報告（1H2024 比較期通常為未經審計已審閱；招股章程概要轉載）</t>
        </is>
      </c>
      <c r="N65" t="inlineStr">
        <is>
          <t>智譜招股章程（概要節）</t>
        </is>
      </c>
      <c r="O65" t="inlineStr">
        <is>
          <t>https://www1.hkexnews.hk/listedco/listconews/sehk/2025/1230/2025123000018_c.pdf</t>
        </is>
      </c>
      <c r="P65" t="inlineStr">
        <is>
          <t>2025-12-30</t>
        </is>
      </c>
      <c r="Q65" t="inlineStr">
        <is>
          <t>原文「其他收入」；千元值 4,174；RMB 千元÷100,000 換算成億；未拆政府補助</t>
        </is>
      </c>
    </row>
    <row r="66">
      <c r="A66" t="inlineStr">
        <is>
          <t>SRC_ZP_065</t>
        </is>
      </c>
      <c r="B66" t="inlineStr">
        <is>
          <t>Z1-F</t>
        </is>
      </c>
      <c r="C66" t="inlineStr">
        <is>
          <t>A</t>
        </is>
      </c>
      <c r="D66" t="inlineStr">
        <is>
          <t>other_inc_1h25</t>
        </is>
      </c>
      <c r="E66" t="inlineStr">
        <is>
          <t>其他收入</t>
        </is>
      </c>
      <c r="F66" t="inlineStr">
        <is>
          <t>1H2025</t>
        </is>
      </c>
      <c r="G66" t="n">
        <v>0.0461</v>
      </c>
      <c r="J66" t="inlineStr">
        <is>
          <t>RMB 億</t>
        </is>
      </c>
      <c r="K66" t="inlineStr">
        <is>
          <t>Verified</t>
        </is>
      </c>
      <c r="M66" t="inlineStr">
        <is>
          <t>經審計（會計師報告，招股章程概要轉載）</t>
        </is>
      </c>
      <c r="N66" t="inlineStr">
        <is>
          <t>智譜招股章程（概要節）</t>
        </is>
      </c>
      <c r="O66" t="inlineStr">
        <is>
          <t>https://www1.hkexnews.hk/listedco/listconews/sehk/2025/1230/2025123000018_c.pdf</t>
        </is>
      </c>
      <c r="P66" t="inlineStr">
        <is>
          <t>2025-12-30</t>
        </is>
      </c>
      <c r="Q66" t="inlineStr">
        <is>
          <t>原文「其他收入」；千元值 4,614；RMB 千元÷100,000 換算成億；未拆政府補助</t>
        </is>
      </c>
    </row>
    <row r="67">
      <c r="A67" t="inlineStr">
        <is>
          <t>SRC_ZP_066</t>
        </is>
      </c>
      <c r="B67" t="inlineStr">
        <is>
          <t>Z1-F</t>
        </is>
      </c>
      <c r="C67" t="inlineStr">
        <is>
          <t>A</t>
        </is>
      </c>
      <c r="D67" t="inlineStr">
        <is>
          <t>fin_cost_fy22</t>
        </is>
      </c>
      <c r="E67" t="inlineStr">
        <is>
          <t>融資成本</t>
        </is>
      </c>
      <c r="F67" t="inlineStr">
        <is>
          <t>FY2022</t>
        </is>
      </c>
      <c r="G67" t="n">
        <v>0.0569</v>
      </c>
      <c r="J67" t="inlineStr">
        <is>
          <t>RMB 億</t>
        </is>
      </c>
      <c r="K67" t="inlineStr">
        <is>
          <t>Verified</t>
        </is>
      </c>
      <c r="M67" t="inlineStr">
        <is>
          <t>經審計（會計師報告，招股章程概要轉載）</t>
        </is>
      </c>
      <c r="N67" t="inlineStr">
        <is>
          <t>智譜招股章程（概要節）</t>
        </is>
      </c>
      <c r="O67" t="inlineStr">
        <is>
          <t>https://www1.hkexnews.hk/listedco/listconews/sehk/2025/1230/2025123000018_c.pdf</t>
        </is>
      </c>
      <c r="P67" t="inlineStr">
        <is>
          <t>2025-12-30</t>
        </is>
      </c>
      <c r="Q67" t="inlineStr">
        <is>
          <t>原文「融資成本」；千元值 5,694；RMB 千元÷100,000 換算成億</t>
        </is>
      </c>
    </row>
    <row r="68">
      <c r="A68" t="inlineStr">
        <is>
          <t>SRC_ZP_067</t>
        </is>
      </c>
      <c r="B68" t="inlineStr">
        <is>
          <t>Z1-F</t>
        </is>
      </c>
      <c r="C68" t="inlineStr">
        <is>
          <t>A</t>
        </is>
      </c>
      <c r="D68" t="inlineStr">
        <is>
          <t>fin_cost_fy23</t>
        </is>
      </c>
      <c r="E68" t="inlineStr">
        <is>
          <t>融資成本</t>
        </is>
      </c>
      <c r="F68" t="inlineStr">
        <is>
          <t>FY2023</t>
        </is>
      </c>
      <c r="G68" t="n">
        <v>0.2633</v>
      </c>
      <c r="J68" t="inlineStr">
        <is>
          <t>RMB 億</t>
        </is>
      </c>
      <c r="K68" t="inlineStr">
        <is>
          <t>Verified</t>
        </is>
      </c>
      <c r="M68" t="inlineStr">
        <is>
          <t>經審計（會計師報告，招股章程概要轉載）</t>
        </is>
      </c>
      <c r="N68" t="inlineStr">
        <is>
          <t>智譜招股章程（概要節）</t>
        </is>
      </c>
      <c r="O68" t="inlineStr">
        <is>
          <t>https://www1.hkexnews.hk/listedco/listconews/sehk/2025/1230/2025123000018_c.pdf</t>
        </is>
      </c>
      <c r="P68" t="inlineStr">
        <is>
          <t>2025-12-30</t>
        </is>
      </c>
      <c r="Q68" t="inlineStr">
        <is>
          <t>原文「融資成本」；千元值 26,332；RMB 千元÷100,000 換算成億</t>
        </is>
      </c>
    </row>
    <row r="69">
      <c r="A69" t="inlineStr">
        <is>
          <t>SRC_ZP_068</t>
        </is>
      </c>
      <c r="B69" t="inlineStr">
        <is>
          <t>Z1-F</t>
        </is>
      </c>
      <c r="C69" t="inlineStr">
        <is>
          <t>A</t>
        </is>
      </c>
      <c r="D69" t="inlineStr">
        <is>
          <t>fin_cost_fy24</t>
        </is>
      </c>
      <c r="E69" t="inlineStr">
        <is>
          <t>融資成本</t>
        </is>
      </c>
      <c r="F69" t="inlineStr">
        <is>
          <t>FY2024</t>
        </is>
      </c>
      <c r="G69" t="n">
        <v>0.3832</v>
      </c>
      <c r="J69" t="inlineStr">
        <is>
          <t>RMB 億</t>
        </is>
      </c>
      <c r="K69" t="inlineStr">
        <is>
          <t>Verified</t>
        </is>
      </c>
      <c r="M69" t="inlineStr">
        <is>
          <t>經審計（會計師報告，招股章程概要轉載）</t>
        </is>
      </c>
      <c r="N69" t="inlineStr">
        <is>
          <t>智譜招股章程（概要節）</t>
        </is>
      </c>
      <c r="O69" t="inlineStr">
        <is>
          <t>https://www1.hkexnews.hk/listedco/listconews/sehk/2025/1230/2025123000018_c.pdf</t>
        </is>
      </c>
      <c r="P69" t="inlineStr">
        <is>
          <t>2025-12-30</t>
        </is>
      </c>
      <c r="Q69" t="inlineStr">
        <is>
          <t>原文「融資成本」；千元值 38,321；RMB 千元÷100,000 換算成億</t>
        </is>
      </c>
    </row>
    <row r="70">
      <c r="A70" t="inlineStr">
        <is>
          <t>SRC_ZP_069</t>
        </is>
      </c>
      <c r="B70" t="inlineStr">
        <is>
          <t>Z1-F</t>
        </is>
      </c>
      <c r="C70" t="inlineStr">
        <is>
          <t>A</t>
        </is>
      </c>
      <c r="D70" t="inlineStr">
        <is>
          <t>fin_cost_1h24</t>
        </is>
      </c>
      <c r="E70" t="inlineStr">
        <is>
          <t>融資成本</t>
        </is>
      </c>
      <c r="F70" t="inlineStr">
        <is>
          <t>1H2024</t>
        </is>
      </c>
      <c r="G70" t="n">
        <v>0.1221</v>
      </c>
      <c r="J70" t="inlineStr">
        <is>
          <t>RMB 億</t>
        </is>
      </c>
      <c r="K70" t="inlineStr">
        <is>
          <t>Verified</t>
        </is>
      </c>
      <c r="M70" t="inlineStr">
        <is>
          <t>會計師報告（1H2024 比較期通常為未經審計已審閱；招股章程概要轉載）</t>
        </is>
      </c>
      <c r="N70" t="inlineStr">
        <is>
          <t>智譜招股章程（概要節）</t>
        </is>
      </c>
      <c r="O70" t="inlineStr">
        <is>
          <t>https://www1.hkexnews.hk/listedco/listconews/sehk/2025/1230/2025123000018_c.pdf</t>
        </is>
      </c>
      <c r="P70" t="inlineStr">
        <is>
          <t>2025-12-30</t>
        </is>
      </c>
      <c r="Q70" t="inlineStr">
        <is>
          <t>原文「融資成本」；千元值 12,212；RMB 千元÷100,000 換算成億</t>
        </is>
      </c>
    </row>
    <row r="71">
      <c r="A71" t="inlineStr">
        <is>
          <t>SRC_ZP_070</t>
        </is>
      </c>
      <c r="B71" t="inlineStr">
        <is>
          <t>Z1-F</t>
        </is>
      </c>
      <c r="C71" t="inlineStr">
        <is>
          <t>A</t>
        </is>
      </c>
      <c r="D71" t="inlineStr">
        <is>
          <t>fin_cost_1h25</t>
        </is>
      </c>
      <c r="E71" t="inlineStr">
        <is>
          <t>融資成本</t>
        </is>
      </c>
      <c r="F71" t="inlineStr">
        <is>
          <t>1H2025</t>
        </is>
      </c>
      <c r="G71" t="n">
        <v>0.5327</v>
      </c>
      <c r="J71" t="inlineStr">
        <is>
          <t>RMB 億</t>
        </is>
      </c>
      <c r="K71" t="inlineStr">
        <is>
          <t>Verified</t>
        </is>
      </c>
      <c r="M71" t="inlineStr">
        <is>
          <t>經審計（會計師報告，招股章程概要轉載）</t>
        </is>
      </c>
      <c r="N71" t="inlineStr">
        <is>
          <t>智譜招股章程（概要節）</t>
        </is>
      </c>
      <c r="O71" t="inlineStr">
        <is>
          <t>https://www1.hkexnews.hk/listedco/listconews/sehk/2025/1230/2025123000018_c.pdf</t>
        </is>
      </c>
      <c r="P71" t="inlineStr">
        <is>
          <t>2025-12-30</t>
        </is>
      </c>
      <c r="Q71" t="inlineStr">
        <is>
          <t>原文「融資成本」；千元值 53,270；RMB 千元÷100,000 換算成億</t>
        </is>
      </c>
    </row>
    <row r="72">
      <c r="A72" t="inlineStr">
        <is>
          <t>SRC_ZP_071</t>
        </is>
      </c>
      <c r="B72" t="inlineStr">
        <is>
          <t>Z1-F</t>
        </is>
      </c>
      <c r="C72" t="inlineStr">
        <is>
          <t>A</t>
        </is>
      </c>
      <c r="D72" t="inlineStr">
        <is>
          <t>sbc_fy22</t>
        </is>
      </c>
      <c r="E72" t="inlineStr">
        <is>
          <t>以權益結算股權報酬總額</t>
        </is>
      </c>
      <c r="F72" t="inlineStr">
        <is>
          <t>FY2022</t>
        </is>
      </c>
      <c r="G72" t="n">
        <v>0.0102</v>
      </c>
      <c r="J72" t="inlineStr">
        <is>
          <t>RMB 億</t>
        </is>
      </c>
      <c r="K72" t="inlineStr">
        <is>
          <t>Verified</t>
        </is>
      </c>
      <c r="M72" t="inlineStr">
        <is>
          <t>經審計（會計師報告，招股章程概要轉載）</t>
        </is>
      </c>
      <c r="N72" t="inlineStr">
        <is>
          <t>智譜招股章程（概要節）</t>
        </is>
      </c>
      <c r="O72" t="inlineStr">
        <is>
          <t>https://www1.hkexnews.hk/listedco/listconews/sehk/2025/1230/2025123000018_c.pdf</t>
        </is>
      </c>
      <c r="P72" t="inlineStr">
        <is>
          <t>2025-12-30</t>
        </is>
      </c>
      <c r="Q72" t="inlineStr">
        <is>
          <t>原文「以權益結算以股份為基礎的薪酬開支」；千元值 1,024；RMB 千元÷100,000 換算成億</t>
        </is>
      </c>
    </row>
    <row r="73">
      <c r="A73" t="inlineStr">
        <is>
          <t>SRC_ZP_072</t>
        </is>
      </c>
      <c r="B73" t="inlineStr">
        <is>
          <t>Z1-F</t>
        </is>
      </c>
      <c r="C73" t="inlineStr">
        <is>
          <t>A</t>
        </is>
      </c>
      <c r="D73" t="inlineStr">
        <is>
          <t>sbc_fy23</t>
        </is>
      </c>
      <c r="E73" t="inlineStr">
        <is>
          <t>以權益結算股權報酬總額</t>
        </is>
      </c>
      <c r="F73" t="inlineStr">
        <is>
          <t>FY2023</t>
        </is>
      </c>
      <c r="G73" t="n">
        <v>0.055</v>
      </c>
      <c r="J73" t="inlineStr">
        <is>
          <t>RMB 億</t>
        </is>
      </c>
      <c r="K73" t="inlineStr">
        <is>
          <t>Verified</t>
        </is>
      </c>
      <c r="M73" t="inlineStr">
        <is>
          <t>經審計（會計師報告，招股章程概要轉載）</t>
        </is>
      </c>
      <c r="N73" t="inlineStr">
        <is>
          <t>智譜招股章程（概要節）</t>
        </is>
      </c>
      <c r="O73" t="inlineStr">
        <is>
          <t>https://www1.hkexnews.hk/listedco/listconews/sehk/2025/1230/2025123000018_c.pdf</t>
        </is>
      </c>
      <c r="P73" t="inlineStr">
        <is>
          <t>2025-12-30</t>
        </is>
      </c>
      <c r="Q73" t="inlineStr">
        <is>
          <t>原文「以權益結算以股份為基礎的薪酬開支」；千元值 5,502；RMB 千元÷100,000 換算成億</t>
        </is>
      </c>
    </row>
    <row r="74">
      <c r="A74" t="inlineStr">
        <is>
          <t>SRC_ZP_073</t>
        </is>
      </c>
      <c r="B74" t="inlineStr">
        <is>
          <t>Z1-F</t>
        </is>
      </c>
      <c r="C74" t="inlineStr">
        <is>
          <t>A</t>
        </is>
      </c>
      <c r="D74" t="inlineStr">
        <is>
          <t>sbc_fy24</t>
        </is>
      </c>
      <c r="E74" t="inlineStr">
        <is>
          <t>以權益結算股權報酬總額</t>
        </is>
      </c>
      <c r="F74" t="inlineStr">
        <is>
          <t>FY2024</t>
        </is>
      </c>
      <c r="G74" t="n">
        <v>0.2358</v>
      </c>
      <c r="J74" t="inlineStr">
        <is>
          <t>RMB 億</t>
        </is>
      </c>
      <c r="K74" t="inlineStr">
        <is>
          <t>Verified</t>
        </is>
      </c>
      <c r="M74" t="inlineStr">
        <is>
          <t>經審計（會計師報告，招股章程概要轉載）</t>
        </is>
      </c>
      <c r="N74" t="inlineStr">
        <is>
          <t>智譜招股章程（概要節）</t>
        </is>
      </c>
      <c r="O74" t="inlineStr">
        <is>
          <t>https://www1.hkexnews.hk/listedco/listconews/sehk/2025/1230/2025123000018_c.pdf</t>
        </is>
      </c>
      <c r="P74" t="inlineStr">
        <is>
          <t>2025-12-30</t>
        </is>
      </c>
      <c r="Q74" t="inlineStr">
        <is>
          <t>原文「以權益結算以股份為基礎的薪酬開支」；千元值 23,579；RMB 千元÷100,000 換算成億</t>
        </is>
      </c>
    </row>
    <row r="75">
      <c r="A75" t="inlineStr">
        <is>
          <t>SRC_ZP_074</t>
        </is>
      </c>
      <c r="B75" t="inlineStr">
        <is>
          <t>Z1-F</t>
        </is>
      </c>
      <c r="C75" t="inlineStr">
        <is>
          <t>A</t>
        </is>
      </c>
      <c r="D75" t="inlineStr">
        <is>
          <t>sbc_1h24</t>
        </is>
      </c>
      <c r="E75" t="inlineStr">
        <is>
          <t>以權益結算股權報酬總額</t>
        </is>
      </c>
      <c r="F75" t="inlineStr">
        <is>
          <t>1H2024</t>
        </is>
      </c>
      <c r="G75" t="n">
        <v>0.0422</v>
      </c>
      <c r="J75" t="inlineStr">
        <is>
          <t>RMB 億</t>
        </is>
      </c>
      <c r="K75" t="inlineStr">
        <is>
          <t>Verified</t>
        </is>
      </c>
      <c r="M75" t="inlineStr">
        <is>
          <t>會計師報告（1H2024 比較期通常為未經審計已審閱；招股章程概要轉載）</t>
        </is>
      </c>
      <c r="N75" t="inlineStr">
        <is>
          <t>智譜招股章程（概要節）</t>
        </is>
      </c>
      <c r="O75" t="inlineStr">
        <is>
          <t>https://www1.hkexnews.hk/listedco/listconews/sehk/2025/1230/2025123000018_c.pdf</t>
        </is>
      </c>
      <c r="P75" t="inlineStr">
        <is>
          <t>2025-12-30</t>
        </is>
      </c>
      <c r="Q75" t="inlineStr">
        <is>
          <t>原文「以權益結算以股份為基礎的薪酬開支」；千元值 4,217；RMB 千元÷100,000 換算成億</t>
        </is>
      </c>
    </row>
    <row r="76">
      <c r="A76" t="inlineStr">
        <is>
          <t>SRC_ZP_075</t>
        </is>
      </c>
      <c r="B76" t="inlineStr">
        <is>
          <t>Z1-F</t>
        </is>
      </c>
      <c r="C76" t="inlineStr">
        <is>
          <t>A</t>
        </is>
      </c>
      <c r="D76" t="inlineStr">
        <is>
          <t>sbc_1h25</t>
        </is>
      </c>
      <c r="E76" t="inlineStr">
        <is>
          <t>以權益結算股權報酬總額</t>
        </is>
      </c>
      <c r="F76" t="inlineStr">
        <is>
          <t>1H2025</t>
        </is>
      </c>
      <c r="G76" t="n">
        <v>1.5885</v>
      </c>
      <c r="J76" t="inlineStr">
        <is>
          <t>RMB 億</t>
        </is>
      </c>
      <c r="K76" t="inlineStr">
        <is>
          <t>Verified</t>
        </is>
      </c>
      <c r="M76" t="inlineStr">
        <is>
          <t>經審計（會計師報告，招股章程概要轉載）</t>
        </is>
      </c>
      <c r="N76" t="inlineStr">
        <is>
          <t>智譜招股章程（概要節）</t>
        </is>
      </c>
      <c r="O76" t="inlineStr">
        <is>
          <t>https://www1.hkexnews.hk/listedco/listconews/sehk/2025/1230/2025123000018_c.pdf</t>
        </is>
      </c>
      <c r="P76" t="inlineStr">
        <is>
          <t>2025-12-30</t>
        </is>
      </c>
      <c r="Q76" t="inlineStr">
        <is>
          <t>原文「以權益結算以股份為基礎的薪酬開支」；千元值 158,852；RMB 千元÷100,000 換算成億</t>
        </is>
      </c>
    </row>
    <row r="77">
      <c r="A77" t="inlineStr">
        <is>
          <t>SRC_ZP_076</t>
        </is>
      </c>
      <c r="B77" t="inlineStr">
        <is>
          <t>Z1-F</t>
        </is>
      </c>
      <c r="C77" t="inlineStr">
        <is>
          <t>A</t>
        </is>
      </c>
      <c r="D77" t="inlineStr">
        <is>
          <t>net_loss_fy22</t>
        </is>
      </c>
      <c r="E77" t="inlineStr">
        <is>
          <t>年／期內虧損</t>
        </is>
      </c>
      <c r="F77" t="inlineStr">
        <is>
          <t>FY2022</t>
        </is>
      </c>
      <c r="G77" t="n">
        <v>1.4365</v>
      </c>
      <c r="J77" t="inlineStr">
        <is>
          <t>RMB 億</t>
        </is>
      </c>
      <c r="K77" t="inlineStr">
        <is>
          <t>Verified</t>
        </is>
      </c>
      <c r="M77" t="inlineStr">
        <is>
          <t>經審計（會計師報告，招股章程概要轉載）</t>
        </is>
      </c>
      <c r="N77" t="inlineStr">
        <is>
          <t>智譜招股章程（概要節）</t>
        </is>
      </c>
      <c r="O77" t="inlineStr">
        <is>
          <t>https://www1.hkexnews.hk/listedco/listconews/sehk/2025/1230/2025123000018_c.pdf</t>
        </is>
      </c>
      <c r="P77" t="inlineStr">
        <is>
          <t>2025-12-30</t>
        </is>
      </c>
      <c r="Q77" t="inlineStr">
        <is>
          <t>原文「年內虧損」；千元值 143,650；RMB 千元÷100,000 換算成億；值以正數記虧損</t>
        </is>
      </c>
    </row>
    <row r="78">
      <c r="A78" t="inlineStr">
        <is>
          <t>SRC_ZP_077</t>
        </is>
      </c>
      <c r="B78" t="inlineStr">
        <is>
          <t>Z1-F</t>
        </is>
      </c>
      <c r="C78" t="inlineStr">
        <is>
          <t>A</t>
        </is>
      </c>
      <c r="D78" t="inlineStr">
        <is>
          <t>net_loss_fy23</t>
        </is>
      </c>
      <c r="E78" t="inlineStr">
        <is>
          <t>年／期內虧損</t>
        </is>
      </c>
      <c r="F78" t="inlineStr">
        <is>
          <t>FY2023</t>
        </is>
      </c>
      <c r="G78" t="n">
        <v>7.8796</v>
      </c>
      <c r="J78" t="inlineStr">
        <is>
          <t>RMB 億</t>
        </is>
      </c>
      <c r="K78" t="inlineStr">
        <is>
          <t>Verified</t>
        </is>
      </c>
      <c r="M78" t="inlineStr">
        <is>
          <t>經審計（會計師報告，招股章程概要轉載）</t>
        </is>
      </c>
      <c r="N78" t="inlineStr">
        <is>
          <t>智譜招股章程（概要節）</t>
        </is>
      </c>
      <c r="O78" t="inlineStr">
        <is>
          <t>https://www1.hkexnews.hk/listedco/listconews/sehk/2025/1230/2025123000018_c.pdf</t>
        </is>
      </c>
      <c r="P78" t="inlineStr">
        <is>
          <t>2025-12-30</t>
        </is>
      </c>
      <c r="Q78" t="inlineStr">
        <is>
          <t>原文「年內虧損」；千元值 787,957；RMB 千元÷100,000 換算成億；值以正數記虧損</t>
        </is>
      </c>
    </row>
    <row r="79">
      <c r="A79" t="inlineStr">
        <is>
          <t>SRC_ZP_078</t>
        </is>
      </c>
      <c r="B79" t="inlineStr">
        <is>
          <t>Z1-F</t>
        </is>
      </c>
      <c r="C79" t="inlineStr">
        <is>
          <t>A</t>
        </is>
      </c>
      <c r="D79" t="inlineStr">
        <is>
          <t>net_loss_fy24</t>
        </is>
      </c>
      <c r="E79" t="inlineStr">
        <is>
          <t>年／期內虧損</t>
        </is>
      </c>
      <c r="F79" t="inlineStr">
        <is>
          <t>FY2024</t>
        </is>
      </c>
      <c r="G79" t="n">
        <v>29.5801</v>
      </c>
      <c r="J79" t="inlineStr">
        <is>
          <t>RMB 億</t>
        </is>
      </c>
      <c r="K79" t="inlineStr">
        <is>
          <t>Verified</t>
        </is>
      </c>
      <c r="M79" t="inlineStr">
        <is>
          <t>經審計（會計師報告，招股章程概要轉載）</t>
        </is>
      </c>
      <c r="N79" t="inlineStr">
        <is>
          <t>智譜招股章程（概要節）</t>
        </is>
      </c>
      <c r="O79" t="inlineStr">
        <is>
          <t>https://www1.hkexnews.hk/listedco/listconews/sehk/2025/1230/2025123000018_c.pdf</t>
        </is>
      </c>
      <c r="P79" t="inlineStr">
        <is>
          <t>2025-12-30</t>
        </is>
      </c>
      <c r="Q79" t="inlineStr">
        <is>
          <t>原文「年內虧損」；千元值 2,958,007；RMB 千元÷100,000 換算成億；值以正數記虧損</t>
        </is>
      </c>
    </row>
    <row r="80">
      <c r="A80" t="inlineStr">
        <is>
          <t>SRC_ZP_079</t>
        </is>
      </c>
      <c r="B80" t="inlineStr">
        <is>
          <t>Z1-F</t>
        </is>
      </c>
      <c r="C80" t="inlineStr">
        <is>
          <t>A</t>
        </is>
      </c>
      <c r="D80" t="inlineStr">
        <is>
          <t>net_loss_1h24</t>
        </is>
      </c>
      <c r="E80" t="inlineStr">
        <is>
          <t>年／期內虧損</t>
        </is>
      </c>
      <c r="F80" t="inlineStr">
        <is>
          <t>1H2024</t>
        </is>
      </c>
      <c r="G80" t="n">
        <v>12.3555</v>
      </c>
      <c r="J80" t="inlineStr">
        <is>
          <t>RMB 億</t>
        </is>
      </c>
      <c r="K80" t="inlineStr">
        <is>
          <t>Verified</t>
        </is>
      </c>
      <c r="M80" t="inlineStr">
        <is>
          <t>會計師報告（1H2024 比較期通常為未經審計已審閱；招股章程概要轉載）</t>
        </is>
      </c>
      <c r="N80" t="inlineStr">
        <is>
          <t>智譜招股章程（概要節）</t>
        </is>
      </c>
      <c r="O80" t="inlineStr">
        <is>
          <t>https://www1.hkexnews.hk/listedco/listconews/sehk/2025/1230/2025123000018_c.pdf</t>
        </is>
      </c>
      <c r="P80" t="inlineStr">
        <is>
          <t>2025-12-30</t>
        </is>
      </c>
      <c r="Q80" t="inlineStr">
        <is>
          <t>原文「年內虧損」；千元值 1,235,551；RMB 千元÷100,000 換算成億；值以正數記虧損</t>
        </is>
      </c>
    </row>
    <row r="81">
      <c r="A81" t="inlineStr">
        <is>
          <t>SRC_ZP_080</t>
        </is>
      </c>
      <c r="B81" t="inlineStr">
        <is>
          <t>Z1-F</t>
        </is>
      </c>
      <c r="C81" t="inlineStr">
        <is>
          <t>A</t>
        </is>
      </c>
      <c r="D81" t="inlineStr">
        <is>
          <t>net_loss_1h25</t>
        </is>
      </c>
      <c r="E81" t="inlineStr">
        <is>
          <t>年／期內虧損</t>
        </is>
      </c>
      <c r="F81" t="inlineStr">
        <is>
          <t>1H2025</t>
        </is>
      </c>
      <c r="G81" t="n">
        <v>23.5785</v>
      </c>
      <c r="J81" t="inlineStr">
        <is>
          <t>RMB 億</t>
        </is>
      </c>
      <c r="K81" t="inlineStr">
        <is>
          <t>Verified</t>
        </is>
      </c>
      <c r="M81" t="inlineStr">
        <is>
          <t>經審計（會計師報告，招股章程概要轉載）</t>
        </is>
      </c>
      <c r="N81" t="inlineStr">
        <is>
          <t>智譜招股章程（概要節）</t>
        </is>
      </c>
      <c r="O81" t="inlineStr">
        <is>
          <t>https://www1.hkexnews.hk/listedco/listconews/sehk/2025/1230/2025123000018_c.pdf</t>
        </is>
      </c>
      <c r="P81" t="inlineStr">
        <is>
          <t>2025-12-30</t>
        </is>
      </c>
      <c r="Q81" t="inlineStr">
        <is>
          <t>原文「年內虧損」；千元值 2,357,852；RMB 千元÷100,000 換算成億；值以正數記虧損</t>
        </is>
      </c>
    </row>
    <row r="82">
      <c r="A82" t="inlineStr">
        <is>
          <t>SRC_ZP_081</t>
        </is>
      </c>
      <c r="B82" t="inlineStr">
        <is>
          <t>Z1-F</t>
        </is>
      </c>
      <c r="C82" t="inlineStr">
        <is>
          <t>A</t>
        </is>
      </c>
      <c r="D82" t="inlineStr">
        <is>
          <t>adj_loss_fy22</t>
        </is>
      </c>
      <c r="E82" t="inlineStr">
        <is>
          <t>經調整淨虧損（非IFRS）</t>
        </is>
      </c>
      <c r="F82" t="inlineStr">
        <is>
          <t>FY2022</t>
        </is>
      </c>
      <c r="G82" t="n">
        <v>0.9742</v>
      </c>
      <c r="J82" t="inlineStr">
        <is>
          <t>RMB 億</t>
        </is>
      </c>
      <c r="K82" t="inlineStr">
        <is>
          <t>Verified</t>
        </is>
      </c>
      <c r="M82" t="inlineStr">
        <is>
          <t>經審計（會計師報告，招股章程概要轉載）</t>
        </is>
      </c>
      <c r="N82" t="inlineStr">
        <is>
          <t>智譜招股章程（概要節）</t>
        </is>
      </c>
      <c r="O82" t="inlineStr">
        <is>
          <t>https://www1.hkexnews.hk/listedco/listconews/sehk/2025/1230/2025123000018_c.pdf</t>
        </is>
      </c>
      <c r="P82" t="inlineStr">
        <is>
          <t>2025-12-30</t>
        </is>
      </c>
      <c r="Q82" t="inlineStr">
        <is>
          <t>原文「經調整年╱期內淨虧損」；千元值 97,417；RMB 千元÷100,000 換算成億；值以正數記虧損</t>
        </is>
      </c>
    </row>
    <row r="83">
      <c r="A83" t="inlineStr">
        <is>
          <t>SRC_ZP_082</t>
        </is>
      </c>
      <c r="B83" t="inlineStr">
        <is>
          <t>Z1-F</t>
        </is>
      </c>
      <c r="C83" t="inlineStr">
        <is>
          <t>A</t>
        </is>
      </c>
      <c r="D83" t="inlineStr">
        <is>
          <t>adj_loss_fy23</t>
        </is>
      </c>
      <c r="E83" t="inlineStr">
        <is>
          <t>經調整淨虧損（非IFRS）</t>
        </is>
      </c>
      <c r="F83" t="inlineStr">
        <is>
          <t>FY2023</t>
        </is>
      </c>
      <c r="G83" t="n">
        <v>6.2098</v>
      </c>
      <c r="J83" t="inlineStr">
        <is>
          <t>RMB 億</t>
        </is>
      </c>
      <c r="K83" t="inlineStr">
        <is>
          <t>Verified</t>
        </is>
      </c>
      <c r="M83" t="inlineStr">
        <is>
          <t>經審計（會計師報告，招股章程概要轉載）</t>
        </is>
      </c>
      <c r="N83" t="inlineStr">
        <is>
          <t>智譜招股章程（概要節）</t>
        </is>
      </c>
      <c r="O83" t="inlineStr">
        <is>
          <t>https://www1.hkexnews.hk/listedco/listconews/sehk/2025/1230/2025123000018_c.pdf</t>
        </is>
      </c>
      <c r="P83" t="inlineStr">
        <is>
          <t>2025-12-30</t>
        </is>
      </c>
      <c r="Q83" t="inlineStr">
        <is>
          <t>原文「經調整年╱期內淨虧損」；千元值 620,984；RMB 千元÷100,000 換算成億；值以正數記虧損</t>
        </is>
      </c>
    </row>
    <row r="84">
      <c r="A84" t="inlineStr">
        <is>
          <t>SRC_ZP_083</t>
        </is>
      </c>
      <c r="B84" t="inlineStr">
        <is>
          <t>Z1-F</t>
        </is>
      </c>
      <c r="C84" t="inlineStr">
        <is>
          <t>A</t>
        </is>
      </c>
      <c r="D84" t="inlineStr">
        <is>
          <t>adj_loss_fy24</t>
        </is>
      </c>
      <c r="E84" t="inlineStr">
        <is>
          <t>經調整淨虧損（非IFRS）</t>
        </is>
      </c>
      <c r="F84" t="inlineStr">
        <is>
          <t>FY2024</t>
        </is>
      </c>
      <c r="G84" t="n">
        <v>24.6557</v>
      </c>
      <c r="J84" t="inlineStr">
        <is>
          <t>RMB 億</t>
        </is>
      </c>
      <c r="K84" t="inlineStr">
        <is>
          <t>Verified</t>
        </is>
      </c>
      <c r="M84" t="inlineStr">
        <is>
          <t>經審計（會計師報告，招股章程概要轉載）</t>
        </is>
      </c>
      <c r="N84" t="inlineStr">
        <is>
          <t>智譜招股章程（概要節）</t>
        </is>
      </c>
      <c r="O84" t="inlineStr">
        <is>
          <t>https://www1.hkexnews.hk/listedco/listconews/sehk/2025/1230/2025123000018_c.pdf</t>
        </is>
      </c>
      <c r="P84" t="inlineStr">
        <is>
          <t>2025-12-30</t>
        </is>
      </c>
      <c r="Q84" t="inlineStr">
        <is>
          <t>原文「經調整年╱期內淨虧損」；千元值 2,465,569；RMB 千元÷100,000 換算成億；值以正數記虧損</t>
        </is>
      </c>
    </row>
    <row r="85">
      <c r="A85" t="inlineStr">
        <is>
          <t>SRC_ZP_084</t>
        </is>
      </c>
      <c r="B85" t="inlineStr">
        <is>
          <t>Z1-F</t>
        </is>
      </c>
      <c r="C85" t="inlineStr">
        <is>
          <t>A</t>
        </is>
      </c>
      <c r="D85" t="inlineStr">
        <is>
          <t>adj_loss_1h24</t>
        </is>
      </c>
      <c r="E85" t="inlineStr">
        <is>
          <t>經調整淨虧損（非IFRS）</t>
        </is>
      </c>
      <c r="F85" t="inlineStr">
        <is>
          <t>1H2024</t>
        </is>
      </c>
      <c r="G85" t="n">
        <v>10.3016</v>
      </c>
      <c r="J85" t="inlineStr">
        <is>
          <t>RMB 億</t>
        </is>
      </c>
      <c r="K85" t="inlineStr">
        <is>
          <t>Verified</t>
        </is>
      </c>
      <c r="M85" t="inlineStr">
        <is>
          <t>會計師報告（1H2024 比較期通常為未經審計已審閱；招股章程概要轉載）</t>
        </is>
      </c>
      <c r="N85" t="inlineStr">
        <is>
          <t>智譜招股章程（概要節）</t>
        </is>
      </c>
      <c r="O85" t="inlineStr">
        <is>
          <t>https://www1.hkexnews.hk/listedco/listconews/sehk/2025/1230/2025123000018_c.pdf</t>
        </is>
      </c>
      <c r="P85" t="inlineStr">
        <is>
          <t>2025-12-30</t>
        </is>
      </c>
      <c r="Q85" t="inlineStr">
        <is>
          <t>原文「經調整年╱期內淨虧損」；千元值 1,030,160；RMB 千元÷100,000 換算成億；值以正數記虧損</t>
        </is>
      </c>
    </row>
    <row r="86">
      <c r="A86" t="inlineStr">
        <is>
          <t>SRC_ZP_085</t>
        </is>
      </c>
      <c r="B86" t="inlineStr">
        <is>
          <t>Z1-F</t>
        </is>
      </c>
      <c r="C86" t="inlineStr">
        <is>
          <t>A</t>
        </is>
      </c>
      <c r="D86" t="inlineStr">
        <is>
          <t>adj_loss_1h25</t>
        </is>
      </c>
      <c r="E86" t="inlineStr">
        <is>
          <t>經調整淨虧損（非IFRS）</t>
        </is>
      </c>
      <c r="F86" t="inlineStr">
        <is>
          <t>1H2025</t>
        </is>
      </c>
      <c r="G86" t="n">
        <v>17.5197</v>
      </c>
      <c r="J86" t="inlineStr">
        <is>
          <t>RMB 億</t>
        </is>
      </c>
      <c r="K86" t="inlineStr">
        <is>
          <t>Verified</t>
        </is>
      </c>
      <c r="M86" t="inlineStr">
        <is>
          <t>經審計（會計師報告，招股章程概要轉載）</t>
        </is>
      </c>
      <c r="N86" t="inlineStr">
        <is>
          <t>智譜招股章程（概要節）</t>
        </is>
      </c>
      <c r="O86" t="inlineStr">
        <is>
          <t>https://www1.hkexnews.hk/listedco/listconews/sehk/2025/1230/2025123000018_c.pdf</t>
        </is>
      </c>
      <c r="P86" t="inlineStr">
        <is>
          <t>2025-12-30</t>
        </is>
      </c>
      <c r="Q86" t="inlineStr">
        <is>
          <t>原文「經調整年╱期內淨虧損」；千元值 1,751,974；RMB 千元÷100,000 換算成億；值以正數記虧損</t>
        </is>
      </c>
    </row>
    <row r="87">
      <c r="A87" t="inlineStr">
        <is>
          <t>SRC_ZP_086</t>
        </is>
      </c>
      <c r="B87" t="inlineStr">
        <is>
          <t>Z1-F</t>
        </is>
      </c>
      <c r="C87" t="inlineStr">
        <is>
          <t>A</t>
        </is>
      </c>
      <c r="D87" t="inlineStr">
        <is>
          <t>ocf_fy22</t>
        </is>
      </c>
      <c r="E87" t="inlineStr">
        <is>
          <t>經營活動所用現金淨額</t>
        </is>
      </c>
      <c r="F87" t="inlineStr">
        <is>
          <t>FY2022</t>
        </is>
      </c>
      <c r="G87" t="n">
        <v>-0.6825</v>
      </c>
      <c r="J87" t="inlineStr">
        <is>
          <t>RMB 億</t>
        </is>
      </c>
      <c r="K87" t="inlineStr">
        <is>
          <t>Verified</t>
        </is>
      </c>
      <c r="M87" t="inlineStr">
        <is>
          <t>經審計（會計師報告，招股章程概要轉載）</t>
        </is>
      </c>
      <c r="N87" t="inlineStr">
        <is>
          <t>智譜招股章程（概要節）</t>
        </is>
      </c>
      <c r="O87" t="inlineStr">
        <is>
          <t>https://www1.hkexnews.hk/listedco/listconews/sehk/2025/1230/2025123000018_c.pdf</t>
        </is>
      </c>
      <c r="P87" t="inlineStr">
        <is>
          <t>2025-12-30</t>
        </is>
      </c>
      <c r="Q87" t="inlineStr">
        <is>
          <t>原文「經營活動所用現金淨額」；千元值 -68,246；RMB 千元÷100,000 換算成億；負值＝流出</t>
        </is>
      </c>
    </row>
    <row r="88">
      <c r="A88" t="inlineStr">
        <is>
          <t>SRC_ZP_087</t>
        </is>
      </c>
      <c r="B88" t="inlineStr">
        <is>
          <t>Z1-F</t>
        </is>
      </c>
      <c r="C88" t="inlineStr">
        <is>
          <t>A</t>
        </is>
      </c>
      <c r="D88" t="inlineStr">
        <is>
          <t>ocf_fy23</t>
        </is>
      </c>
      <c r="E88" t="inlineStr">
        <is>
          <t>經營活動所用現金淨額</t>
        </is>
      </c>
      <c r="F88" t="inlineStr">
        <is>
          <t>FY2023</t>
        </is>
      </c>
      <c r="G88" t="n">
        <v>-6.4802</v>
      </c>
      <c r="J88" t="inlineStr">
        <is>
          <t>RMB 億</t>
        </is>
      </c>
      <c r="K88" t="inlineStr">
        <is>
          <t>Verified</t>
        </is>
      </c>
      <c r="M88" t="inlineStr">
        <is>
          <t>經審計（會計師報告，招股章程概要轉載）</t>
        </is>
      </c>
      <c r="N88" t="inlineStr">
        <is>
          <t>智譜招股章程（概要節）</t>
        </is>
      </c>
      <c r="O88" t="inlineStr">
        <is>
          <t>https://www1.hkexnews.hk/listedco/listconews/sehk/2025/1230/2025123000018_c.pdf</t>
        </is>
      </c>
      <c r="P88" t="inlineStr">
        <is>
          <t>2025-12-30</t>
        </is>
      </c>
      <c r="Q88" t="inlineStr">
        <is>
          <t>原文「經營活動所用現金淨額」；千元值 -648,017；RMB 千元÷100,000 換算成億；負值＝流出</t>
        </is>
      </c>
    </row>
    <row r="89">
      <c r="A89" t="inlineStr">
        <is>
          <t>SRC_ZP_088</t>
        </is>
      </c>
      <c r="B89" t="inlineStr">
        <is>
          <t>Z1-F</t>
        </is>
      </c>
      <c r="C89" t="inlineStr">
        <is>
          <t>A</t>
        </is>
      </c>
      <c r="D89" t="inlineStr">
        <is>
          <t>ocf_fy24</t>
        </is>
      </c>
      <c r="E89" t="inlineStr">
        <is>
          <t>經營活動所用現金淨額</t>
        </is>
      </c>
      <c r="F89" t="inlineStr">
        <is>
          <t>FY2024</t>
        </is>
      </c>
      <c r="G89" t="n">
        <v>-22.4492</v>
      </c>
      <c r="J89" t="inlineStr">
        <is>
          <t>RMB 億</t>
        </is>
      </c>
      <c r="K89" t="inlineStr">
        <is>
          <t>Verified</t>
        </is>
      </c>
      <c r="M89" t="inlineStr">
        <is>
          <t>經審計（會計師報告，招股章程概要轉載）</t>
        </is>
      </c>
      <c r="N89" t="inlineStr">
        <is>
          <t>智譜招股章程（概要節）</t>
        </is>
      </c>
      <c r="O89" t="inlineStr">
        <is>
          <t>https://www1.hkexnews.hk/listedco/listconews/sehk/2025/1230/2025123000018_c.pdf</t>
        </is>
      </c>
      <c r="P89" t="inlineStr">
        <is>
          <t>2025-12-30</t>
        </is>
      </c>
      <c r="Q89" t="inlineStr">
        <is>
          <t>原文「經營活動所用現金淨額」；千元值 -2,244,919；RMB 千元÷100,000 換算成億；負值＝流出</t>
        </is>
      </c>
    </row>
    <row r="90">
      <c r="A90" t="inlineStr">
        <is>
          <t>SRC_ZP_089</t>
        </is>
      </c>
      <c r="B90" t="inlineStr">
        <is>
          <t>Z1-F</t>
        </is>
      </c>
      <c r="C90" t="inlineStr">
        <is>
          <t>A</t>
        </is>
      </c>
      <c r="D90" t="inlineStr">
        <is>
          <t>ocf_1h24</t>
        </is>
      </c>
      <c r="E90" t="inlineStr">
        <is>
          <t>經營活動所用現金淨額</t>
        </is>
      </c>
      <c r="F90" t="inlineStr">
        <is>
          <t>1H2024</t>
        </is>
      </c>
      <c r="G90" t="n">
        <v>-9.9468</v>
      </c>
      <c r="J90" t="inlineStr">
        <is>
          <t>RMB 億</t>
        </is>
      </c>
      <c r="K90" t="inlineStr">
        <is>
          <t>Verified</t>
        </is>
      </c>
      <c r="M90" t="inlineStr">
        <is>
          <t>會計師報告（1H2024 比較期通常為未經審計已審閱；招股章程概要轉載）</t>
        </is>
      </c>
      <c r="N90" t="inlineStr">
        <is>
          <t>智譜招股章程（概要節）</t>
        </is>
      </c>
      <c r="O90" t="inlineStr">
        <is>
          <t>https://www1.hkexnews.hk/listedco/listconews/sehk/2025/1230/2025123000018_c.pdf</t>
        </is>
      </c>
      <c r="P90" t="inlineStr">
        <is>
          <t>2025-12-30</t>
        </is>
      </c>
      <c r="Q90" t="inlineStr">
        <is>
          <t>原文「經營活動所用現金淨額」；千元值 -994,678；RMB 千元÷100,000 換算成億；負值＝流出</t>
        </is>
      </c>
    </row>
    <row r="91">
      <c r="A91" t="inlineStr">
        <is>
          <t>SRC_ZP_090</t>
        </is>
      </c>
      <c r="B91" t="inlineStr">
        <is>
          <t>Z1-F</t>
        </is>
      </c>
      <c r="C91" t="inlineStr">
        <is>
          <t>A</t>
        </is>
      </c>
      <c r="D91" t="inlineStr">
        <is>
          <t>ocf_1h25</t>
        </is>
      </c>
      <c r="E91" t="inlineStr">
        <is>
          <t>經營活動所用現金淨額</t>
        </is>
      </c>
      <c r="F91" t="inlineStr">
        <is>
          <t>1H2025</t>
        </is>
      </c>
      <c r="G91" t="n">
        <v>-13.2715</v>
      </c>
      <c r="J91" t="inlineStr">
        <is>
          <t>RMB 億</t>
        </is>
      </c>
      <c r="K91" t="inlineStr">
        <is>
          <t>Verified</t>
        </is>
      </c>
      <c r="M91" t="inlineStr">
        <is>
          <t>經審計（會計師報告，招股章程概要轉載）</t>
        </is>
      </c>
      <c r="N91" t="inlineStr">
        <is>
          <t>智譜招股章程（概要節）</t>
        </is>
      </c>
      <c r="O91" t="inlineStr">
        <is>
          <t>https://www1.hkexnews.hk/listedco/listconews/sehk/2025/1230/2025123000018_c.pdf</t>
        </is>
      </c>
      <c r="P91" t="inlineStr">
        <is>
          <t>2025-12-30</t>
        </is>
      </c>
      <c r="Q91" t="inlineStr">
        <is>
          <t>原文「經營活動所用現金淨額」；千元值 -1,327,150；RMB 千元÷100,000 換算成億；負值＝流出</t>
        </is>
      </c>
    </row>
    <row r="92">
      <c r="A92" t="inlineStr">
        <is>
          <t>SRC_ZP_091</t>
        </is>
      </c>
      <c r="B92" t="inlineStr">
        <is>
          <t>Z1-F</t>
        </is>
      </c>
      <c r="C92" t="inlineStr">
        <is>
          <t>A</t>
        </is>
      </c>
      <c r="D92" t="inlineStr">
        <is>
          <t>icf_fy22</t>
        </is>
      </c>
      <c r="E92" t="inlineStr">
        <is>
          <t>投資活動所得／（所用）現金淨額</t>
        </is>
      </c>
      <c r="F92" t="inlineStr">
        <is>
          <t>FY2022</t>
        </is>
      </c>
      <c r="G92" t="n">
        <v>0.3292</v>
      </c>
      <c r="J92" t="inlineStr">
        <is>
          <t>RMB 億</t>
        </is>
      </c>
      <c r="K92" t="inlineStr">
        <is>
          <t>Verified</t>
        </is>
      </c>
      <c r="M92" t="inlineStr">
        <is>
          <t>經審計（會計師報告，招股章程概要轉載）</t>
        </is>
      </c>
      <c r="N92" t="inlineStr">
        <is>
          <t>智譜招股章程（概要節）</t>
        </is>
      </c>
      <c r="O92" t="inlineStr">
        <is>
          <t>https://www1.hkexnews.hk/listedco/listconews/sehk/2025/1230/2025123000018_c.pdf</t>
        </is>
      </c>
      <c r="P92" t="inlineStr">
        <is>
          <t>2025-12-30</t>
        </is>
      </c>
      <c r="Q92" t="inlineStr">
        <is>
          <t>原文「投資活動所得╱」；千元值 32,921；RMB 千元÷100,000 換算成億；非純資本支出（含理財產品）</t>
        </is>
      </c>
    </row>
    <row r="93">
      <c r="A93" t="inlineStr">
        <is>
          <t>SRC_ZP_092</t>
        </is>
      </c>
      <c r="B93" t="inlineStr">
        <is>
          <t>Z1-F</t>
        </is>
      </c>
      <c r="C93" t="inlineStr">
        <is>
          <t>A</t>
        </is>
      </c>
      <c r="D93" t="inlineStr">
        <is>
          <t>icf_fy23</t>
        </is>
      </c>
      <c r="E93" t="inlineStr">
        <is>
          <t>投資活動所得／（所用）現金淨額</t>
        </is>
      </c>
      <c r="F93" t="inlineStr">
        <is>
          <t>FY2023</t>
        </is>
      </c>
      <c r="G93" t="n">
        <v>-7.8496</v>
      </c>
      <c r="J93" t="inlineStr">
        <is>
          <t>RMB 億</t>
        </is>
      </c>
      <c r="K93" t="inlineStr">
        <is>
          <t>Verified</t>
        </is>
      </c>
      <c r="M93" t="inlineStr">
        <is>
          <t>經審計（會計師報告，招股章程概要轉載）</t>
        </is>
      </c>
      <c r="N93" t="inlineStr">
        <is>
          <t>智譜招股章程（概要節）</t>
        </is>
      </c>
      <c r="O93" t="inlineStr">
        <is>
          <t>https://www1.hkexnews.hk/listedco/listconews/sehk/2025/1230/2025123000018_c.pdf</t>
        </is>
      </c>
      <c r="P93" t="inlineStr">
        <is>
          <t>2025-12-30</t>
        </is>
      </c>
      <c r="Q93" t="inlineStr">
        <is>
          <t>原文「投資活動所得╱」；千元值 -784,965；RMB 千元÷100,000 換算成億；非純資本支出（含理財產品）</t>
        </is>
      </c>
    </row>
    <row r="94">
      <c r="A94" t="inlineStr">
        <is>
          <t>SRC_ZP_093</t>
        </is>
      </c>
      <c r="B94" t="inlineStr">
        <is>
          <t>Z1-F</t>
        </is>
      </c>
      <c r="C94" t="inlineStr">
        <is>
          <t>A</t>
        </is>
      </c>
      <c r="D94" t="inlineStr">
        <is>
          <t>icf_fy24</t>
        </is>
      </c>
      <c r="E94" t="inlineStr">
        <is>
          <t>投資活動所得／（所用）現金淨額</t>
        </is>
      </c>
      <c r="F94" t="inlineStr">
        <is>
          <t>FY2024</t>
        </is>
      </c>
      <c r="G94" t="n">
        <v>-0.4856</v>
      </c>
      <c r="J94" t="inlineStr">
        <is>
          <t>RMB 億</t>
        </is>
      </c>
      <c r="K94" t="inlineStr">
        <is>
          <t>Verified</t>
        </is>
      </c>
      <c r="M94" t="inlineStr">
        <is>
          <t>經審計（會計師報告，招股章程概要轉載）</t>
        </is>
      </c>
      <c r="N94" t="inlineStr">
        <is>
          <t>智譜招股章程（概要節）</t>
        </is>
      </c>
      <c r="O94" t="inlineStr">
        <is>
          <t>https://www1.hkexnews.hk/listedco/listconews/sehk/2025/1230/2025123000018_c.pdf</t>
        </is>
      </c>
      <c r="P94" t="inlineStr">
        <is>
          <t>2025-12-30</t>
        </is>
      </c>
      <c r="Q94" t="inlineStr">
        <is>
          <t>原文「投資活動所得╱」；千元值 -48,559；RMB 千元÷100,000 換算成億；非純資本支出（含理財產品）</t>
        </is>
      </c>
    </row>
    <row r="95">
      <c r="A95" t="inlineStr">
        <is>
          <t>SRC_ZP_094</t>
        </is>
      </c>
      <c r="B95" t="inlineStr">
        <is>
          <t>Z1-F</t>
        </is>
      </c>
      <c r="C95" t="inlineStr">
        <is>
          <t>A</t>
        </is>
      </c>
      <c r="D95" t="inlineStr">
        <is>
          <t>icf_1h24</t>
        </is>
      </c>
      <c r="E95" t="inlineStr">
        <is>
          <t>投資活動所得／（所用）現金淨額</t>
        </is>
      </c>
      <c r="F95" t="inlineStr">
        <is>
          <t>1H2024</t>
        </is>
      </c>
      <c r="G95" t="n">
        <v>-1.3878</v>
      </c>
      <c r="J95" t="inlineStr">
        <is>
          <t>RMB 億</t>
        </is>
      </c>
      <c r="K95" t="inlineStr">
        <is>
          <t>Verified</t>
        </is>
      </c>
      <c r="M95" t="inlineStr">
        <is>
          <t>會計師報告（1H2024 比較期通常為未經審計已審閱；招股章程概要轉載）</t>
        </is>
      </c>
      <c r="N95" t="inlineStr">
        <is>
          <t>智譜招股章程（概要節）</t>
        </is>
      </c>
      <c r="O95" t="inlineStr">
        <is>
          <t>https://www1.hkexnews.hk/listedco/listconews/sehk/2025/1230/2025123000018_c.pdf</t>
        </is>
      </c>
      <c r="P95" t="inlineStr">
        <is>
          <t>2025-12-30</t>
        </is>
      </c>
      <c r="Q95" t="inlineStr">
        <is>
          <t>原文「投資活動所得╱」；千元值 -138,775；RMB 千元÷100,000 換算成億；非純資本支出（含理財產品）</t>
        </is>
      </c>
    </row>
    <row r="96">
      <c r="A96" t="inlineStr">
        <is>
          <t>SRC_ZP_095</t>
        </is>
      </c>
      <c r="B96" t="inlineStr">
        <is>
          <t>Z1-F</t>
        </is>
      </c>
      <c r="C96" t="inlineStr">
        <is>
          <t>A</t>
        </is>
      </c>
      <c r="D96" t="inlineStr">
        <is>
          <t>icf_1h25</t>
        </is>
      </c>
      <c r="E96" t="inlineStr">
        <is>
          <t>投資活動所得／（所用）現金淨額</t>
        </is>
      </c>
      <c r="F96" t="inlineStr">
        <is>
          <t>1H2025</t>
        </is>
      </c>
      <c r="G96" t="n">
        <v>-5.5637</v>
      </c>
      <c r="J96" t="inlineStr">
        <is>
          <t>RMB 億</t>
        </is>
      </c>
      <c r="K96" t="inlineStr">
        <is>
          <t>Verified</t>
        </is>
      </c>
      <c r="M96" t="inlineStr">
        <is>
          <t>經審計（會計師報告，招股章程概要轉載）</t>
        </is>
      </c>
      <c r="N96" t="inlineStr">
        <is>
          <t>智譜招股章程（概要節）</t>
        </is>
      </c>
      <c r="O96" t="inlineStr">
        <is>
          <t>https://www1.hkexnews.hk/listedco/listconews/sehk/2025/1230/2025123000018_c.pdf</t>
        </is>
      </c>
      <c r="P96" t="inlineStr">
        <is>
          <t>2025-12-30</t>
        </is>
      </c>
      <c r="Q96" t="inlineStr">
        <is>
          <t>原文「投資活動所得╱」；千元值 -556,373；RMB 千元÷100,000 換算成億；非純資本支出（含理財產品）</t>
        </is>
      </c>
    </row>
    <row r="97">
      <c r="A97" t="inlineStr">
        <is>
          <t>SRC_ZP_096</t>
        </is>
      </c>
      <c r="B97" t="inlineStr">
        <is>
          <t>Z1-F</t>
        </is>
      </c>
      <c r="C97" t="inlineStr">
        <is>
          <t>A</t>
        </is>
      </c>
      <c r="D97" t="inlineStr">
        <is>
          <t>cash_end_fy22</t>
        </is>
      </c>
      <c r="E97" t="inlineStr">
        <is>
          <t>年／期末現金及現金等價物</t>
        </is>
      </c>
      <c r="F97" t="inlineStr">
        <is>
          <t>FY2022</t>
        </is>
      </c>
      <c r="G97" t="n">
        <v>2.1893</v>
      </c>
      <c r="J97" t="inlineStr">
        <is>
          <t>RMB 億</t>
        </is>
      </c>
      <c r="K97" t="inlineStr">
        <is>
          <t>Verified</t>
        </is>
      </c>
      <c r="M97" t="inlineStr">
        <is>
          <t>經審計（會計師報告，招股章程概要轉載）</t>
        </is>
      </c>
      <c r="N97" t="inlineStr">
        <is>
          <t>智譜招股章程（概要節）</t>
        </is>
      </c>
      <c r="O97" t="inlineStr">
        <is>
          <t>https://www1.hkexnews.hk/listedco/listconews/sehk/2025/1230/2025123000018_c.pdf</t>
        </is>
      </c>
      <c r="P97" t="inlineStr">
        <is>
          <t>2025-12-30</t>
        </is>
      </c>
      <c r="Q97" t="inlineStr">
        <is>
          <t>原文「年╱期末現金及現金等價物」；千元值 218,928；RMB 千元÷100,000 換算成億</t>
        </is>
      </c>
    </row>
    <row r="98">
      <c r="A98" t="inlineStr">
        <is>
          <t>SRC_ZP_097</t>
        </is>
      </c>
      <c r="B98" t="inlineStr">
        <is>
          <t>Z1-F</t>
        </is>
      </c>
      <c r="C98" t="inlineStr">
        <is>
          <t>A</t>
        </is>
      </c>
      <c r="D98" t="inlineStr">
        <is>
          <t>cash_end_fy23</t>
        </is>
      </c>
      <c r="E98" t="inlineStr">
        <is>
          <t>年／期末現金及現金等價物</t>
        </is>
      </c>
      <c r="F98" t="inlineStr">
        <is>
          <t>FY2023</t>
        </is>
      </c>
      <c r="G98" t="n">
        <v>12.4917</v>
      </c>
      <c r="J98" t="inlineStr">
        <is>
          <t>RMB 億</t>
        </is>
      </c>
      <c r="K98" t="inlineStr">
        <is>
          <t>Verified</t>
        </is>
      </c>
      <c r="M98" t="inlineStr">
        <is>
          <t>經審計（會計師報告，招股章程概要轉載）</t>
        </is>
      </c>
      <c r="N98" t="inlineStr">
        <is>
          <t>智譜招股章程（概要節）</t>
        </is>
      </c>
      <c r="O98" t="inlineStr">
        <is>
          <t>https://www1.hkexnews.hk/listedco/listconews/sehk/2025/1230/2025123000018_c.pdf</t>
        </is>
      </c>
      <c r="P98" t="inlineStr">
        <is>
          <t>2025-12-30</t>
        </is>
      </c>
      <c r="Q98" t="inlineStr">
        <is>
          <t>原文「年╱期末現金及現金等價物」；千元值 1,249,175；RMB 千元÷100,000 換算成億</t>
        </is>
      </c>
    </row>
    <row r="99">
      <c r="A99" t="inlineStr">
        <is>
          <t>SRC_ZP_098</t>
        </is>
      </c>
      <c r="B99" t="inlineStr">
        <is>
          <t>Z1-F</t>
        </is>
      </c>
      <c r="C99" t="inlineStr">
        <is>
          <t>A</t>
        </is>
      </c>
      <c r="D99" t="inlineStr">
        <is>
          <t>cash_end_fy24</t>
        </is>
      </c>
      <c r="E99" t="inlineStr">
        <is>
          <t>年／期末現金及現金等價物</t>
        </is>
      </c>
      <c r="F99" t="inlineStr">
        <is>
          <t>FY2024</t>
        </is>
      </c>
      <c r="G99" t="n">
        <v>22.6816</v>
      </c>
      <c r="J99" t="inlineStr">
        <is>
          <t>RMB 億</t>
        </is>
      </c>
      <c r="K99" t="inlineStr">
        <is>
          <t>Verified</t>
        </is>
      </c>
      <c r="M99" t="inlineStr">
        <is>
          <t>經審計（會計師報告，招股章程概要轉載）</t>
        </is>
      </c>
      <c r="N99" t="inlineStr">
        <is>
          <t>智譜招股章程（概要節）</t>
        </is>
      </c>
      <c r="O99" t="inlineStr">
        <is>
          <t>https://www1.hkexnews.hk/listedco/listconews/sehk/2025/1230/2025123000018_c.pdf</t>
        </is>
      </c>
      <c r="P99" t="inlineStr">
        <is>
          <t>2025-12-30</t>
        </is>
      </c>
      <c r="Q99" t="inlineStr">
        <is>
          <t>原文「年╱期末現金及現金等價物」；千元值 2,268,164；RMB 千元÷100,000 換算成億</t>
        </is>
      </c>
    </row>
    <row r="100">
      <c r="A100" t="inlineStr">
        <is>
          <t>SRC_ZP_099</t>
        </is>
      </c>
      <c r="B100" t="inlineStr">
        <is>
          <t>Z1-F</t>
        </is>
      </c>
      <c r="C100" t="inlineStr">
        <is>
          <t>A</t>
        </is>
      </c>
      <c r="D100" t="inlineStr">
        <is>
          <t>cash_end_1h24</t>
        </is>
      </c>
      <c r="E100" t="inlineStr">
        <is>
          <t>年／期末現金及現金等價物</t>
        </is>
      </c>
      <c r="F100" t="inlineStr">
        <is>
          <t>1H2024</t>
        </is>
      </c>
      <c r="G100" t="n">
        <v>9.3207</v>
      </c>
      <c r="J100" t="inlineStr">
        <is>
          <t>RMB 億</t>
        </is>
      </c>
      <c r="K100" t="inlineStr">
        <is>
          <t>Verified</t>
        </is>
      </c>
      <c r="M100" t="inlineStr">
        <is>
          <t>會計師報告（1H2024 比較期通常為未經審計已審閱；招股章程概要轉載）</t>
        </is>
      </c>
      <c r="N100" t="inlineStr">
        <is>
          <t>智譜招股章程（概要節）</t>
        </is>
      </c>
      <c r="O100" t="inlineStr">
        <is>
          <t>https://www1.hkexnews.hk/listedco/listconews/sehk/2025/1230/2025123000018_c.pdf</t>
        </is>
      </c>
      <c r="P100" t="inlineStr">
        <is>
          <t>2025-12-30</t>
        </is>
      </c>
      <c r="Q100" t="inlineStr">
        <is>
          <t>原文「年╱期末現金及現金等價物」；千元值 932,066；RMB 千元÷100,000 換算成億</t>
        </is>
      </c>
    </row>
    <row r="101">
      <c r="A101" t="inlineStr">
        <is>
          <t>SRC_ZP_100</t>
        </is>
      </c>
      <c r="B101" t="inlineStr">
        <is>
          <t>Z1-F</t>
        </is>
      </c>
      <c r="C101" t="inlineStr">
        <is>
          <t>A</t>
        </is>
      </c>
      <c r="D101" t="inlineStr">
        <is>
          <t>cash_end_1h25</t>
        </is>
      </c>
      <c r="E101" t="inlineStr">
        <is>
          <t>年／期末現金及現金等價物</t>
        </is>
      </c>
      <c r="F101" t="inlineStr">
        <is>
          <t>1H2025</t>
        </is>
      </c>
      <c r="G101" t="n">
        <v>25.5197</v>
      </c>
      <c r="J101" t="inlineStr">
        <is>
          <t>RMB 億</t>
        </is>
      </c>
      <c r="K101" t="inlineStr">
        <is>
          <t>Verified</t>
        </is>
      </c>
      <c r="M101" t="inlineStr">
        <is>
          <t>經審計（會計師報告，招股章程概要轉載）</t>
        </is>
      </c>
      <c r="N101" t="inlineStr">
        <is>
          <t>智譜招股章程（概要節）</t>
        </is>
      </c>
      <c r="O101" t="inlineStr">
        <is>
          <t>https://www1.hkexnews.hk/listedco/listconews/sehk/2025/1230/2025123000018_c.pdf</t>
        </is>
      </c>
      <c r="P101" t="inlineStr">
        <is>
          <t>2025-12-30</t>
        </is>
      </c>
      <c r="Q101" t="inlineStr">
        <is>
          <t>原文「年╱期末現金及現金等價物」；千元值 2,551,970；RMB 千元÷100,000 換算成億</t>
        </is>
      </c>
    </row>
    <row r="102">
      <c r="A102" t="inlineStr">
        <is>
          <t>SRC_ZP_101</t>
        </is>
      </c>
      <c r="B102" t="inlineStr">
        <is>
          <t>Z1-F</t>
        </is>
      </c>
      <c r="C102" t="inlineStr">
        <is>
          <t>A</t>
        </is>
      </c>
      <c r="D102" t="inlineStr">
        <is>
          <t>gm_total_fy22</t>
        </is>
      </c>
      <c r="E102" t="inlineStr">
        <is>
          <t>整體毛利率</t>
        </is>
      </c>
      <c r="F102" t="inlineStr">
        <is>
          <t>FY2022</t>
        </is>
      </c>
      <c r="G102" t="n">
        <v>54.6</v>
      </c>
      <c r="J102" t="inlineStr">
        <is>
          <t>%</t>
        </is>
      </c>
      <c r="K102" t="inlineStr">
        <is>
          <t>Verified</t>
        </is>
      </c>
      <c r="M102" t="inlineStr">
        <is>
          <t>經審計（會計師報告，招股章程概要轉載）</t>
        </is>
      </c>
      <c r="N102" t="inlineStr">
        <is>
          <t>智譜招股章程（概要節）</t>
        </is>
      </c>
      <c r="O102" t="inlineStr">
        <is>
          <t>https://www1.hkexnews.hk/listedco/listconews/sehk/2025/1230/2025123000018_c.pdf</t>
        </is>
      </c>
      <c r="P102" t="inlineStr">
        <is>
          <t>2025-12-30</t>
        </is>
      </c>
      <c r="Q102" t="inlineStr">
        <is>
          <t>原文「毛利 31,360 54.6」表內毛利率欄</t>
        </is>
      </c>
    </row>
    <row r="103">
      <c r="A103" t="inlineStr">
        <is>
          <t>SRC_ZP_102</t>
        </is>
      </c>
      <c r="B103" t="inlineStr">
        <is>
          <t>Z1-F</t>
        </is>
      </c>
      <c r="C103" t="inlineStr">
        <is>
          <t>A</t>
        </is>
      </c>
      <c r="D103" t="inlineStr">
        <is>
          <t>gm_total_fy23</t>
        </is>
      </c>
      <c r="E103" t="inlineStr">
        <is>
          <t>整體毛利率</t>
        </is>
      </c>
      <c r="F103" t="inlineStr">
        <is>
          <t>FY2023</t>
        </is>
      </c>
      <c r="G103" t="n">
        <v>64.59999999999999</v>
      </c>
      <c r="J103" t="inlineStr">
        <is>
          <t>%</t>
        </is>
      </c>
      <c r="K103" t="inlineStr">
        <is>
          <t>Verified</t>
        </is>
      </c>
      <c r="M103" t="inlineStr">
        <is>
          <t>經審計（會計師報告，招股章程概要轉載）</t>
        </is>
      </c>
      <c r="N103" t="inlineStr">
        <is>
          <t>智譜招股章程（概要節）</t>
        </is>
      </c>
      <c r="O103" t="inlineStr">
        <is>
          <t>https://www1.hkexnews.hk/listedco/listconews/sehk/2025/1230/2025123000018_c.pdf</t>
        </is>
      </c>
      <c r="P103" t="inlineStr">
        <is>
          <t>2025-12-30</t>
        </is>
      </c>
      <c r="Q103" t="inlineStr">
        <is>
          <t>原文「毛利 31,360 54.6」表內毛利率欄</t>
        </is>
      </c>
    </row>
    <row r="104">
      <c r="A104" t="inlineStr">
        <is>
          <t>SRC_ZP_103</t>
        </is>
      </c>
      <c r="B104" t="inlineStr">
        <is>
          <t>Z1-F</t>
        </is>
      </c>
      <c r="C104" t="inlineStr">
        <is>
          <t>A</t>
        </is>
      </c>
      <c r="D104" t="inlineStr">
        <is>
          <t>gm_total_fy24</t>
        </is>
      </c>
      <c r="E104" t="inlineStr">
        <is>
          <t>整體毛利率</t>
        </is>
      </c>
      <c r="F104" t="inlineStr">
        <is>
          <t>FY2024</t>
        </is>
      </c>
      <c r="G104" t="n">
        <v>56.3</v>
      </c>
      <c r="J104" t="inlineStr">
        <is>
          <t>%</t>
        </is>
      </c>
      <c r="K104" t="inlineStr">
        <is>
          <t>Verified</t>
        </is>
      </c>
      <c r="M104" t="inlineStr">
        <is>
          <t>經審計（會計師報告，招股章程概要轉載）</t>
        </is>
      </c>
      <c r="N104" t="inlineStr">
        <is>
          <t>智譜招股章程（概要節）</t>
        </is>
      </c>
      <c r="O104" t="inlineStr">
        <is>
          <t>https://www1.hkexnews.hk/listedco/listconews/sehk/2025/1230/2025123000018_c.pdf</t>
        </is>
      </c>
      <c r="P104" t="inlineStr">
        <is>
          <t>2025-12-30</t>
        </is>
      </c>
      <c r="Q104" t="inlineStr">
        <is>
          <t>原文「毛利 31,360 54.6」表內毛利率欄</t>
        </is>
      </c>
    </row>
    <row r="105">
      <c r="A105" t="inlineStr">
        <is>
          <t>SRC_ZP_104</t>
        </is>
      </c>
      <c r="B105" t="inlineStr">
        <is>
          <t>Z1-F</t>
        </is>
      </c>
      <c r="C105" t="inlineStr">
        <is>
          <t>A</t>
        </is>
      </c>
      <c r="D105" t="inlineStr">
        <is>
          <t>gm_total_1h24</t>
        </is>
      </c>
      <c r="E105" t="inlineStr">
        <is>
          <t>整體毛利率</t>
        </is>
      </c>
      <c r="F105" t="inlineStr">
        <is>
          <t>1H2024</t>
        </is>
      </c>
      <c r="G105" t="n">
        <v>48.9</v>
      </c>
      <c r="J105" t="inlineStr">
        <is>
          <t>%</t>
        </is>
      </c>
      <c r="K105" t="inlineStr">
        <is>
          <t>Verified</t>
        </is>
      </c>
      <c r="M105" t="inlineStr">
        <is>
          <t>會計師報告（1H2024 比較期通常為未經審計已審閱；招股章程概要轉載）</t>
        </is>
      </c>
      <c r="N105" t="inlineStr">
        <is>
          <t>智譜招股章程（概要節）</t>
        </is>
      </c>
      <c r="O105" t="inlineStr">
        <is>
          <t>https://www1.hkexnews.hk/listedco/listconews/sehk/2025/1230/2025123000018_c.pdf</t>
        </is>
      </c>
      <c r="P105" t="inlineStr">
        <is>
          <t>2025-12-30</t>
        </is>
      </c>
      <c r="Q105" t="inlineStr">
        <is>
          <t>原文「毛利 31,360 54.6」表內毛利率欄</t>
        </is>
      </c>
    </row>
    <row r="106">
      <c r="A106" t="inlineStr">
        <is>
          <t>SRC_ZP_105</t>
        </is>
      </c>
      <c r="B106" t="inlineStr">
        <is>
          <t>Z1-F</t>
        </is>
      </c>
      <c r="C106" t="inlineStr">
        <is>
          <t>A</t>
        </is>
      </c>
      <c r="D106" t="inlineStr">
        <is>
          <t>gm_total_1h25</t>
        </is>
      </c>
      <c r="E106" t="inlineStr">
        <is>
          <t>整體毛利率</t>
        </is>
      </c>
      <c r="F106" t="inlineStr">
        <is>
          <t>1H2025</t>
        </is>
      </c>
      <c r="G106" t="n">
        <v>50</v>
      </c>
      <c r="J106" t="inlineStr">
        <is>
          <t>%</t>
        </is>
      </c>
      <c r="K106" t="inlineStr">
        <is>
          <t>Verified</t>
        </is>
      </c>
      <c r="M106" t="inlineStr">
        <is>
          <t>經審計（會計師報告，招股章程概要轉載）</t>
        </is>
      </c>
      <c r="N106" t="inlineStr">
        <is>
          <t>智譜招股章程（概要節）</t>
        </is>
      </c>
      <c r="O106" t="inlineStr">
        <is>
          <t>https://www1.hkexnews.hk/listedco/listconews/sehk/2025/1230/2025123000018_c.pdf</t>
        </is>
      </c>
      <c r="P106" t="inlineStr">
        <is>
          <t>2025-12-30</t>
        </is>
      </c>
      <c r="Q106" t="inlineStr">
        <is>
          <t>原文「毛利 31,360 54.6」表內毛利率欄</t>
        </is>
      </c>
    </row>
    <row r="107">
      <c r="A107" t="inlineStr">
        <is>
          <t>SRC_ZP_106</t>
        </is>
      </c>
      <c r="B107" t="inlineStr">
        <is>
          <t>Z1-F</t>
        </is>
      </c>
      <c r="C107" t="inlineStr">
        <is>
          <t>A</t>
        </is>
      </c>
      <c r="D107" t="inlineStr">
        <is>
          <t>cash_burn_m_fy22</t>
        </is>
      </c>
      <c r="E107" t="inlineStr">
        <is>
          <t>平均每月現金消耗率</t>
        </is>
      </c>
      <c r="F107" t="inlineStr">
        <is>
          <t>FY2022</t>
        </is>
      </c>
      <c r="G107" t="n">
        <v>0.03</v>
      </c>
      <c r="J107" t="inlineStr">
        <is>
          <t>RMB 億／月</t>
        </is>
      </c>
      <c r="K107" t="inlineStr">
        <is>
          <t>Interested-party</t>
        </is>
      </c>
      <c r="L107" t="inlineStr">
        <is>
          <t>智譜：IPO 招股，誘因為發行定價</t>
        </is>
      </c>
      <c r="M107" t="inlineStr">
        <is>
          <t>管理層口徑（招股章程）</t>
        </is>
      </c>
      <c r="N107" t="inlineStr">
        <is>
          <t>智譜招股章程（概要節）</t>
        </is>
      </c>
      <c r="O107" t="inlineStr">
        <is>
          <t>https://www1.hkexnews.hk/listedco/listconews/sehk/2025/1230/2025123000017.pdf</t>
        </is>
      </c>
      <c r="P107" t="inlineStr">
        <is>
          <t>2025-12-30</t>
        </is>
      </c>
      <c r="Q107" t="inlineStr">
        <is>
          <t>原文 average monthly cash burn RMB3.0 million；含經營現金流、購置設備、理財淨額、租賃付款；百萬÷100 換算成億</t>
        </is>
      </c>
    </row>
    <row r="108">
      <c r="A108" t="inlineStr">
        <is>
          <t>SRC_ZP_107</t>
        </is>
      </c>
      <c r="B108" t="inlineStr">
        <is>
          <t>Z1-F</t>
        </is>
      </c>
      <c r="C108" t="inlineStr">
        <is>
          <t>A</t>
        </is>
      </c>
      <c r="D108" t="inlineStr">
        <is>
          <t>cash_burn_m_fy23</t>
        </is>
      </c>
      <c r="E108" t="inlineStr">
        <is>
          <t>平均每月現金消耗率</t>
        </is>
      </c>
      <c r="F108" t="inlineStr">
        <is>
          <t>FY2023</t>
        </is>
      </c>
      <c r="G108" t="n">
        <v>1.059</v>
      </c>
      <c r="J108" t="inlineStr">
        <is>
          <t>RMB 億／月</t>
        </is>
      </c>
      <c r="K108" t="inlineStr">
        <is>
          <t>Interested-party</t>
        </is>
      </c>
      <c r="L108" t="inlineStr">
        <is>
          <t>智譜：IPO 招股，誘因為發行定價</t>
        </is>
      </c>
      <c r="M108" t="inlineStr">
        <is>
          <t>管理層口徑（招股章程）</t>
        </is>
      </c>
      <c r="N108" t="inlineStr">
        <is>
          <t>智譜招股章程（概要節）</t>
        </is>
      </c>
      <c r="O108" t="inlineStr">
        <is>
          <t>https://www1.hkexnews.hk/listedco/listconews/sehk/2025/1230/2025123000017.pdf</t>
        </is>
      </c>
      <c r="P108" t="inlineStr">
        <is>
          <t>2025-12-30</t>
        </is>
      </c>
      <c r="Q108" t="inlineStr">
        <is>
          <t>原文 average monthly cash burn RMB105.9 million；含經營現金流、購置設備、理財淨額、租賃付款；百萬÷100 換算成億</t>
        </is>
      </c>
    </row>
    <row r="109">
      <c r="A109" t="inlineStr">
        <is>
          <t>SRC_ZP_108</t>
        </is>
      </c>
      <c r="B109" t="inlineStr">
        <is>
          <t>Z1-F</t>
        </is>
      </c>
      <c r="C109" t="inlineStr">
        <is>
          <t>A</t>
        </is>
      </c>
      <c r="D109" t="inlineStr">
        <is>
          <t>cash_burn_m_fy24</t>
        </is>
      </c>
      <c r="E109" t="inlineStr">
        <is>
          <t>平均每月現金消耗率</t>
        </is>
      </c>
      <c r="F109" t="inlineStr">
        <is>
          <t>FY2024</t>
        </is>
      </c>
      <c r="G109" t="n">
        <v>1.945</v>
      </c>
      <c r="J109" t="inlineStr">
        <is>
          <t>RMB 億／月</t>
        </is>
      </c>
      <c r="K109" t="inlineStr">
        <is>
          <t>Interested-party</t>
        </is>
      </c>
      <c r="L109" t="inlineStr">
        <is>
          <t>智譜：IPO 招股，誘因為發行定價</t>
        </is>
      </c>
      <c r="M109" t="inlineStr">
        <is>
          <t>管理層口徑（招股章程）</t>
        </is>
      </c>
      <c r="N109" t="inlineStr">
        <is>
          <t>智譜招股章程（概要節）</t>
        </is>
      </c>
      <c r="O109" t="inlineStr">
        <is>
          <t>https://www1.hkexnews.hk/listedco/listconews/sehk/2025/1230/2025123000017.pdf</t>
        </is>
      </c>
      <c r="P109" t="inlineStr">
        <is>
          <t>2025-12-30</t>
        </is>
      </c>
      <c r="Q109" t="inlineStr">
        <is>
          <t>原文 average monthly cash burn RMB194.5 million；含經營現金流、購置設備、理財淨額、租賃付款；百萬÷100 換算成億</t>
        </is>
      </c>
    </row>
    <row r="110">
      <c r="A110" t="inlineStr">
        <is>
          <t>SRC_ZP_109</t>
        </is>
      </c>
      <c r="B110" t="inlineStr">
        <is>
          <t>Z1-F</t>
        </is>
      </c>
      <c r="C110" t="inlineStr">
        <is>
          <t>A</t>
        </is>
      </c>
      <c r="D110" t="inlineStr">
        <is>
          <t>cash_burn_m_1h25</t>
        </is>
      </c>
      <c r="E110" t="inlineStr">
        <is>
          <t>平均每月現金消耗率</t>
        </is>
      </c>
      <c r="F110" t="inlineStr">
        <is>
          <t>1H2025</t>
        </is>
      </c>
      <c r="G110" t="n">
        <v>3.273</v>
      </c>
      <c r="J110" t="inlineStr">
        <is>
          <t>RMB 億／月</t>
        </is>
      </c>
      <c r="K110" t="inlineStr">
        <is>
          <t>Interested-party</t>
        </is>
      </c>
      <c r="L110" t="inlineStr">
        <is>
          <t>智譜：IPO 招股，誘因為發行定價</t>
        </is>
      </c>
      <c r="M110" t="inlineStr">
        <is>
          <t>管理層口徑（招股章程）</t>
        </is>
      </c>
      <c r="N110" t="inlineStr">
        <is>
          <t>智譜招股章程（概要節）</t>
        </is>
      </c>
      <c r="O110" t="inlineStr">
        <is>
          <t>https://www1.hkexnews.hk/listedco/listconews/sehk/2025/1230/2025123000017.pdf</t>
        </is>
      </c>
      <c r="P110" t="inlineStr">
        <is>
          <t>2025-12-30</t>
        </is>
      </c>
      <c r="Q110" t="inlineStr">
        <is>
          <t>原文 average monthly cash burn RMB327.3 million；含經營現金流、購置設備、理財淨額、租賃付款；百萬÷100 換算成億</t>
        </is>
      </c>
    </row>
    <row r="111">
      <c r="A111" t="inlineStr">
        <is>
          <t>SRC_ZP_110</t>
        </is>
      </c>
      <c r="B111" t="inlineStr">
        <is>
          <t>Z1-F</t>
        </is>
      </c>
      <c r="C111" t="inlineStr">
        <is>
          <t>A</t>
        </is>
      </c>
      <c r="D111" t="inlineStr">
        <is>
          <t>liquidity_2510</t>
        </is>
      </c>
      <c r="E111" t="inlineStr">
        <is>
          <t>現金＋FVPL 短期投資＋可用承諾銀行授信合計</t>
        </is>
      </c>
      <c r="F111" t="inlineStr">
        <is>
          <t>2025-10-31</t>
        </is>
      </c>
      <c r="G111" t="n">
        <v>89.431</v>
      </c>
      <c r="J111" t="inlineStr">
        <is>
          <t>RMB 億</t>
        </is>
      </c>
      <c r="K111" t="inlineStr">
        <is>
          <t>Interested-party</t>
        </is>
      </c>
      <c r="L111" t="inlineStr">
        <is>
          <t>智譜：IPO 招股，營運資金說明</t>
        </is>
      </c>
      <c r="M111" t="inlineStr">
        <is>
          <t>管理層口徑（招股章程營運資金充足性）</t>
        </is>
      </c>
      <c r="N111" t="inlineStr">
        <is>
          <t>智譜招股章程（概要節）</t>
        </is>
      </c>
      <c r="O111" t="inlineStr">
        <is>
          <t>https://www1.hkexnews.hk/listedco/listconews/sehk/2025/1230/2025123000017.pdf</t>
        </is>
      </c>
      <c r="P111" t="inlineStr">
        <is>
          <t>2025-12-30</t>
        </is>
      </c>
      <c r="Q111" t="inlineStr">
        <is>
          <t>原文「available committed bank facilities of RMB8,943.1 million in aggregate」；三項合計，未拆授信額</t>
        </is>
      </c>
    </row>
    <row r="112">
      <c r="A112" t="inlineStr">
        <is>
          <t>SRC_ZP_111</t>
        </is>
      </c>
      <c r="B112" t="inlineStr">
        <is>
          <t>Z1-F</t>
        </is>
      </c>
      <c r="C112" t="inlineStr">
        <is>
          <t>E</t>
        </is>
      </c>
      <c r="D112" t="inlineStr">
        <is>
          <t>rd_staff_1h25</t>
        </is>
      </c>
      <c r="E112" t="inlineStr">
        <is>
          <t>研發團隊人數</t>
        </is>
      </c>
      <c r="F112" t="inlineStr">
        <is>
          <t>2025-06-30</t>
        </is>
      </c>
      <c r="G112" t="n">
        <v>657</v>
      </c>
      <c r="J112" t="inlineStr">
        <is>
          <t>人</t>
        </is>
      </c>
      <c r="K112" t="inlineStr">
        <is>
          <t>Verified</t>
        </is>
      </c>
      <c r="M112" t="inlineStr">
        <is>
          <t>管理層口徑</t>
        </is>
      </c>
      <c r="N112" t="inlineStr">
        <is>
          <t>智譜招股章程（概要節）</t>
        </is>
      </c>
      <c r="O112" t="inlineStr">
        <is>
          <t>https://www1.hkexnews.hk/listedco/listconews/sehk/2025/1230/2025123000018_c.pdf</t>
        </is>
      </c>
      <c r="P112" t="inlineStr">
        <is>
          <t>2025-12-30</t>
        </is>
      </c>
      <c r="Q112" t="inlineStr">
        <is>
          <t>原文「一支由657名成員組成的研發團隊」</t>
        </is>
      </c>
    </row>
    <row r="113">
      <c r="A113" t="inlineStr">
        <is>
          <t>SRC_ZP_112</t>
        </is>
      </c>
      <c r="B113" t="inlineStr">
        <is>
          <t>Z1-F</t>
        </is>
      </c>
      <c r="C113" t="inlineStr">
        <is>
          <t>A</t>
        </is>
      </c>
      <c r="D113" t="inlineStr">
        <is>
          <t>rev_api_fy25</t>
        </is>
      </c>
      <c r="E113" t="inlineStr">
        <is>
          <t>開放平台及 API 收入（新分類）</t>
        </is>
      </c>
      <c r="F113" t="inlineStr">
        <is>
          <t>FY2025</t>
        </is>
      </c>
      <c r="G113" t="n">
        <v>1.9038</v>
      </c>
      <c r="J113" t="inlineStr">
        <is>
          <t>RMB 億</t>
        </is>
      </c>
      <c r="K113" t="inlineStr">
        <is>
          <t>Verified</t>
        </is>
      </c>
      <c r="M113" t="inlineStr">
        <is>
          <t>經審計（KPMG；年度業績公告）</t>
        </is>
      </c>
      <c r="N113" t="inlineStr">
        <is>
          <t>智譜 2025 年度業績公告</t>
        </is>
      </c>
      <c r="O113" t="inlineStr">
        <is>
          <t>https://www1.hkexnews.hk/listedco/listconews/sehk/2026/0331/2026033101549.pdf</t>
        </is>
      </c>
      <c r="P113" t="inlineStr">
        <is>
          <t>2026-03-31</t>
        </is>
      </c>
      <c r="Q113" t="inlineStr">
        <is>
          <t>原文「Open Platform and API」；千元值 190,379；RMB 千元÷100,000 換算成億；2025 占營收 26.3%；新分類下＝雲端部署</t>
        </is>
      </c>
    </row>
    <row r="114">
      <c r="A114" t="inlineStr">
        <is>
          <t>SRC_ZP_113</t>
        </is>
      </c>
      <c r="B114" t="inlineStr">
        <is>
          <t>Z1-F</t>
        </is>
      </c>
      <c r="C114" t="inlineStr">
        <is>
          <t>A</t>
        </is>
      </c>
      <c r="D114" t="inlineStr">
        <is>
          <t>rev_api_fy24</t>
        </is>
      </c>
      <c r="E114" t="inlineStr">
        <is>
          <t>開放平台及 API 收入（新分類）</t>
        </is>
      </c>
      <c r="F114" t="inlineStr">
        <is>
          <t>FY2024</t>
        </is>
      </c>
      <c r="G114" t="n">
        <v>0.4848</v>
      </c>
      <c r="J114" t="inlineStr">
        <is>
          <t>RMB 億</t>
        </is>
      </c>
      <c r="K114" t="inlineStr">
        <is>
          <t>Verified</t>
        </is>
      </c>
      <c r="M114" t="inlineStr">
        <is>
          <t>經審計（KPMG；年度業績公告）</t>
        </is>
      </c>
      <c r="N114" t="inlineStr">
        <is>
          <t>智譜 2025 年度業績公告</t>
        </is>
      </c>
      <c r="O114" t="inlineStr">
        <is>
          <t>https://www1.hkexnews.hk/listedco/listconews/sehk/2026/0331/2026033101549.pdf</t>
        </is>
      </c>
      <c r="P114" t="inlineStr">
        <is>
          <t>2026-03-31</t>
        </is>
      </c>
      <c r="Q114" t="inlineStr">
        <is>
          <t>原文「Open Platform and API」；千元值 48,484；RMB 千元÷100,000 換算成億；2025 占營收 26.3%；新分類下＝雲端部署</t>
        </is>
      </c>
    </row>
    <row r="115">
      <c r="A115" t="inlineStr">
        <is>
          <t>SRC_ZP_114</t>
        </is>
      </c>
      <c r="B115" t="inlineStr">
        <is>
          <t>Z1-F</t>
        </is>
      </c>
      <c r="C115" t="inlineStr">
        <is>
          <t>A</t>
        </is>
      </c>
      <c r="D115" t="inlineStr">
        <is>
          <t>rev_agent_fy25</t>
        </is>
      </c>
      <c r="E115" t="inlineStr">
        <is>
          <t>企業級智能體收入（新分類）</t>
        </is>
      </c>
      <c r="F115" t="inlineStr">
        <is>
          <t>FY2025</t>
        </is>
      </c>
      <c r="G115" t="n">
        <v>1.6569</v>
      </c>
      <c r="J115" t="inlineStr">
        <is>
          <t>RMB 億</t>
        </is>
      </c>
      <c r="K115" t="inlineStr">
        <is>
          <t>Verified</t>
        </is>
      </c>
      <c r="M115" t="inlineStr">
        <is>
          <t>經審計（KPMG；年度業績公告）</t>
        </is>
      </c>
      <c r="N115" t="inlineStr">
        <is>
          <t>智譜 2025 年度業績公告</t>
        </is>
      </c>
      <c r="O115" t="inlineStr">
        <is>
          <t>https://www1.hkexnews.hk/listedco/listconews/sehk/2026/0331/2026033101549.pdf</t>
        </is>
      </c>
      <c r="P115" t="inlineStr">
        <is>
          <t>2026-03-31</t>
        </is>
      </c>
      <c r="Q115" t="inlineStr">
        <is>
          <t>原文「Enterprise-level Agents」；千元值 165,687；RMB 千元÷100,000 換算成億；屬本地化部署分部</t>
        </is>
      </c>
    </row>
    <row r="116">
      <c r="A116" t="inlineStr">
        <is>
          <t>SRC_ZP_115</t>
        </is>
      </c>
      <c r="B116" t="inlineStr">
        <is>
          <t>Z1-F</t>
        </is>
      </c>
      <c r="C116" t="inlineStr">
        <is>
          <t>A</t>
        </is>
      </c>
      <c r="D116" t="inlineStr">
        <is>
          <t>rev_agent_fy24</t>
        </is>
      </c>
      <c r="E116" t="inlineStr">
        <is>
          <t>企業級智能體收入（新分類）</t>
        </is>
      </c>
      <c r="F116" t="inlineStr">
        <is>
          <t>FY2024</t>
        </is>
      </c>
      <c r="G116" t="n">
        <v>0.4749</v>
      </c>
      <c r="J116" t="inlineStr">
        <is>
          <t>RMB 億</t>
        </is>
      </c>
      <c r="K116" t="inlineStr">
        <is>
          <t>Verified</t>
        </is>
      </c>
      <c r="M116" t="inlineStr">
        <is>
          <t>經審計（KPMG；年度業績公告）</t>
        </is>
      </c>
      <c r="N116" t="inlineStr">
        <is>
          <t>智譜 2025 年度業績公告</t>
        </is>
      </c>
      <c r="O116" t="inlineStr">
        <is>
          <t>https://www1.hkexnews.hk/listedco/listconews/sehk/2026/0331/2026033101549.pdf</t>
        </is>
      </c>
      <c r="P116" t="inlineStr">
        <is>
          <t>2026-03-31</t>
        </is>
      </c>
      <c r="Q116" t="inlineStr">
        <is>
          <t>原文「Enterprise-level Agents」；千元值 47,492；RMB 千元÷100,000 換算成億；屬本地化部署分部</t>
        </is>
      </c>
    </row>
    <row r="117">
      <c r="A117" t="inlineStr">
        <is>
          <t>SRC_ZP_116</t>
        </is>
      </c>
      <c r="B117" t="inlineStr">
        <is>
          <t>Z1-F</t>
        </is>
      </c>
      <c r="C117" t="inlineStr">
        <is>
          <t>A</t>
        </is>
      </c>
      <c r="D117" t="inlineStr">
        <is>
          <t>rev_gpllm_fy25</t>
        </is>
      </c>
      <c r="E117" t="inlineStr">
        <is>
          <t>企業級通用大模型收入（新分類）</t>
        </is>
      </c>
      <c r="F117" t="inlineStr">
        <is>
          <t>FY2025</t>
        </is>
      </c>
      <c r="G117" t="n">
        <v>3.6572</v>
      </c>
      <c r="J117" t="inlineStr">
        <is>
          <t>RMB 億</t>
        </is>
      </c>
      <c r="K117" t="inlineStr">
        <is>
          <t>Verified</t>
        </is>
      </c>
      <c r="M117" t="inlineStr">
        <is>
          <t>經審計（KPMG；年度業績公告）</t>
        </is>
      </c>
      <c r="N117" t="inlineStr">
        <is>
          <t>智譜 2025 年度業績公告</t>
        </is>
      </c>
      <c r="O117" t="inlineStr">
        <is>
          <t>https://www1.hkexnews.hk/listedco/listconews/sehk/2026/0331/2026033101549.pdf</t>
        </is>
      </c>
      <c r="P117" t="inlineStr">
        <is>
          <t>2026-03-31</t>
        </is>
      </c>
      <c r="Q117" t="inlineStr">
        <is>
          <t>原文「Enterprise-level General-purpose Large Models」；千元值 365,724；RMB 千元÷100,000 換算成億；屬本地化部署分部</t>
        </is>
      </c>
    </row>
    <row r="118">
      <c r="A118" t="inlineStr">
        <is>
          <t>SRC_ZP_117</t>
        </is>
      </c>
      <c r="B118" t="inlineStr">
        <is>
          <t>Z1-F</t>
        </is>
      </c>
      <c r="C118" t="inlineStr">
        <is>
          <t>A</t>
        </is>
      </c>
      <c r="D118" t="inlineStr">
        <is>
          <t>rev_gpllm_fy24</t>
        </is>
      </c>
      <c r="E118" t="inlineStr">
        <is>
          <t>企業級通用大模型收入（新分類）</t>
        </is>
      </c>
      <c r="F118" t="inlineStr">
        <is>
          <t>FY2024</t>
        </is>
      </c>
      <c r="G118" t="n">
        <v>2.145</v>
      </c>
      <c r="J118" t="inlineStr">
        <is>
          <t>RMB 億</t>
        </is>
      </c>
      <c r="K118" t="inlineStr">
        <is>
          <t>Verified</t>
        </is>
      </c>
      <c r="M118" t="inlineStr">
        <is>
          <t>經審計（KPMG；年度業績公告）</t>
        </is>
      </c>
      <c r="N118" t="inlineStr">
        <is>
          <t>智譜 2025 年度業績公告</t>
        </is>
      </c>
      <c r="O118" t="inlineStr">
        <is>
          <t>https://www1.hkexnews.hk/listedco/listconews/sehk/2026/0331/2026033101549.pdf</t>
        </is>
      </c>
      <c r="P118" t="inlineStr">
        <is>
          <t>2026-03-31</t>
        </is>
      </c>
      <c r="Q118" t="inlineStr">
        <is>
          <t>原文「Enterprise-level General-purpose Large Models」；千元值 214,502；RMB 千元÷100,000 換算成億；屬本地化部署分部</t>
        </is>
      </c>
    </row>
    <row r="119">
      <c r="A119" t="inlineStr">
        <is>
          <t>SRC_ZP_118</t>
        </is>
      </c>
      <c r="B119" t="inlineStr">
        <is>
          <t>Z1-F</t>
        </is>
      </c>
      <c r="C119" t="inlineStr">
        <is>
          <t>A</t>
        </is>
      </c>
      <c r="D119" t="inlineStr">
        <is>
          <t>rev_techsvc_fy25</t>
        </is>
      </c>
      <c r="E119" t="inlineStr">
        <is>
          <t>技術服務及其他收入（新分類）</t>
        </is>
      </c>
      <c r="F119" t="inlineStr">
        <is>
          <t>FY2025</t>
        </is>
      </c>
      <c r="G119" t="n">
        <v>0.0254</v>
      </c>
      <c r="J119" t="inlineStr">
        <is>
          <t>RMB 億</t>
        </is>
      </c>
      <c r="K119" t="inlineStr">
        <is>
          <t>Verified</t>
        </is>
      </c>
      <c r="M119" t="inlineStr">
        <is>
          <t>經審計（KPMG；年度業績公告）</t>
        </is>
      </c>
      <c r="N119" t="inlineStr">
        <is>
          <t>智譜 2025 年度業績公告</t>
        </is>
      </c>
      <c r="O119" t="inlineStr">
        <is>
          <t>https://www1.hkexnews.hk/listedco/listconews/sehk/2026/0331/2026033101549.pdf</t>
        </is>
      </c>
      <c r="P119" t="inlineStr">
        <is>
          <t>2026-03-31</t>
        </is>
      </c>
      <c r="Q119" t="inlineStr">
        <is>
          <t>原文「Technical Services and Others」；千元值 2,544；RMB 千元÷100,000 換算成億</t>
        </is>
      </c>
    </row>
    <row r="120">
      <c r="A120" t="inlineStr">
        <is>
          <t>SRC_ZP_119</t>
        </is>
      </c>
      <c r="B120" t="inlineStr">
        <is>
          <t>Z1-F</t>
        </is>
      </c>
      <c r="C120" t="inlineStr">
        <is>
          <t>A</t>
        </is>
      </c>
      <c r="D120" t="inlineStr">
        <is>
          <t>rev_techsvc_fy24</t>
        </is>
      </c>
      <c r="E120" t="inlineStr">
        <is>
          <t>技術服務及其他收入（新分類）</t>
        </is>
      </c>
      <c r="F120" t="inlineStr">
        <is>
          <t>FY2024</t>
        </is>
      </c>
      <c r="G120" t="n">
        <v>0.0194</v>
      </c>
      <c r="J120" t="inlineStr">
        <is>
          <t>RMB 億</t>
        </is>
      </c>
      <c r="K120" t="inlineStr">
        <is>
          <t>Verified</t>
        </is>
      </c>
      <c r="M120" t="inlineStr">
        <is>
          <t>經審計（KPMG；年度業績公告）</t>
        </is>
      </c>
      <c r="N120" t="inlineStr">
        <is>
          <t>智譜 2025 年度業績公告</t>
        </is>
      </c>
      <c r="O120" t="inlineStr">
        <is>
          <t>https://www1.hkexnews.hk/listedco/listconews/sehk/2026/0331/2026033101549.pdf</t>
        </is>
      </c>
      <c r="P120" t="inlineStr">
        <is>
          <t>2026-03-31</t>
        </is>
      </c>
      <c r="Q120" t="inlineStr">
        <is>
          <t>原文「Technical Services and Others」；千元值 1,936；RMB 千元÷100,000 換算成億</t>
        </is>
      </c>
    </row>
    <row r="121">
      <c r="A121" t="inlineStr">
        <is>
          <t>SRC_ZP_120</t>
        </is>
      </c>
      <c r="B121" t="inlineStr">
        <is>
          <t>Z1-F</t>
        </is>
      </c>
      <c r="C121" t="inlineStr">
        <is>
          <t>A</t>
        </is>
      </c>
      <c r="D121" t="inlineStr">
        <is>
          <t>rev_total_fy25</t>
        </is>
      </c>
      <c r="E121" t="inlineStr">
        <is>
          <t>營收總額</t>
        </is>
      </c>
      <c r="F121" t="inlineStr">
        <is>
          <t>FY2025</t>
        </is>
      </c>
      <c r="G121" t="n">
        <v>7.2433</v>
      </c>
      <c r="J121" t="inlineStr">
        <is>
          <t>RMB 億</t>
        </is>
      </c>
      <c r="K121" t="inlineStr">
        <is>
          <t>Verified</t>
        </is>
      </c>
      <c r="M121" t="inlineStr">
        <is>
          <t>經審計（KPMG；年度業績公告）</t>
        </is>
      </c>
      <c r="N121" t="inlineStr">
        <is>
          <t>智譜 2025 年度業績公告</t>
        </is>
      </c>
      <c r="O121" t="inlineStr">
        <is>
          <t>https://www1.hkexnews.hk/listedco/listconews/sehk/2026/0331/2026033101549.pdf</t>
        </is>
      </c>
      <c r="P121" t="inlineStr">
        <is>
          <t>2026-03-31</t>
        </is>
      </c>
      <c r="Q121" t="inlineStr">
        <is>
          <t>原文「total revenue reached RMB724.3 million」，同比 +131.9%；千元 724,334；RMB 千元÷100,000 換算成億</t>
        </is>
      </c>
    </row>
    <row r="122">
      <c r="A122" t="inlineStr">
        <is>
          <t>SRC_ZP_121</t>
        </is>
      </c>
      <c r="B122" t="inlineStr">
        <is>
          <t>Z1-F</t>
        </is>
      </c>
      <c r="C122" t="inlineStr">
        <is>
          <t>A</t>
        </is>
      </c>
      <c r="D122" t="inlineStr">
        <is>
          <t>rev_onprem_fy25</t>
        </is>
      </c>
      <c r="E122" t="inlineStr">
        <is>
          <t>本地化部署收入（分部）</t>
        </is>
      </c>
      <c r="F122" t="inlineStr">
        <is>
          <t>FY2025</t>
        </is>
      </c>
      <c r="G122" t="n">
        <v>5.3396</v>
      </c>
      <c r="J122" t="inlineStr">
        <is>
          <t>RMB 億</t>
        </is>
      </c>
      <c r="K122" t="inlineStr">
        <is>
          <t>Verified</t>
        </is>
      </c>
      <c r="M122" t="inlineStr">
        <is>
          <t>經審計（KPMG；年度業績公告）</t>
        </is>
      </c>
      <c r="N122" t="inlineStr">
        <is>
          <t>智譜 2025 年度業績公告</t>
        </is>
      </c>
      <c r="O122" t="inlineStr">
        <is>
          <t>https://www1.hkexnews.hk/listedco/listconews/sehk/2026/0331/2026033101549.pdf</t>
        </is>
      </c>
      <c r="P122" t="inlineStr">
        <is>
          <t>2026-03-31</t>
        </is>
      </c>
      <c r="Q122" t="inlineStr">
        <is>
          <t>分部附註 on-premise deployment 533,955 千元（＝智能體＋通用大模型＋技術服務）；RMB 千元÷100,000 換算成億</t>
        </is>
      </c>
    </row>
    <row r="123">
      <c r="A123" t="inlineStr">
        <is>
          <t>SRC_ZP_122</t>
        </is>
      </c>
      <c r="B123" t="inlineStr">
        <is>
          <t>Z1-F</t>
        </is>
      </c>
      <c r="C123" t="inlineStr">
        <is>
          <t>A</t>
        </is>
      </c>
      <c r="D123" t="inlineStr">
        <is>
          <t>rev_cloud_fy25</t>
        </is>
      </c>
      <c r="E123" t="inlineStr">
        <is>
          <t>雲端部署收入（分部）</t>
        </is>
      </c>
      <c r="F123" t="inlineStr">
        <is>
          <t>FY2025</t>
        </is>
      </c>
      <c r="G123" t="n">
        <v>1.9038</v>
      </c>
      <c r="J123" t="inlineStr">
        <is>
          <t>RMB 億</t>
        </is>
      </c>
      <c r="K123" t="inlineStr">
        <is>
          <t>Verified</t>
        </is>
      </c>
      <c r="M123" t="inlineStr">
        <is>
          <t>經審計（KPMG；年度業績公告）</t>
        </is>
      </c>
      <c r="N123" t="inlineStr">
        <is>
          <t>智譜 2025 年度業績公告</t>
        </is>
      </c>
      <c r="O123" t="inlineStr">
        <is>
          <t>https://www1.hkexnews.hk/listedco/listconews/sehk/2026/0331/2026033101549.pdf</t>
        </is>
      </c>
      <c r="P123" t="inlineStr">
        <is>
          <t>2026-03-31</t>
        </is>
      </c>
      <c r="Q123" t="inlineStr">
        <is>
          <t>分部附註 cloud-based deployment 190,379 千元＝開放平台及 API；RMB 千元÷100,000 換算成億</t>
        </is>
      </c>
    </row>
    <row r="124">
      <c r="A124" t="inlineStr">
        <is>
          <t>SRC_ZP_123</t>
        </is>
      </c>
      <c r="B124" t="inlineStr">
        <is>
          <t>Z1-F</t>
        </is>
      </c>
      <c r="C124" t="inlineStr">
        <is>
          <t>A</t>
        </is>
      </c>
      <c r="D124" t="inlineStr">
        <is>
          <t>cogs_fy25</t>
        </is>
      </c>
      <c r="E124" t="inlineStr">
        <is>
          <t>銷售成本</t>
        </is>
      </c>
      <c r="F124" t="inlineStr">
        <is>
          <t>FY2025</t>
        </is>
      </c>
      <c r="G124" t="n">
        <v>4.2768</v>
      </c>
      <c r="J124" t="inlineStr">
        <is>
          <t>RMB 億</t>
        </is>
      </c>
      <c r="K124" t="inlineStr">
        <is>
          <t>Verified</t>
        </is>
      </c>
      <c r="M124" t="inlineStr">
        <is>
          <t>經審計（KPMG；年度業績公告）</t>
        </is>
      </c>
      <c r="N124" t="inlineStr">
        <is>
          <t>智譜 2025 年度業績公告</t>
        </is>
      </c>
      <c r="O124" t="inlineStr">
        <is>
          <t>https://www1.hkexnews.hk/listedco/listconews/sehk/2026/0331/2026033101549.pdf</t>
        </is>
      </c>
      <c r="P124" t="inlineStr">
        <is>
          <t>2026-03-31</t>
        </is>
      </c>
      <c r="Q124" t="inlineStr">
        <is>
          <t>原文「Cost of revenue」；千元值 427,678；RMB 千元÷100,000 換算成億；原文「primarily attributable to the rise in computing service fees」，未揭露金額</t>
        </is>
      </c>
    </row>
    <row r="125">
      <c r="A125" t="inlineStr">
        <is>
          <t>SRC_ZP_124</t>
        </is>
      </c>
      <c r="B125" t="inlineStr">
        <is>
          <t>Z1-F</t>
        </is>
      </c>
      <c r="C125" t="inlineStr">
        <is>
          <t>A</t>
        </is>
      </c>
      <c r="D125" t="inlineStr">
        <is>
          <t>gp_total_fy25</t>
        </is>
      </c>
      <c r="E125" t="inlineStr">
        <is>
          <t>毛利</t>
        </is>
      </c>
      <c r="F125" t="inlineStr">
        <is>
          <t>FY2025</t>
        </is>
      </c>
      <c r="G125" t="n">
        <v>2.9666</v>
      </c>
      <c r="J125" t="inlineStr">
        <is>
          <t>RMB 億</t>
        </is>
      </c>
      <c r="K125" t="inlineStr">
        <is>
          <t>Verified</t>
        </is>
      </c>
      <c r="M125" t="inlineStr">
        <is>
          <t>經審計（KPMG；年度業績公告）</t>
        </is>
      </c>
      <c r="N125" t="inlineStr">
        <is>
          <t>智譜 2025 年度業績公告</t>
        </is>
      </c>
      <c r="O125" t="inlineStr">
        <is>
          <t>https://www1.hkexnews.hk/listedco/listconews/sehk/2026/0331/2026033101549.pdf</t>
        </is>
      </c>
      <c r="P125" t="inlineStr">
        <is>
          <t>2026-03-31</t>
        </is>
      </c>
      <c r="Q125" t="inlineStr">
        <is>
          <t>原文「Gross profit」；千元值 296,656；RMB 千元÷100,000 換算成億；毛利率 41.0%（2024：56.3%）</t>
        </is>
      </c>
    </row>
    <row r="126">
      <c r="A126" t="inlineStr">
        <is>
          <t>SRC_ZP_125</t>
        </is>
      </c>
      <c r="B126" t="inlineStr">
        <is>
          <t>Z1-F</t>
        </is>
      </c>
      <c r="C126" t="inlineStr">
        <is>
          <t>A</t>
        </is>
      </c>
      <c r="D126" t="inlineStr">
        <is>
          <t>gm_total_fy25</t>
        </is>
      </c>
      <c r="E126" t="inlineStr">
        <is>
          <t>整體毛利率</t>
        </is>
      </c>
      <c r="F126" t="inlineStr">
        <is>
          <t>FY2025</t>
        </is>
      </c>
      <c r="G126" t="n">
        <v>41</v>
      </c>
      <c r="J126" t="inlineStr">
        <is>
          <t>%</t>
        </is>
      </c>
      <c r="K126" t="inlineStr">
        <is>
          <t>Verified</t>
        </is>
      </c>
      <c r="M126" t="inlineStr">
        <is>
          <t>經審計（KPMG；年度業績公告）</t>
        </is>
      </c>
      <c r="N126" t="inlineStr">
        <is>
          <t>智譜 2025 年度業績公告</t>
        </is>
      </c>
      <c r="O126" t="inlineStr">
        <is>
          <t>https://www1.hkexnews.hk/listedco/listconews/sehk/2026/0331/2026033101549.pdf</t>
        </is>
      </c>
      <c r="P126" t="inlineStr">
        <is>
          <t>2026-03-31</t>
        </is>
      </c>
      <c r="Q126" t="inlineStr">
        <is>
          <t>原文 gross margin 41.0%（2024 56.3%）</t>
        </is>
      </c>
    </row>
    <row r="127">
      <c r="A127" t="inlineStr">
        <is>
          <t>SRC_ZP_126</t>
        </is>
      </c>
      <c r="B127" t="inlineStr">
        <is>
          <t>Z1-F</t>
        </is>
      </c>
      <c r="C127" t="inlineStr">
        <is>
          <t>A</t>
        </is>
      </c>
      <c r="D127" t="inlineStr">
        <is>
          <t>gp_onprem_fy25</t>
        </is>
      </c>
      <c r="E127" t="inlineStr">
        <is>
          <t>本地化部署毛利（分部）</t>
        </is>
      </c>
      <c r="F127" t="inlineStr">
        <is>
          <t>FY2025</t>
        </is>
      </c>
      <c r="G127" t="n">
        <v>2.6066</v>
      </c>
      <c r="J127" t="inlineStr">
        <is>
          <t>RMB 億</t>
        </is>
      </c>
      <c r="K127" t="inlineStr">
        <is>
          <t>Verified</t>
        </is>
      </c>
      <c r="M127" t="inlineStr">
        <is>
          <t>經審計（KPMG；年度業績公告）</t>
        </is>
      </c>
      <c r="N127" t="inlineStr">
        <is>
          <t>智譜 2025 年度業績公告</t>
        </is>
      </c>
      <c r="O127" t="inlineStr">
        <is>
          <t>https://www1.hkexnews.hk/listedco/listconews/sehk/2026/0331/2026033101549.pdf</t>
        </is>
      </c>
      <c r="P127" t="inlineStr">
        <is>
          <t>2026-03-31</t>
        </is>
      </c>
      <c r="Q127" t="inlineStr">
        <is>
          <t>原文「On-premise gross profit」；千元值 260,656；RMB 千元÷100,000 換算成億</t>
        </is>
      </c>
    </row>
    <row r="128">
      <c r="A128" t="inlineStr">
        <is>
          <t>SRC_ZP_127</t>
        </is>
      </c>
      <c r="B128" t="inlineStr">
        <is>
          <t>Z1-F</t>
        </is>
      </c>
      <c r="C128" t="inlineStr">
        <is>
          <t>A</t>
        </is>
      </c>
      <c r="D128" t="inlineStr">
        <is>
          <t>gp_onprem_fy24_ann</t>
        </is>
      </c>
      <c r="E128" t="inlineStr">
        <is>
          <t>本地化部署毛利（分部）</t>
        </is>
      </c>
      <c r="F128" t="inlineStr">
        <is>
          <t>FY2024</t>
        </is>
      </c>
      <c r="G128" t="n">
        <v>1.7426</v>
      </c>
      <c r="J128" t="inlineStr">
        <is>
          <t>RMB 億</t>
        </is>
      </c>
      <c r="K128" t="inlineStr">
        <is>
          <t>Verified</t>
        </is>
      </c>
      <c r="M128" t="inlineStr">
        <is>
          <t>經審計（KPMG；年度業績公告）</t>
        </is>
      </c>
      <c r="N128" t="inlineStr">
        <is>
          <t>智譜 2025 年度業績公告</t>
        </is>
      </c>
      <c r="O128" t="inlineStr">
        <is>
          <t>https://www1.hkexnews.hk/listedco/listconews/sehk/2026/0331/2026033101549.pdf</t>
        </is>
      </c>
      <c r="P128" t="inlineStr">
        <is>
          <t>2026-03-31</t>
        </is>
      </c>
      <c r="Q128" t="inlineStr">
        <is>
          <t>原文「On-premise gross profit」；千元值 174,256；RMB 千元÷100,000 換算成億</t>
        </is>
      </c>
    </row>
    <row r="129">
      <c r="A129" t="inlineStr">
        <is>
          <t>SRC_ZP_128</t>
        </is>
      </c>
      <c r="B129" t="inlineStr">
        <is>
          <t>Z1-F</t>
        </is>
      </c>
      <c r="C129" t="inlineStr">
        <is>
          <t>A</t>
        </is>
      </c>
      <c r="D129" t="inlineStr">
        <is>
          <t>gp_cloud_fy25</t>
        </is>
      </c>
      <c r="E129" t="inlineStr">
        <is>
          <t>雲端部署毛利（分部）</t>
        </is>
      </c>
      <c r="F129" t="inlineStr">
        <is>
          <t>FY2025</t>
        </is>
      </c>
      <c r="G129" t="n">
        <v>0.36</v>
      </c>
      <c r="J129" t="inlineStr">
        <is>
          <t>RMB 億</t>
        </is>
      </c>
      <c r="K129" t="inlineStr">
        <is>
          <t>Verified</t>
        </is>
      </c>
      <c r="M129" t="inlineStr">
        <is>
          <t>經審計（KPMG；年度業績公告）</t>
        </is>
      </c>
      <c r="N129" t="inlineStr">
        <is>
          <t>智譜 2025 年度業績公告</t>
        </is>
      </c>
      <c r="O129" t="inlineStr">
        <is>
          <t>https://www1.hkexnews.hk/listedco/listconews/sehk/2026/0331/2026033101549.pdf</t>
        </is>
      </c>
      <c r="P129" t="inlineStr">
        <is>
          <t>2026-03-31</t>
        </is>
      </c>
      <c r="Q129" t="inlineStr">
        <is>
          <t>原文「Cloud-based gross profit」；千元值 36,000；RMB 千元÷100,000 換算成億；毛利率 18.9%（2024 3.3%）</t>
        </is>
      </c>
    </row>
    <row r="130">
      <c r="A130" t="inlineStr">
        <is>
          <t>SRC_ZP_129</t>
        </is>
      </c>
      <c r="B130" t="inlineStr">
        <is>
          <t>Z1-F</t>
        </is>
      </c>
      <c r="C130" t="inlineStr">
        <is>
          <t>A</t>
        </is>
      </c>
      <c r="D130" t="inlineStr">
        <is>
          <t>gp_cloud_fy24_ann</t>
        </is>
      </c>
      <c r="E130" t="inlineStr">
        <is>
          <t>雲端部署毛利（分部）</t>
        </is>
      </c>
      <c r="F130" t="inlineStr">
        <is>
          <t>FY2024</t>
        </is>
      </c>
      <c r="G130" t="n">
        <v>0.0163</v>
      </c>
      <c r="J130" t="inlineStr">
        <is>
          <t>RMB 億</t>
        </is>
      </c>
      <c r="K130" t="inlineStr">
        <is>
          <t>Verified</t>
        </is>
      </c>
      <c r="M130" t="inlineStr">
        <is>
          <t>經審計（KPMG；年度業績公告）</t>
        </is>
      </c>
      <c r="N130" t="inlineStr">
        <is>
          <t>智譜 2025 年度業績公告</t>
        </is>
      </c>
      <c r="O130" t="inlineStr">
        <is>
          <t>https://www1.hkexnews.hk/listedco/listconews/sehk/2026/0331/2026033101549.pdf</t>
        </is>
      </c>
      <c r="P130" t="inlineStr">
        <is>
          <t>2026-03-31</t>
        </is>
      </c>
      <c r="Q130" t="inlineStr">
        <is>
          <t>原文「Cloud-based gross profit」；千元值 1,633；RMB 千元÷100,000 換算成億；毛利率 18.9%（2024 3.3%）</t>
        </is>
      </c>
    </row>
    <row r="131">
      <c r="A131" t="inlineStr">
        <is>
          <t>SRC_ZP_130</t>
        </is>
      </c>
      <c r="B131" t="inlineStr">
        <is>
          <t>Z1-F</t>
        </is>
      </c>
      <c r="C131" t="inlineStr">
        <is>
          <t>A</t>
        </is>
      </c>
      <c r="D131" t="inlineStr">
        <is>
          <t>gp_api_fy25</t>
        </is>
      </c>
      <c r="E131" t="inlineStr">
        <is>
          <t>開放平台及 API 毛利</t>
        </is>
      </c>
      <c r="F131" t="inlineStr">
        <is>
          <t>FY2025</t>
        </is>
      </c>
      <c r="G131" t="n">
        <v>0.36</v>
      </c>
      <c r="J131" t="inlineStr">
        <is>
          <t>RMB 億</t>
        </is>
      </c>
      <c r="K131" t="inlineStr">
        <is>
          <t>Verified</t>
        </is>
      </c>
      <c r="M131" t="inlineStr">
        <is>
          <t>經審計（KPMG；年度業績公告）</t>
        </is>
      </c>
      <c r="N131" t="inlineStr">
        <is>
          <t>智譜 2025 年度業績公告</t>
        </is>
      </c>
      <c r="O131" t="inlineStr">
        <is>
          <t>https://www1.hkexnews.hk/listedco/listconews/sehk/2026/0331/2026033101549.pdf</t>
        </is>
      </c>
      <c r="P131" t="inlineStr">
        <is>
          <t>2026-03-31</t>
        </is>
      </c>
      <c r="Q131" t="inlineStr">
        <is>
          <t>公告以百萬元揭露 RMB36.0 million，毛利率 18.9%；百萬÷100 換算成億</t>
        </is>
      </c>
    </row>
    <row r="132">
      <c r="A132" t="inlineStr">
        <is>
          <t>SRC_ZP_131</t>
        </is>
      </c>
      <c r="B132" t="inlineStr">
        <is>
          <t>Z1-F</t>
        </is>
      </c>
      <c r="C132" t="inlineStr">
        <is>
          <t>A</t>
        </is>
      </c>
      <c r="D132" t="inlineStr">
        <is>
          <t>gp_api_fy24</t>
        </is>
      </c>
      <c r="E132" t="inlineStr">
        <is>
          <t>開放平台及 API 毛利</t>
        </is>
      </c>
      <c r="F132" t="inlineStr">
        <is>
          <t>FY2024</t>
        </is>
      </c>
      <c r="G132" t="n">
        <v>0.016</v>
      </c>
      <c r="J132" t="inlineStr">
        <is>
          <t>RMB 億</t>
        </is>
      </c>
      <c r="K132" t="inlineStr">
        <is>
          <t>Verified</t>
        </is>
      </c>
      <c r="M132" t="inlineStr">
        <is>
          <t>經審計（KPMG；年度業績公告）</t>
        </is>
      </c>
      <c r="N132" t="inlineStr">
        <is>
          <t>智譜 2025 年度業績公告</t>
        </is>
      </c>
      <c r="O132" t="inlineStr">
        <is>
          <t>https://www1.hkexnews.hk/listedco/listconews/sehk/2026/0331/2026033101549.pdf</t>
        </is>
      </c>
      <c r="P132" t="inlineStr">
        <is>
          <t>2026-03-31</t>
        </is>
      </c>
      <c r="Q132" t="inlineStr">
        <is>
          <t>公告以百萬元揭露 RMB1.6 million，毛利率 3.3%；百萬÷100 換算成億</t>
        </is>
      </c>
    </row>
    <row r="133">
      <c r="A133" t="inlineStr">
        <is>
          <t>SRC_ZP_132</t>
        </is>
      </c>
      <c r="B133" t="inlineStr">
        <is>
          <t>Z1-F</t>
        </is>
      </c>
      <c r="C133" t="inlineStr">
        <is>
          <t>A</t>
        </is>
      </c>
      <c r="D133" t="inlineStr">
        <is>
          <t>gp_agent_fy25</t>
        </is>
      </c>
      <c r="E133" t="inlineStr">
        <is>
          <t>企業級智能體毛利</t>
        </is>
      </c>
      <c r="F133" t="inlineStr">
        <is>
          <t>FY2025</t>
        </is>
      </c>
      <c r="G133" t="n">
        <v>0.867</v>
      </c>
      <c r="J133" t="inlineStr">
        <is>
          <t>RMB 億</t>
        </is>
      </c>
      <c r="K133" t="inlineStr">
        <is>
          <t>Verified</t>
        </is>
      </c>
      <c r="M133" t="inlineStr">
        <is>
          <t>經審計（KPMG；年度業績公告）</t>
        </is>
      </c>
      <c r="N133" t="inlineStr">
        <is>
          <t>智譜 2025 年度業績公告</t>
        </is>
      </c>
      <c r="O133" t="inlineStr">
        <is>
          <t>https://www1.hkexnews.hk/listedco/listconews/sehk/2026/0331/2026033101549.pdf</t>
        </is>
      </c>
      <c r="P133" t="inlineStr">
        <is>
          <t>2026-03-31</t>
        </is>
      </c>
      <c r="Q133" t="inlineStr">
        <is>
          <t>公告以百萬元揭露 RMB86.7 million，毛利率 52.3%；百萬÷100 換算成億</t>
        </is>
      </c>
    </row>
    <row r="134">
      <c r="A134" t="inlineStr">
        <is>
          <t>SRC_ZP_133</t>
        </is>
      </c>
      <c r="B134" t="inlineStr">
        <is>
          <t>Z1-F</t>
        </is>
      </c>
      <c r="C134" t="inlineStr">
        <is>
          <t>A</t>
        </is>
      </c>
      <c r="D134" t="inlineStr">
        <is>
          <t>gp_agent_fy24</t>
        </is>
      </c>
      <c r="E134" t="inlineStr">
        <is>
          <t>企業級智能體毛利</t>
        </is>
      </c>
      <c r="F134" t="inlineStr">
        <is>
          <t>FY2024</t>
        </is>
      </c>
      <c r="G134" t="n">
        <v>0.234</v>
      </c>
      <c r="J134" t="inlineStr">
        <is>
          <t>RMB 億</t>
        </is>
      </c>
      <c r="K134" t="inlineStr">
        <is>
          <t>Verified</t>
        </is>
      </c>
      <c r="M134" t="inlineStr">
        <is>
          <t>經審計（KPMG；年度業績公告）</t>
        </is>
      </c>
      <c r="N134" t="inlineStr">
        <is>
          <t>智譜 2025 年度業績公告</t>
        </is>
      </c>
      <c r="O134" t="inlineStr">
        <is>
          <t>https://www1.hkexnews.hk/listedco/listconews/sehk/2026/0331/2026033101549.pdf</t>
        </is>
      </c>
      <c r="P134" t="inlineStr">
        <is>
          <t>2026-03-31</t>
        </is>
      </c>
      <c r="Q134" t="inlineStr">
        <is>
          <t>公告以百萬元揭露 RMB23.4 million，毛利率 49.3%；百萬÷100 換算成億</t>
        </is>
      </c>
    </row>
    <row r="135">
      <c r="A135" t="inlineStr">
        <is>
          <t>SRC_ZP_134</t>
        </is>
      </c>
      <c r="B135" t="inlineStr">
        <is>
          <t>Z1-F</t>
        </is>
      </c>
      <c r="C135" t="inlineStr">
        <is>
          <t>A</t>
        </is>
      </c>
      <c r="D135" t="inlineStr">
        <is>
          <t>gp_gpllm_fy25</t>
        </is>
      </c>
      <c r="E135" t="inlineStr">
        <is>
          <t>企業級通用大模型毛利</t>
        </is>
      </c>
      <c r="F135" t="inlineStr">
        <is>
          <t>FY2025</t>
        </is>
      </c>
      <c r="G135" t="n">
        <v>1.717</v>
      </c>
      <c r="J135" t="inlineStr">
        <is>
          <t>RMB 億</t>
        </is>
      </c>
      <c r="K135" t="inlineStr">
        <is>
          <t>Verified</t>
        </is>
      </c>
      <c r="M135" t="inlineStr">
        <is>
          <t>經審計（KPMG；年度業績公告）</t>
        </is>
      </c>
      <c r="N135" t="inlineStr">
        <is>
          <t>智譜 2025 年度業績公告</t>
        </is>
      </c>
      <c r="O135" t="inlineStr">
        <is>
          <t>https://www1.hkexnews.hk/listedco/listconews/sehk/2026/0331/2026033101549.pdf</t>
        </is>
      </c>
      <c r="P135" t="inlineStr">
        <is>
          <t>2026-03-31</t>
        </is>
      </c>
      <c r="Q135" t="inlineStr">
        <is>
          <t>公告以百萬元揭露 RMB171.7 million，毛利率 47.0%；百萬÷100 換算成億</t>
        </is>
      </c>
    </row>
    <row r="136">
      <c r="A136" t="inlineStr">
        <is>
          <t>SRC_ZP_135</t>
        </is>
      </c>
      <c r="B136" t="inlineStr">
        <is>
          <t>Z1-F</t>
        </is>
      </c>
      <c r="C136" t="inlineStr">
        <is>
          <t>A</t>
        </is>
      </c>
      <c r="D136" t="inlineStr">
        <is>
          <t>gp_gpllm_fy24</t>
        </is>
      </c>
      <c r="E136" t="inlineStr">
        <is>
          <t>企業級通用大模型毛利</t>
        </is>
      </c>
      <c r="F136" t="inlineStr">
        <is>
          <t>FY2024</t>
        </is>
      </c>
      <c r="G136" t="n">
        <v>1.492</v>
      </c>
      <c r="J136" t="inlineStr">
        <is>
          <t>RMB 億</t>
        </is>
      </c>
      <c r="K136" t="inlineStr">
        <is>
          <t>Verified</t>
        </is>
      </c>
      <c r="M136" t="inlineStr">
        <is>
          <t>經審計（KPMG；年度業績公告）</t>
        </is>
      </c>
      <c r="N136" t="inlineStr">
        <is>
          <t>智譜 2025 年度業績公告</t>
        </is>
      </c>
      <c r="O136" t="inlineStr">
        <is>
          <t>https://www1.hkexnews.hk/listedco/listconews/sehk/2026/0331/2026033101549.pdf</t>
        </is>
      </c>
      <c r="P136" t="inlineStr">
        <is>
          <t>2026-03-31</t>
        </is>
      </c>
      <c r="Q136" t="inlineStr">
        <is>
          <t>公告以百萬元揭露 RMB149.2 million，毛利率 69.6%；百萬÷100 換算成億</t>
        </is>
      </c>
    </row>
    <row r="137">
      <c r="A137" t="inlineStr">
        <is>
          <t>SRC_ZP_136</t>
        </is>
      </c>
      <c r="B137" t="inlineStr">
        <is>
          <t>Z1-F</t>
        </is>
      </c>
      <c r="C137" t="inlineStr">
        <is>
          <t>A</t>
        </is>
      </c>
      <c r="D137" t="inlineStr">
        <is>
          <t>gp_techsvc_fy25</t>
        </is>
      </c>
      <c r="E137" t="inlineStr">
        <is>
          <t>技術服務及其他毛利</t>
        </is>
      </c>
      <c r="F137" t="inlineStr">
        <is>
          <t>FY2025</t>
        </is>
      </c>
      <c r="G137" t="n">
        <v>0.023</v>
      </c>
      <c r="J137" t="inlineStr">
        <is>
          <t>RMB 億</t>
        </is>
      </c>
      <c r="K137" t="inlineStr">
        <is>
          <t>Verified</t>
        </is>
      </c>
      <c r="M137" t="inlineStr">
        <is>
          <t>經審計（KPMG；年度業績公告）</t>
        </is>
      </c>
      <c r="N137" t="inlineStr">
        <is>
          <t>智譜 2025 年度業績公告</t>
        </is>
      </c>
      <c r="O137" t="inlineStr">
        <is>
          <t>https://www1.hkexnews.hk/listedco/listconews/sehk/2026/0331/2026033101549.pdf</t>
        </is>
      </c>
      <c r="P137" t="inlineStr">
        <is>
          <t>2026-03-31</t>
        </is>
      </c>
      <c r="Q137" t="inlineStr">
        <is>
          <t>公告以百萬元揭露 RMB2.3 million，毛利率 92.0%；百萬÷100 換算成億</t>
        </is>
      </c>
    </row>
    <row r="138">
      <c r="A138" t="inlineStr">
        <is>
          <t>SRC_ZP_137</t>
        </is>
      </c>
      <c r="B138" t="inlineStr">
        <is>
          <t>Z1-F</t>
        </is>
      </c>
      <c r="C138" t="inlineStr">
        <is>
          <t>A</t>
        </is>
      </c>
      <c r="D138" t="inlineStr">
        <is>
          <t>gp_techsvc_fy24</t>
        </is>
      </c>
      <c r="E138" t="inlineStr">
        <is>
          <t>技術服務及其他毛利</t>
        </is>
      </c>
      <c r="F138" t="inlineStr">
        <is>
          <t>FY2024</t>
        </is>
      </c>
      <c r="G138" t="n">
        <v>0.017</v>
      </c>
      <c r="J138" t="inlineStr">
        <is>
          <t>RMB 億</t>
        </is>
      </c>
      <c r="K138" t="inlineStr">
        <is>
          <t>Verified</t>
        </is>
      </c>
      <c r="M138" t="inlineStr">
        <is>
          <t>經審計（KPMG；年度業績公告）</t>
        </is>
      </c>
      <c r="N138" t="inlineStr">
        <is>
          <t>智譜 2025 年度業績公告</t>
        </is>
      </c>
      <c r="O138" t="inlineStr">
        <is>
          <t>https://www1.hkexnews.hk/listedco/listconews/sehk/2026/0331/2026033101549.pdf</t>
        </is>
      </c>
      <c r="P138" t="inlineStr">
        <is>
          <t>2026-03-31</t>
        </is>
      </c>
      <c r="Q138" t="inlineStr">
        <is>
          <t>公告以百萬元揭露 RMB1.7 million，毛利率 89.5%；百萬÷100 換算成億</t>
        </is>
      </c>
    </row>
    <row r="139">
      <c r="A139" t="inlineStr">
        <is>
          <t>SRC_ZP_138</t>
        </is>
      </c>
      <c r="B139" t="inlineStr">
        <is>
          <t>Z1-F</t>
        </is>
      </c>
      <c r="C139" t="inlineStr">
        <is>
          <t>A</t>
        </is>
      </c>
      <c r="D139" t="inlineStr">
        <is>
          <t>gp_cloud_fy24_b</t>
        </is>
      </c>
      <c r="E139" t="inlineStr">
        <is>
          <t>雲端部署毛利率</t>
        </is>
      </c>
      <c r="F139" t="inlineStr">
        <is>
          <t>FY2024</t>
        </is>
      </c>
      <c r="G139" t="n">
        <v>3.3</v>
      </c>
      <c r="J139" t="inlineStr">
        <is>
          <t>%</t>
        </is>
      </c>
      <c r="K139" t="inlineStr">
        <is>
          <t>Verified</t>
        </is>
      </c>
      <c r="M139" t="inlineStr">
        <is>
          <t>經審計（KPMG；年度業績公告）</t>
        </is>
      </c>
      <c r="N139" t="inlineStr">
        <is>
          <t>智譜 2025 年度業績公告</t>
        </is>
      </c>
      <c r="O139" t="inlineStr">
        <is>
          <t>https://www1.hkexnews.hk/listedco/listconews/sehk/2026/0331/2026033101549.pdf</t>
        </is>
      </c>
      <c r="P139" t="inlineStr">
        <is>
          <t>2026-03-31</t>
        </is>
      </c>
      <c r="Q139" t="inlineStr">
        <is>
          <t>年度業績公告 3.3%；招股章程為 3.4%（1,633/48,484＝3.37%，四捨五入差異）</t>
        </is>
      </c>
    </row>
    <row r="140">
      <c r="A140" t="inlineStr">
        <is>
          <t>SRC_ZP_139</t>
        </is>
      </c>
      <c r="B140" t="inlineStr">
        <is>
          <t>Z1-F</t>
        </is>
      </c>
      <c r="C140" t="inlineStr">
        <is>
          <t>A</t>
        </is>
      </c>
      <c r="D140" t="inlineStr">
        <is>
          <t>rd_fy25</t>
        </is>
      </c>
      <c r="E140" t="inlineStr">
        <is>
          <t>研發開支</t>
        </is>
      </c>
      <c r="F140" t="inlineStr">
        <is>
          <t>FY2025</t>
        </is>
      </c>
      <c r="G140" t="n">
        <v>31.8044</v>
      </c>
      <c r="J140" t="inlineStr">
        <is>
          <t>RMB 億</t>
        </is>
      </c>
      <c r="K140" t="inlineStr">
        <is>
          <t>Verified</t>
        </is>
      </c>
      <c r="M140" t="inlineStr">
        <is>
          <t>經審計（KPMG；年度業績公告）</t>
        </is>
      </c>
      <c r="N140" t="inlineStr">
        <is>
          <t>智譜 2025 年度業績公告</t>
        </is>
      </c>
      <c r="O140" t="inlineStr">
        <is>
          <t>https://www1.hkexnews.hk/listedco/listconews/sehk/2026/0331/2026033101549.pdf</t>
        </is>
      </c>
      <c r="P140" t="inlineStr">
        <is>
          <t>2026-03-31</t>
        </is>
      </c>
      <c r="Q140" t="inlineStr">
        <is>
          <t>原文「R&amp;D」；千元值 3,180,443；RMB 千元÷100,000 換算成億；原文稱員工成本（含股權報酬）與第三方算力服務費增加，未揭露組成金額</t>
        </is>
      </c>
    </row>
    <row r="141">
      <c r="A141" t="inlineStr">
        <is>
          <t>SRC_ZP_140</t>
        </is>
      </c>
      <c r="B141" t="inlineStr">
        <is>
          <t>Z1-F</t>
        </is>
      </c>
      <c r="C141" t="inlineStr">
        <is>
          <t>A</t>
        </is>
      </c>
      <c r="D141" t="inlineStr">
        <is>
          <t>sm_fy25</t>
        </is>
      </c>
      <c r="E141" t="inlineStr">
        <is>
          <t>銷售及營銷開支</t>
        </is>
      </c>
      <c r="F141" t="inlineStr">
        <is>
          <t>FY2025</t>
        </is>
      </c>
      <c r="G141" t="n">
        <v>3.9087</v>
      </c>
      <c r="J141" t="inlineStr">
        <is>
          <t>RMB 億</t>
        </is>
      </c>
      <c r="K141" t="inlineStr">
        <is>
          <t>Verified</t>
        </is>
      </c>
      <c r="M141" t="inlineStr">
        <is>
          <t>經審計（KPMG；年度業績公告）</t>
        </is>
      </c>
      <c r="N141" t="inlineStr">
        <is>
          <t>智譜 2025 年度業績公告</t>
        </is>
      </c>
      <c r="O141" t="inlineStr">
        <is>
          <t>https://www1.hkexnews.hk/listedco/listconews/sehk/2026/0331/2026033101549.pdf</t>
        </is>
      </c>
      <c r="P141" t="inlineStr">
        <is>
          <t>2026-03-31</t>
        </is>
      </c>
      <c r="Q141" t="inlineStr">
        <is>
          <t>原文「Selling and marketing」；千元值 390,869；RMB 千元÷100,000 換算成億</t>
        </is>
      </c>
    </row>
    <row r="142">
      <c r="A142" t="inlineStr">
        <is>
          <t>SRC_ZP_141</t>
        </is>
      </c>
      <c r="B142" t="inlineStr">
        <is>
          <t>Z1-F</t>
        </is>
      </c>
      <c r="C142" t="inlineStr">
        <is>
          <t>A</t>
        </is>
      </c>
      <c r="D142" t="inlineStr">
        <is>
          <t>ga_fy25</t>
        </is>
      </c>
      <c r="E142" t="inlineStr">
        <is>
          <t>一般及行政開支</t>
        </is>
      </c>
      <c r="F142" t="inlineStr">
        <is>
          <t>FY2025</t>
        </is>
      </c>
      <c r="G142" t="n">
        <v>5.0536</v>
      </c>
      <c r="J142" t="inlineStr">
        <is>
          <t>RMB 億</t>
        </is>
      </c>
      <c r="K142" t="inlineStr">
        <is>
          <t>Verified</t>
        </is>
      </c>
      <c r="M142" t="inlineStr">
        <is>
          <t>經審計（KPMG；年度業績公告）</t>
        </is>
      </c>
      <c r="N142" t="inlineStr">
        <is>
          <t>智譜 2025 年度業績公告</t>
        </is>
      </c>
      <c r="O142" t="inlineStr">
        <is>
          <t>https://www1.hkexnews.hk/listedco/listconews/sehk/2026/0331/2026033101549.pdf</t>
        </is>
      </c>
      <c r="P142" t="inlineStr">
        <is>
          <t>2026-03-31</t>
        </is>
      </c>
      <c r="Q142" t="inlineStr">
        <is>
          <t>原文「General and administration」；千元值 505,357；RMB 千元÷100,000 換算成億</t>
        </is>
      </c>
    </row>
    <row r="143">
      <c r="A143" t="inlineStr">
        <is>
          <t>SRC_ZP_142</t>
        </is>
      </c>
      <c r="B143" t="inlineStr">
        <is>
          <t>Z1-F</t>
        </is>
      </c>
      <c r="C143" t="inlineStr">
        <is>
          <t>A</t>
        </is>
      </c>
      <c r="D143" t="inlineStr">
        <is>
          <t>sbc_fy25</t>
        </is>
      </c>
      <c r="E143" t="inlineStr">
        <is>
          <t>以權益結算股權報酬總額</t>
        </is>
      </c>
      <c r="F143" t="inlineStr">
        <is>
          <t>FY2025</t>
        </is>
      </c>
      <c r="G143" t="n">
        <v>5.5827</v>
      </c>
      <c r="J143" t="inlineStr">
        <is>
          <t>RMB 億</t>
        </is>
      </c>
      <c r="K143" t="inlineStr">
        <is>
          <t>Verified</t>
        </is>
      </c>
      <c r="M143" t="inlineStr">
        <is>
          <t>經審計（KPMG；年度業績公告）</t>
        </is>
      </c>
      <c r="N143" t="inlineStr">
        <is>
          <t>智譜 2025 年度業績公告</t>
        </is>
      </c>
      <c r="O143" t="inlineStr">
        <is>
          <t>https://www1.hkexnews.hk/listedco/listconews/sehk/2026/0331/2026033101549.pdf</t>
        </is>
      </c>
      <c r="P143" t="inlineStr">
        <is>
          <t>2026-03-31</t>
        </is>
      </c>
      <c r="Q143" t="inlineStr">
        <is>
          <t>原文「equity-settled share-based compensation」；千元值 558,265；RMB 千元÷100,000 換算成億</t>
        </is>
      </c>
    </row>
    <row r="144">
      <c r="A144" t="inlineStr">
        <is>
          <t>SRC_ZP_143</t>
        </is>
      </c>
      <c r="B144" t="inlineStr">
        <is>
          <t>Z1-F</t>
        </is>
      </c>
      <c r="C144" t="inlineStr">
        <is>
          <t>A</t>
        </is>
      </c>
      <c r="D144" t="inlineStr">
        <is>
          <t>other_inc_fy25</t>
        </is>
      </c>
      <c r="E144" t="inlineStr">
        <is>
          <t>其他收入</t>
        </is>
      </c>
      <c r="F144" t="inlineStr">
        <is>
          <t>FY2025</t>
        </is>
      </c>
      <c r="G144" t="n">
        <v>0.1484</v>
      </c>
      <c r="J144" t="inlineStr">
        <is>
          <t>RMB 億</t>
        </is>
      </c>
      <c r="K144" t="inlineStr">
        <is>
          <t>Verified</t>
        </is>
      </c>
      <c r="M144" t="inlineStr">
        <is>
          <t>經審計（KPMG；年度業績公告）</t>
        </is>
      </c>
      <c r="N144" t="inlineStr">
        <is>
          <t>智譜 2025 年度業績公告</t>
        </is>
      </c>
      <c r="O144" t="inlineStr">
        <is>
          <t>https://www1.hkexnews.hk/listedco/listconews/sehk/2026/0331/2026033101549.pdf</t>
        </is>
      </c>
      <c r="P144" t="inlineStr">
        <is>
          <t>2026-03-31</t>
        </is>
      </c>
      <c r="Q144" t="inlineStr">
        <is>
          <t>原文「decreased from RMB19.3 million…to RMB14.8 million」；千元值 14,839；RMB 千元÷100,000 換算成億；未拆政府補助</t>
        </is>
      </c>
    </row>
    <row r="145">
      <c r="A145" t="inlineStr">
        <is>
          <t>SRC_ZP_144</t>
        </is>
      </c>
      <c r="B145" t="inlineStr">
        <is>
          <t>Z1-F</t>
        </is>
      </c>
      <c r="C145" t="inlineStr">
        <is>
          <t>A</t>
        </is>
      </c>
      <c r="D145" t="inlineStr">
        <is>
          <t>fin_cost_fy25</t>
        </is>
      </c>
      <c r="E145" t="inlineStr">
        <is>
          <t>財務成本</t>
        </is>
      </c>
      <c r="F145" t="inlineStr">
        <is>
          <t>FY2025</t>
        </is>
      </c>
      <c r="G145" t="n">
        <v>0.7431</v>
      </c>
      <c r="J145" t="inlineStr">
        <is>
          <t>RMB 億</t>
        </is>
      </c>
      <c r="K145" t="inlineStr">
        <is>
          <t>Verified</t>
        </is>
      </c>
      <c r="M145" t="inlineStr">
        <is>
          <t>經審計（KPMG；年度業績公告）</t>
        </is>
      </c>
      <c r="N145" t="inlineStr">
        <is>
          <t>智譜 2025 年度業績公告</t>
        </is>
      </c>
      <c r="O145" t="inlineStr">
        <is>
          <t>https://www1.hkexnews.hk/listedco/listconews/sehk/2026/0331/2026033101549.pdf</t>
        </is>
      </c>
      <c r="P145" t="inlineStr">
        <is>
          <t>2026-03-31</t>
        </is>
      </c>
      <c r="Q145" t="inlineStr">
        <is>
          <t>原文「Finance costs」；千元值 74,315；RMB 千元÷100,000 換算成億；公告稱由匯兌淨收益轉為淨損失</t>
        </is>
      </c>
    </row>
    <row r="146">
      <c r="A146" t="inlineStr">
        <is>
          <t>SRC_ZP_145</t>
        </is>
      </c>
      <c r="B146" t="inlineStr">
        <is>
          <t>Z1-F</t>
        </is>
      </c>
      <c r="C146" t="inlineStr">
        <is>
          <t>A</t>
        </is>
      </c>
      <c r="D146" t="inlineStr">
        <is>
          <t>net_loss_fy25</t>
        </is>
      </c>
      <c r="E146" t="inlineStr">
        <is>
          <t>年內虧損</t>
        </is>
      </c>
      <c r="F146" t="inlineStr">
        <is>
          <t>FY2025</t>
        </is>
      </c>
      <c r="G146" t="n">
        <v>47.1817</v>
      </c>
      <c r="J146" t="inlineStr">
        <is>
          <t>RMB 億</t>
        </is>
      </c>
      <c r="K146" t="inlineStr">
        <is>
          <t>Verified</t>
        </is>
      </c>
      <c r="M146" t="inlineStr">
        <is>
          <t>經審計（KPMG；年度業績公告）</t>
        </is>
      </c>
      <c r="N146" t="inlineStr">
        <is>
          <t>智譜 2025 年度業績公告</t>
        </is>
      </c>
      <c r="O146" t="inlineStr">
        <is>
          <t>https://www1.hkexnews.hk/listedco/listconews/sehk/2026/0331/2026033101549.pdf</t>
        </is>
      </c>
      <c r="P146" t="inlineStr">
        <is>
          <t>2026-03-31</t>
        </is>
      </c>
      <c r="Q146" t="inlineStr">
        <is>
          <t>原文「Loss for the year」；千元值 4,718,167；RMB 千元÷100,000 換算成億；歸母 4,698,203；值以正數記虧損</t>
        </is>
      </c>
    </row>
    <row r="147">
      <c r="A147" t="inlineStr">
        <is>
          <t>SRC_ZP_146</t>
        </is>
      </c>
      <c r="B147" t="inlineStr">
        <is>
          <t>Z1-F</t>
        </is>
      </c>
      <c r="C147" t="inlineStr">
        <is>
          <t>A</t>
        </is>
      </c>
      <c r="D147" t="inlineStr">
        <is>
          <t>adj_loss_fy25</t>
        </is>
      </c>
      <c r="E147" t="inlineStr">
        <is>
          <t>經調整淨虧損（非IFRS）</t>
        </is>
      </c>
      <c r="F147" t="inlineStr">
        <is>
          <t>FY2025</t>
        </is>
      </c>
      <c r="G147" t="n">
        <v>31.8197</v>
      </c>
      <c r="J147" t="inlineStr">
        <is>
          <t>RMB 億</t>
        </is>
      </c>
      <c r="K147" t="inlineStr">
        <is>
          <t>Verified</t>
        </is>
      </c>
      <c r="M147" t="inlineStr">
        <is>
          <t>經審計（KPMG；年度業績公告）</t>
        </is>
      </c>
      <c r="N147" t="inlineStr">
        <is>
          <t>智譜 2025 年度業績公告</t>
        </is>
      </c>
      <c r="O147" t="inlineStr">
        <is>
          <t>https://www1.hkexnews.hk/listedco/listconews/sehk/2026/0331/2026033101549.pdf</t>
        </is>
      </c>
      <c r="P147" t="inlineStr">
        <is>
          <t>2026-03-31</t>
        </is>
      </c>
      <c r="Q147" t="inlineStr">
        <is>
          <t>原文「Adjusted net loss」；千元值 3,181,972；RMB 千元÷100,000 換算成億；加回股權報酬、投資人金融工具賬面值變動 937,362、上市開支 40,568</t>
        </is>
      </c>
    </row>
    <row r="148">
      <c r="A148" t="inlineStr">
        <is>
          <t>SRC_ZP_147</t>
        </is>
      </c>
      <c r="B148" t="inlineStr">
        <is>
          <t>Z1-F</t>
        </is>
      </c>
      <c r="C148" t="inlineStr">
        <is>
          <t>A</t>
        </is>
      </c>
      <c r="D148" t="inlineStr">
        <is>
          <t>fv_investor_instr_fy25</t>
        </is>
      </c>
      <c r="E148" t="inlineStr">
        <is>
          <t>投資人金融工具賬面值變動（調整項）</t>
        </is>
      </c>
      <c r="F148" t="inlineStr">
        <is>
          <t>FY2025</t>
        </is>
      </c>
      <c r="G148" t="n">
        <v>9.3736</v>
      </c>
      <c r="J148" t="inlineStr">
        <is>
          <t>RMB 億</t>
        </is>
      </c>
      <c r="K148" t="inlineStr">
        <is>
          <t>Verified</t>
        </is>
      </c>
      <c r="M148" t="inlineStr">
        <is>
          <t>經審計（KPMG；年度業績公告）</t>
        </is>
      </c>
      <c r="N148" t="inlineStr">
        <is>
          <t>智譜 2025 年度業績公告</t>
        </is>
      </c>
      <c r="O148" t="inlineStr">
        <is>
          <t>https://www1.hkexnews.hk/listedco/listconews/sehk/2026/0331/2026033101549.pdf</t>
        </is>
      </c>
      <c r="P148" t="inlineStr">
        <is>
          <t>2026-03-31</t>
        </is>
      </c>
      <c r="Q148" t="inlineStr">
        <is>
          <t>原文「changes in carrying amount of financial instruments issued to investors」；千元值 937,362；RMB 千元÷100,000 換算成億</t>
        </is>
      </c>
    </row>
    <row r="149">
      <c r="A149" t="inlineStr">
        <is>
          <t>SRC_ZP_148</t>
        </is>
      </c>
      <c r="B149" t="inlineStr">
        <is>
          <t>Z1-F</t>
        </is>
      </c>
      <c r="C149" t="inlineStr">
        <is>
          <t>A</t>
        </is>
      </c>
      <c r="D149" t="inlineStr">
        <is>
          <t>fv_investor_instr_fy24</t>
        </is>
      </c>
      <c r="E149" t="inlineStr">
        <is>
          <t>投資人金融工具賬面值變動（調整項）</t>
        </is>
      </c>
      <c r="F149" t="inlineStr">
        <is>
          <t>FY2024</t>
        </is>
      </c>
      <c r="G149" t="n">
        <v>4.6886</v>
      </c>
      <c r="J149" t="inlineStr">
        <is>
          <t>RMB 億</t>
        </is>
      </c>
      <c r="K149" t="inlineStr">
        <is>
          <t>Verified</t>
        </is>
      </c>
      <c r="M149" t="inlineStr">
        <is>
          <t>經審計（KPMG；年度業績公告）</t>
        </is>
      </c>
      <c r="N149" t="inlineStr">
        <is>
          <t>智譜 2025 年度業績公告</t>
        </is>
      </c>
      <c r="O149" t="inlineStr">
        <is>
          <t>https://www1.hkexnews.hk/listedco/listconews/sehk/2026/0331/2026033101549.pdf</t>
        </is>
      </c>
      <c r="P149" t="inlineStr">
        <is>
          <t>2026-03-31</t>
        </is>
      </c>
      <c r="Q149" t="inlineStr">
        <is>
          <t>原文「changes in carrying amount of financial instruments issued to investors」；千元值 468,859；RMB 千元÷100,000 換算成億</t>
        </is>
      </c>
    </row>
    <row r="150">
      <c r="A150" t="inlineStr">
        <is>
          <t>SRC_ZP_149</t>
        </is>
      </c>
      <c r="B150" t="inlineStr">
        <is>
          <t>Z1-F</t>
        </is>
      </c>
      <c r="C150" t="inlineStr">
        <is>
          <t>A</t>
        </is>
      </c>
      <c r="D150" t="inlineStr">
        <is>
          <t>capex_fy25</t>
        </is>
      </c>
      <c r="E150" t="inlineStr">
        <is>
          <t>資本開支</t>
        </is>
      </c>
      <c r="F150" t="inlineStr">
        <is>
          <t>FY2025</t>
        </is>
      </c>
      <c r="G150" t="n">
        <v>0.747</v>
      </c>
      <c r="J150" t="inlineStr">
        <is>
          <t>RMB 億</t>
        </is>
      </c>
      <c r="K150" t="inlineStr">
        <is>
          <t>Verified</t>
        </is>
      </c>
      <c r="M150" t="inlineStr">
        <is>
          <t>經審計（KPMG；年度業績公告）</t>
        </is>
      </c>
      <c r="N150" t="inlineStr">
        <is>
          <t>智譜 2025 年度業績公告</t>
        </is>
      </c>
      <c r="O150" t="inlineStr">
        <is>
          <t>https://www1.hkexnews.hk/listedco/listconews/sehk/2026/0331/2026033101549.pdf</t>
        </is>
      </c>
      <c r="P150" t="inlineStr">
        <is>
          <t>2026-03-31</t>
        </is>
      </c>
      <c r="Q150" t="inlineStr">
        <is>
          <t>原文「capital expenditure in 2025 was approximately RMB74.7 million」；公告稱由租賃轉為採購服務；百萬÷100</t>
        </is>
      </c>
    </row>
    <row r="151">
      <c r="A151" t="inlineStr">
        <is>
          <t>SRC_ZP_150</t>
        </is>
      </c>
      <c r="B151" t="inlineStr">
        <is>
          <t>Z1-F</t>
        </is>
      </c>
      <c r="C151" t="inlineStr">
        <is>
          <t>A</t>
        </is>
      </c>
      <c r="D151" t="inlineStr">
        <is>
          <t>capex_fy24</t>
        </is>
      </c>
      <c r="E151" t="inlineStr">
        <is>
          <t>資本開支</t>
        </is>
      </c>
      <c r="F151" t="inlineStr">
        <is>
          <t>FY2024</t>
        </is>
      </c>
      <c r="G151" t="n">
        <v>4.623</v>
      </c>
      <c r="J151" t="inlineStr">
        <is>
          <t>RMB 億</t>
        </is>
      </c>
      <c r="K151" t="inlineStr">
        <is>
          <t>Verified</t>
        </is>
      </c>
      <c r="M151" t="inlineStr">
        <is>
          <t>經審計（KPMG；年度業績公告）</t>
        </is>
      </c>
      <c r="N151" t="inlineStr">
        <is>
          <t>智譜 2025 年度業績公告</t>
        </is>
      </c>
      <c r="O151" t="inlineStr">
        <is>
          <t>https://www1.hkexnews.hk/listedco/listconews/sehk/2026/0331/2026033101549.pdf</t>
        </is>
      </c>
      <c r="P151" t="inlineStr">
        <is>
          <t>2026-03-31</t>
        </is>
      </c>
      <c r="Q151" t="inlineStr">
        <is>
          <t>年度業績公告比較數 RMB462.3 million；百萬÷100</t>
        </is>
      </c>
    </row>
    <row r="152">
      <c r="A152" t="inlineStr">
        <is>
          <t>SRC_ZP_151</t>
        </is>
      </c>
      <c r="B152" t="inlineStr">
        <is>
          <t>Z1-F</t>
        </is>
      </c>
      <c r="C152" t="inlineStr">
        <is>
          <t>A</t>
        </is>
      </c>
      <c r="D152" t="inlineStr">
        <is>
          <t>cash_end_fy25</t>
        </is>
      </c>
      <c r="E152" t="inlineStr">
        <is>
          <t>年末現金及現金等價物</t>
        </is>
      </c>
      <c r="F152" t="inlineStr">
        <is>
          <t>FY2025</t>
        </is>
      </c>
      <c r="G152" t="n">
        <v>22.5915</v>
      </c>
      <c r="J152" t="inlineStr">
        <is>
          <t>RMB 億</t>
        </is>
      </c>
      <c r="K152" t="inlineStr">
        <is>
          <t>Verified</t>
        </is>
      </c>
      <c r="M152" t="inlineStr">
        <is>
          <t>經審計（KPMG；年度業績公告）</t>
        </is>
      </c>
      <c r="N152" t="inlineStr">
        <is>
          <t>智譜 2025 年度業績公告</t>
        </is>
      </c>
      <c r="O152" t="inlineStr">
        <is>
          <t>https://www1.hkexnews.hk/listedco/listconews/sehk/2026/0331/2026033101549.pdf</t>
        </is>
      </c>
      <c r="P152" t="inlineStr">
        <is>
          <t>2026-03-31</t>
        </is>
      </c>
      <c r="Q152" t="inlineStr">
        <is>
          <t>原文「Cash and cash equivalents」；千元值 2,259,147；RMB 千元÷100,000 換算成億；2024 值與招股章程 2,268,164 不一致，見 cash_end_fy24（招股章程）</t>
        </is>
      </c>
    </row>
    <row r="153">
      <c r="A153" t="inlineStr">
        <is>
          <t>SRC_ZP_152</t>
        </is>
      </c>
      <c r="B153" t="inlineStr">
        <is>
          <t>Z1-F</t>
        </is>
      </c>
      <c r="C153" t="inlineStr">
        <is>
          <t>A</t>
        </is>
      </c>
      <c r="D153" t="inlineStr">
        <is>
          <t>cash_end_fy24_b</t>
        </is>
      </c>
      <c r="E153" t="inlineStr">
        <is>
          <t>年末現金及現金等價物</t>
        </is>
      </c>
      <c r="F153" t="inlineStr">
        <is>
          <t>FY2024</t>
        </is>
      </c>
      <c r="G153" t="n">
        <v>22.6922</v>
      </c>
      <c r="J153" t="inlineStr">
        <is>
          <t>RMB 億</t>
        </is>
      </c>
      <c r="K153" t="inlineStr">
        <is>
          <t>Verified</t>
        </is>
      </c>
      <c r="M153" t="inlineStr">
        <is>
          <t>經審計（KPMG；年度業績公告）</t>
        </is>
      </c>
      <c r="N153" t="inlineStr">
        <is>
          <t>智譜 2025 年度業績公告</t>
        </is>
      </c>
      <c r="O153" t="inlineStr">
        <is>
          <t>https://www1.hkexnews.hk/listedco/listconews/sehk/2026/0331/2026033101549.pdf</t>
        </is>
      </c>
      <c r="P153" t="inlineStr">
        <is>
          <t>2026-03-31</t>
        </is>
      </c>
      <c r="Q153" t="inlineStr">
        <is>
          <t>原文「Cash and cash equivalents」；千元值 2,269,222；RMB 千元÷100,000 換算成億；2024 值與招股章程 2,268,164 不一致，見 cash_end_fy24（招股章程）；與招股章程 2,268,164 差 1,058 千元，原因未明（可能重分類）</t>
        </is>
      </c>
    </row>
    <row r="154">
      <c r="A154" t="inlineStr">
        <is>
          <t>SRC_ZP_153</t>
        </is>
      </c>
      <c r="B154" t="inlineStr">
        <is>
          <t>Z1-F</t>
        </is>
      </c>
      <c r="C154" t="inlineStr">
        <is>
          <t>A</t>
        </is>
      </c>
      <c r="D154" t="inlineStr">
        <is>
          <t>time_dep_fy25</t>
        </is>
      </c>
      <c r="E154" t="inlineStr">
        <is>
          <t>定期存款（流動）</t>
        </is>
      </c>
      <c r="F154" t="inlineStr">
        <is>
          <t>FY2025</t>
        </is>
      </c>
      <c r="G154" t="n">
        <v>1.0859</v>
      </c>
      <c r="J154" t="inlineStr">
        <is>
          <t>RMB 億</t>
        </is>
      </c>
      <c r="K154" t="inlineStr">
        <is>
          <t>Verified</t>
        </is>
      </c>
      <c r="M154" t="inlineStr">
        <is>
          <t>經審計（KPMG；年度業績公告）</t>
        </is>
      </c>
      <c r="N154" t="inlineStr">
        <is>
          <t>智譜 2025 年度業績公告</t>
        </is>
      </c>
      <c r="O154" t="inlineStr">
        <is>
          <t>https://www1.hkexnews.hk/listedco/listconews/sehk/2026/0331/2026033101549.pdf</t>
        </is>
      </c>
      <c r="P154" t="inlineStr">
        <is>
          <t>2026-03-31</t>
        </is>
      </c>
      <c r="Q154" t="inlineStr">
        <is>
          <t>time deposits current 108,593 千元；RMB 千元÷100,000 換算成億</t>
        </is>
      </c>
    </row>
    <row r="155">
      <c r="A155" t="inlineStr">
        <is>
          <t>SRC_ZP_154</t>
        </is>
      </c>
      <c r="B155" t="inlineStr">
        <is>
          <t>Z1-F</t>
        </is>
      </c>
      <c r="C155" t="inlineStr">
        <is>
          <t>A</t>
        </is>
      </c>
      <c r="D155" t="inlineStr">
        <is>
          <t>time_dep_fy24</t>
        </is>
      </c>
      <c r="E155" t="inlineStr">
        <is>
          <t>定期存款（非流動）</t>
        </is>
      </c>
      <c r="F155" t="inlineStr">
        <is>
          <t>FY2024</t>
        </is>
      </c>
      <c r="G155" t="n">
        <v>1.0534</v>
      </c>
      <c r="J155" t="inlineStr">
        <is>
          <t>RMB 億</t>
        </is>
      </c>
      <c r="K155" t="inlineStr">
        <is>
          <t>Verified</t>
        </is>
      </c>
      <c r="M155" t="inlineStr">
        <is>
          <t>經審計（KPMG；年度業績公告）</t>
        </is>
      </c>
      <c r="N155" t="inlineStr">
        <is>
          <t>智譜 2025 年度業績公告</t>
        </is>
      </c>
      <c r="O155" t="inlineStr">
        <is>
          <t>https://www1.hkexnews.hk/listedco/listconews/sehk/2026/0331/2026033101549.pdf</t>
        </is>
      </c>
      <c r="P155" t="inlineStr">
        <is>
          <t>2026-03-31</t>
        </is>
      </c>
      <c r="Q155" t="inlineStr">
        <is>
          <t>time deposits non-current 105,343 千元；RMB 千元÷100,000 換算成億</t>
        </is>
      </c>
    </row>
    <row r="156">
      <c r="A156" t="inlineStr">
        <is>
          <t>SRC_ZP_155</t>
        </is>
      </c>
      <c r="B156" t="inlineStr">
        <is>
          <t>Z1-F</t>
        </is>
      </c>
      <c r="C156" t="inlineStr">
        <is>
          <t>A</t>
        </is>
      </c>
      <c r="D156" t="inlineStr">
        <is>
          <t>bank_loans_fy25</t>
        </is>
      </c>
      <c r="E156" t="inlineStr">
        <is>
          <t>銀行貸款合計</t>
        </is>
      </c>
      <c r="F156" t="inlineStr">
        <is>
          <t>FY2025</t>
        </is>
      </c>
      <c r="G156" t="n">
        <v>6.8945</v>
      </c>
      <c r="J156" t="inlineStr">
        <is>
          <t>RMB 億</t>
        </is>
      </c>
      <c r="K156" t="inlineStr">
        <is>
          <t>Verified</t>
        </is>
      </c>
      <c r="M156" t="inlineStr">
        <is>
          <t>經審計（KPMG；年度業績公告）</t>
        </is>
      </c>
      <c r="N156" t="inlineStr">
        <is>
          <t>智譜 2025 年度業績公告</t>
        </is>
      </c>
      <c r="O156" t="inlineStr">
        <is>
          <t>https://www1.hkexnews.hk/listedco/listconews/sehk/2026/0331/2026033101549.pdf</t>
        </is>
      </c>
      <c r="P156" t="inlineStr">
        <is>
          <t>2026-03-31</t>
        </is>
      </c>
      <c r="Q156" t="inlineStr">
        <is>
          <t>原文「All relevant borrowings are interest-bearing」；千元值 689,452；RMB 千元÷100,000 換算成億；2025 流動 604,836＋非流動 84,616；2024 全為流動；利率、到期未揭露；主要為人民幣、無抵押</t>
        </is>
      </c>
    </row>
    <row r="157">
      <c r="A157" t="inlineStr">
        <is>
          <t>SRC_ZP_156</t>
        </is>
      </c>
      <c r="B157" t="inlineStr">
        <is>
          <t>Z1-F</t>
        </is>
      </c>
      <c r="C157" t="inlineStr">
        <is>
          <t>A</t>
        </is>
      </c>
      <c r="D157" t="inlineStr">
        <is>
          <t>bank_loans_fy24</t>
        </is>
      </c>
      <c r="E157" t="inlineStr">
        <is>
          <t>銀行貸款合計</t>
        </is>
      </c>
      <c r="F157" t="inlineStr">
        <is>
          <t>FY2024</t>
        </is>
      </c>
      <c r="G157" t="n">
        <v>1.3725</v>
      </c>
      <c r="J157" t="inlineStr">
        <is>
          <t>RMB 億</t>
        </is>
      </c>
      <c r="K157" t="inlineStr">
        <is>
          <t>Verified</t>
        </is>
      </c>
      <c r="M157" t="inlineStr">
        <is>
          <t>經審計（KPMG；年度業績公告）</t>
        </is>
      </c>
      <c r="N157" t="inlineStr">
        <is>
          <t>智譜 2025 年度業績公告</t>
        </is>
      </c>
      <c r="O157" t="inlineStr">
        <is>
          <t>https://www1.hkexnews.hk/listedco/listconews/sehk/2026/0331/2026033101549.pdf</t>
        </is>
      </c>
      <c r="P157" t="inlineStr">
        <is>
          <t>2026-03-31</t>
        </is>
      </c>
      <c r="Q157" t="inlineStr">
        <is>
          <t>原文「All relevant borrowings are interest-bearing」；千元值 137,246；RMB 千元÷100,000 換算成億；2025 流動 604,836＋非流動 84,616；2024 全為流動；利率、到期未揭露；主要為人民幣、無抵押</t>
        </is>
      </c>
    </row>
    <row r="158">
      <c r="A158" t="inlineStr">
        <is>
          <t>SRC_ZP_157</t>
        </is>
      </c>
      <c r="B158" t="inlineStr">
        <is>
          <t>Z1-F</t>
        </is>
      </c>
      <c r="C158" t="inlineStr">
        <is>
          <t>A</t>
        </is>
      </c>
      <c r="D158" t="inlineStr">
        <is>
          <t>lease_liab_fy25</t>
        </is>
      </c>
      <c r="E158" t="inlineStr">
        <is>
          <t>租賃負債</t>
        </is>
      </c>
      <c r="F158" t="inlineStr">
        <is>
          <t>FY2025</t>
        </is>
      </c>
      <c r="G158" t="n">
        <v>5.4514</v>
      </c>
      <c r="J158" t="inlineStr">
        <is>
          <t>RMB 億</t>
        </is>
      </c>
      <c r="K158" t="inlineStr">
        <is>
          <t>Verified</t>
        </is>
      </c>
      <c r="M158" t="inlineStr">
        <is>
          <t>經審計（KPMG；年度業績公告）</t>
        </is>
      </c>
      <c r="N158" t="inlineStr">
        <is>
          <t>智譜 2025 年度業績公告</t>
        </is>
      </c>
      <c r="O158" t="inlineStr">
        <is>
          <t>https://www1.hkexnews.hk/listedco/listconews/sehk/2026/0331/2026033101549.pdf</t>
        </is>
      </c>
      <c r="P158" t="inlineStr">
        <is>
          <t>2026-03-31</t>
        </is>
      </c>
      <c r="Q158" t="inlineStr">
        <is>
          <t>原文「Lease liabilities」；千元值 545,143；RMB 千元÷100,000 換算成億</t>
        </is>
      </c>
    </row>
    <row r="159">
      <c r="A159" t="inlineStr">
        <is>
          <t>SRC_ZP_158</t>
        </is>
      </c>
      <c r="B159" t="inlineStr">
        <is>
          <t>Z1-F</t>
        </is>
      </c>
      <c r="C159" t="inlineStr">
        <is>
          <t>A</t>
        </is>
      </c>
      <c r="D159" t="inlineStr">
        <is>
          <t>lease_liab_fy24</t>
        </is>
      </c>
      <c r="E159" t="inlineStr">
        <is>
          <t>租賃負債</t>
        </is>
      </c>
      <c r="F159" t="inlineStr">
        <is>
          <t>FY2024</t>
        </is>
      </c>
      <c r="G159" t="n">
        <v>6.7127</v>
      </c>
      <c r="J159" t="inlineStr">
        <is>
          <t>RMB 億</t>
        </is>
      </c>
      <c r="K159" t="inlineStr">
        <is>
          <t>Verified</t>
        </is>
      </c>
      <c r="M159" t="inlineStr">
        <is>
          <t>經審計（KPMG；年度業績公告）</t>
        </is>
      </c>
      <c r="N159" t="inlineStr">
        <is>
          <t>智譜 2025 年度業績公告</t>
        </is>
      </c>
      <c r="O159" t="inlineStr">
        <is>
          <t>https://www1.hkexnews.hk/listedco/listconews/sehk/2026/0331/2026033101549.pdf</t>
        </is>
      </c>
      <c r="P159" t="inlineStr">
        <is>
          <t>2026-03-31</t>
        </is>
      </c>
      <c r="Q159" t="inlineStr">
        <is>
          <t>原文「Lease liabilities」；千元值 671,268；RMB 千元÷100,000 換算成億</t>
        </is>
      </c>
    </row>
    <row r="160">
      <c r="A160" t="inlineStr">
        <is>
          <t>SRC_ZP_159</t>
        </is>
      </c>
      <c r="B160" t="inlineStr">
        <is>
          <t>Z1-F</t>
        </is>
      </c>
      <c r="C160" t="inlineStr">
        <is>
          <t>A</t>
        </is>
      </c>
      <c r="D160" t="inlineStr">
        <is>
          <t>conv_bonds_fy24</t>
        </is>
      </c>
      <c r="E160" t="inlineStr">
        <is>
          <t>可轉換債券</t>
        </is>
      </c>
      <c r="F160" t="inlineStr">
        <is>
          <t>FY2024</t>
        </is>
      </c>
      <c r="G160" t="n">
        <v>1.3216</v>
      </c>
      <c r="J160" t="inlineStr">
        <is>
          <t>RMB 億</t>
        </is>
      </c>
      <c r="K160" t="inlineStr">
        <is>
          <t>Verified</t>
        </is>
      </c>
      <c r="M160" t="inlineStr">
        <is>
          <t>經審計（KPMG；年度業績公告）</t>
        </is>
      </c>
      <c r="N160" t="inlineStr">
        <is>
          <t>智譜 2025 年度業績公告</t>
        </is>
      </c>
      <c r="O160" t="inlineStr">
        <is>
          <t>https://www1.hkexnews.hk/listedco/listconews/sehk/2026/0331/2026033101549.pdf</t>
        </is>
      </c>
      <c r="P160" t="inlineStr">
        <is>
          <t>2026-03-31</t>
        </is>
      </c>
      <c r="Q160" t="inlineStr">
        <is>
          <t>原文「convertible bonds」；千元值 132,158；RMB 千元÷100,000 換算成億；2025 年末為零</t>
        </is>
      </c>
    </row>
    <row r="161">
      <c r="A161" t="inlineStr">
        <is>
          <t>SRC_ZP_160</t>
        </is>
      </c>
      <c r="B161" t="inlineStr">
        <is>
          <t>Z1-F</t>
        </is>
      </c>
      <c r="C161" t="inlineStr">
        <is>
          <t>A</t>
        </is>
      </c>
      <c r="D161" t="inlineStr">
        <is>
          <t>payable_compute_fy25</t>
        </is>
      </c>
      <c r="E161" t="inlineStr">
        <is>
          <t>應付算力服務費（資產負債表）</t>
        </is>
      </c>
      <c r="F161" t="inlineStr">
        <is>
          <t>FY2025</t>
        </is>
      </c>
      <c r="G161" t="n">
        <v>7.2735</v>
      </c>
      <c r="J161" t="inlineStr">
        <is>
          <t>RMB 億</t>
        </is>
      </c>
      <c r="K161" t="inlineStr">
        <is>
          <t>Verified</t>
        </is>
      </c>
      <c r="M161" t="inlineStr">
        <is>
          <t>經審計（KPMG；年度業績公告）</t>
        </is>
      </c>
      <c r="N161" t="inlineStr">
        <is>
          <t>智譜 2025 年度業績公告</t>
        </is>
      </c>
      <c r="O161" t="inlineStr">
        <is>
          <t>https://www1.hkexnews.hk/listedco/listconews/sehk/2026/0331/2026033101549.pdf</t>
        </is>
      </c>
      <c r="P161" t="inlineStr">
        <is>
          <t>2026-03-31</t>
        </is>
      </c>
      <c r="Q161" t="inlineStr">
        <is>
          <t>原文「payables for computing service fees」；千元值 727,348；RMB 千元÷100,000 換算成億；可作算力採購規模旁證</t>
        </is>
      </c>
    </row>
    <row r="162">
      <c r="A162" t="inlineStr">
        <is>
          <t>SRC_ZP_161</t>
        </is>
      </c>
      <c r="B162" t="inlineStr">
        <is>
          <t>Z1-F</t>
        </is>
      </c>
      <c r="C162" t="inlineStr">
        <is>
          <t>A</t>
        </is>
      </c>
      <c r="D162" t="inlineStr">
        <is>
          <t>payable_compute_fy24</t>
        </is>
      </c>
      <c r="E162" t="inlineStr">
        <is>
          <t>應付算力服務費（資產負債表）</t>
        </is>
      </c>
      <c r="F162" t="inlineStr">
        <is>
          <t>FY2024</t>
        </is>
      </c>
      <c r="G162" t="n">
        <v>2.6947</v>
      </c>
      <c r="J162" t="inlineStr">
        <is>
          <t>RMB 億</t>
        </is>
      </c>
      <c r="K162" t="inlineStr">
        <is>
          <t>Verified</t>
        </is>
      </c>
      <c r="M162" t="inlineStr">
        <is>
          <t>經審計（KPMG；年度業績公告）</t>
        </is>
      </c>
      <c r="N162" t="inlineStr">
        <is>
          <t>智譜 2025 年度業績公告</t>
        </is>
      </c>
      <c r="O162" t="inlineStr">
        <is>
          <t>https://www1.hkexnews.hk/listedco/listconews/sehk/2026/0331/2026033101549.pdf</t>
        </is>
      </c>
      <c r="P162" t="inlineStr">
        <is>
          <t>2026-03-31</t>
        </is>
      </c>
      <c r="Q162" t="inlineStr">
        <is>
          <t>原文「payables for computing service fees」；千元值 269,467；RMB 千元÷100,000 換算成億；可作算力採購規模旁證</t>
        </is>
      </c>
    </row>
    <row r="163">
      <c r="A163" t="inlineStr">
        <is>
          <t>SRC_ZP_162</t>
        </is>
      </c>
      <c r="B163" t="inlineStr">
        <is>
          <t>Z1-F</t>
        </is>
      </c>
      <c r="C163" t="inlineStr">
        <is>
          <t>E</t>
        </is>
      </c>
      <c r="D163" t="inlineStr">
        <is>
          <t>employees_fy25</t>
        </is>
      </c>
      <c r="E163" t="inlineStr">
        <is>
          <t>全職員工人數</t>
        </is>
      </c>
      <c r="F163" t="inlineStr">
        <is>
          <t>2025-12-31</t>
        </is>
      </c>
      <c r="G163" t="n">
        <v>1094</v>
      </c>
      <c r="J163" t="inlineStr">
        <is>
          <t>人</t>
        </is>
      </c>
      <c r="K163" t="inlineStr">
        <is>
          <t>Verified</t>
        </is>
      </c>
      <c r="M163" t="inlineStr">
        <is>
          <t>經審計（KPMG；年度業績公告）</t>
        </is>
      </c>
      <c r="N163" t="inlineStr">
        <is>
          <t>智譜 2025 年度業績公告</t>
        </is>
      </c>
      <c r="O163" t="inlineStr">
        <is>
          <t>https://www1.hkexnews.hk/listedco/listconews/sehk/2026/0331/2026033101549.pdf</t>
        </is>
      </c>
      <c r="P163" t="inlineStr">
        <is>
          <t>2026-03-31</t>
        </is>
      </c>
      <c r="Q163" t="inlineStr">
        <is>
          <t>原文「the Company had 1,094 permanent employees」</t>
        </is>
      </c>
    </row>
    <row r="164">
      <c r="A164" t="inlineStr">
        <is>
          <t>SRC_ZP_163</t>
        </is>
      </c>
      <c r="B164" t="inlineStr">
        <is>
          <t>Z1-F</t>
        </is>
      </c>
      <c r="C164" t="inlineStr">
        <is>
          <t>E</t>
        </is>
      </c>
      <c r="D164" t="inlineStr">
        <is>
          <t>remun_fy25</t>
        </is>
      </c>
      <c r="E164" t="inlineStr">
        <is>
          <t>薪酬總額（含股權報酬）</t>
        </is>
      </c>
      <c r="F164" t="inlineStr">
        <is>
          <t>FY2025</t>
        </is>
      </c>
      <c r="G164" t="n">
        <v>13.634</v>
      </c>
      <c r="J164" t="inlineStr">
        <is>
          <t>RMB 億</t>
        </is>
      </c>
      <c r="K164" t="inlineStr">
        <is>
          <t>Verified</t>
        </is>
      </c>
      <c r="M164" t="inlineStr">
        <is>
          <t>經審計（KPMG；年度業績公告）</t>
        </is>
      </c>
      <c r="N164" t="inlineStr">
        <is>
          <t>智譜 2025 年度業績公告</t>
        </is>
      </c>
      <c r="O164" t="inlineStr">
        <is>
          <t>https://www1.hkexnews.hk/listedco/listconews/sehk/2026/0331/2026033101549.pdf</t>
        </is>
      </c>
      <c r="P164" t="inlineStr">
        <is>
          <t>2026-03-31</t>
        </is>
      </c>
      <c r="Q164" t="inlineStr">
        <is>
          <t>原文「RMB1,363.4 million during the Reporting Period」；百萬÷100</t>
        </is>
      </c>
    </row>
    <row r="165">
      <c r="A165" t="inlineStr">
        <is>
          <t>SRC_ZP_164</t>
        </is>
      </c>
      <c r="B165" t="inlineStr">
        <is>
          <t>Z1-F</t>
        </is>
      </c>
      <c r="C165" t="inlineStr">
        <is>
          <t>E</t>
        </is>
      </c>
      <c r="D165" t="inlineStr">
        <is>
          <t>comp_per_head_fy25</t>
        </is>
      </c>
      <c r="E165" t="inlineStr">
        <is>
          <t>人均薪酬（含股權報酬）</t>
        </is>
      </c>
      <c r="F165" t="inlineStr">
        <is>
          <t>FY2025</t>
        </is>
      </c>
      <c r="G165" t="n">
        <v>0.01246</v>
      </c>
      <c r="J165" t="inlineStr">
        <is>
          <t>RMB 億／人</t>
        </is>
      </c>
      <c r="K165" t="inlineStr">
        <is>
          <t>Derived</t>
        </is>
      </c>
      <c r="M165" t="inlineStr">
        <is>
          <t>Derived</t>
        </is>
      </c>
      <c r="N165" t="inlineStr">
        <is>
          <t>智譜 2025 年度業績公告</t>
        </is>
      </c>
      <c r="O165" t="inlineStr">
        <is>
          <t>https://www1.hkexnews.hk/listedco/listconews/sehk/2026/0331/2026033101549.pdf</t>
        </is>
      </c>
      <c r="P165" t="inlineStr">
        <is>
          <t>2026-03-31</t>
        </is>
      </c>
      <c r="Q165" t="inlineStr">
        <is>
          <t>1,363.4 百萬÷期末人數 1,094＝約 RMB 124.6 萬／人；以期末人數計（無平均人數）</t>
        </is>
      </c>
    </row>
    <row r="166">
      <c r="A166" t="inlineStr">
        <is>
          <t>SRC_ZP_165</t>
        </is>
      </c>
      <c r="B166" t="inlineStr">
        <is>
          <t>Z1-F</t>
        </is>
      </c>
      <c r="C166" t="inlineStr">
        <is>
          <t>E</t>
        </is>
      </c>
      <c r="D166" t="inlineStr">
        <is>
          <t>esop_fy25</t>
        </is>
      </c>
      <c r="E166" t="inlineStr">
        <is>
          <t>員工激勵計畫</t>
        </is>
      </c>
      <c r="F166" t="inlineStr">
        <is>
          <t>FY2025</t>
        </is>
      </c>
      <c r="J166" t="inlineStr"/>
      <c r="K166" t="inlineStr">
        <is>
          <t>Verified</t>
        </is>
      </c>
      <c r="M166" t="inlineStr">
        <is>
          <t>經審計（KPMG；年度業績公告）</t>
        </is>
      </c>
      <c r="N166" t="inlineStr">
        <is>
          <t>智譜 2025 年度業績公告</t>
        </is>
      </c>
      <c r="O166" t="inlineStr">
        <is>
          <t>https://www1.hkexnews.hk/listedco/listconews/sehk/2026/0331/2026033101549.pdf</t>
        </is>
      </c>
      <c r="P166" t="inlineStr">
        <is>
          <t>2026-03-31</t>
        </is>
      </c>
      <c r="Q166" t="inlineStr">
        <is>
          <t>原文「adopted the employee incentive scheme and established an employee shareholding platform」；條款未揭露</t>
        </is>
      </c>
    </row>
    <row r="167">
      <c r="A167" t="inlineStr">
        <is>
          <t>SRC_ZP_166</t>
        </is>
      </c>
      <c r="B167" t="inlineStr">
        <is>
          <t>Z1-F</t>
        </is>
      </c>
      <c r="C167" t="inlineStr">
        <is>
          <t>A</t>
        </is>
      </c>
      <c r="D167" t="inlineStr">
        <is>
          <t>api_price_fy25</t>
        </is>
      </c>
      <c r="E167" t="inlineStr">
        <is>
          <t>API 呼叫價格較上年底上升</t>
        </is>
      </c>
      <c r="F167" t="inlineStr">
        <is>
          <t>2026Q1（公告時點）</t>
        </is>
      </c>
      <c r="G167" t="n">
        <v>83</v>
      </c>
      <c r="J167" t="inlineStr">
        <is>
          <t>%</t>
        </is>
      </c>
      <c r="K167" t="inlineStr">
        <is>
          <t>Interested-party</t>
        </is>
      </c>
      <c r="L167" t="inlineStr">
        <is>
          <t>智譜：上市後股價、配售誘因</t>
        </is>
      </c>
      <c r="M167" t="inlineStr">
        <is>
          <t>管理層口徑</t>
        </is>
      </c>
      <c r="N167" t="inlineStr">
        <is>
          <t>智譜 2025 年度業績公告</t>
        </is>
      </c>
      <c r="O167" t="inlineStr">
        <is>
          <t>https://www1.hkexnews.hk/listedco/listconews/sehk/2026/0331/2026033101549.pdf</t>
        </is>
      </c>
      <c r="P167" t="inlineStr">
        <is>
          <t>2026-03-31</t>
        </is>
      </c>
      <c r="Q167" t="inlineStr">
        <is>
          <t>原文「an 83% increase in API call pricing compared to the end of last year」</t>
        </is>
      </c>
    </row>
    <row r="168">
      <c r="A168" t="inlineStr">
        <is>
          <t>SRC_ZP_167</t>
        </is>
      </c>
      <c r="B168" t="inlineStr">
        <is>
          <t>Z1-F</t>
        </is>
      </c>
      <c r="C168" t="inlineStr">
        <is>
          <t>A</t>
        </is>
      </c>
      <c r="D168" t="inlineStr">
        <is>
          <t>codingplan_class_fy25</t>
        </is>
      </c>
      <c r="E168" t="inlineStr">
        <is>
          <t>GLM Coding Plan 收入歸屬</t>
        </is>
      </c>
      <c r="F168" t="inlineStr">
        <is>
          <t>FY2025</t>
        </is>
      </c>
      <c r="J168" t="inlineStr"/>
      <c r="K168" t="inlineStr">
        <is>
          <t>Derived</t>
        </is>
      </c>
      <c r="M168" t="inlineStr">
        <is>
          <t>Derived</t>
        </is>
      </c>
      <c r="N168" t="inlineStr">
        <is>
          <t>智譜 2025 年度業績公告</t>
        </is>
      </c>
      <c r="O168" t="inlineStr">
        <is>
          <t>https://www1.hkexnews.hk/listedco/listconews/sehk/2026/0331/2026033101549.pdf</t>
        </is>
      </c>
      <c r="P168" t="inlineStr">
        <is>
          <t>2026-03-31</t>
        </is>
      </c>
      <c r="Q168" t="inlineStr">
        <is>
          <t>公告於開放平台及 API 毛利段提及「programming subscription packages」；未單列收入。判定歸入開放平台及 API（雲端）</t>
        </is>
      </c>
    </row>
    <row r="169">
      <c r="A169" t="inlineStr">
        <is>
          <t>SRC_ZP_168</t>
        </is>
      </c>
      <c r="B169" t="inlineStr">
        <is>
          <t>Z1-F</t>
        </is>
      </c>
      <c r="C169" t="inlineStr">
        <is>
          <t>A</t>
        </is>
      </c>
      <c r="D169" t="inlineStr">
        <is>
          <t>codingplan_paying_fy25</t>
        </is>
      </c>
      <c r="E169" t="inlineStr">
        <is>
          <t>Coding Plan 付費開發者</t>
        </is>
      </c>
      <c r="F169" t="inlineStr">
        <is>
          <t>FY2025</t>
        </is>
      </c>
      <c r="G169" t="n">
        <v>242000</v>
      </c>
      <c r="H169" t="n">
        <v>242000</v>
      </c>
      <c r="J169" t="inlineStr">
        <is>
          <t>人</t>
        </is>
      </c>
      <c r="K169" t="inlineStr">
        <is>
          <t>Interested-party</t>
        </is>
      </c>
      <c r="L169" t="inlineStr">
        <is>
          <t>智譜：上市後股價、配售誘因</t>
        </is>
      </c>
      <c r="M169" t="inlineStr">
        <is>
          <t>管理層口徑</t>
        </is>
      </c>
      <c r="N169" t="inlineStr">
        <is>
          <t>智譜 2025 年度業績公告</t>
        </is>
      </c>
      <c r="O169" t="inlineStr">
        <is>
          <t>https://www1.hkexnews.hk/listedco/listconews/sehk/2026/0331/2026033101549.pdf</t>
        </is>
      </c>
      <c r="P169" t="inlineStr">
        <is>
          <t>2026-03-31</t>
        </is>
      </c>
      <c r="Q169" t="inlineStr">
        <is>
          <t>原文 over 242,000 paying Coding Plan developers（下限值）</t>
        </is>
      </c>
    </row>
    <row r="170">
      <c r="A170" t="inlineStr">
        <is>
          <t>SRC_ZP_169</t>
        </is>
      </c>
      <c r="B170" t="inlineStr">
        <is>
          <t>Z1-F</t>
        </is>
      </c>
      <c r="C170" t="inlineStr">
        <is>
          <t>A</t>
        </is>
      </c>
      <c r="D170" t="inlineStr">
        <is>
          <t>rev_api_1h26</t>
        </is>
      </c>
      <c r="E170" t="inlineStr">
        <is>
          <t>開放平台及 API 收入</t>
        </is>
      </c>
      <c r="F170" t="inlineStr">
        <is>
          <t>1H2026</t>
        </is>
      </c>
      <c r="G170" t="n">
        <v>8.251799999999999</v>
      </c>
      <c r="J170" t="inlineStr">
        <is>
          <t>RMB 億</t>
        </is>
      </c>
      <c r="K170" t="inlineStr">
        <is>
          <t>Verified</t>
        </is>
      </c>
      <c r="M170" t="inlineStr">
        <is>
          <t>未經審計（中期業績公告；是否經核數師審閱公告未見明載）</t>
        </is>
      </c>
      <c r="N170" t="inlineStr">
        <is>
          <t>智譜（Z.AI）2026 中期業績公告</t>
        </is>
      </c>
      <c r="O170" t="inlineStr">
        <is>
          <t>https://www1.hkexnews.hk/listedco/listconews/sehk/2026/0831/2026083101539.pdf</t>
        </is>
      </c>
      <c r="P170" t="inlineStr">
        <is>
          <t>2026-08-31</t>
        </is>
      </c>
      <c r="Q170" t="inlineStr">
        <is>
          <t>原文「Open Platform and API」；千元值 825,176；RMB 千元÷100,000 換算成億；1H26 占 86.5%（1H25 15.2%）；＝雲端部署分部</t>
        </is>
      </c>
    </row>
    <row r="171">
      <c r="A171" t="inlineStr">
        <is>
          <t>SRC_ZP_170</t>
        </is>
      </c>
      <c r="B171" t="inlineStr">
        <is>
          <t>Z1-F</t>
        </is>
      </c>
      <c r="C171" t="inlineStr">
        <is>
          <t>A</t>
        </is>
      </c>
      <c r="D171" t="inlineStr">
        <is>
          <t>rev_api_1h25</t>
        </is>
      </c>
      <c r="E171" t="inlineStr">
        <is>
          <t>開放平台及 API 收入</t>
        </is>
      </c>
      <c r="F171" t="inlineStr">
        <is>
          <t>1H2025</t>
        </is>
      </c>
      <c r="G171" t="n">
        <v>0.291</v>
      </c>
      <c r="J171" t="inlineStr">
        <is>
          <t>RMB 億</t>
        </is>
      </c>
      <c r="K171" t="inlineStr">
        <is>
          <t>Verified</t>
        </is>
      </c>
      <c r="M171" t="inlineStr">
        <is>
          <t>未經審計（中期業績公告；是否經核數師審閱公告未見明載）</t>
        </is>
      </c>
      <c r="N171" t="inlineStr">
        <is>
          <t>智譜（Z.AI）2026 中期業績公告</t>
        </is>
      </c>
      <c r="O171" t="inlineStr">
        <is>
          <t>https://www1.hkexnews.hk/listedco/listconews/sehk/2026/0831/2026083101539.pdf</t>
        </is>
      </c>
      <c r="P171" t="inlineStr">
        <is>
          <t>2026-08-31</t>
        </is>
      </c>
      <c r="Q171" t="inlineStr">
        <is>
          <t>原文「Open Platform and API」；千元值 29,100；RMB 千元÷100,000 換算成億；1H26 占 86.5%（1H25 15.2%）；＝雲端部署分部</t>
        </is>
      </c>
    </row>
    <row r="172">
      <c r="A172" t="inlineStr">
        <is>
          <t>SRC_ZP_171</t>
        </is>
      </c>
      <c r="B172" t="inlineStr">
        <is>
          <t>Z1-F</t>
        </is>
      </c>
      <c r="C172" t="inlineStr">
        <is>
          <t>A</t>
        </is>
      </c>
      <c r="D172" t="inlineStr">
        <is>
          <t>rev_agent_1h26</t>
        </is>
      </c>
      <c r="E172" t="inlineStr">
        <is>
          <t>企業級智能體收入</t>
        </is>
      </c>
      <c r="F172" t="inlineStr">
        <is>
          <t>1H2026</t>
        </is>
      </c>
      <c r="G172" t="n">
        <v>0.5556</v>
      </c>
      <c r="J172" t="inlineStr">
        <is>
          <t>RMB 億</t>
        </is>
      </c>
      <c r="K172" t="inlineStr">
        <is>
          <t>Verified</t>
        </is>
      </c>
      <c r="M172" t="inlineStr">
        <is>
          <t>未經審計（中期業績公告；是否經核數師審閱公告未見明載）</t>
        </is>
      </c>
      <c r="N172" t="inlineStr">
        <is>
          <t>智譜（Z.AI）2026 中期業績公告</t>
        </is>
      </c>
      <c r="O172" t="inlineStr">
        <is>
          <t>https://www1.hkexnews.hk/listedco/listconews/sehk/2026/0831/2026083101539.pdf</t>
        </is>
      </c>
      <c r="P172" t="inlineStr">
        <is>
          <t>2026-08-31</t>
        </is>
      </c>
      <c r="Q172" t="inlineStr">
        <is>
          <t>原文「Enterprise-level Agents」；千元值 55,561；RMB 千元÷100,000 換算成億</t>
        </is>
      </c>
    </row>
    <row r="173">
      <c r="A173" t="inlineStr">
        <is>
          <t>SRC_ZP_172</t>
        </is>
      </c>
      <c r="B173" t="inlineStr">
        <is>
          <t>Z1-F</t>
        </is>
      </c>
      <c r="C173" t="inlineStr">
        <is>
          <t>A</t>
        </is>
      </c>
      <c r="D173" t="inlineStr">
        <is>
          <t>rev_agent_1h25</t>
        </is>
      </c>
      <c r="E173" t="inlineStr">
        <is>
          <t>企業級智能體收入</t>
        </is>
      </c>
      <c r="F173" t="inlineStr">
        <is>
          <t>1H2025</t>
        </is>
      </c>
      <c r="G173" t="n">
        <v>0.1374</v>
      </c>
      <c r="J173" t="inlineStr">
        <is>
          <t>RMB 億</t>
        </is>
      </c>
      <c r="K173" t="inlineStr">
        <is>
          <t>Verified</t>
        </is>
      </c>
      <c r="M173" t="inlineStr">
        <is>
          <t>未經審計（中期業績公告；是否經核數師審閱公告未見明載）</t>
        </is>
      </c>
      <c r="N173" t="inlineStr">
        <is>
          <t>智譜（Z.AI）2026 中期業績公告</t>
        </is>
      </c>
      <c r="O173" t="inlineStr">
        <is>
          <t>https://www1.hkexnews.hk/listedco/listconews/sehk/2026/0831/2026083101539.pdf</t>
        </is>
      </c>
      <c r="P173" t="inlineStr">
        <is>
          <t>2026-08-31</t>
        </is>
      </c>
      <c r="Q173" t="inlineStr">
        <is>
          <t>原文「Enterprise-level Agents」；千元值 13,739；RMB 千元÷100,000 換算成億</t>
        </is>
      </c>
    </row>
    <row r="174">
      <c r="A174" t="inlineStr">
        <is>
          <t>SRC_ZP_173</t>
        </is>
      </c>
      <c r="B174" t="inlineStr">
        <is>
          <t>Z1-F</t>
        </is>
      </c>
      <c r="C174" t="inlineStr">
        <is>
          <t>A</t>
        </is>
      </c>
      <c r="D174" t="inlineStr">
        <is>
          <t>rev_gpllm_1h26</t>
        </is>
      </c>
      <c r="E174" t="inlineStr">
        <is>
          <t>企業級通用大模型收入</t>
        </is>
      </c>
      <c r="F174" t="inlineStr">
        <is>
          <t>1H2026</t>
        </is>
      </c>
      <c r="G174" t="n">
        <v>0.6704</v>
      </c>
      <c r="J174" t="inlineStr">
        <is>
          <t>RMB 億</t>
        </is>
      </c>
      <c r="K174" t="inlineStr">
        <is>
          <t>Verified</t>
        </is>
      </c>
      <c r="M174" t="inlineStr">
        <is>
          <t>未經審計（中期業績公告；是否經核數師審閱公告未見明載）</t>
        </is>
      </c>
      <c r="N174" t="inlineStr">
        <is>
          <t>智譜（Z.AI）2026 中期業績公告</t>
        </is>
      </c>
      <c r="O174" t="inlineStr">
        <is>
          <t>https://www1.hkexnews.hk/listedco/listconews/sehk/2026/0831/2026083101539.pdf</t>
        </is>
      </c>
      <c r="P174" t="inlineStr">
        <is>
          <t>2026-08-31</t>
        </is>
      </c>
      <c r="Q174" t="inlineStr">
        <is>
          <t>原文「Enterprise-level General-purpose Large Models」；千元值 67,037；RMB 千元÷100,000 換算成億</t>
        </is>
      </c>
    </row>
    <row r="175">
      <c r="A175" t="inlineStr">
        <is>
          <t>SRC_ZP_174</t>
        </is>
      </c>
      <c r="B175" t="inlineStr">
        <is>
          <t>Z1-F</t>
        </is>
      </c>
      <c r="C175" t="inlineStr">
        <is>
          <t>A</t>
        </is>
      </c>
      <c r="D175" t="inlineStr">
        <is>
          <t>rev_gpllm_1h25</t>
        </is>
      </c>
      <c r="E175" t="inlineStr">
        <is>
          <t>企業級通用大模型收入</t>
        </is>
      </c>
      <c r="F175" t="inlineStr">
        <is>
          <t>1H2025</t>
        </is>
      </c>
      <c r="G175" t="n">
        <v>1.4755</v>
      </c>
      <c r="J175" t="inlineStr">
        <is>
          <t>RMB 億</t>
        </is>
      </c>
      <c r="K175" t="inlineStr">
        <is>
          <t>Verified</t>
        </is>
      </c>
      <c r="M175" t="inlineStr">
        <is>
          <t>未經審計（中期業績公告；是否經核數師審閱公告未見明載）</t>
        </is>
      </c>
      <c r="N175" t="inlineStr">
        <is>
          <t>智譜（Z.AI）2026 中期業績公告</t>
        </is>
      </c>
      <c r="O175" t="inlineStr">
        <is>
          <t>https://www1.hkexnews.hk/listedco/listconews/sehk/2026/0831/2026083101539.pdf</t>
        </is>
      </c>
      <c r="P175" t="inlineStr">
        <is>
          <t>2026-08-31</t>
        </is>
      </c>
      <c r="Q175" t="inlineStr">
        <is>
          <t>原文「Enterprise-level General-purpose Large Models」；千元值 147,555；RMB 千元÷100,000 換算成億</t>
        </is>
      </c>
    </row>
    <row r="176">
      <c r="A176" t="inlineStr">
        <is>
          <t>SRC_ZP_175</t>
        </is>
      </c>
      <c r="B176" t="inlineStr">
        <is>
          <t>Z1-F</t>
        </is>
      </c>
      <c r="C176" t="inlineStr">
        <is>
          <t>A</t>
        </is>
      </c>
      <c r="D176" t="inlineStr">
        <is>
          <t>rev_techsvc_1h26</t>
        </is>
      </c>
      <c r="E176" t="inlineStr">
        <is>
          <t>技術服務及其他收入</t>
        </is>
      </c>
      <c r="F176" t="inlineStr">
        <is>
          <t>1H2026</t>
        </is>
      </c>
      <c r="G176" t="n">
        <v>0.0612</v>
      </c>
      <c r="J176" t="inlineStr">
        <is>
          <t>RMB 億</t>
        </is>
      </c>
      <c r="K176" t="inlineStr">
        <is>
          <t>Verified</t>
        </is>
      </c>
      <c r="M176" t="inlineStr">
        <is>
          <t>未經審計（中期業績公告；是否經核數師審閱公告未見明載）</t>
        </is>
      </c>
      <c r="N176" t="inlineStr">
        <is>
          <t>智譜（Z.AI）2026 中期業績公告</t>
        </is>
      </c>
      <c r="O176" t="inlineStr">
        <is>
          <t>https://www1.hkexnews.hk/listedco/listconews/sehk/2026/0831/2026083101539.pdf</t>
        </is>
      </c>
      <c r="P176" t="inlineStr">
        <is>
          <t>2026-08-31</t>
        </is>
      </c>
      <c r="Q176" t="inlineStr">
        <is>
          <t>原文「Technical Services and Others」；千元值 6,118；RMB 千元÷100,000 換算成億</t>
        </is>
      </c>
    </row>
    <row r="177">
      <c r="A177" t="inlineStr">
        <is>
          <t>SRC_ZP_176</t>
        </is>
      </c>
      <c r="B177" t="inlineStr">
        <is>
          <t>Z1-F</t>
        </is>
      </c>
      <c r="C177" t="inlineStr">
        <is>
          <t>A</t>
        </is>
      </c>
      <c r="D177" t="inlineStr">
        <is>
          <t>rev_techsvc_1h25</t>
        </is>
      </c>
      <c r="E177" t="inlineStr">
        <is>
          <t>技術服務及其他收入</t>
        </is>
      </c>
      <c r="F177" t="inlineStr">
        <is>
          <t>1H2025</t>
        </is>
      </c>
      <c r="G177" t="n">
        <v>0.0048</v>
      </c>
      <c r="J177" t="inlineStr">
        <is>
          <t>RMB 億</t>
        </is>
      </c>
      <c r="K177" t="inlineStr">
        <is>
          <t>Verified</t>
        </is>
      </c>
      <c r="M177" t="inlineStr">
        <is>
          <t>未經審計（中期業績公告；是否經核數師審閱公告未見明載）</t>
        </is>
      </c>
      <c r="N177" t="inlineStr">
        <is>
          <t>智譜（Z.AI）2026 中期業績公告</t>
        </is>
      </c>
      <c r="O177" t="inlineStr">
        <is>
          <t>https://www1.hkexnews.hk/listedco/listconews/sehk/2026/0831/2026083101539.pdf</t>
        </is>
      </c>
      <c r="P177" t="inlineStr">
        <is>
          <t>2026-08-31</t>
        </is>
      </c>
      <c r="Q177" t="inlineStr">
        <is>
          <t>原文「Technical Services and Others」；千元值 483；RMB 千元÷100,000 換算成億</t>
        </is>
      </c>
    </row>
    <row r="178">
      <c r="A178" t="inlineStr">
        <is>
          <t>SRC_ZP_177</t>
        </is>
      </c>
      <c r="B178" t="inlineStr">
        <is>
          <t>Z1-F</t>
        </is>
      </c>
      <c r="C178" t="inlineStr">
        <is>
          <t>A</t>
        </is>
      </c>
      <c r="D178" t="inlineStr">
        <is>
          <t>rev_total_1h26</t>
        </is>
      </c>
      <c r="E178" t="inlineStr">
        <is>
          <t>營收總額</t>
        </is>
      </c>
      <c r="F178" t="inlineStr">
        <is>
          <t>1H2026</t>
        </is>
      </c>
      <c r="G178" t="n">
        <v>9.5389</v>
      </c>
      <c r="J178" t="inlineStr">
        <is>
          <t>RMB 億</t>
        </is>
      </c>
      <c r="K178" t="inlineStr">
        <is>
          <t>Verified</t>
        </is>
      </c>
      <c r="M178" t="inlineStr">
        <is>
          <t>未經審計（中期業績公告；是否經核數師審閱公告未見明載）</t>
        </is>
      </c>
      <c r="N178" t="inlineStr">
        <is>
          <t>智譜（Z.AI）2026 中期業績公告</t>
        </is>
      </c>
      <c r="O178" t="inlineStr">
        <is>
          <t>https://www1.hkexnews.hk/listedco/listconews/sehk/2026/0831/2026083101539.pdf</t>
        </is>
      </c>
      <c r="P178" t="inlineStr">
        <is>
          <t>2026-08-31</t>
        </is>
      </c>
      <c r="Q178" t="inlineStr">
        <is>
          <t>原文 revenue 953,892 千元（1H25 190,877），+399.7%；RMB 千元÷100,000 換算成億</t>
        </is>
      </c>
    </row>
    <row r="179">
      <c r="A179" t="inlineStr">
        <is>
          <t>SRC_ZP_178</t>
        </is>
      </c>
      <c r="B179" t="inlineStr">
        <is>
          <t>Z1-F</t>
        </is>
      </c>
      <c r="C179" t="inlineStr">
        <is>
          <t>A</t>
        </is>
      </c>
      <c r="D179" t="inlineStr">
        <is>
          <t>rev_onprem_1h26</t>
        </is>
      </c>
      <c r="E179" t="inlineStr">
        <is>
          <t>本地化部署收入（分部）</t>
        </is>
      </c>
      <c r="F179" t="inlineStr">
        <is>
          <t>1H2026</t>
        </is>
      </c>
      <c r="G179" t="n">
        <v>1.2872</v>
      </c>
      <c r="J179" t="inlineStr">
        <is>
          <t>RMB 億</t>
        </is>
      </c>
      <c r="K179" t="inlineStr">
        <is>
          <t>Verified</t>
        </is>
      </c>
      <c r="M179" t="inlineStr">
        <is>
          <t>未經審計（中期業績公告；是否經核數師審閱公告未見明載）</t>
        </is>
      </c>
      <c r="N179" t="inlineStr">
        <is>
          <t>智譜（Z.AI）2026 中期業績公告</t>
        </is>
      </c>
      <c r="O179" t="inlineStr">
        <is>
          <t>https://ea-cdn.eurolandir.com/press-releases-attachments/4174939/HKEX-EPS_20260831_12308928_0.PDF</t>
        </is>
      </c>
      <c r="P179" t="inlineStr">
        <is>
          <t>2026-08-31</t>
        </is>
      </c>
      <c r="Q179" t="inlineStr">
        <is>
          <t>on-premise deployment 128,716 千元（1H25 161,777），占 13.5%；RMB 千元÷100,000 換算成億</t>
        </is>
      </c>
    </row>
    <row r="180">
      <c r="A180" t="inlineStr">
        <is>
          <t>SRC_ZP_179</t>
        </is>
      </c>
      <c r="B180" t="inlineStr">
        <is>
          <t>Z1-F</t>
        </is>
      </c>
      <c r="C180" t="inlineStr">
        <is>
          <t>A</t>
        </is>
      </c>
      <c r="D180" t="inlineStr">
        <is>
          <t>rev_cloud_1h26</t>
        </is>
      </c>
      <c r="E180" t="inlineStr">
        <is>
          <t>雲端部署收入（分部）</t>
        </is>
      </c>
      <c r="F180" t="inlineStr">
        <is>
          <t>1H2026</t>
        </is>
      </c>
      <c r="G180" t="n">
        <v>8.251799999999999</v>
      </c>
      <c r="J180" t="inlineStr">
        <is>
          <t>RMB 億</t>
        </is>
      </c>
      <c r="K180" t="inlineStr">
        <is>
          <t>Verified</t>
        </is>
      </c>
      <c r="M180" t="inlineStr">
        <is>
          <t>未經審計（中期業績公告；是否經核數師審閱公告未見明載）</t>
        </is>
      </c>
      <c r="N180" t="inlineStr">
        <is>
          <t>智譜（Z.AI）2026 中期業績公告</t>
        </is>
      </c>
      <c r="O180" t="inlineStr">
        <is>
          <t>https://ea-cdn.eurolandir.com/press-releases-attachments/4174939/HKEX-EPS_20260831_12308928_0.PDF</t>
        </is>
      </c>
      <c r="P180" t="inlineStr">
        <is>
          <t>2026-08-31</t>
        </is>
      </c>
      <c r="Q180" t="inlineStr">
        <is>
          <t>cloud-based deployment 825,176 千元＝開放平台及 API；RMB 千元÷100,000 換算成億</t>
        </is>
      </c>
    </row>
    <row r="181">
      <c r="A181" t="inlineStr">
        <is>
          <t>SRC_ZP_180</t>
        </is>
      </c>
      <c r="B181" t="inlineStr">
        <is>
          <t>Z1-F</t>
        </is>
      </c>
      <c r="C181" t="inlineStr">
        <is>
          <t>A</t>
        </is>
      </c>
      <c r="D181" t="inlineStr">
        <is>
          <t>rev_onprem_1h26_b</t>
        </is>
      </c>
      <c r="E181" t="inlineStr">
        <is>
          <t>本地化部署相關收入（媒體）</t>
        </is>
      </c>
      <c r="F181" t="inlineStr">
        <is>
          <t>1H2026</t>
        </is>
      </c>
      <c r="G181" t="n">
        <v>0.6704</v>
      </c>
      <c r="J181" t="inlineStr">
        <is>
          <t>RMB 億</t>
        </is>
      </c>
      <c r="K181" t="inlineStr">
        <is>
          <t>Interested-party</t>
        </is>
      </c>
      <c r="L181" t="inlineStr">
        <is>
          <t>媒體（鉅亨號）轉述</t>
        </is>
      </c>
      <c r="M181" t="inlineStr">
        <is>
          <t>媒體轉述</t>
        </is>
      </c>
      <c r="N181" t="inlineStr">
        <is>
          <t>鉅亨號〈智譜上半年業績暴漲 造血能力驗證〉</t>
        </is>
      </c>
      <c r="O181" t="inlineStr">
        <is>
          <t>https://hao.cnyes.com/post/265529</t>
        </is>
      </c>
      <c r="P181" t="inlineStr">
        <is>
          <t>2026-09-01</t>
        </is>
      </c>
      <c r="Q181" t="inlineStr">
        <is>
          <t>原文「本地化部署相關收入6,704萬元」；與公告分部 1.287 億矛盾：媒體只計企業級通用大模型</t>
        </is>
      </c>
    </row>
    <row r="182">
      <c r="A182" t="inlineStr">
        <is>
          <t>SRC_ZP_181</t>
        </is>
      </c>
      <c r="B182" t="inlineStr">
        <is>
          <t>Z1-F</t>
        </is>
      </c>
      <c r="C182" t="inlineStr">
        <is>
          <t>A</t>
        </is>
      </c>
      <c r="D182" t="inlineStr">
        <is>
          <t>rev_onprem_1h26_c</t>
        </is>
      </c>
      <c r="E182" t="inlineStr">
        <is>
          <t>本地化部署收入（券商）</t>
        </is>
      </c>
      <c r="F182" t="inlineStr">
        <is>
          <t>1H2026</t>
        </is>
      </c>
      <c r="G182" t="n">
        <v>1.3</v>
      </c>
      <c r="J182" t="inlineStr">
        <is>
          <t>RMB 億</t>
        </is>
      </c>
      <c r="K182" t="inlineStr">
        <is>
          <t>Interested-party</t>
        </is>
      </c>
      <c r="L182" t="inlineStr">
        <is>
          <t>國信證券：券商研究，交易誘因</t>
        </is>
      </c>
      <c r="M182" t="inlineStr">
        <is>
          <t>券商口徑</t>
        </is>
      </c>
      <c r="N182" t="inlineStr">
        <is>
          <t>國信證券〈26H1財報點評〉（格隆匯轉載）</t>
        </is>
      </c>
      <c r="O182" t="inlineStr">
        <is>
          <t>https://m.gelonghui.com/news/5306647</t>
        </is>
      </c>
      <c r="P182" t="inlineStr">
        <is>
          <t>2026-09-04</t>
        </is>
      </c>
      <c r="Q182" t="inlineStr">
        <is>
          <t>原文 本地化部署收入 1.30 億元、毛利率 37.9%；與公告 128,716 千元一致（四捨五入）</t>
        </is>
      </c>
    </row>
    <row r="183">
      <c r="A183" t="inlineStr">
        <is>
          <t>SRC_ZP_182</t>
        </is>
      </c>
      <c r="B183" t="inlineStr">
        <is>
          <t>Z1-F</t>
        </is>
      </c>
      <c r="C183" t="inlineStr">
        <is>
          <t>A</t>
        </is>
      </c>
      <c r="D183" t="inlineStr">
        <is>
          <t>cogs_1h26</t>
        </is>
      </c>
      <c r="E183" t="inlineStr">
        <is>
          <t>銷售成本</t>
        </is>
      </c>
      <c r="F183" t="inlineStr">
        <is>
          <t>1H2026</t>
        </is>
      </c>
      <c r="G183" t="n">
        <v>7.0228</v>
      </c>
      <c r="J183" t="inlineStr">
        <is>
          <t>RMB 億</t>
        </is>
      </c>
      <c r="K183" t="inlineStr">
        <is>
          <t>Verified</t>
        </is>
      </c>
      <c r="M183" t="inlineStr">
        <is>
          <t>未經審計（中期業績公告；是否經核數師審閱公告未見明載）</t>
        </is>
      </c>
      <c r="N183" t="inlineStr">
        <is>
          <t>智譜（Z.AI）2026 中期業績公告</t>
        </is>
      </c>
      <c r="O183" t="inlineStr">
        <is>
          <t>https://www1.hkexnews.hk/listedco/listconews/sehk/2026/0831/2026083101539.pdf</t>
        </is>
      </c>
      <c r="P183" t="inlineStr">
        <is>
          <t>2026-08-31</t>
        </is>
      </c>
      <c r="Q183" t="inlineStr">
        <is>
          <t>原文「primarily attributable to the increase in computing service fees」；千元 702,281；算力服務費金額未揭露；RMB 千元÷100,000 換算成億</t>
        </is>
      </c>
    </row>
    <row r="184">
      <c r="A184" t="inlineStr">
        <is>
          <t>SRC_ZP_183</t>
        </is>
      </c>
      <c r="B184" t="inlineStr">
        <is>
          <t>Z1-F</t>
        </is>
      </c>
      <c r="C184" t="inlineStr">
        <is>
          <t>A</t>
        </is>
      </c>
      <c r="D184" t="inlineStr">
        <is>
          <t>cogs_1h25_i</t>
        </is>
      </c>
      <c r="E184" t="inlineStr">
        <is>
          <t>銷售成本（中期公告比較數）</t>
        </is>
      </c>
      <c r="F184" t="inlineStr">
        <is>
          <t>1H2025</t>
        </is>
      </c>
      <c r="G184" t="n">
        <v>0.9545</v>
      </c>
      <c r="J184" t="inlineStr">
        <is>
          <t>RMB 億</t>
        </is>
      </c>
      <c r="K184" t="inlineStr">
        <is>
          <t>Verified</t>
        </is>
      </c>
      <c r="M184" t="inlineStr">
        <is>
          <t>未經審計（中期業績公告；是否經核數師審閱公告未見明載）</t>
        </is>
      </c>
      <c r="N184" t="inlineStr">
        <is>
          <t>智譜（Z.AI）2026 中期業績公告</t>
        </is>
      </c>
      <c r="O184" t="inlineStr">
        <is>
          <t>https://www1.hkexnews.hk/listedco/listconews/sehk/2026/0831/2026083101539.pdf</t>
        </is>
      </c>
      <c r="P184" t="inlineStr">
        <is>
          <t>2026-08-31</t>
        </is>
      </c>
      <c r="Q184" t="inlineStr">
        <is>
          <t>千元 95,453，與招股章程一致；RMB 千元÷100,000 換算成億</t>
        </is>
      </c>
    </row>
    <row r="185">
      <c r="A185" t="inlineStr">
        <is>
          <t>SRC_ZP_184</t>
        </is>
      </c>
      <c r="B185" t="inlineStr">
        <is>
          <t>Z1-F</t>
        </is>
      </c>
      <c r="C185" t="inlineStr">
        <is>
          <t>A</t>
        </is>
      </c>
      <c r="D185" t="inlineStr">
        <is>
          <t>gp_total_1h26</t>
        </is>
      </c>
      <c r="E185" t="inlineStr">
        <is>
          <t>毛利</t>
        </is>
      </c>
      <c r="F185" t="inlineStr">
        <is>
          <t>1H2026</t>
        </is>
      </c>
      <c r="G185" t="n">
        <v>2.5161</v>
      </c>
      <c r="J185" t="inlineStr">
        <is>
          <t>RMB 億</t>
        </is>
      </c>
      <c r="K185" t="inlineStr">
        <is>
          <t>Verified</t>
        </is>
      </c>
      <c r="M185" t="inlineStr">
        <is>
          <t>未經審計（中期業績公告；是否經核數師審閱公告未見明載）</t>
        </is>
      </c>
      <c r="N185" t="inlineStr">
        <is>
          <t>智譜（Z.AI）2026 中期業績公告</t>
        </is>
      </c>
      <c r="O185" t="inlineStr">
        <is>
          <t>https://www1.hkexnews.hk/listedco/listconews/sehk/2026/0831/2026083101539.pdf</t>
        </is>
      </c>
      <c r="P185" t="inlineStr">
        <is>
          <t>2026-08-31</t>
        </is>
      </c>
      <c r="Q185" t="inlineStr">
        <is>
          <t>gross profit 251,611 千元；毛利率 26.4%（1H25 50.0%）；RMB 千元÷100,000 換算成億</t>
        </is>
      </c>
    </row>
    <row r="186">
      <c r="A186" t="inlineStr">
        <is>
          <t>SRC_ZP_185</t>
        </is>
      </c>
      <c r="B186" t="inlineStr">
        <is>
          <t>Z1-F</t>
        </is>
      </c>
      <c r="C186" t="inlineStr">
        <is>
          <t>A</t>
        </is>
      </c>
      <c r="D186" t="inlineStr">
        <is>
          <t>gm_total_1h26</t>
        </is>
      </c>
      <c r="E186" t="inlineStr">
        <is>
          <t>整體毛利率</t>
        </is>
      </c>
      <c r="F186" t="inlineStr">
        <is>
          <t>1H2026</t>
        </is>
      </c>
      <c r="G186" t="n">
        <v>26.4</v>
      </c>
      <c r="J186" t="inlineStr">
        <is>
          <t>%</t>
        </is>
      </c>
      <c r="K186" t="inlineStr">
        <is>
          <t>Verified</t>
        </is>
      </c>
      <c r="M186" t="inlineStr">
        <is>
          <t>未經審計（中期業績公告；是否經核數師審閱公告未見明載）</t>
        </is>
      </c>
      <c r="N186" t="inlineStr">
        <is>
          <t>智譜（Z.AI）2026 中期業績公告</t>
        </is>
      </c>
      <c r="O186" t="inlineStr">
        <is>
          <t>https://www1.hkexnews.hk/listedco/listconews/sehk/2026/0831/2026083101539.pdf</t>
        </is>
      </c>
      <c r="P186" t="inlineStr">
        <is>
          <t>2026-08-31</t>
        </is>
      </c>
      <c r="Q186" t="inlineStr">
        <is>
          <t>原文 gross margin 26.4%（1H25 50.0%）</t>
        </is>
      </c>
    </row>
    <row r="187">
      <c r="A187" t="inlineStr">
        <is>
          <t>SRC_ZP_186</t>
        </is>
      </c>
      <c r="B187" t="inlineStr">
        <is>
          <t>Z1-F</t>
        </is>
      </c>
      <c r="C187" t="inlineStr">
        <is>
          <t>A</t>
        </is>
      </c>
      <c r="D187" t="inlineStr">
        <is>
          <t>gp_api_1h26</t>
        </is>
      </c>
      <c r="E187" t="inlineStr">
        <is>
          <t>開放平台及 API 毛利</t>
        </is>
      </c>
      <c r="F187" t="inlineStr">
        <is>
          <t>1H2026</t>
        </is>
      </c>
      <c r="G187" t="n">
        <v>2.0287</v>
      </c>
      <c r="J187" t="inlineStr">
        <is>
          <t>RMB 億</t>
        </is>
      </c>
      <c r="K187" t="inlineStr">
        <is>
          <t>Verified</t>
        </is>
      </c>
      <c r="M187" t="inlineStr">
        <is>
          <t>未經審計（中期業績公告；是否經核數師審閱公告未見明載）</t>
        </is>
      </c>
      <c r="N187" t="inlineStr">
        <is>
          <t>智譜（Z.AI）2026 中期業績公告</t>
        </is>
      </c>
      <c r="O187" t="inlineStr">
        <is>
          <t>https://ea-cdn.eurolandir.com/press-releases-attachments/4174939/HKEX-EPS_20260831_12308928_0.PDF</t>
        </is>
      </c>
      <c r="P187" t="inlineStr">
        <is>
          <t>2026-08-31</t>
        </is>
      </c>
      <c r="Q187" t="inlineStr">
        <is>
          <t>千元 202,871；毛利率 24.6%；RMB 千元÷100,000 換算成億</t>
        </is>
      </c>
    </row>
    <row r="188">
      <c r="A188" t="inlineStr">
        <is>
          <t>SRC_ZP_187</t>
        </is>
      </c>
      <c r="B188" t="inlineStr">
        <is>
          <t>Z1-F</t>
        </is>
      </c>
      <c r="C188" t="inlineStr">
        <is>
          <t>A</t>
        </is>
      </c>
      <c r="D188" t="inlineStr">
        <is>
          <t>gp_api_1h25</t>
        </is>
      </c>
      <c r="E188" t="inlineStr">
        <is>
          <t>開放平台及 API 毛利</t>
        </is>
      </c>
      <c r="F188" t="inlineStr">
        <is>
          <t>1H2025</t>
        </is>
      </c>
      <c r="G188" t="n">
        <v>-0.0012</v>
      </c>
      <c r="J188" t="inlineStr">
        <is>
          <t>RMB 億</t>
        </is>
      </c>
      <c r="K188" t="inlineStr">
        <is>
          <t>Verified</t>
        </is>
      </c>
      <c r="M188" t="inlineStr">
        <is>
          <t>未經審計（中期業績公告；是否經核數師審閱公告未見明載）</t>
        </is>
      </c>
      <c r="N188" t="inlineStr">
        <is>
          <t>智譜（Z.AI）2026 中期業績公告</t>
        </is>
      </c>
      <c r="O188" t="inlineStr">
        <is>
          <t>https://ea-cdn.eurolandir.com/press-releases-attachments/4174939/HKEX-EPS_20260831_12308928_0.PDF</t>
        </is>
      </c>
      <c r="P188" t="inlineStr">
        <is>
          <t>2026-08-31</t>
        </is>
      </c>
      <c r="Q188" t="inlineStr">
        <is>
          <t>千元 -116；毛利率 -0.4%；RMB 千元÷100,000 換算成億</t>
        </is>
      </c>
    </row>
    <row r="189">
      <c r="A189" t="inlineStr">
        <is>
          <t>SRC_ZP_188</t>
        </is>
      </c>
      <c r="B189" t="inlineStr">
        <is>
          <t>Z1-F</t>
        </is>
      </c>
      <c r="C189" t="inlineStr">
        <is>
          <t>A</t>
        </is>
      </c>
      <c r="D189" t="inlineStr">
        <is>
          <t>gp_agent_1h26</t>
        </is>
      </c>
      <c r="E189" t="inlineStr">
        <is>
          <t>企業級智能體毛利</t>
        </is>
      </c>
      <c r="F189" t="inlineStr">
        <is>
          <t>1H2026</t>
        </is>
      </c>
      <c r="G189" t="n">
        <v>0.198</v>
      </c>
      <c r="J189" t="inlineStr">
        <is>
          <t>RMB 億</t>
        </is>
      </c>
      <c r="K189" t="inlineStr">
        <is>
          <t>Verified</t>
        </is>
      </c>
      <c r="M189" t="inlineStr">
        <is>
          <t>未經審計（中期業績公告；是否經核數師審閱公告未見明載）</t>
        </is>
      </c>
      <c r="N189" t="inlineStr">
        <is>
          <t>智譜（Z.AI）2026 中期業績公告</t>
        </is>
      </c>
      <c r="O189" t="inlineStr">
        <is>
          <t>https://ea-cdn.eurolandir.com/press-releases-attachments/4174939/HKEX-EPS_20260831_12308928_0.PDF</t>
        </is>
      </c>
      <c r="P189" t="inlineStr">
        <is>
          <t>2026-08-31</t>
        </is>
      </c>
      <c r="Q189" t="inlineStr">
        <is>
          <t>千元 19,796；毛利率 35.6%；RMB 千元÷100,000 換算成億</t>
        </is>
      </c>
    </row>
    <row r="190">
      <c r="A190" t="inlineStr">
        <is>
          <t>SRC_ZP_189</t>
        </is>
      </c>
      <c r="B190" t="inlineStr">
        <is>
          <t>Z1-F</t>
        </is>
      </c>
      <c r="C190" t="inlineStr">
        <is>
          <t>A</t>
        </is>
      </c>
      <c r="D190" t="inlineStr">
        <is>
          <t>gp_agent_1h25</t>
        </is>
      </c>
      <c r="E190" t="inlineStr">
        <is>
          <t>企業級智能體毛利</t>
        </is>
      </c>
      <c r="F190" t="inlineStr">
        <is>
          <t>1H2025</t>
        </is>
      </c>
      <c r="G190" t="n">
        <v>0.0888</v>
      </c>
      <c r="J190" t="inlineStr">
        <is>
          <t>RMB 億</t>
        </is>
      </c>
      <c r="K190" t="inlineStr">
        <is>
          <t>Verified</t>
        </is>
      </c>
      <c r="M190" t="inlineStr">
        <is>
          <t>未經審計（中期業績公告；是否經核數師審閱公告未見明載）</t>
        </is>
      </c>
      <c r="N190" t="inlineStr">
        <is>
          <t>智譜（Z.AI）2026 中期業績公告</t>
        </is>
      </c>
      <c r="O190" t="inlineStr">
        <is>
          <t>https://ea-cdn.eurolandir.com/press-releases-attachments/4174939/HKEX-EPS_20260831_12308928_0.PDF</t>
        </is>
      </c>
      <c r="P190" t="inlineStr">
        <is>
          <t>2026-08-31</t>
        </is>
      </c>
      <c r="Q190" t="inlineStr">
        <is>
          <t>千元 8,880；毛利率 64.6%；RMB 千元÷100,000 換算成億</t>
        </is>
      </c>
    </row>
    <row r="191">
      <c r="A191" t="inlineStr">
        <is>
          <t>SRC_ZP_190</t>
        </is>
      </c>
      <c r="B191" t="inlineStr">
        <is>
          <t>Z1-F</t>
        </is>
      </c>
      <c r="C191" t="inlineStr">
        <is>
          <t>A</t>
        </is>
      </c>
      <c r="D191" t="inlineStr">
        <is>
          <t>gp_gpllm_1h26</t>
        </is>
      </c>
      <c r="E191" t="inlineStr">
        <is>
          <t>企業級通用大模型毛利</t>
        </is>
      </c>
      <c r="F191" t="inlineStr">
        <is>
          <t>1H2026</t>
        </is>
      </c>
      <c r="G191" t="n">
        <v>0.2837</v>
      </c>
      <c r="J191" t="inlineStr">
        <is>
          <t>RMB 億</t>
        </is>
      </c>
      <c r="K191" t="inlineStr">
        <is>
          <t>Verified</t>
        </is>
      </c>
      <c r="M191" t="inlineStr">
        <is>
          <t>未經審計（中期業績公告；是否經核數師審閱公告未見明載）</t>
        </is>
      </c>
      <c r="N191" t="inlineStr">
        <is>
          <t>智譜（Z.AI）2026 中期業績公告</t>
        </is>
      </c>
      <c r="O191" t="inlineStr">
        <is>
          <t>https://ea-cdn.eurolandir.com/press-releases-attachments/4174939/HKEX-EPS_20260831_12308928_0.PDF</t>
        </is>
      </c>
      <c r="P191" t="inlineStr">
        <is>
          <t>2026-08-31</t>
        </is>
      </c>
      <c r="Q191" t="inlineStr">
        <is>
          <t>千元 28,368；毛利率 42.3%；RMB 千元÷100,000 換算成億</t>
        </is>
      </c>
    </row>
    <row r="192">
      <c r="A192" t="inlineStr">
        <is>
          <t>SRC_ZP_191</t>
        </is>
      </c>
      <c r="B192" t="inlineStr">
        <is>
          <t>Z1-F</t>
        </is>
      </c>
      <c r="C192" t="inlineStr">
        <is>
          <t>A</t>
        </is>
      </c>
      <c r="D192" t="inlineStr">
        <is>
          <t>gp_gpllm_1h25</t>
        </is>
      </c>
      <c r="E192" t="inlineStr">
        <is>
          <t>企業級通用大模型毛利</t>
        </is>
      </c>
      <c r="F192" t="inlineStr">
        <is>
          <t>1H2025</t>
        </is>
      </c>
      <c r="G192" t="n">
        <v>0.8633999999999999</v>
      </c>
      <c r="J192" t="inlineStr">
        <is>
          <t>RMB 億</t>
        </is>
      </c>
      <c r="K192" t="inlineStr">
        <is>
          <t>Verified</t>
        </is>
      </c>
      <c r="M192" t="inlineStr">
        <is>
          <t>未經審計（中期業績公告；是否經核數師審閱公告未見明載）</t>
        </is>
      </c>
      <c r="N192" t="inlineStr">
        <is>
          <t>智譜（Z.AI）2026 中期業績公告</t>
        </is>
      </c>
      <c r="O192" t="inlineStr">
        <is>
          <t>https://ea-cdn.eurolandir.com/press-releases-attachments/4174939/HKEX-EPS_20260831_12308928_0.PDF</t>
        </is>
      </c>
      <c r="P192" t="inlineStr">
        <is>
          <t>2026-08-31</t>
        </is>
      </c>
      <c r="Q192" t="inlineStr">
        <is>
          <t>千元 86,342；毛利率 58.5%；RMB 千元÷100,000 換算成億</t>
        </is>
      </c>
    </row>
    <row r="193">
      <c r="A193" t="inlineStr">
        <is>
          <t>SRC_ZP_192</t>
        </is>
      </c>
      <c r="B193" t="inlineStr">
        <is>
          <t>Z1-F</t>
        </is>
      </c>
      <c r="C193" t="inlineStr">
        <is>
          <t>A</t>
        </is>
      </c>
      <c r="D193" t="inlineStr">
        <is>
          <t>gp_techsvc_1h26</t>
        </is>
      </c>
      <c r="E193" t="inlineStr">
        <is>
          <t>技術服務及其他毛利</t>
        </is>
      </c>
      <c r="F193" t="inlineStr">
        <is>
          <t>1H2026</t>
        </is>
      </c>
      <c r="G193" t="n">
        <v>0.0058</v>
      </c>
      <c r="J193" t="inlineStr">
        <is>
          <t>RMB 億</t>
        </is>
      </c>
      <c r="K193" t="inlineStr">
        <is>
          <t>Verified</t>
        </is>
      </c>
      <c r="M193" t="inlineStr">
        <is>
          <t>未經審計（中期業績公告；是否經核數師審閱公告未見明載）</t>
        </is>
      </c>
      <c r="N193" t="inlineStr">
        <is>
          <t>智譜（Z.AI）2026 中期業績公告</t>
        </is>
      </c>
      <c r="O193" t="inlineStr">
        <is>
          <t>https://ea-cdn.eurolandir.com/press-releases-attachments/4174939/HKEX-EPS_20260831_12308928_0.PDF</t>
        </is>
      </c>
      <c r="P193" t="inlineStr">
        <is>
          <t>2026-08-31</t>
        </is>
      </c>
      <c r="Q193" t="inlineStr">
        <is>
          <t>千元 576；毛利率 9.4%；RMB 千元÷100,000 換算成億</t>
        </is>
      </c>
    </row>
    <row r="194">
      <c r="A194" t="inlineStr">
        <is>
          <t>SRC_ZP_193</t>
        </is>
      </c>
      <c r="B194" t="inlineStr">
        <is>
          <t>Z1-F</t>
        </is>
      </c>
      <c r="C194" t="inlineStr">
        <is>
          <t>A</t>
        </is>
      </c>
      <c r="D194" t="inlineStr">
        <is>
          <t>gp_techsvc_1h25</t>
        </is>
      </c>
      <c r="E194" t="inlineStr">
        <is>
          <t>技術服務及其他毛利</t>
        </is>
      </c>
      <c r="F194" t="inlineStr">
        <is>
          <t>1H2025</t>
        </is>
      </c>
      <c r="G194" t="n">
        <v>0.0032</v>
      </c>
      <c r="J194" t="inlineStr">
        <is>
          <t>RMB 億</t>
        </is>
      </c>
      <c r="K194" t="inlineStr">
        <is>
          <t>Verified</t>
        </is>
      </c>
      <c r="M194" t="inlineStr">
        <is>
          <t>未經審計（中期業績公告；是否經核數師審閱公告未見明載）</t>
        </is>
      </c>
      <c r="N194" t="inlineStr">
        <is>
          <t>智譜（Z.AI）2026 中期業績公告</t>
        </is>
      </c>
      <c r="O194" t="inlineStr">
        <is>
          <t>https://ea-cdn.eurolandir.com/press-releases-attachments/4174939/HKEX-EPS_20260831_12308928_0.PDF</t>
        </is>
      </c>
      <c r="P194" t="inlineStr">
        <is>
          <t>2026-08-31</t>
        </is>
      </c>
      <c r="Q194" t="inlineStr">
        <is>
          <t>千元 318；毛利率 65.8%；RMB 千元÷100,000 換算成億</t>
        </is>
      </c>
    </row>
    <row r="195">
      <c r="A195" t="inlineStr">
        <is>
          <t>SRC_ZP_194</t>
        </is>
      </c>
      <c r="B195" t="inlineStr">
        <is>
          <t>Z1-F</t>
        </is>
      </c>
      <c r="C195" t="inlineStr">
        <is>
          <t>A</t>
        </is>
      </c>
      <c r="D195" t="inlineStr">
        <is>
          <t>gp_onprem_1h26</t>
        </is>
      </c>
      <c r="E195" t="inlineStr">
        <is>
          <t>本地化部署毛利（分部）</t>
        </is>
      </c>
      <c r="F195" t="inlineStr">
        <is>
          <t>1H2026</t>
        </is>
      </c>
      <c r="G195" t="n">
        <v>0.4874</v>
      </c>
      <c r="J195" t="inlineStr">
        <is>
          <t>RMB 億</t>
        </is>
      </c>
      <c r="K195" t="inlineStr">
        <is>
          <t>Verified</t>
        </is>
      </c>
      <c r="M195" t="inlineStr">
        <is>
          <t>未經審計（中期業績公告；是否經核數師審閱公告未見明載）</t>
        </is>
      </c>
      <c r="N195" t="inlineStr">
        <is>
          <t>智譜（Z.AI）2026 中期業績公告</t>
        </is>
      </c>
      <c r="O195" t="inlineStr">
        <is>
          <t>https://ea-cdn.eurolandir.com/press-releases-attachments/4174939/HKEX-EPS_20260831_12308928_0.PDF</t>
        </is>
      </c>
      <c r="P195" t="inlineStr">
        <is>
          <t>2026-08-31</t>
        </is>
      </c>
      <c r="Q195" t="inlineStr">
        <is>
          <t>segment gross profit on-premise 48,740（1H25 95,540）；毛利率 37.9%；RMB 千元÷100,000 換算成億</t>
        </is>
      </c>
    </row>
    <row r="196">
      <c r="A196" t="inlineStr">
        <is>
          <t>SRC_ZP_195</t>
        </is>
      </c>
      <c r="B196" t="inlineStr">
        <is>
          <t>Z1-F</t>
        </is>
      </c>
      <c r="C196" t="inlineStr">
        <is>
          <t>A</t>
        </is>
      </c>
      <c r="D196" t="inlineStr">
        <is>
          <t>cogs_api_1h26</t>
        </is>
      </c>
      <c r="E196" t="inlineStr">
        <is>
          <t>開放平台及 API 銷售成本（推算）</t>
        </is>
      </c>
      <c r="F196" t="inlineStr">
        <is>
          <t>1H2026</t>
        </is>
      </c>
      <c r="G196" t="n">
        <v>6.223</v>
      </c>
      <c r="J196" t="inlineStr">
        <is>
          <t>RMB 億</t>
        </is>
      </c>
      <c r="K196" t="inlineStr">
        <is>
          <t>Derived</t>
        </is>
      </c>
      <c r="M196" t="inlineStr">
        <is>
          <t>Derived</t>
        </is>
      </c>
      <c r="N196" t="inlineStr">
        <is>
          <t>智譜（Z.AI）2026 中期業績公告</t>
        </is>
      </c>
      <c r="O196" t="inlineStr">
        <is>
          <t>https://ea-cdn.eurolandir.com/press-releases-attachments/4174939/HKEX-EPS_20260831_12308928_0.PDF</t>
        </is>
      </c>
      <c r="P196" t="inlineStr">
        <is>
          <t>2026-08-31</t>
        </is>
      </c>
      <c r="Q196" t="inlineStr">
        <is>
          <t>收入 825,176－毛利 202,871＝622,305 千元；公告未直接列分部成本</t>
        </is>
      </c>
    </row>
    <row r="197">
      <c r="A197" t="inlineStr">
        <is>
          <t>SRC_ZP_196</t>
        </is>
      </c>
      <c r="B197" t="inlineStr">
        <is>
          <t>Z1-F</t>
        </is>
      </c>
      <c r="C197" t="inlineStr">
        <is>
          <t>A</t>
        </is>
      </c>
      <c r="D197" t="inlineStr">
        <is>
          <t>cogs_onprem_1h26</t>
        </is>
      </c>
      <c r="E197" t="inlineStr">
        <is>
          <t>本地化部署銷售成本（推算）</t>
        </is>
      </c>
      <c r="F197" t="inlineStr">
        <is>
          <t>1H2026</t>
        </is>
      </c>
      <c r="G197" t="n">
        <v>0.7998</v>
      </c>
      <c r="J197" t="inlineStr">
        <is>
          <t>RMB 億</t>
        </is>
      </c>
      <c r="K197" t="inlineStr">
        <is>
          <t>Derived</t>
        </is>
      </c>
      <c r="M197" t="inlineStr">
        <is>
          <t>Derived</t>
        </is>
      </c>
      <c r="N197" t="inlineStr">
        <is>
          <t>智譜（Z.AI）2026 中期業績公告</t>
        </is>
      </c>
      <c r="O197" t="inlineStr">
        <is>
          <t>https://ea-cdn.eurolandir.com/press-releases-attachments/4174939/HKEX-EPS_20260831_12308928_0.PDF</t>
        </is>
      </c>
      <c r="P197" t="inlineStr">
        <is>
          <t>2026-08-31</t>
        </is>
      </c>
      <c r="Q197" t="inlineStr">
        <is>
          <t>128,716－48,740＝79,976 千元；公告未直接列分部成本</t>
        </is>
      </c>
    </row>
    <row r="198">
      <c r="A198" t="inlineStr">
        <is>
          <t>SRC_ZP_197</t>
        </is>
      </c>
      <c r="B198" t="inlineStr">
        <is>
          <t>Z1-F</t>
        </is>
      </c>
      <c r="C198" t="inlineStr">
        <is>
          <t>A</t>
        </is>
      </c>
      <c r="D198" t="inlineStr">
        <is>
          <t>cogs_api_fy25</t>
        </is>
      </c>
      <c r="E198" t="inlineStr">
        <is>
          <t>開放平台及 API 銷售成本（推算）</t>
        </is>
      </c>
      <c r="F198" t="inlineStr">
        <is>
          <t>FY2025</t>
        </is>
      </c>
      <c r="G198" t="n">
        <v>1.5438</v>
      </c>
      <c r="J198" t="inlineStr">
        <is>
          <t>RMB 億</t>
        </is>
      </c>
      <c r="K198" t="inlineStr">
        <is>
          <t>Derived</t>
        </is>
      </c>
      <c r="M198" t="inlineStr">
        <is>
          <t>Derived</t>
        </is>
      </c>
      <c r="N198" t="inlineStr">
        <is>
          <t>智譜 2025 年度業績公告</t>
        </is>
      </c>
      <c r="O198" t="inlineStr">
        <is>
          <t>https://www1.hkexnews.hk/listedco/listconews/sehk/2026/0331/2026033101549.pdf</t>
        </is>
      </c>
      <c r="P198" t="inlineStr">
        <is>
          <t>2026-03-31</t>
        </is>
      </c>
      <c r="Q198" t="inlineStr">
        <is>
          <t>190,379－36,000＝154,379 千元</t>
        </is>
      </c>
    </row>
    <row r="199">
      <c r="A199" t="inlineStr">
        <is>
          <t>SRC_ZP_198</t>
        </is>
      </c>
      <c r="B199" t="inlineStr">
        <is>
          <t>Z1-F</t>
        </is>
      </c>
      <c r="C199" t="inlineStr">
        <is>
          <t>A</t>
        </is>
      </c>
      <c r="D199" t="inlineStr">
        <is>
          <t>cogs_onprem_fy25</t>
        </is>
      </c>
      <c r="E199" t="inlineStr">
        <is>
          <t>本地化部署銷售成本（推算）</t>
        </is>
      </c>
      <c r="F199" t="inlineStr">
        <is>
          <t>FY2025</t>
        </is>
      </c>
      <c r="G199" t="n">
        <v>2.733</v>
      </c>
      <c r="J199" t="inlineStr">
        <is>
          <t>RMB 億</t>
        </is>
      </c>
      <c r="K199" t="inlineStr">
        <is>
          <t>Derived</t>
        </is>
      </c>
      <c r="M199" t="inlineStr">
        <is>
          <t>Derived</t>
        </is>
      </c>
      <c r="N199" t="inlineStr">
        <is>
          <t>智譜 2025 年度業績公告</t>
        </is>
      </c>
      <c r="O199" t="inlineStr">
        <is>
          <t>https://www1.hkexnews.hk/listedco/listconews/sehk/2026/0331/2026033101549.pdf</t>
        </is>
      </c>
      <c r="P199" t="inlineStr">
        <is>
          <t>2026-03-31</t>
        </is>
      </c>
      <c r="Q199" t="inlineStr">
        <is>
          <t>533,955－260,656＝273,299 千元</t>
        </is>
      </c>
    </row>
    <row r="200">
      <c r="A200" t="inlineStr">
        <is>
          <t>SRC_ZP_199</t>
        </is>
      </c>
      <c r="B200" t="inlineStr">
        <is>
          <t>Z1-F</t>
        </is>
      </c>
      <c r="C200" t="inlineStr">
        <is>
          <t>A</t>
        </is>
      </c>
      <c r="D200" t="inlineStr">
        <is>
          <t>rd_1h26</t>
        </is>
      </c>
      <c r="E200" t="inlineStr">
        <is>
          <t>研發開支</t>
        </is>
      </c>
      <c r="F200" t="inlineStr">
        <is>
          <t>1H2026</t>
        </is>
      </c>
      <c r="G200" t="n">
        <v>21.3117</v>
      </c>
      <c r="J200" t="inlineStr">
        <is>
          <t>RMB 億</t>
        </is>
      </c>
      <c r="K200" t="inlineStr">
        <is>
          <t>Verified</t>
        </is>
      </c>
      <c r="M200" t="inlineStr">
        <is>
          <t>未經審計（中期業績公告；是否經核數師審閱公告未見明載）</t>
        </is>
      </c>
      <c r="N200" t="inlineStr">
        <is>
          <t>智譜（Z.AI）2026 中期業績公告</t>
        </is>
      </c>
      <c r="O200" t="inlineStr">
        <is>
          <t>https://www1.hkexnews.hk/listedco/listconews/sehk/2026/0831/2026083101539.pdf</t>
        </is>
      </c>
      <c r="P200" t="inlineStr">
        <is>
          <t>2026-08-31</t>
        </is>
      </c>
      <c r="Q200" t="inlineStr">
        <is>
          <t>原文「continued increase in research and development investment in model training」；千元 2,131,171，+33.6%；組成未揭露；RMB 千元÷100,000 換算成億</t>
        </is>
      </c>
    </row>
    <row r="201">
      <c r="A201" t="inlineStr">
        <is>
          <t>SRC_ZP_200</t>
        </is>
      </c>
      <c r="B201" t="inlineStr">
        <is>
          <t>Z1-F</t>
        </is>
      </c>
      <c r="C201" t="inlineStr">
        <is>
          <t>A</t>
        </is>
      </c>
      <c r="D201" t="inlineStr">
        <is>
          <t>sm_1h26</t>
        </is>
      </c>
      <c r="E201" t="inlineStr">
        <is>
          <t>銷售及營銷開支</t>
        </is>
      </c>
      <c r="F201" t="inlineStr">
        <is>
          <t>1H2026</t>
        </is>
      </c>
      <c r="G201" t="n">
        <v>1.7767</v>
      </c>
      <c r="J201" t="inlineStr">
        <is>
          <t>RMB 億</t>
        </is>
      </c>
      <c r="K201" t="inlineStr">
        <is>
          <t>Verified</t>
        </is>
      </c>
      <c r="M201" t="inlineStr">
        <is>
          <t>未經審計（中期業績公告；是否經核數師審閱公告未見明載）</t>
        </is>
      </c>
      <c r="N201" t="inlineStr">
        <is>
          <t>智譜（Z.AI）2026 中期業績公告</t>
        </is>
      </c>
      <c r="O201" t="inlineStr">
        <is>
          <t>https://www1.hkexnews.hk/listedco/listconews/sehk/2026/0831/2026083101539.pdf</t>
        </is>
      </c>
      <c r="P201" t="inlineStr">
        <is>
          <t>2026-08-31</t>
        </is>
      </c>
      <c r="Q201" t="inlineStr">
        <is>
          <t>千元 177,666，−14.8%；RMB 千元÷100,000 換算成億</t>
        </is>
      </c>
    </row>
    <row r="202">
      <c r="A202" t="inlineStr">
        <is>
          <t>SRC_ZP_201</t>
        </is>
      </c>
      <c r="B202" t="inlineStr">
        <is>
          <t>Z1-F</t>
        </is>
      </c>
      <c r="C202" t="inlineStr">
        <is>
          <t>A</t>
        </is>
      </c>
      <c r="D202" t="inlineStr">
        <is>
          <t>ga_1h26</t>
        </is>
      </c>
      <c r="E202" t="inlineStr">
        <is>
          <t>一般及行政開支</t>
        </is>
      </c>
      <c r="F202" t="inlineStr">
        <is>
          <t>1H2026</t>
        </is>
      </c>
      <c r="G202" t="n">
        <v>1.0335</v>
      </c>
      <c r="J202" t="inlineStr">
        <is>
          <t>RMB 億</t>
        </is>
      </c>
      <c r="K202" t="inlineStr">
        <is>
          <t>Verified</t>
        </is>
      </c>
      <c r="M202" t="inlineStr">
        <is>
          <t>未經審計（中期業績公告；是否經核數師審閱公告未見明載）</t>
        </is>
      </c>
      <c r="N202" t="inlineStr">
        <is>
          <t>智譜（Z.AI）2026 中期業績公告</t>
        </is>
      </c>
      <c r="O202" t="inlineStr">
        <is>
          <t>https://www1.hkexnews.hk/listedco/listconews/sehk/2026/0831/2026083101539.pdf</t>
        </is>
      </c>
      <c r="P202" t="inlineStr">
        <is>
          <t>2026-08-31</t>
        </is>
      </c>
      <c r="Q202" t="inlineStr">
        <is>
          <t>千元 103,346，−44.2%；RMB 千元÷100,000 換算成億</t>
        </is>
      </c>
    </row>
    <row r="203">
      <c r="A203" t="inlineStr">
        <is>
          <t>SRC_ZP_202</t>
        </is>
      </c>
      <c r="B203" t="inlineStr">
        <is>
          <t>Z1-F</t>
        </is>
      </c>
      <c r="C203" t="inlineStr">
        <is>
          <t>A</t>
        </is>
      </c>
      <c r="D203" t="inlineStr">
        <is>
          <t>sbc_1h26</t>
        </is>
      </c>
      <c r="E203" t="inlineStr">
        <is>
          <t>以權益結算股權報酬</t>
        </is>
      </c>
      <c r="F203" t="inlineStr">
        <is>
          <t>1H2026</t>
        </is>
      </c>
      <c r="G203" t="n">
        <v>0.8576</v>
      </c>
      <c r="J203" t="inlineStr">
        <is>
          <t>RMB 億</t>
        </is>
      </c>
      <c r="K203" t="inlineStr">
        <is>
          <t>Verified</t>
        </is>
      </c>
      <c r="M203" t="inlineStr">
        <is>
          <t>未經審計（中期業績公告；是否經核數師審閱公告未見明載）</t>
        </is>
      </c>
      <c r="N203" t="inlineStr">
        <is>
          <t>智譜（Z.AI）2026 中期業績公告</t>
        </is>
      </c>
      <c r="O203" t="inlineStr">
        <is>
          <t>https://www1.hkexnews.hk/listedco/listconews/sehk/2026/0831/2026083101539.pdf</t>
        </is>
      </c>
      <c r="P203" t="inlineStr">
        <is>
          <t>2026-08-31</t>
        </is>
      </c>
      <c r="Q203" t="inlineStr">
        <is>
          <t>原文「equity-settled share-based compensation」；千元值 85,764；RMB 千元÷100,000 換算成億；1H25 比較數 158,852 與招股章程同</t>
        </is>
      </c>
    </row>
    <row r="204">
      <c r="A204" t="inlineStr">
        <is>
          <t>SRC_ZP_203</t>
        </is>
      </c>
      <c r="B204" t="inlineStr">
        <is>
          <t>Z1-F</t>
        </is>
      </c>
      <c r="C204" t="inlineStr">
        <is>
          <t>A</t>
        </is>
      </c>
      <c r="D204" t="inlineStr">
        <is>
          <t>other_inc_1h26</t>
        </is>
      </c>
      <c r="E204" t="inlineStr">
        <is>
          <t>其他收入</t>
        </is>
      </c>
      <c r="F204" t="inlineStr">
        <is>
          <t>1H2026</t>
        </is>
      </c>
      <c r="G204" t="n">
        <v>0.4144</v>
      </c>
      <c r="J204" t="inlineStr">
        <is>
          <t>RMB 億</t>
        </is>
      </c>
      <c r="K204" t="inlineStr">
        <is>
          <t>Verified</t>
        </is>
      </c>
      <c r="M204" t="inlineStr">
        <is>
          <t>未經審計（中期業績公告；是否經核數師審閱公告未見明載）</t>
        </is>
      </c>
      <c r="N204" t="inlineStr">
        <is>
          <t>智譜（Z.AI）2026 中期業績公告</t>
        </is>
      </c>
      <c r="O204" t="inlineStr">
        <is>
          <t>https://www1.hkexnews.hk/listedco/listconews/sehk/2026/0831/2026083101539.pdf</t>
        </is>
      </c>
      <c r="P204" t="inlineStr">
        <is>
          <t>2026-08-31</t>
        </is>
      </c>
      <c r="Q204" t="inlineStr">
        <is>
          <t>千元 41,436；公告歸因上市後銀行存款增加帶來利息收入；未提政府補助；RMB 千元÷100,000 換算成億</t>
        </is>
      </c>
    </row>
    <row r="205">
      <c r="A205" t="inlineStr">
        <is>
          <t>SRC_ZP_204</t>
        </is>
      </c>
      <c r="B205" t="inlineStr">
        <is>
          <t>Z1-F</t>
        </is>
      </c>
      <c r="C205" t="inlineStr">
        <is>
          <t>A</t>
        </is>
      </c>
      <c r="D205" t="inlineStr">
        <is>
          <t>fin_cost_1h26</t>
        </is>
      </c>
      <c r="E205" t="inlineStr">
        <is>
          <t>財務成本</t>
        </is>
      </c>
      <c r="F205" t="inlineStr">
        <is>
          <t>1H2026</t>
        </is>
      </c>
      <c r="G205" t="n">
        <v>0.9593</v>
      </c>
      <c r="J205" t="inlineStr">
        <is>
          <t>RMB 億</t>
        </is>
      </c>
      <c r="K205" t="inlineStr">
        <is>
          <t>Verified</t>
        </is>
      </c>
      <c r="M205" t="inlineStr">
        <is>
          <t>未經審計（中期業績公告；是否經核數師審閱公告未見明載）</t>
        </is>
      </c>
      <c r="N205" t="inlineStr">
        <is>
          <t>智譜（Z.AI）2026 中期業績公告</t>
        </is>
      </c>
      <c r="O205" t="inlineStr">
        <is>
          <t>https://www1.hkexnews.hk/listedco/listconews/sehk/2026/0831/2026083101539.pdf</t>
        </is>
      </c>
      <c r="P205" t="inlineStr">
        <is>
          <t>2026-08-31</t>
        </is>
      </c>
      <c r="Q205" t="inlineStr">
        <is>
          <t>原文「net foreign exchange losses and the increase in interest expenses on bank loans」；千元 95,925；RMB 千元÷100,000 換算成億</t>
        </is>
      </c>
    </row>
    <row r="206">
      <c r="A206" t="inlineStr">
        <is>
          <t>SRC_ZP_205</t>
        </is>
      </c>
      <c r="B206" t="inlineStr">
        <is>
          <t>Z1-F</t>
        </is>
      </c>
      <c r="C206" t="inlineStr">
        <is>
          <t>A</t>
        </is>
      </c>
      <c r="D206" t="inlineStr">
        <is>
          <t>net_loss_1h26</t>
        </is>
      </c>
      <c r="E206" t="inlineStr">
        <is>
          <t>期內虧損</t>
        </is>
      </c>
      <c r="F206" t="inlineStr">
        <is>
          <t>1H2026</t>
        </is>
      </c>
      <c r="G206" t="n">
        <v>20.7199</v>
      </c>
      <c r="J206" t="inlineStr">
        <is>
          <t>RMB 億</t>
        </is>
      </c>
      <c r="K206" t="inlineStr">
        <is>
          <t>Verified</t>
        </is>
      </c>
      <c r="M206" t="inlineStr">
        <is>
          <t>未經審計（中期業績公告；是否經核數師審閱公告未見明載）</t>
        </is>
      </c>
      <c r="N206" t="inlineStr">
        <is>
          <t>智譜（Z.AI）2026 中期業績公告</t>
        </is>
      </c>
      <c r="O206" t="inlineStr">
        <is>
          <t>https://www1.hkexnews.hk/listedco/listconews/sehk/2026/0831/2026083101539.pdf</t>
        </is>
      </c>
      <c r="P206" t="inlineStr">
        <is>
          <t>2026-08-31</t>
        </is>
      </c>
      <c r="Q206" t="inlineStr">
        <is>
          <t>loss for the period 2,071,992 千元（1H25 2,357,852）；正數記虧損；RMB 千元÷100,000 換算成億</t>
        </is>
      </c>
    </row>
    <row r="207">
      <c r="A207" t="inlineStr">
        <is>
          <t>SRC_ZP_206</t>
        </is>
      </c>
      <c r="B207" t="inlineStr">
        <is>
          <t>Z1-F</t>
        </is>
      </c>
      <c r="C207" t="inlineStr">
        <is>
          <t>A</t>
        </is>
      </c>
      <c r="D207" t="inlineStr">
        <is>
          <t>adj_loss_1h26</t>
        </is>
      </c>
      <c r="E207" t="inlineStr">
        <is>
          <t>經調整淨虧損（非IFRS）</t>
        </is>
      </c>
      <c r="F207" t="inlineStr">
        <is>
          <t>1H2026</t>
        </is>
      </c>
      <c r="G207" t="n">
        <v>19.6414</v>
      </c>
      <c r="J207" t="inlineStr">
        <is>
          <t>RMB 億</t>
        </is>
      </c>
      <c r="K207" t="inlineStr">
        <is>
          <t>Verified</t>
        </is>
      </c>
      <c r="M207" t="inlineStr">
        <is>
          <t>未經審計（中期業績公告；是否經核數師審閱公告未見明載）</t>
        </is>
      </c>
      <c r="N207" t="inlineStr">
        <is>
          <t>智譜（Z.AI）2026 中期業績公告</t>
        </is>
      </c>
      <c r="O207" t="inlineStr">
        <is>
          <t>https://www1.hkexnews.hk/listedco/listconews/sehk/2026/0831/2026083101539.pdf</t>
        </is>
      </c>
      <c r="P207" t="inlineStr">
        <is>
          <t>2026-08-31</t>
        </is>
      </c>
      <c r="Q207" t="inlineStr">
        <is>
          <t>加回 SBC 85,764、投資人工具變動 22,090；千元 1,964,138（1H25 1,751,974）；RMB 千元÷100,000 換算成億</t>
        </is>
      </c>
    </row>
    <row r="208">
      <c r="A208" t="inlineStr">
        <is>
          <t>SRC_ZP_207</t>
        </is>
      </c>
      <c r="B208" t="inlineStr">
        <is>
          <t>Z1-F</t>
        </is>
      </c>
      <c r="C208" t="inlineStr">
        <is>
          <t>A</t>
        </is>
      </c>
      <c r="D208" t="inlineStr">
        <is>
          <t>net_loss_1h25_b</t>
        </is>
      </c>
      <c r="E208" t="inlineStr">
        <is>
          <t>期內淨虧損（媒體引部落客）</t>
        </is>
      </c>
      <c r="F208" t="inlineStr">
        <is>
          <t>1H2025</t>
        </is>
      </c>
      <c r="G208" t="n">
        <v>17.51</v>
      </c>
      <c r="J208" t="inlineStr">
        <is>
          <t>RMB 億</t>
        </is>
      </c>
      <c r="K208" t="inlineStr">
        <is>
          <t>Interested-party</t>
        </is>
      </c>
      <c r="L208" t="inlineStr">
        <is>
          <t>媒體轉述</t>
        </is>
      </c>
      <c r="M208" t="inlineStr">
        <is>
          <t>媒體轉述</t>
        </is>
      </c>
      <c r="N208" t="inlineStr">
        <is>
          <t>36氪轉載〈市值水晶〉</t>
        </is>
      </c>
      <c r="O208" t="inlineStr">
        <is>
          <t>https://www.36kr.com/p/3611675144253960</t>
        </is>
      </c>
      <c r="P208" t="inlineStr">
        <is>
          <t>2025-12-26</t>
        </is>
      </c>
      <c r="Q208" t="inlineStr">
        <is>
          <t>媒體稱淨虧損 17.51 億；實為經調整淨虧損（招股章程 17.52 億），與期內虧損 23.58 億矛盾</t>
        </is>
      </c>
    </row>
    <row r="209">
      <c r="A209" t="inlineStr">
        <is>
          <t>SRC_ZP_208</t>
        </is>
      </c>
      <c r="B209" t="inlineStr">
        <is>
          <t>Z1-F</t>
        </is>
      </c>
      <c r="C209" t="inlineStr">
        <is>
          <t>A</t>
        </is>
      </c>
      <c r="D209" t="inlineStr">
        <is>
          <t>net_loss_1h25_c</t>
        </is>
      </c>
      <c r="E209" t="inlineStr">
        <is>
          <t>淨利潤（券商）</t>
        </is>
      </c>
      <c r="F209" t="inlineStr">
        <is>
          <t>1H2025</t>
        </is>
      </c>
      <c r="G209" t="n">
        <v>-23.51</v>
      </c>
      <c r="J209" t="inlineStr">
        <is>
          <t>RMB 億</t>
        </is>
      </c>
      <c r="K209" t="inlineStr">
        <is>
          <t>Interested-party</t>
        </is>
      </c>
      <c r="L209" t="inlineStr">
        <is>
          <t>國信證券：券商研究，交易誘因</t>
        </is>
      </c>
      <c r="M209" t="inlineStr">
        <is>
          <t>券商口徑</t>
        </is>
      </c>
      <c r="N209" t="inlineStr">
        <is>
          <t>國信證券〈垂類AI應用專題：智譜〉</t>
        </is>
      </c>
      <c r="O209" t="inlineStr">
        <is>
          <t>https://pdf.dfcfw.com/pdf/H3_AP202601071816825157_1.pdf</t>
        </is>
      </c>
      <c r="P209" t="inlineStr">
        <is>
          <t>2026-01-07</t>
        </is>
      </c>
      <c r="Q209" t="inlineStr">
        <is>
          <t>原文「净利润为-23.51亿元」；與招股章程期內虧損 23.58 億不一致（可能為歸母）</t>
        </is>
      </c>
    </row>
    <row r="210">
      <c r="A210" t="inlineStr">
        <is>
          <t>SRC_ZP_209</t>
        </is>
      </c>
      <c r="B210" t="inlineStr">
        <is>
          <t>Z1-F</t>
        </is>
      </c>
      <c r="C210" t="inlineStr">
        <is>
          <t>A</t>
        </is>
      </c>
      <c r="D210" t="inlineStr">
        <is>
          <t>capex_1h26</t>
        </is>
      </c>
      <c r="E210" t="inlineStr">
        <is>
          <t>資本開支</t>
        </is>
      </c>
      <c r="F210" t="inlineStr">
        <is>
          <t>1H2026</t>
        </is>
      </c>
      <c r="G210" t="n">
        <v>3.906</v>
      </c>
      <c r="J210" t="inlineStr">
        <is>
          <t>RMB 億</t>
        </is>
      </c>
      <c r="K210" t="inlineStr">
        <is>
          <t>Verified</t>
        </is>
      </c>
      <c r="M210" t="inlineStr">
        <is>
          <t>未經審計（中期業績公告；是否經核數師審閱公告未見明載）</t>
        </is>
      </c>
      <c r="N210" t="inlineStr">
        <is>
          <t>智譜（Z.AI）2026 中期業績公告</t>
        </is>
      </c>
      <c r="O210" t="inlineStr">
        <is>
          <t>https://ea-cdn.eurolandir.com/press-releases-attachments/4174939/HKEX-EPS_20260831_12308928_0.PDF</t>
        </is>
      </c>
      <c r="P210" t="inlineStr">
        <is>
          <t>2026-08-31</t>
        </is>
      </c>
      <c r="Q210" t="inlineStr">
        <is>
          <t>原文 increased from RMB53.7 million to RMB390.6 million（+627.4%），主因收購北京紅鑽；百萬÷100</t>
        </is>
      </c>
    </row>
    <row r="211">
      <c r="A211" t="inlineStr">
        <is>
          <t>SRC_ZP_210</t>
        </is>
      </c>
      <c r="B211" t="inlineStr">
        <is>
          <t>Z1-F</t>
        </is>
      </c>
      <c r="C211" t="inlineStr">
        <is>
          <t>A</t>
        </is>
      </c>
      <c r="D211" t="inlineStr">
        <is>
          <t>capex_1h25</t>
        </is>
      </c>
      <c r="E211" t="inlineStr">
        <is>
          <t>資本開支</t>
        </is>
      </c>
      <c r="F211" t="inlineStr">
        <is>
          <t>1H2025</t>
        </is>
      </c>
      <c r="G211" t="n">
        <v>0.537</v>
      </c>
      <c r="J211" t="inlineStr">
        <is>
          <t>RMB 億</t>
        </is>
      </c>
      <c r="K211" t="inlineStr">
        <is>
          <t>Verified</t>
        </is>
      </c>
      <c r="M211" t="inlineStr">
        <is>
          <t>未經審計（中期業績公告；是否經核數師審閱公告未見明載）</t>
        </is>
      </c>
      <c r="N211" t="inlineStr">
        <is>
          <t>智譜（Z.AI）2026 中期業績公告</t>
        </is>
      </c>
      <c r="O211" t="inlineStr">
        <is>
          <t>https://ea-cdn.eurolandir.com/press-releases-attachments/4174939/HKEX-EPS_20260831_12308928_0.PDF</t>
        </is>
      </c>
      <c r="P211" t="inlineStr">
        <is>
          <t>2026-08-31</t>
        </is>
      </c>
      <c r="Q211" t="inlineStr">
        <is>
          <t>中期公告比較數 RMB53.7 million；百萬÷100</t>
        </is>
      </c>
    </row>
    <row r="212">
      <c r="A212" t="inlineStr">
        <is>
          <t>SRC_ZP_211</t>
        </is>
      </c>
      <c r="B212" t="inlineStr">
        <is>
          <t>Z1-F</t>
        </is>
      </c>
      <c r="C212" t="inlineStr">
        <is>
          <t>A</t>
        </is>
      </c>
      <c r="D212" t="inlineStr">
        <is>
          <t>cash_end_1h26</t>
        </is>
      </c>
      <c r="E212" t="inlineStr">
        <is>
          <t>期末現金及現金等價物</t>
        </is>
      </c>
      <c r="F212" t="inlineStr">
        <is>
          <t>2026-06-30</t>
        </is>
      </c>
      <c r="G212" t="n">
        <v>39.9372</v>
      </c>
      <c r="J212" t="inlineStr">
        <is>
          <t>RMB 億</t>
        </is>
      </c>
      <c r="K212" t="inlineStr">
        <is>
          <t>Verified</t>
        </is>
      </c>
      <c r="M212" t="inlineStr">
        <is>
          <t>未經審計（中期業績公告；是否經核數師審閱公告未見明載）</t>
        </is>
      </c>
      <c r="N212" t="inlineStr">
        <is>
          <t>智譜（Z.AI）2026 中期業績公告</t>
        </is>
      </c>
      <c r="O212" t="inlineStr">
        <is>
          <t>https://www1.hkexnews.hk/listedco/listconews/sehk/2026/0831/2026083101539.pdf</t>
        </is>
      </c>
      <c r="P212" t="inlineStr">
        <is>
          <t>2026-08-31</t>
        </is>
      </c>
      <c r="Q212" t="inlineStr">
        <is>
          <t>千元 3,993,722（2025 年末 2,259,147）；RMB 千元÷100,000 換算成億</t>
        </is>
      </c>
    </row>
    <row r="213">
      <c r="A213" t="inlineStr">
        <is>
          <t>SRC_ZP_212</t>
        </is>
      </c>
      <c r="B213" t="inlineStr">
        <is>
          <t>Z1-F</t>
        </is>
      </c>
      <c r="C213" t="inlineStr">
        <is>
          <t>A</t>
        </is>
      </c>
      <c r="D213" t="inlineStr">
        <is>
          <t>time_dep_1h26</t>
        </is>
      </c>
      <c r="E213" t="inlineStr">
        <is>
          <t>定期存款</t>
        </is>
      </c>
      <c r="F213" t="inlineStr">
        <is>
          <t>2026-06-30</t>
        </is>
      </c>
      <c r="G213" t="n">
        <v>0</v>
      </c>
      <c r="J213" t="inlineStr">
        <is>
          <t>RMB 億</t>
        </is>
      </c>
      <c r="K213" t="inlineStr">
        <is>
          <t>Verified</t>
        </is>
      </c>
      <c r="M213" t="inlineStr">
        <is>
          <t>未經審計（中期業績公告；是否經核數師審閱公告未見明載）</t>
        </is>
      </c>
      <c r="N213" t="inlineStr">
        <is>
          <t>智譜（Z.AI）2026 中期業績公告</t>
        </is>
      </c>
      <c r="O213" t="inlineStr">
        <is>
          <t>https://www1.hkexnews.hk/listedco/listconews/sehk/2026/0831/2026083101539.pdf</t>
        </is>
      </c>
      <c r="P213" t="inlineStr">
        <is>
          <t>2026-08-31</t>
        </is>
      </c>
      <c r="Q213" t="inlineStr">
        <is>
          <t>time deposits nil（2025 年末 108,593 千元）</t>
        </is>
      </c>
    </row>
    <row r="214">
      <c r="A214" t="inlineStr">
        <is>
          <t>SRC_ZP_213</t>
        </is>
      </c>
      <c r="B214" t="inlineStr">
        <is>
          <t>Z1-F</t>
        </is>
      </c>
      <c r="C214" t="inlineStr">
        <is>
          <t>A</t>
        </is>
      </c>
      <c r="D214" t="inlineStr">
        <is>
          <t>bank_loans_1h26</t>
        </is>
      </c>
      <c r="E214" t="inlineStr">
        <is>
          <t>銀行貸款合計</t>
        </is>
      </c>
      <c r="F214" t="inlineStr">
        <is>
          <t>2026-06-30</t>
        </is>
      </c>
      <c r="G214" t="n">
        <v>22.2479</v>
      </c>
      <c r="J214" t="inlineStr">
        <is>
          <t>RMB 億</t>
        </is>
      </c>
      <c r="K214" t="inlineStr">
        <is>
          <t>Verified</t>
        </is>
      </c>
      <c r="M214" t="inlineStr">
        <is>
          <t>未經審計（中期業績公告；是否經核數師審閱公告未見明載）</t>
        </is>
      </c>
      <c r="N214" t="inlineStr">
        <is>
          <t>智譜（Z.AI）2026 中期業績公告</t>
        </is>
      </c>
      <c r="O214" t="inlineStr">
        <is>
          <t>https://www1.hkexnews.hk/listedco/listconews/sehk/2026/0831/2026083101539.pdf</t>
        </is>
      </c>
      <c r="P214" t="inlineStr">
        <is>
          <t>2026-08-31</t>
        </is>
      </c>
      <c r="Q214" t="inlineStr">
        <is>
          <t>流動 789,831＋非流動 1,434,958 千元；原文「interest-bearing, denominated primarily in RMB and unsecured」；利率、到期未揭露；RMB 千元÷100,000 換算成億</t>
        </is>
      </c>
    </row>
    <row r="215">
      <c r="A215" t="inlineStr">
        <is>
          <t>SRC_ZP_214</t>
        </is>
      </c>
      <c r="B215" t="inlineStr">
        <is>
          <t>Z1-F</t>
        </is>
      </c>
      <c r="C215" t="inlineStr">
        <is>
          <t>A</t>
        </is>
      </c>
      <c r="D215" t="inlineStr">
        <is>
          <t>bank_loans_cur_1h26</t>
        </is>
      </c>
      <c r="E215" t="inlineStr">
        <is>
          <t>銀行貸款（流動，一年內到期）</t>
        </is>
      </c>
      <c r="F215" t="inlineStr">
        <is>
          <t>2026-06-30</t>
        </is>
      </c>
      <c r="G215" t="n">
        <v>7.8983</v>
      </c>
      <c r="J215" t="inlineStr">
        <is>
          <t>RMB 億</t>
        </is>
      </c>
      <c r="K215" t="inlineStr">
        <is>
          <t>Verified</t>
        </is>
      </c>
      <c r="M215" t="inlineStr">
        <is>
          <t>未經審計（中期業績公告；是否經核數師審閱公告未見明載）</t>
        </is>
      </c>
      <c r="N215" t="inlineStr">
        <is>
          <t>智譜（Z.AI）2026 中期業績公告</t>
        </is>
      </c>
      <c r="O215" t="inlineStr">
        <is>
          <t>https://www1.hkexnews.hk/listedco/listconews/sehk/2026/0831/2026083101539.pdf</t>
        </is>
      </c>
      <c r="P215" t="inlineStr">
        <is>
          <t>2026-08-31</t>
        </is>
      </c>
      <c r="Q215" t="inlineStr">
        <is>
          <t>current 789,831 千元；RMB 千元÷100,000 換算成億</t>
        </is>
      </c>
    </row>
    <row r="216">
      <c r="A216" t="inlineStr">
        <is>
          <t>SRC_ZP_215</t>
        </is>
      </c>
      <c r="B216" t="inlineStr">
        <is>
          <t>Z1-F</t>
        </is>
      </c>
      <c r="C216" t="inlineStr">
        <is>
          <t>A</t>
        </is>
      </c>
      <c r="D216" t="inlineStr">
        <is>
          <t>bank_loans_ncur_1h26</t>
        </is>
      </c>
      <c r="E216" t="inlineStr">
        <is>
          <t>銀行貸款（非流動）</t>
        </is>
      </c>
      <c r="F216" t="inlineStr">
        <is>
          <t>2026-06-30</t>
        </is>
      </c>
      <c r="G216" t="n">
        <v>14.3496</v>
      </c>
      <c r="J216" t="inlineStr">
        <is>
          <t>RMB 億</t>
        </is>
      </c>
      <c r="K216" t="inlineStr">
        <is>
          <t>Verified</t>
        </is>
      </c>
      <c r="M216" t="inlineStr">
        <is>
          <t>未經審計（中期業績公告；是否經核數師審閱公告未見明載）</t>
        </is>
      </c>
      <c r="N216" t="inlineStr">
        <is>
          <t>智譜（Z.AI）2026 中期業績公告</t>
        </is>
      </c>
      <c r="O216" t="inlineStr">
        <is>
          <t>https://www1.hkexnews.hk/listedco/listconews/sehk/2026/0831/2026083101539.pdf</t>
        </is>
      </c>
      <c r="P216" t="inlineStr">
        <is>
          <t>2026-08-31</t>
        </is>
      </c>
      <c r="Q216" t="inlineStr">
        <is>
          <t>non-current 1,434,958 千元；RMB 千元÷100,000 換算成億</t>
        </is>
      </c>
    </row>
    <row r="217">
      <c r="A217" t="inlineStr">
        <is>
          <t>SRC_ZP_216</t>
        </is>
      </c>
      <c r="B217" t="inlineStr">
        <is>
          <t>Z1-F</t>
        </is>
      </c>
      <c r="C217" t="inlineStr">
        <is>
          <t>A</t>
        </is>
      </c>
      <c r="D217" t="inlineStr">
        <is>
          <t>bank_loans_cur_fy25</t>
        </is>
      </c>
      <c r="E217" t="inlineStr">
        <is>
          <t>銀行貸款（流動）</t>
        </is>
      </c>
      <c r="F217" t="inlineStr">
        <is>
          <t>2025-12-31</t>
        </is>
      </c>
      <c r="G217" t="n">
        <v>6.0484</v>
      </c>
      <c r="J217" t="inlineStr">
        <is>
          <t>RMB 億</t>
        </is>
      </c>
      <c r="K217" t="inlineStr">
        <is>
          <t>Verified</t>
        </is>
      </c>
      <c r="M217" t="inlineStr">
        <is>
          <t>經審計（KPMG；年度業績公告）</t>
        </is>
      </c>
      <c r="N217" t="inlineStr">
        <is>
          <t>智譜 2025 年度業績公告</t>
        </is>
      </c>
      <c r="O217" t="inlineStr">
        <is>
          <t>https://www1.hkexnews.hk/listedco/listconews/sehk/2026/0331/2026033101549.pdf</t>
        </is>
      </c>
      <c r="P217" t="inlineStr">
        <is>
          <t>2026-03-31</t>
        </is>
      </c>
      <c r="Q217" t="inlineStr">
        <is>
          <t>current 604,836 千元；RMB 千元÷100,000 換算成億</t>
        </is>
      </c>
    </row>
    <row r="218">
      <c r="A218" t="inlineStr">
        <is>
          <t>SRC_ZP_217</t>
        </is>
      </c>
      <c r="B218" t="inlineStr">
        <is>
          <t>Z1-F</t>
        </is>
      </c>
      <c r="C218" t="inlineStr">
        <is>
          <t>A</t>
        </is>
      </c>
      <c r="D218" t="inlineStr">
        <is>
          <t>bank_loans_ncur_fy25</t>
        </is>
      </c>
      <c r="E218" t="inlineStr">
        <is>
          <t>銀行貸款（非流動）</t>
        </is>
      </c>
      <c r="F218" t="inlineStr">
        <is>
          <t>2025-12-31</t>
        </is>
      </c>
      <c r="G218" t="n">
        <v>0.8462</v>
      </c>
      <c r="J218" t="inlineStr">
        <is>
          <t>RMB 億</t>
        </is>
      </c>
      <c r="K218" t="inlineStr">
        <is>
          <t>Verified</t>
        </is>
      </c>
      <c r="M218" t="inlineStr">
        <is>
          <t>經審計（KPMG；年度業績公告）</t>
        </is>
      </c>
      <c r="N218" t="inlineStr">
        <is>
          <t>智譜 2025 年度業績公告</t>
        </is>
      </c>
      <c r="O218" t="inlineStr">
        <is>
          <t>https://www1.hkexnews.hk/listedco/listconews/sehk/2026/0331/2026033101549.pdf</t>
        </is>
      </c>
      <c r="P218" t="inlineStr">
        <is>
          <t>2026-03-31</t>
        </is>
      </c>
      <c r="Q218" t="inlineStr">
        <is>
          <t>non-current 84,616 千元；RMB 千元÷100,000 換算成億</t>
        </is>
      </c>
    </row>
    <row r="219">
      <c r="A219" t="inlineStr">
        <is>
          <t>SRC_ZP_218</t>
        </is>
      </c>
      <c r="B219" t="inlineStr">
        <is>
          <t>Z1-F</t>
        </is>
      </c>
      <c r="C219" t="inlineStr">
        <is>
          <t>A</t>
        </is>
      </c>
      <c r="D219" t="inlineStr">
        <is>
          <t>payable_compute_1h26</t>
        </is>
      </c>
      <c r="E219" t="inlineStr">
        <is>
          <t>應付算力服務費</t>
        </is>
      </c>
      <c r="F219" t="inlineStr">
        <is>
          <t>2026-06-30</t>
        </is>
      </c>
      <c r="G219" t="n">
        <v>14.2742</v>
      </c>
      <c r="J219" t="inlineStr">
        <is>
          <t>RMB 億</t>
        </is>
      </c>
      <c r="K219" t="inlineStr">
        <is>
          <t>Verified</t>
        </is>
      </c>
      <c r="M219" t="inlineStr">
        <is>
          <t>未經審計（中期業績公告；是否經核數師審閱公告未見明載）</t>
        </is>
      </c>
      <c r="N219" t="inlineStr">
        <is>
          <t>智譜（Z.AI）2026 中期業績公告</t>
        </is>
      </c>
      <c r="O219" t="inlineStr">
        <is>
          <t>https://ea-cdn.eurolandir.com/press-releases-attachments/4174939/HKEX-EPS_20260831_12308928_0.PDF</t>
        </is>
      </c>
      <c r="P219" t="inlineStr">
        <is>
          <t>2026-08-31</t>
        </is>
      </c>
      <c r="Q219" t="inlineStr">
        <is>
          <t>payables for computing service fees 1,427,415 千元；RMB 千元÷100,000 換算成億</t>
        </is>
      </c>
    </row>
    <row r="220">
      <c r="A220" t="inlineStr">
        <is>
          <t>SRC_ZP_219</t>
        </is>
      </c>
      <c r="B220" t="inlineStr">
        <is>
          <t>Z1-F</t>
        </is>
      </c>
      <c r="C220" t="inlineStr">
        <is>
          <t>A</t>
        </is>
      </c>
      <c r="D220" t="inlineStr">
        <is>
          <t>prepay_compute_1h26</t>
        </is>
      </c>
      <c r="E220" t="inlineStr">
        <is>
          <t>預付算力服務費及其他</t>
        </is>
      </c>
      <c r="F220" t="inlineStr">
        <is>
          <t>2026-06-30</t>
        </is>
      </c>
      <c r="G220" t="n">
        <v>12.4374</v>
      </c>
      <c r="J220" t="inlineStr">
        <is>
          <t>RMB 億</t>
        </is>
      </c>
      <c r="K220" t="inlineStr">
        <is>
          <t>Verified</t>
        </is>
      </c>
      <c r="M220" t="inlineStr">
        <is>
          <t>未經審計（中期業績公告；是否經核數師審閱公告未見明載）</t>
        </is>
      </c>
      <c r="N220" t="inlineStr">
        <is>
          <t>智譜（Z.AI）2026 中期業績公告</t>
        </is>
      </c>
      <c r="O220" t="inlineStr">
        <is>
          <t>https://ea-cdn.eurolandir.com/press-releases-attachments/4174939/HKEX-EPS_20260831_12308928_0.PDF</t>
        </is>
      </c>
      <c r="P220" t="inlineStr">
        <is>
          <t>2026-08-31</t>
        </is>
      </c>
      <c r="Q220" t="inlineStr">
        <is>
          <t>prepayments for computing service fee and others 1,243,736（2025 年末 116,295）；RMB 千元÷100,000 換算成億</t>
        </is>
      </c>
    </row>
    <row r="221">
      <c r="A221" t="inlineStr">
        <is>
          <t>SRC_ZP_220</t>
        </is>
      </c>
      <c r="B221" t="inlineStr">
        <is>
          <t>Z1-F</t>
        </is>
      </c>
      <c r="C221" t="inlineStr">
        <is>
          <t>A</t>
        </is>
      </c>
      <c r="D221" t="inlineStr">
        <is>
          <t>prepay_compute_fy25</t>
        </is>
      </c>
      <c r="E221" t="inlineStr">
        <is>
          <t>預付算力服務費及其他</t>
        </is>
      </c>
      <c r="F221" t="inlineStr">
        <is>
          <t>2025-12-31</t>
        </is>
      </c>
      <c r="G221" t="n">
        <v>1.1629</v>
      </c>
      <c r="J221" t="inlineStr">
        <is>
          <t>RMB 億</t>
        </is>
      </c>
      <c r="K221" t="inlineStr">
        <is>
          <t>Verified</t>
        </is>
      </c>
      <c r="M221" t="inlineStr">
        <is>
          <t>未經審計（中期業績公告；是否經核數師審閱公告未見明載）</t>
        </is>
      </c>
      <c r="N221" t="inlineStr">
        <is>
          <t>智譜（Z.AI）2026 中期業績公告</t>
        </is>
      </c>
      <c r="O221" t="inlineStr">
        <is>
          <t>https://ea-cdn.eurolandir.com/press-releases-attachments/4174939/HKEX-EPS_20260831_12308928_0.PDF</t>
        </is>
      </c>
      <c r="P221" t="inlineStr">
        <is>
          <t>2026-08-31</t>
        </is>
      </c>
      <c r="Q221" t="inlineStr">
        <is>
          <t>中期公告比較數 116,295 千元；RMB 千元÷100,000 換算成億</t>
        </is>
      </c>
    </row>
    <row r="222">
      <c r="A222" t="inlineStr">
        <is>
          <t>SRC_ZP_221</t>
        </is>
      </c>
      <c r="B222" t="inlineStr">
        <is>
          <t>Z1-F</t>
        </is>
      </c>
      <c r="C222" t="inlineStr">
        <is>
          <t>A</t>
        </is>
      </c>
      <c r="D222" t="inlineStr">
        <is>
          <t>deferred_inc_1h26</t>
        </is>
      </c>
      <c r="E222" t="inlineStr">
        <is>
          <t>遞延收益（非流動）</t>
        </is>
      </c>
      <c r="F222" t="inlineStr">
        <is>
          <t>2026-06-30</t>
        </is>
      </c>
      <c r="G222" t="n">
        <v>1.7299</v>
      </c>
      <c r="J222" t="inlineStr">
        <is>
          <t>RMB 億</t>
        </is>
      </c>
      <c r="K222" t="inlineStr">
        <is>
          <t>Verified</t>
        </is>
      </c>
      <c r="M222" t="inlineStr">
        <is>
          <t>未經審計（中期業績公告；是否經核數師審閱公告未見明載）</t>
        </is>
      </c>
      <c r="N222" t="inlineStr">
        <is>
          <t>智譜（Z.AI）2026 中期業績公告</t>
        </is>
      </c>
      <c r="O222" t="inlineStr">
        <is>
          <t>https://www1.hkexnews.hk/listedco/listconews/sehk/2026/0831/2026083101539.pdf</t>
        </is>
      </c>
      <c r="P222" t="inlineStr">
        <is>
          <t>2026-08-31</t>
        </is>
      </c>
      <c r="Q222" t="inlineStr">
        <is>
          <t>non-current deferred income 172,991 千元；性質未說明（可能含政府補助，未證實）；RMB 千元÷100,000 換算成億</t>
        </is>
      </c>
    </row>
    <row r="223">
      <c r="A223" t="inlineStr">
        <is>
          <t>SRC_ZP_222</t>
        </is>
      </c>
      <c r="B223" t="inlineStr">
        <is>
          <t>Z1-F</t>
        </is>
      </c>
      <c r="C223" t="inlineStr">
        <is>
          <t>E</t>
        </is>
      </c>
      <c r="D223" t="inlineStr">
        <is>
          <t>employees_1h26</t>
        </is>
      </c>
      <c r="E223" t="inlineStr">
        <is>
          <t>全職員工人數</t>
        </is>
      </c>
      <c r="F223" t="inlineStr">
        <is>
          <t>2026-06-30</t>
        </is>
      </c>
      <c r="G223" t="n">
        <v>981</v>
      </c>
      <c r="J223" t="inlineStr">
        <is>
          <t>人</t>
        </is>
      </c>
      <c r="K223" t="inlineStr">
        <is>
          <t>Verified</t>
        </is>
      </c>
      <c r="M223" t="inlineStr">
        <is>
          <t>未經審計（中期業績公告；是否經核數師審閱公告未見明載）</t>
        </is>
      </c>
      <c r="N223" t="inlineStr">
        <is>
          <t>智譜（Z.AI）2026 中期業績公告</t>
        </is>
      </c>
      <c r="O223" t="inlineStr">
        <is>
          <t>https://ea-cdn.eurolandir.com/press-releases-attachments/4174939/HKEX-EPS_20260831_12308928_0.PDF</t>
        </is>
      </c>
      <c r="P223" t="inlineStr">
        <is>
          <t>2026-08-31</t>
        </is>
      </c>
      <c r="Q223" t="inlineStr">
        <is>
          <t>原文「the Group had 981 permanent employees」</t>
        </is>
      </c>
    </row>
    <row r="224">
      <c r="A224" t="inlineStr">
        <is>
          <t>SRC_ZP_223</t>
        </is>
      </c>
      <c r="B224" t="inlineStr">
        <is>
          <t>Z1-F</t>
        </is>
      </c>
      <c r="C224" t="inlineStr">
        <is>
          <t>E</t>
        </is>
      </c>
      <c r="D224" t="inlineStr">
        <is>
          <t>employees_1h25</t>
        </is>
      </c>
      <c r="E224" t="inlineStr">
        <is>
          <t>全職員工人數</t>
        </is>
      </c>
      <c r="F224" t="inlineStr">
        <is>
          <t>2025-06-30</t>
        </is>
      </c>
      <c r="G224" t="n">
        <v>883</v>
      </c>
      <c r="J224" t="inlineStr">
        <is>
          <t>人</t>
        </is>
      </c>
      <c r="K224" t="inlineStr">
        <is>
          <t>Verified</t>
        </is>
      </c>
      <c r="M224" t="inlineStr">
        <is>
          <t>未經審計（中期業績公告；是否經核數師審閱公告未見明載）</t>
        </is>
      </c>
      <c r="N224" t="inlineStr">
        <is>
          <t>智譜（Z.AI）2026 中期業績公告</t>
        </is>
      </c>
      <c r="O224" t="inlineStr">
        <is>
          <t>https://ea-cdn.eurolandir.com/press-releases-attachments/4174939/HKEX-EPS_20260831_12308928_0.PDF</t>
        </is>
      </c>
      <c r="P224" t="inlineStr">
        <is>
          <t>2026-08-31</t>
        </is>
      </c>
      <c r="Q224" t="inlineStr">
        <is>
          <t>中期公告比較數 883；鈦媒體亦稱 883 人、研發 657 人（74.4%）</t>
        </is>
      </c>
    </row>
    <row r="225">
      <c r="A225" t="inlineStr">
        <is>
          <t>SRC_ZP_224</t>
        </is>
      </c>
      <c r="B225" t="inlineStr">
        <is>
          <t>Z1-F</t>
        </is>
      </c>
      <c r="C225" t="inlineStr">
        <is>
          <t>E</t>
        </is>
      </c>
      <c r="D225" t="inlineStr">
        <is>
          <t>remun_1h26</t>
        </is>
      </c>
      <c r="E225" t="inlineStr">
        <is>
          <t>薪酬總額（含股權報酬）</t>
        </is>
      </c>
      <c r="F225" t="inlineStr">
        <is>
          <t>1H2026</t>
        </is>
      </c>
      <c r="G225" t="n">
        <v>4.821</v>
      </c>
      <c r="J225" t="inlineStr">
        <is>
          <t>RMB 億</t>
        </is>
      </c>
      <c r="K225" t="inlineStr">
        <is>
          <t>Verified</t>
        </is>
      </c>
      <c r="M225" t="inlineStr">
        <is>
          <t>未經審計（中期業績公告；是否經核數師審閱公告未見明載）</t>
        </is>
      </c>
      <c r="N225" t="inlineStr">
        <is>
          <t>智譜（Z.AI）2026 中期業績公告</t>
        </is>
      </c>
      <c r="O225" t="inlineStr">
        <is>
          <t>https://ea-cdn.eurolandir.com/press-releases-attachments/4174939/HKEX-EPS_20260831_12308928_0.PDF</t>
        </is>
      </c>
      <c r="P225" t="inlineStr">
        <is>
          <t>2026-08-31</t>
        </is>
      </c>
      <c r="Q225" t="inlineStr">
        <is>
          <t>原文「total remuneration costs (including share-based payments) of RMB482.1 million」</t>
        </is>
      </c>
    </row>
    <row r="226">
      <c r="A226" t="inlineStr">
        <is>
          <t>SRC_ZP_225</t>
        </is>
      </c>
      <c r="B226" t="inlineStr">
        <is>
          <t>Z1-F</t>
        </is>
      </c>
      <c r="C226" t="inlineStr">
        <is>
          <t>E</t>
        </is>
      </c>
      <c r="D226" t="inlineStr">
        <is>
          <t>remun_1h25</t>
        </is>
      </c>
      <c r="E226" t="inlineStr">
        <is>
          <t>薪酬總額（含股權報酬）</t>
        </is>
      </c>
      <c r="F226" t="inlineStr">
        <is>
          <t>1H2025</t>
        </is>
      </c>
      <c r="G226" t="n">
        <v>4.996</v>
      </c>
      <c r="J226" t="inlineStr">
        <is>
          <t>RMB 億</t>
        </is>
      </c>
      <c r="K226" t="inlineStr">
        <is>
          <t>Verified</t>
        </is>
      </c>
      <c r="M226" t="inlineStr">
        <is>
          <t>未經審計（中期業績公告；是否經核數師審閱公告未見明載）</t>
        </is>
      </c>
      <c r="N226" t="inlineStr">
        <is>
          <t>智譜（Z.AI）2026 中期業績公告</t>
        </is>
      </c>
      <c r="O226" t="inlineStr">
        <is>
          <t>https://ea-cdn.eurolandir.com/press-releases-attachments/4174939/HKEX-EPS_20260831_12308928_0.PDF</t>
        </is>
      </c>
      <c r="P226" t="inlineStr">
        <is>
          <t>2026-08-31</t>
        </is>
      </c>
      <c r="Q226" t="inlineStr">
        <is>
          <t>中期公告比較數 RMB499.6 million</t>
        </is>
      </c>
    </row>
    <row r="227">
      <c r="A227" t="inlineStr">
        <is>
          <t>SRC_ZP_226</t>
        </is>
      </c>
      <c r="B227" t="inlineStr">
        <is>
          <t>Z1-F</t>
        </is>
      </c>
      <c r="C227" t="inlineStr">
        <is>
          <t>E</t>
        </is>
      </c>
      <c r="D227" t="inlineStr">
        <is>
          <t>comp_per_head_1h26</t>
        </is>
      </c>
      <c r="E227" t="inlineStr">
        <is>
          <t>人均半年薪酬（含股權報酬）</t>
        </is>
      </c>
      <c r="F227" t="inlineStr">
        <is>
          <t>1H2026</t>
        </is>
      </c>
      <c r="G227" t="n">
        <v>0.00491</v>
      </c>
      <c r="J227" t="inlineStr">
        <is>
          <t>RMB 億／人／半年</t>
        </is>
      </c>
      <c r="K227" t="inlineStr">
        <is>
          <t>Derived</t>
        </is>
      </c>
      <c r="M227" t="inlineStr">
        <is>
          <t>Derived</t>
        </is>
      </c>
      <c r="N227" t="inlineStr">
        <is>
          <t>智譜（Z.AI）2026 中期業績公告</t>
        </is>
      </c>
      <c r="O227" t="inlineStr">
        <is>
          <t>https://ea-cdn.eurolandir.com/press-releases-attachments/4174939/HKEX-EPS_20260831_12308928_0.PDF</t>
        </is>
      </c>
      <c r="P227" t="inlineStr">
        <is>
          <t>2026-08-31</t>
        </is>
      </c>
      <c r="Q227" t="inlineStr">
        <is>
          <t>482.1 百萬÷期末 981 人＝約 49.1 萬元／人／半年</t>
        </is>
      </c>
    </row>
    <row r="228">
      <c r="A228" t="inlineStr">
        <is>
          <t>SRC_ZP_227</t>
        </is>
      </c>
      <c r="B228" t="inlineStr">
        <is>
          <t>Z1-F</t>
        </is>
      </c>
      <c r="C228" t="inlineStr">
        <is>
          <t>A</t>
        </is>
      </c>
      <c r="D228" t="inlineStr">
        <is>
          <t>api_price_1h26</t>
        </is>
      </c>
      <c r="E228" t="inlineStr">
        <is>
          <t>API 平均售價上升</t>
        </is>
      </c>
      <c r="F228" t="inlineStr">
        <is>
          <t>1H2026</t>
        </is>
      </c>
      <c r="G228" t="n">
        <v>101</v>
      </c>
      <c r="J228" t="inlineStr">
        <is>
          <t>%</t>
        </is>
      </c>
      <c r="K228" t="inlineStr">
        <is>
          <t>Interested-party</t>
        </is>
      </c>
      <c r="L228" t="inlineStr">
        <is>
          <t>智譜：上市後股價、配售誘因</t>
        </is>
      </c>
      <c r="M228" t="inlineStr">
        <is>
          <t>管理層口徑</t>
        </is>
      </c>
      <c r="N228" t="inlineStr">
        <is>
          <t>智譜（Z.AI）2026 中期業績公告</t>
        </is>
      </c>
      <c r="O228" t="inlineStr">
        <is>
          <t>https://ea-cdn.eurolandir.com/press-releases-attachments/4174939/HKEX-EPS_20260831_12308928_0.PDF</t>
        </is>
      </c>
      <c r="P228" t="inlineStr">
        <is>
          <t>2026-08-31</t>
        </is>
      </c>
      <c r="Q228" t="inlineStr">
        <is>
          <t>原文「the average API selling price increased by approximately 101%」；比較基準未明</t>
        </is>
      </c>
    </row>
    <row r="229">
      <c r="A229" t="inlineStr">
        <is>
          <t>SRC_ZP_228</t>
        </is>
      </c>
      <c r="B229" t="inlineStr">
        <is>
          <t>Z1-F</t>
        </is>
      </c>
      <c r="C229" t="inlineStr">
        <is>
          <t>A</t>
        </is>
      </c>
      <c r="D229" t="inlineStr">
        <is>
          <t>codingplan_class_1h26</t>
        </is>
      </c>
      <c r="E229" t="inlineStr">
        <is>
          <t>GLM Coding Plan 收入歸屬</t>
        </is>
      </c>
      <c r="F229" t="inlineStr">
        <is>
          <t>1H2026</t>
        </is>
      </c>
      <c r="J229" t="inlineStr"/>
      <c r="K229" t="inlineStr">
        <is>
          <t>Derived</t>
        </is>
      </c>
      <c r="M229" t="inlineStr">
        <is>
          <t>Derived</t>
        </is>
      </c>
      <c r="N229" t="inlineStr">
        <is>
          <t>智譜（Z.AI）2026 中期業績公告</t>
        </is>
      </c>
      <c r="O229" t="inlineStr">
        <is>
          <t>https://ea-cdn.eurolandir.com/press-releases-attachments/4174939/HKEX-EPS_20260831_12308928_0.PDF</t>
        </is>
      </c>
      <c r="P229" t="inlineStr">
        <is>
          <t>2026-08-31</t>
        </is>
      </c>
      <c r="Q229" t="inlineStr">
        <is>
          <t>未單列。雲端分部＝開放平台及 API（825,176），本地化＝其餘三線合計；Coding Plan 為雲端訂閱，故在開放平台及 API 內</t>
        </is>
      </c>
    </row>
    <row r="230">
      <c r="A230" t="inlineStr">
        <is>
          <t>SRC_ZP_229</t>
        </is>
      </c>
      <c r="B230" t="inlineStr">
        <is>
          <t>Z1-F</t>
        </is>
      </c>
      <c r="C230" t="inlineStr">
        <is>
          <t>E</t>
        </is>
      </c>
      <c r="D230" t="inlineStr">
        <is>
          <t>domestic_chip_1h26</t>
        </is>
      </c>
      <c r="E230" t="inlineStr">
        <is>
          <t>國產晶片推論集群規模</t>
        </is>
      </c>
      <c r="F230" t="inlineStr">
        <is>
          <t>1H2026</t>
        </is>
      </c>
      <c r="G230" t="n">
        <v>100000</v>
      </c>
      <c r="H230" t="n">
        <v>100000</v>
      </c>
      <c r="J230" t="inlineStr">
        <is>
          <t>顆（下限）</t>
        </is>
      </c>
      <c r="K230" t="inlineStr">
        <is>
          <t>Interested-party</t>
        </is>
      </c>
      <c r="L230" t="inlineStr">
        <is>
          <t>智譜：上市後股價、配售誘因</t>
        </is>
      </c>
      <c r="M230" t="inlineStr">
        <is>
          <t>管理層口徑</t>
        </is>
      </c>
      <c r="N230" t="inlineStr">
        <is>
          <t>智譜（Z.AI）2026 中期業績公告</t>
        </is>
      </c>
      <c r="O230" t="inlineStr">
        <is>
          <t>https://ea-cdn.eurolandir.com/press-releases-attachments/4174939/HKEX-EPS_20260831_12308928_0.PDF</t>
        </is>
      </c>
      <c r="P230" t="inlineStr">
        <is>
          <t>2026-08-31</t>
        </is>
      </c>
      <c r="Q230" t="inlineStr">
        <is>
          <t>原文「across a cluster of over 100,000 domestic chips」</t>
        </is>
      </c>
    </row>
    <row r="231">
      <c r="A231" t="inlineStr">
        <is>
          <t>SRC_ZP_230</t>
        </is>
      </c>
      <c r="B231" t="inlineStr">
        <is>
          <t>Z1-F</t>
        </is>
      </c>
      <c r="C231" t="inlineStr">
        <is>
          <t>A</t>
        </is>
      </c>
      <c r="D231" t="inlineStr">
        <is>
          <t>rd_compute_fy22</t>
        </is>
      </c>
      <c r="E231" t="inlineStr">
        <is>
          <t>研發開支中算力服務費（含模型訓練及雲端部署服務）</t>
        </is>
      </c>
      <c r="F231" t="inlineStr">
        <is>
          <t>FY2022</t>
        </is>
      </c>
      <c r="G231" t="n">
        <v>0.15</v>
      </c>
      <c r="J231" t="inlineStr">
        <is>
          <t>RMB 億</t>
        </is>
      </c>
      <c r="K231" t="inlineStr">
        <is>
          <t>Interested-party</t>
        </is>
      </c>
      <c r="L231" t="inlineStr">
        <is>
          <t>媒體轉述</t>
        </is>
      </c>
      <c r="M231" t="inlineStr">
        <is>
          <t>媒體轉述（招股章程）</t>
        </is>
      </c>
      <c r="N231" t="inlineStr">
        <is>
          <t>36氪轉載〈市值水晶〉（王浩然）</t>
        </is>
      </c>
      <c r="O231" t="inlineStr">
        <is>
          <t>https://www.36kr.com/p/3611675144253960</t>
        </is>
      </c>
      <c r="P231" t="inlineStr">
        <is>
          <t>2025-12-26</t>
        </is>
      </c>
      <c r="Q231" t="inlineStr">
        <is>
          <t>原文「从2022年的0.15亿元」；原始招股章程財務資料節未能讀取</t>
        </is>
      </c>
    </row>
    <row r="232">
      <c r="A232" t="inlineStr">
        <is>
          <t>SRC_ZP_231</t>
        </is>
      </c>
      <c r="B232" t="inlineStr">
        <is>
          <t>Z1-F</t>
        </is>
      </c>
      <c r="C232" t="inlineStr">
        <is>
          <t>A</t>
        </is>
      </c>
      <c r="D232" t="inlineStr">
        <is>
          <t>rd_compute_1h25</t>
        </is>
      </c>
      <c r="E232" t="inlineStr">
        <is>
          <t>研發開支中算力服務費（含模型訓練及雲端部署服務）</t>
        </is>
      </c>
      <c r="F232" t="inlineStr">
        <is>
          <t>1H2025</t>
        </is>
      </c>
      <c r="G232" t="n">
        <v>11.45</v>
      </c>
      <c r="J232" t="inlineStr">
        <is>
          <t>RMB 億</t>
        </is>
      </c>
      <c r="K232" t="inlineStr">
        <is>
          <t>Interested-party</t>
        </is>
      </c>
      <c r="L232" t="inlineStr">
        <is>
          <t>媒體轉述</t>
        </is>
      </c>
      <c r="M232" t="inlineStr">
        <is>
          <t>媒體轉述（招股章程）</t>
        </is>
      </c>
      <c r="N232" t="inlineStr">
        <is>
          <t>36氪轉載〈市值水晶〉（王浩然）</t>
        </is>
      </c>
      <c r="O232" t="inlineStr">
        <is>
          <t>https://www.36kr.com/p/3611675144253960</t>
        </is>
      </c>
      <c r="P232" t="inlineStr">
        <is>
          <t>2025-12-26</t>
        </is>
      </c>
      <c r="Q232" t="inlineStr">
        <is>
          <t>原文「到2025年上半年的11.45亿」；原始招股章程財務資料節未能讀取</t>
        </is>
      </c>
    </row>
    <row r="233">
      <c r="A233" t="inlineStr">
        <is>
          <t>SRC_ZP_232</t>
        </is>
      </c>
      <c r="B233" t="inlineStr">
        <is>
          <t>Z1-F</t>
        </is>
      </c>
      <c r="C233" t="inlineStr">
        <is>
          <t>A</t>
        </is>
      </c>
      <c r="D233" t="inlineStr">
        <is>
          <t>rd_compute_fy24</t>
        </is>
      </c>
      <c r="E233" t="inlineStr">
        <is>
          <t>研發開支中算力服務費</t>
        </is>
      </c>
      <c r="F233" t="inlineStr">
        <is>
          <t>FY2024</t>
        </is>
      </c>
      <c r="G233" t="n">
        <v>15.52</v>
      </c>
      <c r="J233" t="inlineStr">
        <is>
          <t>RMB 億</t>
        </is>
      </c>
      <c r="K233" t="inlineStr">
        <is>
          <t>Interested-party</t>
        </is>
      </c>
      <c r="L233" t="inlineStr">
        <is>
          <t>媒體轉述</t>
        </is>
      </c>
      <c r="M233" t="inlineStr">
        <is>
          <t>媒體轉述（招股章程）</t>
        </is>
      </c>
      <c r="N233" t="inlineStr">
        <is>
          <t>華爾街見聞</t>
        </is>
      </c>
      <c r="O233" t="inlineStr">
        <is>
          <t>https://wallstreetcn.com/articles/3761769</t>
        </is>
      </c>
      <c r="P233" t="inlineStr">
        <is>
          <t>2025-12-20</t>
        </is>
      </c>
      <c r="Q233" t="inlineStr">
        <is>
          <t>原文 2024年算力服務費 15.52億元，「同期收入的5倍左右」；原始財務資料節未能讀取</t>
        </is>
      </c>
    </row>
    <row r="234">
      <c r="A234" t="inlineStr">
        <is>
          <t>SRC_ZP_233</t>
        </is>
      </c>
      <c r="B234" t="inlineStr">
        <is>
          <t>Z1-F</t>
        </is>
      </c>
      <c r="C234" t="inlineStr">
        <is>
          <t>A</t>
        </is>
      </c>
      <c r="D234" t="inlineStr">
        <is>
          <t>rd_compute_fy24_b</t>
        </is>
      </c>
      <c r="E234" t="inlineStr">
        <is>
          <t>研發開支中算力服務費</t>
        </is>
      </c>
      <c r="F234" t="inlineStr">
        <is>
          <t>FY2024</t>
        </is>
      </c>
      <c r="G234" t="n">
        <v>15.53</v>
      </c>
      <c r="J234" t="inlineStr">
        <is>
          <t>RMB 億</t>
        </is>
      </c>
      <c r="K234" t="inlineStr">
        <is>
          <t>Interested-party</t>
        </is>
      </c>
      <c r="L234" t="inlineStr">
        <is>
          <t>媒體轉述</t>
        </is>
      </c>
      <c r="M234" t="inlineStr">
        <is>
          <t>媒體轉述（招股章程）</t>
        </is>
      </c>
      <c r="N234" t="inlineStr">
        <is>
          <t>每日經濟新聞</t>
        </is>
      </c>
      <c r="O234" t="inlineStr">
        <is>
          <t>https://www.nbd.com.cn/articles/2025-12-21/4189232.html</t>
        </is>
      </c>
      <c r="P234" t="inlineStr">
        <is>
          <t>2025-12-21</t>
        </is>
      </c>
      <c r="Q234" t="inlineStr">
        <is>
          <t>15.53 億元，占研發逾 70%；與華爾街見聞 15.52 億差 0.01（四捨五入）</t>
        </is>
      </c>
    </row>
    <row r="235">
      <c r="A235" t="inlineStr">
        <is>
          <t>SRC_ZP_234</t>
        </is>
      </c>
      <c r="B235" t="inlineStr">
        <is>
          <t>Z1-F</t>
        </is>
      </c>
      <c r="C235" t="inlineStr">
        <is>
          <t>A</t>
        </is>
      </c>
      <c r="D235" t="inlineStr">
        <is>
          <t>rd_compute_share_1h25</t>
        </is>
      </c>
      <c r="E235" t="inlineStr">
        <is>
          <t>算力服務費占研發開支比重</t>
        </is>
      </c>
      <c r="F235" t="inlineStr">
        <is>
          <t>1H2025</t>
        </is>
      </c>
      <c r="G235" t="n">
        <v>70</v>
      </c>
      <c r="H235" t="n">
        <v>70</v>
      </c>
      <c r="J235" t="inlineStr">
        <is>
          <t>%（下限）</t>
        </is>
      </c>
      <c r="K235" t="inlineStr">
        <is>
          <t>Interested-party</t>
        </is>
      </c>
      <c r="L235" t="inlineStr">
        <is>
          <t>媒體轉述</t>
        </is>
      </c>
      <c r="M235" t="inlineStr">
        <is>
          <t>媒體轉述（招股章程）</t>
        </is>
      </c>
      <c r="N235" t="inlineStr">
        <is>
          <t>每日經濟新聞</t>
        </is>
      </c>
      <c r="O235" t="inlineStr">
        <is>
          <t>https://www.nbd.com.cn/articles/2025-12-21/4189232.html</t>
        </is>
      </c>
      <c r="P235" t="inlineStr">
        <is>
          <t>2025-12-21</t>
        </is>
      </c>
      <c r="Q235" t="inlineStr">
        <is>
          <t>原文「仍维持在七成以上」</t>
        </is>
      </c>
    </row>
    <row r="236">
      <c r="A236" t="inlineStr">
        <is>
          <t>SRC_ZP_235</t>
        </is>
      </c>
      <c r="B236" t="inlineStr">
        <is>
          <t>Z1-F</t>
        </is>
      </c>
      <c r="C236" t="inlineStr">
        <is>
          <t>E</t>
        </is>
      </c>
      <c r="D236" t="inlineStr">
        <is>
          <t>rd_staff_cost_fy22</t>
        </is>
      </c>
      <c r="E236" t="inlineStr">
        <is>
          <t>研發人員工資成本</t>
        </is>
      </c>
      <c r="F236" t="inlineStr">
        <is>
          <t>FY2022</t>
        </is>
      </c>
      <c r="G236" t="n">
        <v>0.42</v>
      </c>
      <c r="J236" t="inlineStr">
        <is>
          <t>RMB 億</t>
        </is>
      </c>
      <c r="K236" t="inlineStr">
        <is>
          <t>Interested-party</t>
        </is>
      </c>
      <c r="L236" t="inlineStr">
        <is>
          <t>媒體轉述</t>
        </is>
      </c>
      <c r="M236" t="inlineStr">
        <is>
          <t>媒體轉述（招股章程）</t>
        </is>
      </c>
      <c r="N236" t="inlineStr">
        <is>
          <t>36氪轉載〈市值水晶〉（王浩然）</t>
        </is>
      </c>
      <c r="O236" t="inlineStr">
        <is>
          <t>https://www.36kr.com/p/3611675144253960</t>
        </is>
      </c>
      <c r="P236" t="inlineStr">
        <is>
          <t>2025-12-26</t>
        </is>
      </c>
      <c r="Q236" t="inlineStr">
        <is>
          <t>原文「研发人员的工资成本分别为0.42亿、1.37亿、3.24亿元…2.66亿元」</t>
        </is>
      </c>
    </row>
    <row r="237">
      <c r="A237" t="inlineStr">
        <is>
          <t>SRC_ZP_236</t>
        </is>
      </c>
      <c r="B237" t="inlineStr">
        <is>
          <t>Z1-F</t>
        </is>
      </c>
      <c r="C237" t="inlineStr">
        <is>
          <t>E</t>
        </is>
      </c>
      <c r="D237" t="inlineStr">
        <is>
          <t>rd_staff_cost_fy23</t>
        </is>
      </c>
      <c r="E237" t="inlineStr">
        <is>
          <t>研發人員工資成本</t>
        </is>
      </c>
      <c r="F237" t="inlineStr">
        <is>
          <t>FY2023</t>
        </is>
      </c>
      <c r="G237" t="n">
        <v>1.37</v>
      </c>
      <c r="J237" t="inlineStr">
        <is>
          <t>RMB 億</t>
        </is>
      </c>
      <c r="K237" t="inlineStr">
        <is>
          <t>Interested-party</t>
        </is>
      </c>
      <c r="L237" t="inlineStr">
        <is>
          <t>媒體轉述</t>
        </is>
      </c>
      <c r="M237" t="inlineStr">
        <is>
          <t>媒體轉述（招股章程）</t>
        </is>
      </c>
      <c r="N237" t="inlineStr">
        <is>
          <t>36氪轉載〈市值水晶〉（王浩然）</t>
        </is>
      </c>
      <c r="O237" t="inlineStr">
        <is>
          <t>https://www.36kr.com/p/3611675144253960</t>
        </is>
      </c>
      <c r="P237" t="inlineStr">
        <is>
          <t>2025-12-26</t>
        </is>
      </c>
      <c r="Q237" t="inlineStr">
        <is>
          <t>原文「研发人员的工资成本分别为0.42亿、1.37亿、3.24亿元…2.66亿元」</t>
        </is>
      </c>
    </row>
    <row r="238">
      <c r="A238" t="inlineStr">
        <is>
          <t>SRC_ZP_237</t>
        </is>
      </c>
      <c r="B238" t="inlineStr">
        <is>
          <t>Z1-F</t>
        </is>
      </c>
      <c r="C238" t="inlineStr">
        <is>
          <t>E</t>
        </is>
      </c>
      <c r="D238" t="inlineStr">
        <is>
          <t>rd_staff_cost_fy24</t>
        </is>
      </c>
      <c r="E238" t="inlineStr">
        <is>
          <t>研發人員工資成本</t>
        </is>
      </c>
      <c r="F238" t="inlineStr">
        <is>
          <t>FY2024</t>
        </is>
      </c>
      <c r="G238" t="n">
        <v>3.24</v>
      </c>
      <c r="J238" t="inlineStr">
        <is>
          <t>RMB 億</t>
        </is>
      </c>
      <c r="K238" t="inlineStr">
        <is>
          <t>Interested-party</t>
        </is>
      </c>
      <c r="L238" t="inlineStr">
        <is>
          <t>媒體轉述</t>
        </is>
      </c>
      <c r="M238" t="inlineStr">
        <is>
          <t>媒體轉述（招股章程）</t>
        </is>
      </c>
      <c r="N238" t="inlineStr">
        <is>
          <t>36氪轉載〈市值水晶〉（王浩然）</t>
        </is>
      </c>
      <c r="O238" t="inlineStr">
        <is>
          <t>https://www.36kr.com/p/3611675144253960</t>
        </is>
      </c>
      <c r="P238" t="inlineStr">
        <is>
          <t>2025-12-26</t>
        </is>
      </c>
      <c r="Q238" t="inlineStr">
        <is>
          <t>原文「研发人员的工资成本分别为0.42亿、1.37亿、3.24亿元…2.66亿元」</t>
        </is>
      </c>
    </row>
    <row r="239">
      <c r="A239" t="inlineStr">
        <is>
          <t>SRC_ZP_238</t>
        </is>
      </c>
      <c r="B239" t="inlineStr">
        <is>
          <t>Z1-F</t>
        </is>
      </c>
      <c r="C239" t="inlineStr">
        <is>
          <t>E</t>
        </is>
      </c>
      <c r="D239" t="inlineStr">
        <is>
          <t>rd_staff_cost_1h25</t>
        </is>
      </c>
      <c r="E239" t="inlineStr">
        <is>
          <t>研發人員工資成本</t>
        </is>
      </c>
      <c r="F239" t="inlineStr">
        <is>
          <t>1H2025</t>
        </is>
      </c>
      <c r="G239" t="n">
        <v>2.66</v>
      </c>
      <c r="J239" t="inlineStr">
        <is>
          <t>RMB 億</t>
        </is>
      </c>
      <c r="K239" t="inlineStr">
        <is>
          <t>Interested-party</t>
        </is>
      </c>
      <c r="L239" t="inlineStr">
        <is>
          <t>媒體轉述</t>
        </is>
      </c>
      <c r="M239" t="inlineStr">
        <is>
          <t>媒體轉述（招股章程）</t>
        </is>
      </c>
      <c r="N239" t="inlineStr">
        <is>
          <t>36氪轉載〈市值水晶〉（王浩然）</t>
        </is>
      </c>
      <c r="O239" t="inlineStr">
        <is>
          <t>https://www.36kr.com/p/3611675144253960</t>
        </is>
      </c>
      <c r="P239" t="inlineStr">
        <is>
          <t>2025-12-26</t>
        </is>
      </c>
      <c r="Q239" t="inlineStr">
        <is>
          <t>原文「研发人员的工资成本分别为0.42亿、1.37亿、3.24亿元…2.66亿元」</t>
        </is>
      </c>
    </row>
    <row r="240">
      <c r="A240" t="inlineStr">
        <is>
          <t>SRC_ZP_239</t>
        </is>
      </c>
      <c r="B240" t="inlineStr">
        <is>
          <t>Z1-F</t>
        </is>
      </c>
      <c r="C240" t="inlineStr">
        <is>
          <t>E</t>
        </is>
      </c>
      <c r="D240" t="inlineStr">
        <is>
          <t>rd_staff_share_fy24</t>
        </is>
      </c>
      <c r="E240" t="inlineStr">
        <is>
          <t>工資成本占研發開支比重</t>
        </is>
      </c>
      <c r="F240" t="inlineStr">
        <is>
          <t>FY2024</t>
        </is>
      </c>
      <c r="G240" t="n">
        <v>14.8</v>
      </c>
      <c r="J240" t="inlineStr">
        <is>
          <t>%</t>
        </is>
      </c>
      <c r="K240" t="inlineStr">
        <is>
          <t>Interested-party</t>
        </is>
      </c>
      <c r="L240" t="inlineStr">
        <is>
          <t>媒體轉述</t>
        </is>
      </c>
      <c r="M240" t="inlineStr">
        <is>
          <t>媒體轉述（招股章程）</t>
        </is>
      </c>
      <c r="N240" t="inlineStr">
        <is>
          <t>鈦媒體（山上）</t>
        </is>
      </c>
      <c r="O240" t="inlineStr">
        <is>
          <t>https://www.tmtpost.com/7815849.html</t>
        </is>
      </c>
      <c r="P240" t="inlineStr">
        <is>
          <t>2025-12-21</t>
        </is>
      </c>
      <c r="Q240" t="inlineStr">
        <is>
          <t>原文 2024 年工資成本占研發 14.8%（3.24/21.95 吻合）</t>
        </is>
      </c>
    </row>
    <row r="241">
      <c r="A241" t="inlineStr">
        <is>
          <t>SRC_ZP_240</t>
        </is>
      </c>
      <c r="B241" t="inlineStr">
        <is>
          <t>Z1-F</t>
        </is>
      </c>
      <c r="C241" t="inlineStr">
        <is>
          <t>E</t>
        </is>
      </c>
      <c r="D241" t="inlineStr">
        <is>
          <t>rd_staff_pct_1h25</t>
        </is>
      </c>
      <c r="E241" t="inlineStr">
        <is>
          <t>研發人員占員工比重</t>
        </is>
      </c>
      <c r="F241" t="inlineStr">
        <is>
          <t>2025-06-30</t>
        </is>
      </c>
      <c r="G241" t="n">
        <v>74.40000000000001</v>
      </c>
      <c r="J241" t="inlineStr">
        <is>
          <t>%</t>
        </is>
      </c>
      <c r="K241" t="inlineStr">
        <is>
          <t>Interested-party</t>
        </is>
      </c>
      <c r="L241" t="inlineStr">
        <is>
          <t>媒體轉述</t>
        </is>
      </c>
      <c r="M241" t="inlineStr">
        <is>
          <t>媒體轉述（招股章程）</t>
        </is>
      </c>
      <c r="N241" t="inlineStr">
        <is>
          <t>鈦媒體（山上）</t>
        </is>
      </c>
      <c r="O241" t="inlineStr">
        <is>
          <t>https://www.tmtpost.com/7815849.html</t>
        </is>
      </c>
      <c r="P241" t="inlineStr">
        <is>
          <t>2025-12-21</t>
        </is>
      </c>
      <c r="Q241" t="inlineStr">
        <is>
          <t>原文 員工 883 人、研發 657 人，占 74.4%（證券日報稱 74%）</t>
        </is>
      </c>
    </row>
    <row r="242">
      <c r="A242" t="inlineStr">
        <is>
          <t>SRC_ZP_241</t>
        </is>
      </c>
      <c r="B242" t="inlineStr">
        <is>
          <t>Z1-R</t>
        </is>
      </c>
      <c r="C242" t="inlineStr">
        <is>
          <t>B</t>
        </is>
      </c>
      <c r="D242" t="inlineStr">
        <is>
          <t>px_usd_glm53_in</t>
        </is>
      </c>
      <c r="E242" t="inlineStr">
        <is>
          <t>GLM-5.3 國際站牌價（輸入）</t>
        </is>
      </c>
      <c r="F242" t="inlineStr">
        <is>
          <t>2026-10（現行）</t>
        </is>
      </c>
      <c r="G242" t="n">
        <v>1.4</v>
      </c>
      <c r="J242" t="inlineStr">
        <is>
          <t>USD／百萬 token</t>
        </is>
      </c>
      <c r="K242" t="inlineStr">
        <is>
          <t>Verified</t>
        </is>
      </c>
      <c r="N242" t="inlineStr">
        <is>
          <t>Z.ai 開發者文件 Pricing 頁（國際站官方牌價）</t>
        </is>
      </c>
      <c r="O242" t="inlineStr">
        <is>
          <t>https://docs.z.ai/guides/overview/pricing.md</t>
        </is>
      </c>
      <c r="P242" t="inlineStr">
        <is>
          <t>2026-10-08</t>
        </is>
      </c>
      <c r="Q242" t="inlineStr">
        <is>
          <t>官方表列 GLM-5.3：Input $1.4／Cached Input $0.26／Output $4.4；快取儲存「Limited-time free」；無長度分段</t>
        </is>
      </c>
    </row>
    <row r="243">
      <c r="A243" t="inlineStr">
        <is>
          <t>SRC_ZP_242</t>
        </is>
      </c>
      <c r="B243" t="inlineStr">
        <is>
          <t>Z1-R</t>
        </is>
      </c>
      <c r="C243" t="inlineStr">
        <is>
          <t>B</t>
        </is>
      </c>
      <c r="D243" t="inlineStr">
        <is>
          <t>px_usd_glm53_cache</t>
        </is>
      </c>
      <c r="E243" t="inlineStr">
        <is>
          <t>GLM-5.3 國際站牌價（快取命中輸入）</t>
        </is>
      </c>
      <c r="F243" t="inlineStr">
        <is>
          <t>2026-10（現行）</t>
        </is>
      </c>
      <c r="G243" t="n">
        <v>0.26</v>
      </c>
      <c r="J243" t="inlineStr">
        <is>
          <t>USD／百萬 token</t>
        </is>
      </c>
      <c r="K243" t="inlineStr">
        <is>
          <t>Verified</t>
        </is>
      </c>
      <c r="N243" t="inlineStr">
        <is>
          <t>Z.ai 開發者文件 Pricing 頁（國際站官方牌價）</t>
        </is>
      </c>
      <c r="O243" t="inlineStr">
        <is>
          <t>https://docs.z.ai/guides/overview/pricing.md</t>
        </is>
      </c>
      <c r="P243" t="inlineStr">
        <is>
          <t>2026-10-08</t>
        </is>
      </c>
      <c r="Q243" t="inlineStr">
        <is>
          <t>官方表列 GLM-5.3：Input $1.4／Cached Input $0.26／Output $4.4；快取儲存「Limited-time free」；無長度分段</t>
        </is>
      </c>
    </row>
    <row r="244">
      <c r="A244" t="inlineStr">
        <is>
          <t>SRC_ZP_243</t>
        </is>
      </c>
      <c r="B244" t="inlineStr">
        <is>
          <t>Z1-R</t>
        </is>
      </c>
      <c r="C244" t="inlineStr">
        <is>
          <t>B</t>
        </is>
      </c>
      <c r="D244" t="inlineStr">
        <is>
          <t>px_usd_glm53_out</t>
        </is>
      </c>
      <c r="E244" t="inlineStr">
        <is>
          <t>GLM-5.3 國際站牌價（輸出）</t>
        </is>
      </c>
      <c r="F244" t="inlineStr">
        <is>
          <t>2026-10（現行）</t>
        </is>
      </c>
      <c r="G244" t="n">
        <v>4.4</v>
      </c>
      <c r="J244" t="inlineStr">
        <is>
          <t>USD／百萬 token</t>
        </is>
      </c>
      <c r="K244" t="inlineStr">
        <is>
          <t>Verified</t>
        </is>
      </c>
      <c r="N244" t="inlineStr">
        <is>
          <t>Z.ai 開發者文件 Pricing 頁（國際站官方牌價）</t>
        </is>
      </c>
      <c r="O244" t="inlineStr">
        <is>
          <t>https://docs.z.ai/guides/overview/pricing.md</t>
        </is>
      </c>
      <c r="P244" t="inlineStr">
        <is>
          <t>2026-10-08</t>
        </is>
      </c>
      <c r="Q244" t="inlineStr">
        <is>
          <t>官方表列 GLM-5.3：Input $1.4／Cached Input $0.26／Output $4.4；快取儲存「Limited-time free」；無長度分段</t>
        </is>
      </c>
    </row>
    <row r="245">
      <c r="A245" t="inlineStr">
        <is>
          <t>SRC_ZP_244</t>
        </is>
      </c>
      <c r="B245" t="inlineStr">
        <is>
          <t>Z1-R</t>
        </is>
      </c>
      <c r="C245" t="inlineStr">
        <is>
          <t>B</t>
        </is>
      </c>
      <c r="D245" t="inlineStr">
        <is>
          <t>px_usd_glm52_in</t>
        </is>
      </c>
      <c r="E245" t="inlineStr">
        <is>
          <t>GLM-5.2 國際站牌價（輸入）</t>
        </is>
      </c>
      <c r="F245" t="inlineStr">
        <is>
          <t>2026-10（現行）</t>
        </is>
      </c>
      <c r="G245" t="n">
        <v>1.4</v>
      </c>
      <c r="J245" t="inlineStr">
        <is>
          <t>USD／百萬 token</t>
        </is>
      </c>
      <c r="K245" t="inlineStr">
        <is>
          <t>Verified</t>
        </is>
      </c>
      <c r="N245" t="inlineStr">
        <is>
          <t>Z.ai 開發者文件 Pricing 頁（國際站官方牌價）</t>
        </is>
      </c>
      <c r="O245" t="inlineStr">
        <is>
          <t>https://docs.z.ai/guides/overview/pricing.md</t>
        </is>
      </c>
      <c r="P245" t="inlineStr">
        <is>
          <t>2026-10-08</t>
        </is>
      </c>
      <c r="Q245" t="inlineStr">
        <is>
          <t>官方表列 GLM-5.2：Input $1.4／Cached Input $0.26／Output $4.4；快取儲存「Limited-time free」；無長度分段</t>
        </is>
      </c>
    </row>
    <row r="246">
      <c r="A246" t="inlineStr">
        <is>
          <t>SRC_ZP_245</t>
        </is>
      </c>
      <c r="B246" t="inlineStr">
        <is>
          <t>Z1-R</t>
        </is>
      </c>
      <c r="C246" t="inlineStr">
        <is>
          <t>B</t>
        </is>
      </c>
      <c r="D246" t="inlineStr">
        <is>
          <t>px_usd_glm52_cache</t>
        </is>
      </c>
      <c r="E246" t="inlineStr">
        <is>
          <t>GLM-5.2 國際站牌價（快取命中輸入）</t>
        </is>
      </c>
      <c r="F246" t="inlineStr">
        <is>
          <t>2026-10（現行）</t>
        </is>
      </c>
      <c r="G246" t="n">
        <v>0.26</v>
      </c>
      <c r="J246" t="inlineStr">
        <is>
          <t>USD／百萬 token</t>
        </is>
      </c>
      <c r="K246" t="inlineStr">
        <is>
          <t>Verified</t>
        </is>
      </c>
      <c r="N246" t="inlineStr">
        <is>
          <t>Z.ai 開發者文件 Pricing 頁（國際站官方牌價）</t>
        </is>
      </c>
      <c r="O246" t="inlineStr">
        <is>
          <t>https://docs.z.ai/guides/overview/pricing.md</t>
        </is>
      </c>
      <c r="P246" t="inlineStr">
        <is>
          <t>2026-10-08</t>
        </is>
      </c>
      <c r="Q246" t="inlineStr">
        <is>
          <t>官方表列 GLM-5.2：Input $1.4／Cached Input $0.26／Output $4.4；快取儲存「Limited-time free」；無長度分段</t>
        </is>
      </c>
    </row>
    <row r="247">
      <c r="A247" t="inlineStr">
        <is>
          <t>SRC_ZP_246</t>
        </is>
      </c>
      <c r="B247" t="inlineStr">
        <is>
          <t>Z1-R</t>
        </is>
      </c>
      <c r="C247" t="inlineStr">
        <is>
          <t>B</t>
        </is>
      </c>
      <c r="D247" t="inlineStr">
        <is>
          <t>px_usd_glm52_out</t>
        </is>
      </c>
      <c r="E247" t="inlineStr">
        <is>
          <t>GLM-5.2 國際站牌價（輸出）</t>
        </is>
      </c>
      <c r="F247" t="inlineStr">
        <is>
          <t>2026-10（現行）</t>
        </is>
      </c>
      <c r="G247" t="n">
        <v>4.4</v>
      </c>
      <c r="J247" t="inlineStr">
        <is>
          <t>USD／百萬 token</t>
        </is>
      </c>
      <c r="K247" t="inlineStr">
        <is>
          <t>Verified</t>
        </is>
      </c>
      <c r="N247" t="inlineStr">
        <is>
          <t>Z.ai 開發者文件 Pricing 頁（國際站官方牌價）</t>
        </is>
      </c>
      <c r="O247" t="inlineStr">
        <is>
          <t>https://docs.z.ai/guides/overview/pricing.md</t>
        </is>
      </c>
      <c r="P247" t="inlineStr">
        <is>
          <t>2026-10-08</t>
        </is>
      </c>
      <c r="Q247" t="inlineStr">
        <is>
          <t>官方表列 GLM-5.2：Input $1.4／Cached Input $0.26／Output $4.4；快取儲存「Limited-time free」；無長度分段</t>
        </is>
      </c>
    </row>
    <row r="248">
      <c r="A248" t="inlineStr">
        <is>
          <t>SRC_ZP_247</t>
        </is>
      </c>
      <c r="B248" t="inlineStr">
        <is>
          <t>Z1-R</t>
        </is>
      </c>
      <c r="C248" t="inlineStr">
        <is>
          <t>B</t>
        </is>
      </c>
      <c r="D248" t="inlineStr">
        <is>
          <t>px_usd_glm51_in</t>
        </is>
      </c>
      <c r="E248" t="inlineStr">
        <is>
          <t>GLM-5.1 國際站牌價（輸入）</t>
        </is>
      </c>
      <c r="F248" t="inlineStr">
        <is>
          <t>2026-10（現行）</t>
        </is>
      </c>
      <c r="G248" t="n">
        <v>1.4</v>
      </c>
      <c r="J248" t="inlineStr">
        <is>
          <t>USD／百萬 token</t>
        </is>
      </c>
      <c r="K248" t="inlineStr">
        <is>
          <t>Verified</t>
        </is>
      </c>
      <c r="N248" t="inlineStr">
        <is>
          <t>Z.ai 開發者文件 Pricing 頁（國際站官方牌價）</t>
        </is>
      </c>
      <c r="O248" t="inlineStr">
        <is>
          <t>https://docs.z.ai/guides/overview/pricing.md</t>
        </is>
      </c>
      <c r="P248" t="inlineStr">
        <is>
          <t>2026-10-08</t>
        </is>
      </c>
      <c r="Q248" t="inlineStr">
        <is>
          <t>官方表列 GLM-5.1：Input $1.4／Cached Input $0.26／Output $4.4；快取儲存「Limited-time free」；無長度分段</t>
        </is>
      </c>
    </row>
    <row r="249">
      <c r="A249" t="inlineStr">
        <is>
          <t>SRC_ZP_248</t>
        </is>
      </c>
      <c r="B249" t="inlineStr">
        <is>
          <t>Z1-R</t>
        </is>
      </c>
      <c r="C249" t="inlineStr">
        <is>
          <t>B</t>
        </is>
      </c>
      <c r="D249" t="inlineStr">
        <is>
          <t>px_usd_glm51_cache</t>
        </is>
      </c>
      <c r="E249" t="inlineStr">
        <is>
          <t>GLM-5.1 國際站牌價（快取命中輸入）</t>
        </is>
      </c>
      <c r="F249" t="inlineStr">
        <is>
          <t>2026-10（現行）</t>
        </is>
      </c>
      <c r="G249" t="n">
        <v>0.26</v>
      </c>
      <c r="J249" t="inlineStr">
        <is>
          <t>USD／百萬 token</t>
        </is>
      </c>
      <c r="K249" t="inlineStr">
        <is>
          <t>Verified</t>
        </is>
      </c>
      <c r="N249" t="inlineStr">
        <is>
          <t>Z.ai 開發者文件 Pricing 頁（國際站官方牌價）</t>
        </is>
      </c>
      <c r="O249" t="inlineStr">
        <is>
          <t>https://docs.z.ai/guides/overview/pricing.md</t>
        </is>
      </c>
      <c r="P249" t="inlineStr">
        <is>
          <t>2026-10-08</t>
        </is>
      </c>
      <c r="Q249" t="inlineStr">
        <is>
          <t>官方表列 GLM-5.1：Input $1.4／Cached Input $0.26／Output $4.4；快取儲存「Limited-time free」；無長度分段</t>
        </is>
      </c>
    </row>
    <row r="250">
      <c r="A250" t="inlineStr">
        <is>
          <t>SRC_ZP_249</t>
        </is>
      </c>
      <c r="B250" t="inlineStr">
        <is>
          <t>Z1-R</t>
        </is>
      </c>
      <c r="C250" t="inlineStr">
        <is>
          <t>B</t>
        </is>
      </c>
      <c r="D250" t="inlineStr">
        <is>
          <t>px_usd_glm51_out</t>
        </is>
      </c>
      <c r="E250" t="inlineStr">
        <is>
          <t>GLM-5.1 國際站牌價（輸出）</t>
        </is>
      </c>
      <c r="F250" t="inlineStr">
        <is>
          <t>2026-10（現行）</t>
        </is>
      </c>
      <c r="G250" t="n">
        <v>4.4</v>
      </c>
      <c r="J250" t="inlineStr">
        <is>
          <t>USD／百萬 token</t>
        </is>
      </c>
      <c r="K250" t="inlineStr">
        <is>
          <t>Verified</t>
        </is>
      </c>
      <c r="N250" t="inlineStr">
        <is>
          <t>Z.ai 開發者文件 Pricing 頁（國際站官方牌價）</t>
        </is>
      </c>
      <c r="O250" t="inlineStr">
        <is>
          <t>https://docs.z.ai/guides/overview/pricing.md</t>
        </is>
      </c>
      <c r="P250" t="inlineStr">
        <is>
          <t>2026-10-08</t>
        </is>
      </c>
      <c r="Q250" t="inlineStr">
        <is>
          <t>官方表列 GLM-5.1：Input $1.4／Cached Input $0.26／Output $4.4；快取儲存「Limited-time free」；無長度分段</t>
        </is>
      </c>
    </row>
    <row r="251">
      <c r="A251" t="inlineStr">
        <is>
          <t>SRC_ZP_250</t>
        </is>
      </c>
      <c r="B251" t="inlineStr">
        <is>
          <t>Z1-R</t>
        </is>
      </c>
      <c r="C251" t="inlineStr">
        <is>
          <t>B</t>
        </is>
      </c>
      <c r="D251" t="inlineStr">
        <is>
          <t>px_usd_glm5_in</t>
        </is>
      </c>
      <c r="E251" t="inlineStr">
        <is>
          <t>GLM-5 國際站牌價（輸入）</t>
        </is>
      </c>
      <c r="F251" t="inlineStr">
        <is>
          <t>2026-10（現行）</t>
        </is>
      </c>
      <c r="G251" t="n">
        <v>1</v>
      </c>
      <c r="J251" t="inlineStr">
        <is>
          <t>USD／百萬 token</t>
        </is>
      </c>
      <c r="K251" t="inlineStr">
        <is>
          <t>Verified</t>
        </is>
      </c>
      <c r="N251" t="inlineStr">
        <is>
          <t>Z.ai 開發者文件 Pricing 頁（國際站官方牌價）</t>
        </is>
      </c>
      <c r="O251" t="inlineStr">
        <is>
          <t>https://docs.z.ai/guides/overview/pricing.md</t>
        </is>
      </c>
      <c r="P251" t="inlineStr">
        <is>
          <t>2026-10-08</t>
        </is>
      </c>
      <c r="Q251" t="inlineStr">
        <is>
          <t>官方表列 GLM-5：Input $1.0／Cached Input $0.2／Output $3.2；快取儲存「Limited-time free」；無長度分段</t>
        </is>
      </c>
    </row>
    <row r="252">
      <c r="A252" t="inlineStr">
        <is>
          <t>SRC_ZP_251</t>
        </is>
      </c>
      <c r="B252" t="inlineStr">
        <is>
          <t>Z1-R</t>
        </is>
      </c>
      <c r="C252" t="inlineStr">
        <is>
          <t>B</t>
        </is>
      </c>
      <c r="D252" t="inlineStr">
        <is>
          <t>px_usd_glm5_cache</t>
        </is>
      </c>
      <c r="E252" t="inlineStr">
        <is>
          <t>GLM-5 國際站牌價（快取命中輸入）</t>
        </is>
      </c>
      <c r="F252" t="inlineStr">
        <is>
          <t>2026-10（現行）</t>
        </is>
      </c>
      <c r="G252" t="n">
        <v>0.2</v>
      </c>
      <c r="J252" t="inlineStr">
        <is>
          <t>USD／百萬 token</t>
        </is>
      </c>
      <c r="K252" t="inlineStr">
        <is>
          <t>Verified</t>
        </is>
      </c>
      <c r="N252" t="inlineStr">
        <is>
          <t>Z.ai 開發者文件 Pricing 頁（國際站官方牌價）</t>
        </is>
      </c>
      <c r="O252" t="inlineStr">
        <is>
          <t>https://docs.z.ai/guides/overview/pricing.md</t>
        </is>
      </c>
      <c r="P252" t="inlineStr">
        <is>
          <t>2026-10-08</t>
        </is>
      </c>
      <c r="Q252" t="inlineStr">
        <is>
          <t>官方表列 GLM-5：Input $1.0／Cached Input $0.2／Output $3.2；快取儲存「Limited-time free」；無長度分段</t>
        </is>
      </c>
    </row>
    <row r="253">
      <c r="A253" t="inlineStr">
        <is>
          <t>SRC_ZP_252</t>
        </is>
      </c>
      <c r="B253" t="inlineStr">
        <is>
          <t>Z1-R</t>
        </is>
      </c>
      <c r="C253" t="inlineStr">
        <is>
          <t>B</t>
        </is>
      </c>
      <c r="D253" t="inlineStr">
        <is>
          <t>px_usd_glm5_out</t>
        </is>
      </c>
      <c r="E253" t="inlineStr">
        <is>
          <t>GLM-5 國際站牌價（輸出）</t>
        </is>
      </c>
      <c r="F253" t="inlineStr">
        <is>
          <t>2026-10（現行）</t>
        </is>
      </c>
      <c r="G253" t="n">
        <v>3.2</v>
      </c>
      <c r="J253" t="inlineStr">
        <is>
          <t>USD／百萬 token</t>
        </is>
      </c>
      <c r="K253" t="inlineStr">
        <is>
          <t>Verified</t>
        </is>
      </c>
      <c r="N253" t="inlineStr">
        <is>
          <t>Z.ai 開發者文件 Pricing 頁（國際站官方牌價）</t>
        </is>
      </c>
      <c r="O253" t="inlineStr">
        <is>
          <t>https://docs.z.ai/guides/overview/pricing.md</t>
        </is>
      </c>
      <c r="P253" t="inlineStr">
        <is>
          <t>2026-10-08</t>
        </is>
      </c>
      <c r="Q253" t="inlineStr">
        <is>
          <t>官方表列 GLM-5：Input $1.0／Cached Input $0.2／Output $3.2；快取儲存「Limited-time free」；無長度分段</t>
        </is>
      </c>
    </row>
    <row r="254">
      <c r="A254" t="inlineStr">
        <is>
          <t>SRC_ZP_253</t>
        </is>
      </c>
      <c r="B254" t="inlineStr">
        <is>
          <t>Z1-R</t>
        </is>
      </c>
      <c r="C254" t="inlineStr">
        <is>
          <t>B</t>
        </is>
      </c>
      <c r="D254" t="inlineStr">
        <is>
          <t>px_usd_glm47_in</t>
        </is>
      </c>
      <c r="E254" t="inlineStr">
        <is>
          <t>GLM-4.7 國際站牌價（輸入）</t>
        </is>
      </c>
      <c r="F254" t="inlineStr">
        <is>
          <t>2026-10（現行）</t>
        </is>
      </c>
      <c r="G254" t="n">
        <v>0.6</v>
      </c>
      <c r="J254" t="inlineStr">
        <is>
          <t>USD／百萬 token</t>
        </is>
      </c>
      <c r="K254" t="inlineStr">
        <is>
          <t>Verified</t>
        </is>
      </c>
      <c r="N254" t="inlineStr">
        <is>
          <t>Z.ai 開發者文件 Pricing 頁（國際站官方牌價）</t>
        </is>
      </c>
      <c r="O254" t="inlineStr">
        <is>
          <t>https://docs.z.ai/guides/overview/pricing.md</t>
        </is>
      </c>
      <c r="P254" t="inlineStr">
        <is>
          <t>2026-10-08</t>
        </is>
      </c>
      <c r="Q254" t="inlineStr">
        <is>
          <t>官方表列 GLM-4.7：Input $0.6／Cached Input $0.11／Output $2.2；快取儲存「Limited-time free」；無長度分段</t>
        </is>
      </c>
    </row>
    <row r="255">
      <c r="A255" t="inlineStr">
        <is>
          <t>SRC_ZP_254</t>
        </is>
      </c>
      <c r="B255" t="inlineStr">
        <is>
          <t>Z1-R</t>
        </is>
      </c>
      <c r="C255" t="inlineStr">
        <is>
          <t>B</t>
        </is>
      </c>
      <c r="D255" t="inlineStr">
        <is>
          <t>px_usd_glm47_cache</t>
        </is>
      </c>
      <c r="E255" t="inlineStr">
        <is>
          <t>GLM-4.7 國際站牌價（快取命中輸入）</t>
        </is>
      </c>
      <c r="F255" t="inlineStr">
        <is>
          <t>2026-10（現行）</t>
        </is>
      </c>
      <c r="G255" t="n">
        <v>0.11</v>
      </c>
      <c r="J255" t="inlineStr">
        <is>
          <t>USD／百萬 token</t>
        </is>
      </c>
      <c r="K255" t="inlineStr">
        <is>
          <t>Verified</t>
        </is>
      </c>
      <c r="N255" t="inlineStr">
        <is>
          <t>Z.ai 開發者文件 Pricing 頁（國際站官方牌價）</t>
        </is>
      </c>
      <c r="O255" t="inlineStr">
        <is>
          <t>https://docs.z.ai/guides/overview/pricing.md</t>
        </is>
      </c>
      <c r="P255" t="inlineStr">
        <is>
          <t>2026-10-08</t>
        </is>
      </c>
      <c r="Q255" t="inlineStr">
        <is>
          <t>官方表列 GLM-4.7：Input $0.6／Cached Input $0.11／Output $2.2；快取儲存「Limited-time free」；無長度分段</t>
        </is>
      </c>
    </row>
    <row r="256">
      <c r="A256" t="inlineStr">
        <is>
          <t>SRC_ZP_255</t>
        </is>
      </c>
      <c r="B256" t="inlineStr">
        <is>
          <t>Z1-R</t>
        </is>
      </c>
      <c r="C256" t="inlineStr">
        <is>
          <t>B</t>
        </is>
      </c>
      <c r="D256" t="inlineStr">
        <is>
          <t>px_usd_glm47_out</t>
        </is>
      </c>
      <c r="E256" t="inlineStr">
        <is>
          <t>GLM-4.7 國際站牌價（輸出）</t>
        </is>
      </c>
      <c r="F256" t="inlineStr">
        <is>
          <t>2026-10（現行）</t>
        </is>
      </c>
      <c r="G256" t="n">
        <v>2.2</v>
      </c>
      <c r="J256" t="inlineStr">
        <is>
          <t>USD／百萬 token</t>
        </is>
      </c>
      <c r="K256" t="inlineStr">
        <is>
          <t>Verified</t>
        </is>
      </c>
      <c r="N256" t="inlineStr">
        <is>
          <t>Z.ai 開發者文件 Pricing 頁（國際站官方牌價）</t>
        </is>
      </c>
      <c r="O256" t="inlineStr">
        <is>
          <t>https://docs.z.ai/guides/overview/pricing.md</t>
        </is>
      </c>
      <c r="P256" t="inlineStr">
        <is>
          <t>2026-10-08</t>
        </is>
      </c>
      <c r="Q256" t="inlineStr">
        <is>
          <t>官方表列 GLM-4.7：Input $0.6／Cached Input $0.11／Output $2.2；快取儲存「Limited-time free」；無長度分段</t>
        </is>
      </c>
    </row>
    <row r="257">
      <c r="A257" t="inlineStr">
        <is>
          <t>SRC_ZP_256</t>
        </is>
      </c>
      <c r="B257" t="inlineStr">
        <is>
          <t>Z1-R</t>
        </is>
      </c>
      <c r="C257" t="inlineStr">
        <is>
          <t>B</t>
        </is>
      </c>
      <c r="D257" t="inlineStr">
        <is>
          <t>px_usd_glm46_in</t>
        </is>
      </c>
      <c r="E257" t="inlineStr">
        <is>
          <t>GLM-4.6 國際站牌價（輸入）</t>
        </is>
      </c>
      <c r="F257" t="inlineStr">
        <is>
          <t>2026-10（現行）</t>
        </is>
      </c>
      <c r="G257" t="n">
        <v>0.6</v>
      </c>
      <c r="J257" t="inlineStr">
        <is>
          <t>USD／百萬 token</t>
        </is>
      </c>
      <c r="K257" t="inlineStr">
        <is>
          <t>Verified</t>
        </is>
      </c>
      <c r="N257" t="inlineStr">
        <is>
          <t>Z.ai 開發者文件 Pricing 頁（國際站官方牌價）</t>
        </is>
      </c>
      <c r="O257" t="inlineStr">
        <is>
          <t>https://docs.z.ai/guides/overview/pricing.md</t>
        </is>
      </c>
      <c r="P257" t="inlineStr">
        <is>
          <t>2026-10-08</t>
        </is>
      </c>
      <c r="Q257" t="inlineStr">
        <is>
          <t>官方表列 GLM-4.6：Input $0.6／Cached Input $0.11／Output $2.2；快取儲存「Limited-time free」；無長度分段</t>
        </is>
      </c>
    </row>
    <row r="258">
      <c r="A258" t="inlineStr">
        <is>
          <t>SRC_ZP_257</t>
        </is>
      </c>
      <c r="B258" t="inlineStr">
        <is>
          <t>Z1-R</t>
        </is>
      </c>
      <c r="C258" t="inlineStr">
        <is>
          <t>B</t>
        </is>
      </c>
      <c r="D258" t="inlineStr">
        <is>
          <t>px_usd_glm46_cache</t>
        </is>
      </c>
      <c r="E258" t="inlineStr">
        <is>
          <t>GLM-4.6 國際站牌價（快取命中輸入）</t>
        </is>
      </c>
      <c r="F258" t="inlineStr">
        <is>
          <t>2026-10（現行）</t>
        </is>
      </c>
      <c r="G258" t="n">
        <v>0.11</v>
      </c>
      <c r="J258" t="inlineStr">
        <is>
          <t>USD／百萬 token</t>
        </is>
      </c>
      <c r="K258" t="inlineStr">
        <is>
          <t>Verified</t>
        </is>
      </c>
      <c r="N258" t="inlineStr">
        <is>
          <t>Z.ai 開發者文件 Pricing 頁（國際站官方牌價）</t>
        </is>
      </c>
      <c r="O258" t="inlineStr">
        <is>
          <t>https://docs.z.ai/guides/overview/pricing.md</t>
        </is>
      </c>
      <c r="P258" t="inlineStr">
        <is>
          <t>2026-10-08</t>
        </is>
      </c>
      <c r="Q258" t="inlineStr">
        <is>
          <t>官方表列 GLM-4.6：Input $0.6／Cached Input $0.11／Output $2.2；快取儲存「Limited-time free」；無長度分段</t>
        </is>
      </c>
    </row>
    <row r="259">
      <c r="A259" t="inlineStr">
        <is>
          <t>SRC_ZP_258</t>
        </is>
      </c>
      <c r="B259" t="inlineStr">
        <is>
          <t>Z1-R</t>
        </is>
      </c>
      <c r="C259" t="inlineStr">
        <is>
          <t>B</t>
        </is>
      </c>
      <c r="D259" t="inlineStr">
        <is>
          <t>px_usd_glm46_out</t>
        </is>
      </c>
      <c r="E259" t="inlineStr">
        <is>
          <t>GLM-4.6 國際站牌價（輸出）</t>
        </is>
      </c>
      <c r="F259" t="inlineStr">
        <is>
          <t>2026-10（現行）</t>
        </is>
      </c>
      <c r="G259" t="n">
        <v>2.2</v>
      </c>
      <c r="J259" t="inlineStr">
        <is>
          <t>USD／百萬 token</t>
        </is>
      </c>
      <c r="K259" t="inlineStr">
        <is>
          <t>Verified</t>
        </is>
      </c>
      <c r="N259" t="inlineStr">
        <is>
          <t>Z.ai 開發者文件 Pricing 頁（國際站官方牌價）</t>
        </is>
      </c>
      <c r="O259" t="inlineStr">
        <is>
          <t>https://docs.z.ai/guides/overview/pricing.md</t>
        </is>
      </c>
      <c r="P259" t="inlineStr">
        <is>
          <t>2026-10-08</t>
        </is>
      </c>
      <c r="Q259" t="inlineStr">
        <is>
          <t>官方表列 GLM-4.6：Input $0.6／Cached Input $0.11／Output $2.2；快取儲存「Limited-time free」；無長度分段</t>
        </is>
      </c>
    </row>
    <row r="260">
      <c r="A260" t="inlineStr">
        <is>
          <t>SRC_ZP_259</t>
        </is>
      </c>
      <c r="B260" t="inlineStr">
        <is>
          <t>Z1-R</t>
        </is>
      </c>
      <c r="C260" t="inlineStr">
        <is>
          <t>B</t>
        </is>
      </c>
      <c r="D260" t="inlineStr">
        <is>
          <t>px_usd_glm45_in</t>
        </is>
      </c>
      <c r="E260" t="inlineStr">
        <is>
          <t>GLM-4.5 國際站牌價（輸入）</t>
        </is>
      </c>
      <c r="F260" t="inlineStr">
        <is>
          <t>2026-10（現行）</t>
        </is>
      </c>
      <c r="G260" t="n">
        <v>0.6</v>
      </c>
      <c r="J260" t="inlineStr">
        <is>
          <t>USD／百萬 token</t>
        </is>
      </c>
      <c r="K260" t="inlineStr">
        <is>
          <t>Verified</t>
        </is>
      </c>
      <c r="N260" t="inlineStr">
        <is>
          <t>Z.ai 開發者文件 Pricing 頁（國際站官方牌價）</t>
        </is>
      </c>
      <c r="O260" t="inlineStr">
        <is>
          <t>https://docs.z.ai/guides/overview/pricing.md</t>
        </is>
      </c>
      <c r="P260" t="inlineStr">
        <is>
          <t>2026-10-08</t>
        </is>
      </c>
      <c r="Q260" t="inlineStr">
        <is>
          <t>官方表列 GLM-4.5：Input $0.6／Cached Input $0.11／Output $2.2；快取儲存「Limited-time free」；無長度分段</t>
        </is>
      </c>
    </row>
    <row r="261">
      <c r="A261" t="inlineStr">
        <is>
          <t>SRC_ZP_260</t>
        </is>
      </c>
      <c r="B261" t="inlineStr">
        <is>
          <t>Z1-R</t>
        </is>
      </c>
      <c r="C261" t="inlineStr">
        <is>
          <t>B</t>
        </is>
      </c>
      <c r="D261" t="inlineStr">
        <is>
          <t>px_usd_glm45_cache</t>
        </is>
      </c>
      <c r="E261" t="inlineStr">
        <is>
          <t>GLM-4.5 國際站牌價（快取命中輸入）</t>
        </is>
      </c>
      <c r="F261" t="inlineStr">
        <is>
          <t>2026-10（現行）</t>
        </is>
      </c>
      <c r="G261" t="n">
        <v>0.11</v>
      </c>
      <c r="J261" t="inlineStr">
        <is>
          <t>USD／百萬 token</t>
        </is>
      </c>
      <c r="K261" t="inlineStr">
        <is>
          <t>Verified</t>
        </is>
      </c>
      <c r="N261" t="inlineStr">
        <is>
          <t>Z.ai 開發者文件 Pricing 頁（國際站官方牌價）</t>
        </is>
      </c>
      <c r="O261" t="inlineStr">
        <is>
          <t>https://docs.z.ai/guides/overview/pricing.md</t>
        </is>
      </c>
      <c r="P261" t="inlineStr">
        <is>
          <t>2026-10-08</t>
        </is>
      </c>
      <c r="Q261" t="inlineStr">
        <is>
          <t>官方表列 GLM-4.5：Input $0.6／Cached Input $0.11／Output $2.2；快取儲存「Limited-time free」；無長度分段</t>
        </is>
      </c>
    </row>
    <row r="262">
      <c r="A262" t="inlineStr">
        <is>
          <t>SRC_ZP_261</t>
        </is>
      </c>
      <c r="B262" t="inlineStr">
        <is>
          <t>Z1-R</t>
        </is>
      </c>
      <c r="C262" t="inlineStr">
        <is>
          <t>B</t>
        </is>
      </c>
      <c r="D262" t="inlineStr">
        <is>
          <t>px_usd_glm45_out</t>
        </is>
      </c>
      <c r="E262" t="inlineStr">
        <is>
          <t>GLM-4.5 國際站牌價（輸出）</t>
        </is>
      </c>
      <c r="F262" t="inlineStr">
        <is>
          <t>2026-10（現行）</t>
        </is>
      </c>
      <c r="G262" t="n">
        <v>2.2</v>
      </c>
      <c r="J262" t="inlineStr">
        <is>
          <t>USD／百萬 token</t>
        </is>
      </c>
      <c r="K262" t="inlineStr">
        <is>
          <t>Verified</t>
        </is>
      </c>
      <c r="N262" t="inlineStr">
        <is>
          <t>Z.ai 開發者文件 Pricing 頁（國際站官方牌價）</t>
        </is>
      </c>
      <c r="O262" t="inlineStr">
        <is>
          <t>https://docs.z.ai/guides/overview/pricing.md</t>
        </is>
      </c>
      <c r="P262" t="inlineStr">
        <is>
          <t>2026-10-08</t>
        </is>
      </c>
      <c r="Q262" t="inlineStr">
        <is>
          <t>官方表列 GLM-4.5：Input $0.6／Cached Input $0.11／Output $2.2；快取儲存「Limited-time free」；無長度分段</t>
        </is>
      </c>
    </row>
    <row r="263">
      <c r="A263" t="inlineStr">
        <is>
          <t>SRC_ZP_262</t>
        </is>
      </c>
      <c r="B263" t="inlineStr">
        <is>
          <t>Z1-R</t>
        </is>
      </c>
      <c r="C263" t="inlineStr">
        <is>
          <t>B</t>
        </is>
      </c>
      <c r="D263" t="inlineStr">
        <is>
          <t>px_usd_glm45x_in</t>
        </is>
      </c>
      <c r="E263" t="inlineStr">
        <is>
          <t>GLM-4.5-X 國際站牌價（輸入）</t>
        </is>
      </c>
      <c r="F263" t="inlineStr">
        <is>
          <t>2026-10（現行）</t>
        </is>
      </c>
      <c r="G263" t="n">
        <v>2.2</v>
      </c>
      <c r="J263" t="inlineStr">
        <is>
          <t>USD／百萬 token</t>
        </is>
      </c>
      <c r="K263" t="inlineStr">
        <is>
          <t>Verified</t>
        </is>
      </c>
      <c r="N263" t="inlineStr">
        <is>
          <t>Z.ai 開發者文件 Pricing 頁（國際站官方牌價）</t>
        </is>
      </c>
      <c r="O263" t="inlineStr">
        <is>
          <t>https://docs.z.ai/guides/overview/pricing.md</t>
        </is>
      </c>
      <c r="P263" t="inlineStr">
        <is>
          <t>2026-10-08</t>
        </is>
      </c>
      <c r="Q263" t="inlineStr">
        <is>
          <t>官方表列 GLM-4.5-X：Input $2.2／Cached Input $0.45／Output $8.9；快取儲存「Limited-time free」；無長度分段</t>
        </is>
      </c>
    </row>
    <row r="264">
      <c r="A264" t="inlineStr">
        <is>
          <t>SRC_ZP_263</t>
        </is>
      </c>
      <c r="B264" t="inlineStr">
        <is>
          <t>Z1-R</t>
        </is>
      </c>
      <c r="C264" t="inlineStr">
        <is>
          <t>B</t>
        </is>
      </c>
      <c r="D264" t="inlineStr">
        <is>
          <t>px_usd_glm45x_cache</t>
        </is>
      </c>
      <c r="E264" t="inlineStr">
        <is>
          <t>GLM-4.5-X 國際站牌價（快取命中輸入）</t>
        </is>
      </c>
      <c r="F264" t="inlineStr">
        <is>
          <t>2026-10（現行）</t>
        </is>
      </c>
      <c r="G264" t="n">
        <v>0.45</v>
      </c>
      <c r="J264" t="inlineStr">
        <is>
          <t>USD／百萬 token</t>
        </is>
      </c>
      <c r="K264" t="inlineStr">
        <is>
          <t>Verified</t>
        </is>
      </c>
      <c r="N264" t="inlineStr">
        <is>
          <t>Z.ai 開發者文件 Pricing 頁（國際站官方牌價）</t>
        </is>
      </c>
      <c r="O264" t="inlineStr">
        <is>
          <t>https://docs.z.ai/guides/overview/pricing.md</t>
        </is>
      </c>
      <c r="P264" t="inlineStr">
        <is>
          <t>2026-10-08</t>
        </is>
      </c>
      <c r="Q264" t="inlineStr">
        <is>
          <t>官方表列 GLM-4.5-X：Input $2.2／Cached Input $0.45／Output $8.9；快取儲存「Limited-time free」；無長度分段</t>
        </is>
      </c>
    </row>
    <row r="265">
      <c r="A265" t="inlineStr">
        <is>
          <t>SRC_ZP_264</t>
        </is>
      </c>
      <c r="B265" t="inlineStr">
        <is>
          <t>Z1-R</t>
        </is>
      </c>
      <c r="C265" t="inlineStr">
        <is>
          <t>B</t>
        </is>
      </c>
      <c r="D265" t="inlineStr">
        <is>
          <t>px_usd_glm45x_out</t>
        </is>
      </c>
      <c r="E265" t="inlineStr">
        <is>
          <t>GLM-4.5-X 國際站牌價（輸出）</t>
        </is>
      </c>
      <c r="F265" t="inlineStr">
        <is>
          <t>2026-10（現行）</t>
        </is>
      </c>
      <c r="G265" t="n">
        <v>8.9</v>
      </c>
      <c r="J265" t="inlineStr">
        <is>
          <t>USD／百萬 token</t>
        </is>
      </c>
      <c r="K265" t="inlineStr">
        <is>
          <t>Verified</t>
        </is>
      </c>
      <c r="N265" t="inlineStr">
        <is>
          <t>Z.ai 開發者文件 Pricing 頁（國際站官方牌價）</t>
        </is>
      </c>
      <c r="O265" t="inlineStr">
        <is>
          <t>https://docs.z.ai/guides/overview/pricing.md</t>
        </is>
      </c>
      <c r="P265" t="inlineStr">
        <is>
          <t>2026-10-08</t>
        </is>
      </c>
      <c r="Q265" t="inlineStr">
        <is>
          <t>官方表列 GLM-4.5-X：Input $2.2／Cached Input $0.45／Output $8.9；快取儲存「Limited-time free」；無長度分段</t>
        </is>
      </c>
    </row>
    <row r="266">
      <c r="A266" t="inlineStr">
        <is>
          <t>SRC_ZP_265</t>
        </is>
      </c>
      <c r="B266" t="inlineStr">
        <is>
          <t>Z1-R</t>
        </is>
      </c>
      <c r="C266" t="inlineStr">
        <is>
          <t>B</t>
        </is>
      </c>
      <c r="D266" t="inlineStr">
        <is>
          <t>px_usd_glm45air_in</t>
        </is>
      </c>
      <c r="E266" t="inlineStr">
        <is>
          <t>GLM-4.5-Air 國際站牌價（輸入）</t>
        </is>
      </c>
      <c r="F266" t="inlineStr">
        <is>
          <t>2026-10（現行）</t>
        </is>
      </c>
      <c r="G266" t="n">
        <v>0.2</v>
      </c>
      <c r="J266" t="inlineStr">
        <is>
          <t>USD／百萬 token</t>
        </is>
      </c>
      <c r="K266" t="inlineStr">
        <is>
          <t>Verified</t>
        </is>
      </c>
      <c r="N266" t="inlineStr">
        <is>
          <t>Z.ai 開發者文件 Pricing 頁（國際站官方牌價）</t>
        </is>
      </c>
      <c r="O266" t="inlineStr">
        <is>
          <t>https://docs.z.ai/guides/overview/pricing.md</t>
        </is>
      </c>
      <c r="P266" t="inlineStr">
        <is>
          <t>2026-10-08</t>
        </is>
      </c>
      <c r="Q266" t="inlineStr">
        <is>
          <t>官方表列 GLM-4.5-Air：Input $0.2／Cached Input $0.03／Output $1.1；快取儲存「Limited-time free」；無長度分段</t>
        </is>
      </c>
    </row>
    <row r="267">
      <c r="A267" t="inlineStr">
        <is>
          <t>SRC_ZP_266</t>
        </is>
      </c>
      <c r="B267" t="inlineStr">
        <is>
          <t>Z1-R</t>
        </is>
      </c>
      <c r="C267" t="inlineStr">
        <is>
          <t>B</t>
        </is>
      </c>
      <c r="D267" t="inlineStr">
        <is>
          <t>px_usd_glm45air_cache</t>
        </is>
      </c>
      <c r="E267" t="inlineStr">
        <is>
          <t>GLM-4.5-Air 國際站牌價（快取命中輸入）</t>
        </is>
      </c>
      <c r="F267" t="inlineStr">
        <is>
          <t>2026-10（現行）</t>
        </is>
      </c>
      <c r="G267" t="n">
        <v>0.03</v>
      </c>
      <c r="J267" t="inlineStr">
        <is>
          <t>USD／百萬 token</t>
        </is>
      </c>
      <c r="K267" t="inlineStr">
        <is>
          <t>Verified</t>
        </is>
      </c>
      <c r="N267" t="inlineStr">
        <is>
          <t>Z.ai 開發者文件 Pricing 頁（國際站官方牌價）</t>
        </is>
      </c>
      <c r="O267" t="inlineStr">
        <is>
          <t>https://docs.z.ai/guides/overview/pricing.md</t>
        </is>
      </c>
      <c r="P267" t="inlineStr">
        <is>
          <t>2026-10-08</t>
        </is>
      </c>
      <c r="Q267" t="inlineStr">
        <is>
          <t>官方表列 GLM-4.5-Air：Input $0.2／Cached Input $0.03／Output $1.1；快取儲存「Limited-time free」；無長度分段</t>
        </is>
      </c>
    </row>
    <row r="268">
      <c r="A268" t="inlineStr">
        <is>
          <t>SRC_ZP_267</t>
        </is>
      </c>
      <c r="B268" t="inlineStr">
        <is>
          <t>Z1-R</t>
        </is>
      </c>
      <c r="C268" t="inlineStr">
        <is>
          <t>B</t>
        </is>
      </c>
      <c r="D268" t="inlineStr">
        <is>
          <t>px_usd_glm45air_out</t>
        </is>
      </c>
      <c r="E268" t="inlineStr">
        <is>
          <t>GLM-4.5-Air 國際站牌價（輸出）</t>
        </is>
      </c>
      <c r="F268" t="inlineStr">
        <is>
          <t>2026-10（現行）</t>
        </is>
      </c>
      <c r="G268" t="n">
        <v>1.1</v>
      </c>
      <c r="J268" t="inlineStr">
        <is>
          <t>USD／百萬 token</t>
        </is>
      </c>
      <c r="K268" t="inlineStr">
        <is>
          <t>Verified</t>
        </is>
      </c>
      <c r="N268" t="inlineStr">
        <is>
          <t>Z.ai 開發者文件 Pricing 頁（國際站官方牌價）</t>
        </is>
      </c>
      <c r="O268" t="inlineStr">
        <is>
          <t>https://docs.z.ai/guides/overview/pricing.md</t>
        </is>
      </c>
      <c r="P268" t="inlineStr">
        <is>
          <t>2026-10-08</t>
        </is>
      </c>
      <c r="Q268" t="inlineStr">
        <is>
          <t>官方表列 GLM-4.5-Air：Input $0.2／Cached Input $0.03／Output $1.1；快取儲存「Limited-time free」；無長度分段</t>
        </is>
      </c>
    </row>
    <row r="269">
      <c r="A269" t="inlineStr">
        <is>
          <t>SRC_ZP_268</t>
        </is>
      </c>
      <c r="B269" t="inlineStr">
        <is>
          <t>Z1-R</t>
        </is>
      </c>
      <c r="C269" t="inlineStr">
        <is>
          <t>B</t>
        </is>
      </c>
      <c r="D269" t="inlineStr">
        <is>
          <t>px_usd_glm45airx_in</t>
        </is>
      </c>
      <c r="E269" t="inlineStr">
        <is>
          <t>GLM-4.5-AirX 國際站牌價（輸入）</t>
        </is>
      </c>
      <c r="F269" t="inlineStr">
        <is>
          <t>2026-10（現行）</t>
        </is>
      </c>
      <c r="G269" t="n">
        <v>1.1</v>
      </c>
      <c r="J269" t="inlineStr">
        <is>
          <t>USD／百萬 token</t>
        </is>
      </c>
      <c r="K269" t="inlineStr">
        <is>
          <t>Verified</t>
        </is>
      </c>
      <c r="N269" t="inlineStr">
        <is>
          <t>Z.ai 開發者文件 Pricing 頁（國際站官方牌價）</t>
        </is>
      </c>
      <c r="O269" t="inlineStr">
        <is>
          <t>https://docs.z.ai/guides/overview/pricing.md</t>
        </is>
      </c>
      <c r="P269" t="inlineStr">
        <is>
          <t>2026-10-08</t>
        </is>
      </c>
      <c r="Q269" t="inlineStr">
        <is>
          <t>官方表列 GLM-4.5-AirX：Input $1.1／Cached Input $0.22／Output $4.5；快取儲存「Limited-time free」；無長度分段</t>
        </is>
      </c>
    </row>
    <row r="270">
      <c r="A270" t="inlineStr">
        <is>
          <t>SRC_ZP_269</t>
        </is>
      </c>
      <c r="B270" t="inlineStr">
        <is>
          <t>Z1-R</t>
        </is>
      </c>
      <c r="C270" t="inlineStr">
        <is>
          <t>B</t>
        </is>
      </c>
      <c r="D270" t="inlineStr">
        <is>
          <t>px_usd_glm45airx_cache</t>
        </is>
      </c>
      <c r="E270" t="inlineStr">
        <is>
          <t>GLM-4.5-AirX 國際站牌價（快取命中輸入）</t>
        </is>
      </c>
      <c r="F270" t="inlineStr">
        <is>
          <t>2026-10（現行）</t>
        </is>
      </c>
      <c r="G270" t="n">
        <v>0.22</v>
      </c>
      <c r="J270" t="inlineStr">
        <is>
          <t>USD／百萬 token</t>
        </is>
      </c>
      <c r="K270" t="inlineStr">
        <is>
          <t>Verified</t>
        </is>
      </c>
      <c r="N270" t="inlineStr">
        <is>
          <t>Z.ai 開發者文件 Pricing 頁（國際站官方牌價）</t>
        </is>
      </c>
      <c r="O270" t="inlineStr">
        <is>
          <t>https://docs.z.ai/guides/overview/pricing.md</t>
        </is>
      </c>
      <c r="P270" t="inlineStr">
        <is>
          <t>2026-10-08</t>
        </is>
      </c>
      <c r="Q270" t="inlineStr">
        <is>
          <t>官方表列 GLM-4.5-AirX：Input $1.1／Cached Input $0.22／Output $4.5；快取儲存「Limited-time free」；無長度分段</t>
        </is>
      </c>
    </row>
    <row r="271">
      <c r="A271" t="inlineStr">
        <is>
          <t>SRC_ZP_270</t>
        </is>
      </c>
      <c r="B271" t="inlineStr">
        <is>
          <t>Z1-R</t>
        </is>
      </c>
      <c r="C271" t="inlineStr">
        <is>
          <t>B</t>
        </is>
      </c>
      <c r="D271" t="inlineStr">
        <is>
          <t>px_usd_glm45airx_out</t>
        </is>
      </c>
      <c r="E271" t="inlineStr">
        <is>
          <t>GLM-4.5-AirX 國際站牌價（輸出）</t>
        </is>
      </c>
      <c r="F271" t="inlineStr">
        <is>
          <t>2026-10（現行）</t>
        </is>
      </c>
      <c r="G271" t="n">
        <v>4.5</v>
      </c>
      <c r="J271" t="inlineStr">
        <is>
          <t>USD／百萬 token</t>
        </is>
      </c>
      <c r="K271" t="inlineStr">
        <is>
          <t>Verified</t>
        </is>
      </c>
      <c r="N271" t="inlineStr">
        <is>
          <t>Z.ai 開發者文件 Pricing 頁（國際站官方牌價）</t>
        </is>
      </c>
      <c r="O271" t="inlineStr">
        <is>
          <t>https://docs.z.ai/guides/overview/pricing.md</t>
        </is>
      </c>
      <c r="P271" t="inlineStr">
        <is>
          <t>2026-10-08</t>
        </is>
      </c>
      <c r="Q271" t="inlineStr">
        <is>
          <t>官方表列 GLM-4.5-AirX：Input $1.1／Cached Input $0.22／Output $4.5；快取儲存「Limited-time free」；無長度分段</t>
        </is>
      </c>
    </row>
    <row r="272">
      <c r="A272" t="inlineStr">
        <is>
          <t>SRC_ZP_271</t>
        </is>
      </c>
      <c r="B272" t="inlineStr">
        <is>
          <t>Z1-R</t>
        </is>
      </c>
      <c r="C272" t="inlineStr">
        <is>
          <t>B</t>
        </is>
      </c>
      <c r="D272" t="inlineStr">
        <is>
          <t>px_usd_glm53flash_in</t>
        </is>
      </c>
      <c r="E272" t="inlineStr">
        <is>
          <t>GLM-5.3-Flash 國際站牌價（輸入）</t>
        </is>
      </c>
      <c r="F272" t="inlineStr">
        <is>
          <t>2026-10（現行）</t>
        </is>
      </c>
      <c r="G272" t="n">
        <v>0.15</v>
      </c>
      <c r="J272" t="inlineStr">
        <is>
          <t>USD／百萬 token</t>
        </is>
      </c>
      <c r="K272" t="inlineStr">
        <is>
          <t>Verified</t>
        </is>
      </c>
      <c r="N272" t="inlineStr">
        <is>
          <t>Z.ai 開發者文件 Pricing 頁（國際站官方牌價）</t>
        </is>
      </c>
      <c r="O272" t="inlineStr">
        <is>
          <t>https://docs.z.ai/guides/overview/pricing.md</t>
        </is>
      </c>
      <c r="P272" t="inlineStr">
        <is>
          <t>2026-10-08</t>
        </is>
      </c>
      <c r="Q272" t="inlineStr">
        <is>
          <t>官方表列 GLM-5.3-Flash：Input $0.15／Cached Input $0.03／Output $0.5；快取儲存「Limited-time free」；無長度分段</t>
        </is>
      </c>
    </row>
    <row r="273">
      <c r="A273" t="inlineStr">
        <is>
          <t>SRC_ZP_272</t>
        </is>
      </c>
      <c r="B273" t="inlineStr">
        <is>
          <t>Z1-R</t>
        </is>
      </c>
      <c r="C273" t="inlineStr">
        <is>
          <t>B</t>
        </is>
      </c>
      <c r="D273" t="inlineStr">
        <is>
          <t>px_usd_glm53flash_cache</t>
        </is>
      </c>
      <c r="E273" t="inlineStr">
        <is>
          <t>GLM-5.3-Flash 國際站牌價（快取命中輸入）</t>
        </is>
      </c>
      <c r="F273" t="inlineStr">
        <is>
          <t>2026-10（現行）</t>
        </is>
      </c>
      <c r="G273" t="n">
        <v>0.03</v>
      </c>
      <c r="J273" t="inlineStr">
        <is>
          <t>USD／百萬 token</t>
        </is>
      </c>
      <c r="K273" t="inlineStr">
        <is>
          <t>Verified</t>
        </is>
      </c>
      <c r="N273" t="inlineStr">
        <is>
          <t>Z.ai 開發者文件 Pricing 頁（國際站官方牌價）</t>
        </is>
      </c>
      <c r="O273" t="inlineStr">
        <is>
          <t>https://docs.z.ai/guides/overview/pricing.md</t>
        </is>
      </c>
      <c r="P273" t="inlineStr">
        <is>
          <t>2026-10-08</t>
        </is>
      </c>
      <c r="Q273" t="inlineStr">
        <is>
          <t>官方表列 GLM-5.3-Flash：Input $0.15／Cached Input $0.03／Output $0.5；快取儲存「Limited-time free」；無長度分段</t>
        </is>
      </c>
    </row>
    <row r="274">
      <c r="A274" t="inlineStr">
        <is>
          <t>SRC_ZP_273</t>
        </is>
      </c>
      <c r="B274" t="inlineStr">
        <is>
          <t>Z1-R</t>
        </is>
      </c>
      <c r="C274" t="inlineStr">
        <is>
          <t>B</t>
        </is>
      </c>
      <c r="D274" t="inlineStr">
        <is>
          <t>px_usd_glm53flash_out</t>
        </is>
      </c>
      <c r="E274" t="inlineStr">
        <is>
          <t>GLM-5.3-Flash 國際站牌價（輸出）</t>
        </is>
      </c>
      <c r="F274" t="inlineStr">
        <is>
          <t>2026-10（現行）</t>
        </is>
      </c>
      <c r="G274" t="n">
        <v>0.5</v>
      </c>
      <c r="J274" t="inlineStr">
        <is>
          <t>USD／百萬 token</t>
        </is>
      </c>
      <c r="K274" t="inlineStr">
        <is>
          <t>Verified</t>
        </is>
      </c>
      <c r="N274" t="inlineStr">
        <is>
          <t>Z.ai 開發者文件 Pricing 頁（國際站官方牌價）</t>
        </is>
      </c>
      <c r="O274" t="inlineStr">
        <is>
          <t>https://docs.z.ai/guides/overview/pricing.md</t>
        </is>
      </c>
      <c r="P274" t="inlineStr">
        <is>
          <t>2026-10-08</t>
        </is>
      </c>
      <c r="Q274" t="inlineStr">
        <is>
          <t>官方表列 GLM-5.3-Flash：Input $0.15／Cached Input $0.03／Output $0.5；快取儲存「Limited-time free」；無長度分段</t>
        </is>
      </c>
    </row>
    <row r="275">
      <c r="A275" t="inlineStr">
        <is>
          <t>SRC_ZP_274</t>
        </is>
      </c>
      <c r="B275" t="inlineStr">
        <is>
          <t>Z1-R</t>
        </is>
      </c>
      <c r="C275" t="inlineStr">
        <is>
          <t>B</t>
        </is>
      </c>
      <c r="D275" t="inlineStr">
        <is>
          <t>px_usd_glm53flashx_in</t>
        </is>
      </c>
      <c r="E275" t="inlineStr">
        <is>
          <t>GLM-5.3-FlashX 國際站牌價（輸入）</t>
        </is>
      </c>
      <c r="F275" t="inlineStr">
        <is>
          <t>2026-10（現行）</t>
        </is>
      </c>
      <c r="G275" t="n">
        <v>0.37</v>
      </c>
      <c r="J275" t="inlineStr">
        <is>
          <t>USD／百萬 token</t>
        </is>
      </c>
      <c r="K275" t="inlineStr">
        <is>
          <t>Verified</t>
        </is>
      </c>
      <c r="N275" t="inlineStr">
        <is>
          <t>Z.ai 開發者文件 Pricing 頁（國際站官方牌價）</t>
        </is>
      </c>
      <c r="O275" t="inlineStr">
        <is>
          <t>https://docs.z.ai/guides/overview/pricing.md</t>
        </is>
      </c>
      <c r="P275" t="inlineStr">
        <is>
          <t>2026-10-08</t>
        </is>
      </c>
      <c r="Q275" t="inlineStr">
        <is>
          <t>官方表列 GLM-5.3-FlashX：Input $0.37／Cached Input $0.075／Output $1.25；快取儲存「Limited-time free」；無長度分段</t>
        </is>
      </c>
    </row>
    <row r="276">
      <c r="A276" t="inlineStr">
        <is>
          <t>SRC_ZP_275</t>
        </is>
      </c>
      <c r="B276" t="inlineStr">
        <is>
          <t>Z1-R</t>
        </is>
      </c>
      <c r="C276" t="inlineStr">
        <is>
          <t>B</t>
        </is>
      </c>
      <c r="D276" t="inlineStr">
        <is>
          <t>px_usd_glm53flashx_cache</t>
        </is>
      </c>
      <c r="E276" t="inlineStr">
        <is>
          <t>GLM-5.3-FlashX 國際站牌價（快取命中輸入）</t>
        </is>
      </c>
      <c r="F276" t="inlineStr">
        <is>
          <t>2026-10（現行）</t>
        </is>
      </c>
      <c r="G276" t="n">
        <v>0.075</v>
      </c>
      <c r="J276" t="inlineStr">
        <is>
          <t>USD／百萬 token</t>
        </is>
      </c>
      <c r="K276" t="inlineStr">
        <is>
          <t>Verified</t>
        </is>
      </c>
      <c r="N276" t="inlineStr">
        <is>
          <t>Z.ai 開發者文件 Pricing 頁（國際站官方牌價）</t>
        </is>
      </c>
      <c r="O276" t="inlineStr">
        <is>
          <t>https://docs.z.ai/guides/overview/pricing.md</t>
        </is>
      </c>
      <c r="P276" t="inlineStr">
        <is>
          <t>2026-10-08</t>
        </is>
      </c>
      <c r="Q276" t="inlineStr">
        <is>
          <t>官方表列 GLM-5.3-FlashX：Input $0.37／Cached Input $0.075／Output $1.25；快取儲存「Limited-time free」；無長度分段</t>
        </is>
      </c>
    </row>
    <row r="277">
      <c r="A277" t="inlineStr">
        <is>
          <t>SRC_ZP_276</t>
        </is>
      </c>
      <c r="B277" t="inlineStr">
        <is>
          <t>Z1-R</t>
        </is>
      </c>
      <c r="C277" t="inlineStr">
        <is>
          <t>B</t>
        </is>
      </c>
      <c r="D277" t="inlineStr">
        <is>
          <t>px_usd_glm53flashx_out</t>
        </is>
      </c>
      <c r="E277" t="inlineStr">
        <is>
          <t>GLM-5.3-FlashX 國際站牌價（輸出）</t>
        </is>
      </c>
      <c r="F277" t="inlineStr">
        <is>
          <t>2026-10（現行）</t>
        </is>
      </c>
      <c r="G277" t="n">
        <v>1.25</v>
      </c>
      <c r="J277" t="inlineStr">
        <is>
          <t>USD／百萬 token</t>
        </is>
      </c>
      <c r="K277" t="inlineStr">
        <is>
          <t>Verified</t>
        </is>
      </c>
      <c r="N277" t="inlineStr">
        <is>
          <t>Z.ai 開發者文件 Pricing 頁（國際站官方牌價）</t>
        </is>
      </c>
      <c r="O277" t="inlineStr">
        <is>
          <t>https://docs.z.ai/guides/overview/pricing.md</t>
        </is>
      </c>
      <c r="P277" t="inlineStr">
        <is>
          <t>2026-10-08</t>
        </is>
      </c>
      <c r="Q277" t="inlineStr">
        <is>
          <t>官方表列 GLM-5.3-FlashX：Input $0.37／Cached Input $0.075／Output $1.25；快取儲存「Limited-time free」；無長度分段</t>
        </is>
      </c>
    </row>
    <row r="278">
      <c r="A278" t="inlineStr">
        <is>
          <t>SRC_ZP_277</t>
        </is>
      </c>
      <c r="B278" t="inlineStr">
        <is>
          <t>Z1-R</t>
        </is>
      </c>
      <c r="C278" t="inlineStr">
        <is>
          <t>B</t>
        </is>
      </c>
      <c r="D278" t="inlineStr">
        <is>
          <t>px_usd_glm47flashx_in</t>
        </is>
      </c>
      <c r="E278" t="inlineStr">
        <is>
          <t>GLM-4.7-FlashX 國際站牌價（輸入）</t>
        </is>
      </c>
      <c r="F278" t="inlineStr">
        <is>
          <t>2026-10（現行）</t>
        </is>
      </c>
      <c r="G278" t="n">
        <v>0.07000000000000001</v>
      </c>
      <c r="J278" t="inlineStr">
        <is>
          <t>USD／百萬 token</t>
        </is>
      </c>
      <c r="K278" t="inlineStr">
        <is>
          <t>Verified</t>
        </is>
      </c>
      <c r="N278" t="inlineStr">
        <is>
          <t>Z.ai 開發者文件 Pricing 頁（國際站官方牌價）</t>
        </is>
      </c>
      <c r="O278" t="inlineStr">
        <is>
          <t>https://docs.z.ai/guides/overview/pricing.md</t>
        </is>
      </c>
      <c r="P278" t="inlineStr">
        <is>
          <t>2026-10-08</t>
        </is>
      </c>
      <c r="Q278" t="inlineStr">
        <is>
          <t>官方表列 GLM-4.7-FlashX：Input $0.07／Cached Input $0.01／Output $0.4；快取儲存「Limited-time free」；無長度分段</t>
        </is>
      </c>
    </row>
    <row r="279">
      <c r="A279" t="inlineStr">
        <is>
          <t>SRC_ZP_278</t>
        </is>
      </c>
      <c r="B279" t="inlineStr">
        <is>
          <t>Z1-R</t>
        </is>
      </c>
      <c r="C279" t="inlineStr">
        <is>
          <t>B</t>
        </is>
      </c>
      <c r="D279" t="inlineStr">
        <is>
          <t>px_usd_glm47flashx_cache</t>
        </is>
      </c>
      <c r="E279" t="inlineStr">
        <is>
          <t>GLM-4.7-FlashX 國際站牌價（快取命中輸入）</t>
        </is>
      </c>
      <c r="F279" t="inlineStr">
        <is>
          <t>2026-10（現行）</t>
        </is>
      </c>
      <c r="G279" t="n">
        <v>0.01</v>
      </c>
      <c r="J279" t="inlineStr">
        <is>
          <t>USD／百萬 token</t>
        </is>
      </c>
      <c r="K279" t="inlineStr">
        <is>
          <t>Verified</t>
        </is>
      </c>
      <c r="N279" t="inlineStr">
        <is>
          <t>Z.ai 開發者文件 Pricing 頁（國際站官方牌價）</t>
        </is>
      </c>
      <c r="O279" t="inlineStr">
        <is>
          <t>https://docs.z.ai/guides/overview/pricing.md</t>
        </is>
      </c>
      <c r="P279" t="inlineStr">
        <is>
          <t>2026-10-08</t>
        </is>
      </c>
      <c r="Q279" t="inlineStr">
        <is>
          <t>官方表列 GLM-4.7-FlashX：Input $0.07／Cached Input $0.01／Output $0.4；快取儲存「Limited-time free」；無長度分段</t>
        </is>
      </c>
    </row>
    <row r="280">
      <c r="A280" t="inlineStr">
        <is>
          <t>SRC_ZP_279</t>
        </is>
      </c>
      <c r="B280" t="inlineStr">
        <is>
          <t>Z1-R</t>
        </is>
      </c>
      <c r="C280" t="inlineStr">
        <is>
          <t>B</t>
        </is>
      </c>
      <c r="D280" t="inlineStr">
        <is>
          <t>px_usd_glm47flashx_out</t>
        </is>
      </c>
      <c r="E280" t="inlineStr">
        <is>
          <t>GLM-4.7-FlashX 國際站牌價（輸出）</t>
        </is>
      </c>
      <c r="F280" t="inlineStr">
        <is>
          <t>2026-10（現行）</t>
        </is>
      </c>
      <c r="G280" t="n">
        <v>0.4</v>
      </c>
      <c r="J280" t="inlineStr">
        <is>
          <t>USD／百萬 token</t>
        </is>
      </c>
      <c r="K280" t="inlineStr">
        <is>
          <t>Verified</t>
        </is>
      </c>
      <c r="N280" t="inlineStr">
        <is>
          <t>Z.ai 開發者文件 Pricing 頁（國際站官方牌價）</t>
        </is>
      </c>
      <c r="O280" t="inlineStr">
        <is>
          <t>https://docs.z.ai/guides/overview/pricing.md</t>
        </is>
      </c>
      <c r="P280" t="inlineStr">
        <is>
          <t>2026-10-08</t>
        </is>
      </c>
      <c r="Q280" t="inlineStr">
        <is>
          <t>官方表列 GLM-4.7-FlashX：Input $0.07／Cached Input $0.01／Output $0.4；快取儲存「Limited-time free」；無長度分段</t>
        </is>
      </c>
    </row>
    <row r="281">
      <c r="A281" t="inlineStr">
        <is>
          <t>SRC_ZP_280</t>
        </is>
      </c>
      <c r="B281" t="inlineStr">
        <is>
          <t>Z1-R</t>
        </is>
      </c>
      <c r="C281" t="inlineStr">
        <is>
          <t>B</t>
        </is>
      </c>
      <c r="D281" t="inlineStr">
        <is>
          <t>px_usd_free_flash</t>
        </is>
      </c>
      <c r="E281" t="inlineStr">
        <is>
          <t>國際站免費模型</t>
        </is>
      </c>
      <c r="F281" t="inlineStr">
        <is>
          <t>2026-10（現行）</t>
        </is>
      </c>
      <c r="G281" t="n">
        <v>0</v>
      </c>
      <c r="J281" t="inlineStr">
        <is>
          <t>USD／百萬 token</t>
        </is>
      </c>
      <c r="K281" t="inlineStr">
        <is>
          <t>Verified</t>
        </is>
      </c>
      <c r="N281" t="inlineStr">
        <is>
          <t>Z.ai 開發者文件 Pricing 頁（國際站官方牌價）</t>
        </is>
      </c>
      <c r="O281" t="inlineStr">
        <is>
          <t>https://docs.z.ai/guides/overview/pricing.md</t>
        </is>
      </c>
      <c r="P281" t="inlineStr">
        <is>
          <t>2026-10-08</t>
        </is>
      </c>
      <c r="Q281" t="inlineStr">
        <is>
          <t>官方表列 GLM-4.7-Flash、GLM-4.5-Flash、GLM-4.6V-Flash 輸入／輸出皆「Free」</t>
        </is>
      </c>
    </row>
    <row r="282">
      <c r="A282" t="inlineStr">
        <is>
          <t>SRC_ZP_281</t>
        </is>
      </c>
      <c r="B282" t="inlineStr">
        <is>
          <t>Z1-R</t>
        </is>
      </c>
      <c r="C282" t="inlineStr">
        <is>
          <t>B</t>
        </is>
      </c>
      <c r="D282" t="inlineStr">
        <is>
          <t>px_usd_websearch</t>
        </is>
      </c>
      <c r="E282" t="inlineStr">
        <is>
          <t>國際站內建 Web Search 單價</t>
        </is>
      </c>
      <c r="F282" t="inlineStr">
        <is>
          <t>2026-10（現行）</t>
        </is>
      </c>
      <c r="G282" t="n">
        <v>0.01</v>
      </c>
      <c r="J282" t="inlineStr">
        <is>
          <t>USD／次</t>
        </is>
      </c>
      <c r="K282" t="inlineStr">
        <is>
          <t>Verified</t>
        </is>
      </c>
      <c r="N282" t="inlineStr">
        <is>
          <t>Z.ai 開發者文件 Pricing 頁（國際站官方牌價）</t>
        </is>
      </c>
      <c r="O282" t="inlineStr">
        <is>
          <t>https://docs.z.ai/guides/overview/pricing.md</t>
        </is>
      </c>
      <c r="P282" t="inlineStr">
        <is>
          <t>2026-10-08</t>
        </is>
      </c>
      <c r="Q282" t="inlineStr">
        <is>
          <t>官方表列 Web Search $0.01 per use</t>
        </is>
      </c>
    </row>
    <row r="283">
      <c r="A283" t="inlineStr">
        <is>
          <t>SRC_ZP_282</t>
        </is>
      </c>
      <c r="B283" t="inlineStr">
        <is>
          <t>Z1-R</t>
        </is>
      </c>
      <c r="C283" t="inlineStr">
        <is>
          <t>B</t>
        </is>
      </c>
      <c r="D283" t="inlineStr">
        <is>
          <t>px_usd_glm5turbo_in</t>
        </is>
      </c>
      <c r="E283" t="inlineStr">
        <is>
          <t>GLM-5-Turbo 國際站牌價（輸入）</t>
        </is>
      </c>
      <c r="F283" t="inlineStr">
        <is>
          <t>2026-07-22 擷取</t>
        </is>
      </c>
      <c r="G283" t="n">
        <v>1.2</v>
      </c>
      <c r="J283" t="inlineStr">
        <is>
          <t>USD／百萬 token</t>
        </is>
      </c>
      <c r="K283" t="inlineStr">
        <is>
          <t>Verified</t>
        </is>
      </c>
      <c r="N283" t="inlineStr">
        <is>
          <t>UsagePricing〈Zhipu AI 2026-07-22 price change〉（官方 API 文件截圖）</t>
        </is>
      </c>
      <c r="O283" t="inlineStr">
        <is>
          <t>https://usagepricing.com/blueprint/activity/zhipu-ai-2026-07-22-price-change</t>
        </is>
      </c>
      <c r="P283" t="inlineStr">
        <is>
          <t>2026-07-22</t>
        </is>
      </c>
      <c r="Q283" t="inlineStr">
        <is>
          <t>轉錄官方 API 頁截圖：GLM-5-Turbo $1.2 input／$4.0 output；現行 docs.z.ai 定價頁已未列此型號</t>
        </is>
      </c>
    </row>
    <row r="284">
      <c r="A284" t="inlineStr">
        <is>
          <t>SRC_ZP_283</t>
        </is>
      </c>
      <c r="B284" t="inlineStr">
        <is>
          <t>Z1-R</t>
        </is>
      </c>
      <c r="C284" t="inlineStr">
        <is>
          <t>B</t>
        </is>
      </c>
      <c r="D284" t="inlineStr">
        <is>
          <t>px_usd_glm5turbo_out</t>
        </is>
      </c>
      <c r="E284" t="inlineStr">
        <is>
          <t>GLM-5-Turbo 國際站牌價（輸出）</t>
        </is>
      </c>
      <c r="F284" t="inlineStr">
        <is>
          <t>2026-07-22 擷取</t>
        </is>
      </c>
      <c r="G284" t="n">
        <v>4</v>
      </c>
      <c r="J284" t="inlineStr">
        <is>
          <t>USD／百萬 token</t>
        </is>
      </c>
      <c r="K284" t="inlineStr">
        <is>
          <t>Verified</t>
        </is>
      </c>
      <c r="N284" t="inlineStr">
        <is>
          <t>UsagePricing〈Zhipu AI 2026-07-22 price change〉（官方 API 文件截圖）</t>
        </is>
      </c>
      <c r="O284" t="inlineStr">
        <is>
          <t>https://usagepricing.com/blueprint/activity/zhipu-ai-2026-07-22-price-change</t>
        </is>
      </c>
      <c r="P284" t="inlineStr">
        <is>
          <t>2026-07-22</t>
        </is>
      </c>
      <c r="Q284" t="inlineStr">
        <is>
          <t>同上</t>
        </is>
      </c>
    </row>
    <row r="285">
      <c r="A285" t="inlineStr">
        <is>
          <t>SRC_ZP_284</t>
        </is>
      </c>
      <c r="B285" t="inlineStr">
        <is>
          <t>Z1-R</t>
        </is>
      </c>
      <c r="C285" t="inlineStr">
        <is>
          <t>B</t>
        </is>
      </c>
      <c r="D285" t="inlineStr">
        <is>
          <t>px_rmb_glm53_in</t>
        </is>
      </c>
      <c r="E285" t="inlineStr">
        <is>
          <t>GLM-5.3 開放平台牌價（1M 全量（不分段），輸入）</t>
        </is>
      </c>
      <c r="F285" t="inlineStr">
        <is>
          <t>2026-08-09（GLM-5.3 系列 2026-09-28）</t>
        </is>
      </c>
      <c r="G285" t="n">
        <v>8</v>
      </c>
      <c r="J285" t="inlineStr">
        <is>
          <t>RMB 元／百萬 token</t>
        </is>
      </c>
      <c r="K285" t="inlineStr">
        <is>
          <t>Verified</t>
        </is>
      </c>
      <c r="N285" t="inlineStr">
        <is>
          <t>奇連 AI〈GLM API 價格怎麼算〉（轉錄 bigmodel.cn/pricing，資料截至 2026-08-09，09-28 補 GLM-5.3）</t>
        </is>
      </c>
      <c r="O285" t="inlineStr">
        <is>
          <t>https://iqilian.com/learn/glm-api-jifei/</t>
        </is>
      </c>
      <c r="P285" t="inlineStr">
        <is>
          <t>2026-09-28</t>
        </is>
      </c>
      <c r="Q285" t="inlineStr">
        <is>
          <t>轉錄官方表 GLM-5.3 1M 全量（不分段）：輸入 8／快取 2／輸出 28；官方頁需 JS 無法直讀，第三方轉錄</t>
        </is>
      </c>
    </row>
    <row r="286">
      <c r="A286" t="inlineStr">
        <is>
          <t>SRC_ZP_285</t>
        </is>
      </c>
      <c r="B286" t="inlineStr">
        <is>
          <t>Z1-R</t>
        </is>
      </c>
      <c r="C286" t="inlineStr">
        <is>
          <t>B</t>
        </is>
      </c>
      <c r="D286" t="inlineStr">
        <is>
          <t>px_rmb_glm53_cache</t>
        </is>
      </c>
      <c r="E286" t="inlineStr">
        <is>
          <t>GLM-5.3 開放平台牌價（1M 全量（不分段），快取命中）</t>
        </is>
      </c>
      <c r="F286" t="inlineStr">
        <is>
          <t>2026-08-09（GLM-5.3 系列 2026-09-28）</t>
        </is>
      </c>
      <c r="G286" t="n">
        <v>2</v>
      </c>
      <c r="J286" t="inlineStr">
        <is>
          <t>RMB 元／百萬 token</t>
        </is>
      </c>
      <c r="K286" t="inlineStr">
        <is>
          <t>Verified</t>
        </is>
      </c>
      <c r="N286" t="inlineStr">
        <is>
          <t>奇連 AI〈GLM API 價格怎麼算〉（轉錄 bigmodel.cn/pricing，資料截至 2026-08-09，09-28 補 GLM-5.3）</t>
        </is>
      </c>
      <c r="O286" t="inlineStr">
        <is>
          <t>https://iqilian.com/learn/glm-api-jifei/</t>
        </is>
      </c>
      <c r="P286" t="inlineStr">
        <is>
          <t>2026-09-28</t>
        </is>
      </c>
      <c r="Q286" t="inlineStr">
        <is>
          <t>轉錄官方表 GLM-5.3 1M 全量（不分段）：輸入 8／快取 2／輸出 28；官方頁需 JS 無法直讀，第三方轉錄</t>
        </is>
      </c>
    </row>
    <row r="287">
      <c r="A287" t="inlineStr">
        <is>
          <t>SRC_ZP_286</t>
        </is>
      </c>
      <c r="B287" t="inlineStr">
        <is>
          <t>Z1-R</t>
        </is>
      </c>
      <c r="C287" t="inlineStr">
        <is>
          <t>B</t>
        </is>
      </c>
      <c r="D287" t="inlineStr">
        <is>
          <t>px_rmb_glm53_out</t>
        </is>
      </c>
      <c r="E287" t="inlineStr">
        <is>
          <t>GLM-5.3 開放平台牌價（1M 全量（不分段），輸出）</t>
        </is>
      </c>
      <c r="F287" t="inlineStr">
        <is>
          <t>2026-08-09（GLM-5.3 系列 2026-09-28）</t>
        </is>
      </c>
      <c r="G287" t="n">
        <v>28</v>
      </c>
      <c r="J287" t="inlineStr">
        <is>
          <t>RMB 元／百萬 token</t>
        </is>
      </c>
      <c r="K287" t="inlineStr">
        <is>
          <t>Verified</t>
        </is>
      </c>
      <c r="N287" t="inlineStr">
        <is>
          <t>奇連 AI〈GLM API 價格怎麼算〉（轉錄 bigmodel.cn/pricing，資料截至 2026-08-09，09-28 補 GLM-5.3）</t>
        </is>
      </c>
      <c r="O287" t="inlineStr">
        <is>
          <t>https://iqilian.com/learn/glm-api-jifei/</t>
        </is>
      </c>
      <c r="P287" t="inlineStr">
        <is>
          <t>2026-09-28</t>
        </is>
      </c>
      <c r="Q287" t="inlineStr">
        <is>
          <t>轉錄官方表 GLM-5.3 1M 全量（不分段）：輸入 8／快取 2／輸出 28；官方頁需 JS 無法直讀，第三方轉錄</t>
        </is>
      </c>
    </row>
    <row r="288">
      <c r="A288" t="inlineStr">
        <is>
          <t>SRC_ZP_287</t>
        </is>
      </c>
      <c r="B288" t="inlineStr">
        <is>
          <t>Z1-R</t>
        </is>
      </c>
      <c r="C288" t="inlineStr">
        <is>
          <t>B</t>
        </is>
      </c>
      <c r="D288" t="inlineStr">
        <is>
          <t>px_rmb_glm52_in</t>
        </is>
      </c>
      <c r="E288" t="inlineStr">
        <is>
          <t>GLM-5.2 開放平台牌價（1M 全量（不分段），輸入）</t>
        </is>
      </c>
      <c r="F288" t="inlineStr">
        <is>
          <t>2026-08-09（GLM-5.3 系列 2026-09-28）</t>
        </is>
      </c>
      <c r="G288" t="n">
        <v>8</v>
      </c>
      <c r="J288" t="inlineStr">
        <is>
          <t>RMB 元／百萬 token</t>
        </is>
      </c>
      <c r="K288" t="inlineStr">
        <is>
          <t>Verified</t>
        </is>
      </c>
      <c r="N288" t="inlineStr">
        <is>
          <t>奇連 AI〈GLM API 價格怎麼算〉（轉錄 bigmodel.cn/pricing，資料截至 2026-08-09，09-28 補 GLM-5.3）</t>
        </is>
      </c>
      <c r="O288" t="inlineStr">
        <is>
          <t>https://iqilian.com/learn/glm-api-jifei/</t>
        </is>
      </c>
      <c r="P288" t="inlineStr">
        <is>
          <t>2026-09-28</t>
        </is>
      </c>
      <c r="Q288" t="inlineStr">
        <is>
          <t>轉錄官方表 GLM-5.2 1M 全量（不分段）：輸入 8／快取 2／輸出 28；官方頁需 JS 無法直讀，第三方轉錄</t>
        </is>
      </c>
    </row>
    <row r="289">
      <c r="A289" t="inlineStr">
        <is>
          <t>SRC_ZP_288</t>
        </is>
      </c>
      <c r="B289" t="inlineStr">
        <is>
          <t>Z1-R</t>
        </is>
      </c>
      <c r="C289" t="inlineStr">
        <is>
          <t>B</t>
        </is>
      </c>
      <c r="D289" t="inlineStr">
        <is>
          <t>px_rmb_glm52_cache</t>
        </is>
      </c>
      <c r="E289" t="inlineStr">
        <is>
          <t>GLM-5.2 開放平台牌價（1M 全量（不分段），快取命中）</t>
        </is>
      </c>
      <c r="F289" t="inlineStr">
        <is>
          <t>2026-08-09（GLM-5.3 系列 2026-09-28）</t>
        </is>
      </c>
      <c r="G289" t="n">
        <v>2</v>
      </c>
      <c r="J289" t="inlineStr">
        <is>
          <t>RMB 元／百萬 token</t>
        </is>
      </c>
      <c r="K289" t="inlineStr">
        <is>
          <t>Verified</t>
        </is>
      </c>
      <c r="N289" t="inlineStr">
        <is>
          <t>奇連 AI〈GLM API 價格怎麼算〉（轉錄 bigmodel.cn/pricing，資料截至 2026-08-09，09-28 補 GLM-5.3）</t>
        </is>
      </c>
      <c r="O289" t="inlineStr">
        <is>
          <t>https://iqilian.com/learn/glm-api-jifei/</t>
        </is>
      </c>
      <c r="P289" t="inlineStr">
        <is>
          <t>2026-09-28</t>
        </is>
      </c>
      <c r="Q289" t="inlineStr">
        <is>
          <t>轉錄官方表 GLM-5.2 1M 全量（不分段）：輸入 8／快取 2／輸出 28；官方頁需 JS 無法直讀，第三方轉錄</t>
        </is>
      </c>
    </row>
    <row r="290">
      <c r="A290" t="inlineStr">
        <is>
          <t>SRC_ZP_289</t>
        </is>
      </c>
      <c r="B290" t="inlineStr">
        <is>
          <t>Z1-R</t>
        </is>
      </c>
      <c r="C290" t="inlineStr">
        <is>
          <t>B</t>
        </is>
      </c>
      <c r="D290" t="inlineStr">
        <is>
          <t>px_rmb_glm52_out</t>
        </is>
      </c>
      <c r="E290" t="inlineStr">
        <is>
          <t>GLM-5.2 開放平台牌價（1M 全量（不分段），輸出）</t>
        </is>
      </c>
      <c r="F290" t="inlineStr">
        <is>
          <t>2026-08-09（GLM-5.3 系列 2026-09-28）</t>
        </is>
      </c>
      <c r="G290" t="n">
        <v>28</v>
      </c>
      <c r="J290" t="inlineStr">
        <is>
          <t>RMB 元／百萬 token</t>
        </is>
      </c>
      <c r="K290" t="inlineStr">
        <is>
          <t>Verified</t>
        </is>
      </c>
      <c r="N290" t="inlineStr">
        <is>
          <t>奇連 AI〈GLM API 價格怎麼算〉（轉錄 bigmodel.cn/pricing，資料截至 2026-08-09，09-28 補 GLM-5.3）</t>
        </is>
      </c>
      <c r="O290" t="inlineStr">
        <is>
          <t>https://iqilian.com/learn/glm-api-jifei/</t>
        </is>
      </c>
      <c r="P290" t="inlineStr">
        <is>
          <t>2026-09-28</t>
        </is>
      </c>
      <c r="Q290" t="inlineStr">
        <is>
          <t>轉錄官方表 GLM-5.2 1M 全量（不分段）：輸入 8／快取 2／輸出 28；官方頁需 JS 無法直讀，第三方轉錄</t>
        </is>
      </c>
    </row>
    <row r="291">
      <c r="A291" t="inlineStr">
        <is>
          <t>SRC_ZP_290</t>
        </is>
      </c>
      <c r="B291" t="inlineStr">
        <is>
          <t>Z1-R</t>
        </is>
      </c>
      <c r="C291" t="inlineStr">
        <is>
          <t>B</t>
        </is>
      </c>
      <c r="D291" t="inlineStr">
        <is>
          <t>px_rmb_glm51_lt32k_in</t>
        </is>
      </c>
      <c r="E291" t="inlineStr">
        <is>
          <t>GLM-5.1 開放平台牌價（輸入 &lt;32K，輸入）</t>
        </is>
      </c>
      <c r="F291" t="inlineStr">
        <is>
          <t>2026-08-09（GLM-5.3 系列 2026-09-28）</t>
        </is>
      </c>
      <c r="G291" t="n">
        <v>6</v>
      </c>
      <c r="J291" t="inlineStr">
        <is>
          <t>RMB 元／百萬 token</t>
        </is>
      </c>
      <c r="K291" t="inlineStr">
        <is>
          <t>Verified</t>
        </is>
      </c>
      <c r="N291" t="inlineStr">
        <is>
          <t>奇連 AI〈GLM API 價格怎麼算〉（轉錄 bigmodel.cn/pricing，資料截至 2026-08-09，09-28 補 GLM-5.3）</t>
        </is>
      </c>
      <c r="O291" t="inlineStr">
        <is>
          <t>https://iqilian.com/learn/glm-api-jifei/</t>
        </is>
      </c>
      <c r="P291" t="inlineStr">
        <is>
          <t>2026-09-28</t>
        </is>
      </c>
      <c r="Q291" t="inlineStr">
        <is>
          <t>轉錄官方表 GLM-5.1 輸入 &lt;32K：輸入 6／快取 1.3／輸出 24；官方頁需 JS 無法直讀，第三方轉錄</t>
        </is>
      </c>
    </row>
    <row r="292">
      <c r="A292" t="inlineStr">
        <is>
          <t>SRC_ZP_291</t>
        </is>
      </c>
      <c r="B292" t="inlineStr">
        <is>
          <t>Z1-R</t>
        </is>
      </c>
      <c r="C292" t="inlineStr">
        <is>
          <t>B</t>
        </is>
      </c>
      <c r="D292" t="inlineStr">
        <is>
          <t>px_rmb_glm51_lt32k_cache</t>
        </is>
      </c>
      <c r="E292" t="inlineStr">
        <is>
          <t>GLM-5.1 開放平台牌價（輸入 &lt;32K，快取命中）</t>
        </is>
      </c>
      <c r="F292" t="inlineStr">
        <is>
          <t>2026-08-09（GLM-5.3 系列 2026-09-28）</t>
        </is>
      </c>
      <c r="G292" t="n">
        <v>1.3</v>
      </c>
      <c r="J292" t="inlineStr">
        <is>
          <t>RMB 元／百萬 token</t>
        </is>
      </c>
      <c r="K292" t="inlineStr">
        <is>
          <t>Verified</t>
        </is>
      </c>
      <c r="N292" t="inlineStr">
        <is>
          <t>奇連 AI〈GLM API 價格怎麼算〉（轉錄 bigmodel.cn/pricing，資料截至 2026-08-09，09-28 補 GLM-5.3）</t>
        </is>
      </c>
      <c r="O292" t="inlineStr">
        <is>
          <t>https://iqilian.com/learn/glm-api-jifei/</t>
        </is>
      </c>
      <c r="P292" t="inlineStr">
        <is>
          <t>2026-09-28</t>
        </is>
      </c>
      <c r="Q292" t="inlineStr">
        <is>
          <t>轉錄官方表 GLM-5.1 輸入 &lt;32K：輸入 6／快取 1.3／輸出 24；官方頁需 JS 無法直讀，第三方轉錄</t>
        </is>
      </c>
    </row>
    <row r="293">
      <c r="A293" t="inlineStr">
        <is>
          <t>SRC_ZP_292</t>
        </is>
      </c>
      <c r="B293" t="inlineStr">
        <is>
          <t>Z1-R</t>
        </is>
      </c>
      <c r="C293" t="inlineStr">
        <is>
          <t>B</t>
        </is>
      </c>
      <c r="D293" t="inlineStr">
        <is>
          <t>px_rmb_glm51_lt32k_out</t>
        </is>
      </c>
      <c r="E293" t="inlineStr">
        <is>
          <t>GLM-5.1 開放平台牌價（輸入 &lt;32K，輸出）</t>
        </is>
      </c>
      <c r="F293" t="inlineStr">
        <is>
          <t>2026-08-09（GLM-5.3 系列 2026-09-28）</t>
        </is>
      </c>
      <c r="G293" t="n">
        <v>24</v>
      </c>
      <c r="J293" t="inlineStr">
        <is>
          <t>RMB 元／百萬 token</t>
        </is>
      </c>
      <c r="K293" t="inlineStr">
        <is>
          <t>Verified</t>
        </is>
      </c>
      <c r="N293" t="inlineStr">
        <is>
          <t>奇連 AI〈GLM API 價格怎麼算〉（轉錄 bigmodel.cn/pricing，資料截至 2026-08-09，09-28 補 GLM-5.3）</t>
        </is>
      </c>
      <c r="O293" t="inlineStr">
        <is>
          <t>https://iqilian.com/learn/glm-api-jifei/</t>
        </is>
      </c>
      <c r="P293" t="inlineStr">
        <is>
          <t>2026-09-28</t>
        </is>
      </c>
      <c r="Q293" t="inlineStr">
        <is>
          <t>轉錄官方表 GLM-5.1 輸入 &lt;32K：輸入 6／快取 1.3／輸出 24；官方頁需 JS 無法直讀，第三方轉錄</t>
        </is>
      </c>
    </row>
    <row r="294">
      <c r="A294" t="inlineStr">
        <is>
          <t>SRC_ZP_293</t>
        </is>
      </c>
      <c r="B294" t="inlineStr">
        <is>
          <t>Z1-R</t>
        </is>
      </c>
      <c r="C294" t="inlineStr">
        <is>
          <t>B</t>
        </is>
      </c>
      <c r="D294" t="inlineStr">
        <is>
          <t>px_rmb_glm51_ge32k_in</t>
        </is>
      </c>
      <c r="E294" t="inlineStr">
        <is>
          <t>GLM-5.1 開放平台牌價（輸入 ≥32K，輸入）</t>
        </is>
      </c>
      <c r="F294" t="inlineStr">
        <is>
          <t>2026-08-09（GLM-5.3 系列 2026-09-28）</t>
        </is>
      </c>
      <c r="G294" t="n">
        <v>8</v>
      </c>
      <c r="J294" t="inlineStr">
        <is>
          <t>RMB 元／百萬 token</t>
        </is>
      </c>
      <c r="K294" t="inlineStr">
        <is>
          <t>Verified</t>
        </is>
      </c>
      <c r="N294" t="inlineStr">
        <is>
          <t>奇連 AI〈GLM API 價格怎麼算〉（轉錄 bigmodel.cn/pricing，資料截至 2026-08-09，09-28 補 GLM-5.3）</t>
        </is>
      </c>
      <c r="O294" t="inlineStr">
        <is>
          <t>https://iqilian.com/learn/glm-api-jifei/</t>
        </is>
      </c>
      <c r="P294" t="inlineStr">
        <is>
          <t>2026-09-28</t>
        </is>
      </c>
      <c r="Q294" t="inlineStr">
        <is>
          <t>轉錄官方表 GLM-5.1 輸入 ≥32K：輸入 8／快取 2／輸出 28；官方頁需 JS 無法直讀，第三方轉錄</t>
        </is>
      </c>
    </row>
    <row r="295">
      <c r="A295" t="inlineStr">
        <is>
          <t>SRC_ZP_294</t>
        </is>
      </c>
      <c r="B295" t="inlineStr">
        <is>
          <t>Z1-R</t>
        </is>
      </c>
      <c r="C295" t="inlineStr">
        <is>
          <t>B</t>
        </is>
      </c>
      <c r="D295" t="inlineStr">
        <is>
          <t>px_rmb_glm51_ge32k_cache</t>
        </is>
      </c>
      <c r="E295" t="inlineStr">
        <is>
          <t>GLM-5.1 開放平台牌價（輸入 ≥32K，快取命中）</t>
        </is>
      </c>
      <c r="F295" t="inlineStr">
        <is>
          <t>2026-08-09（GLM-5.3 系列 2026-09-28）</t>
        </is>
      </c>
      <c r="G295" t="n">
        <v>2</v>
      </c>
      <c r="J295" t="inlineStr">
        <is>
          <t>RMB 元／百萬 token</t>
        </is>
      </c>
      <c r="K295" t="inlineStr">
        <is>
          <t>Verified</t>
        </is>
      </c>
      <c r="N295" t="inlineStr">
        <is>
          <t>奇連 AI〈GLM API 價格怎麼算〉（轉錄 bigmodel.cn/pricing，資料截至 2026-08-09，09-28 補 GLM-5.3）</t>
        </is>
      </c>
      <c r="O295" t="inlineStr">
        <is>
          <t>https://iqilian.com/learn/glm-api-jifei/</t>
        </is>
      </c>
      <c r="P295" t="inlineStr">
        <is>
          <t>2026-09-28</t>
        </is>
      </c>
      <c r="Q295" t="inlineStr">
        <is>
          <t>轉錄官方表 GLM-5.1 輸入 ≥32K：輸入 8／快取 2／輸出 28；官方頁需 JS 無法直讀，第三方轉錄</t>
        </is>
      </c>
    </row>
    <row r="296">
      <c r="A296" t="inlineStr">
        <is>
          <t>SRC_ZP_295</t>
        </is>
      </c>
      <c r="B296" t="inlineStr">
        <is>
          <t>Z1-R</t>
        </is>
      </c>
      <c r="C296" t="inlineStr">
        <is>
          <t>B</t>
        </is>
      </c>
      <c r="D296" t="inlineStr">
        <is>
          <t>px_rmb_glm51_ge32k_out</t>
        </is>
      </c>
      <c r="E296" t="inlineStr">
        <is>
          <t>GLM-5.1 開放平台牌價（輸入 ≥32K，輸出）</t>
        </is>
      </c>
      <c r="F296" t="inlineStr">
        <is>
          <t>2026-08-09（GLM-5.3 系列 2026-09-28）</t>
        </is>
      </c>
      <c r="G296" t="n">
        <v>28</v>
      </c>
      <c r="J296" t="inlineStr">
        <is>
          <t>RMB 元／百萬 token</t>
        </is>
      </c>
      <c r="K296" t="inlineStr">
        <is>
          <t>Verified</t>
        </is>
      </c>
      <c r="N296" t="inlineStr">
        <is>
          <t>奇連 AI〈GLM API 價格怎麼算〉（轉錄 bigmodel.cn/pricing，資料截至 2026-08-09，09-28 補 GLM-5.3）</t>
        </is>
      </c>
      <c r="O296" t="inlineStr">
        <is>
          <t>https://iqilian.com/learn/glm-api-jifei/</t>
        </is>
      </c>
      <c r="P296" t="inlineStr">
        <is>
          <t>2026-09-28</t>
        </is>
      </c>
      <c r="Q296" t="inlineStr">
        <is>
          <t>轉錄官方表 GLM-5.1 輸入 ≥32K：輸入 8／快取 2／輸出 28；官方頁需 JS 無法直讀，第三方轉錄</t>
        </is>
      </c>
    </row>
    <row r="297">
      <c r="A297" t="inlineStr">
        <is>
          <t>SRC_ZP_296</t>
        </is>
      </c>
      <c r="B297" t="inlineStr">
        <is>
          <t>Z1-R</t>
        </is>
      </c>
      <c r="C297" t="inlineStr">
        <is>
          <t>B</t>
        </is>
      </c>
      <c r="D297" t="inlineStr">
        <is>
          <t>px_rmb_glm5turbo_lt32k_in</t>
        </is>
      </c>
      <c r="E297" t="inlineStr">
        <is>
          <t>GLM-5-Turbo 開放平台牌價（輸入 &lt;32K，輸入）</t>
        </is>
      </c>
      <c r="F297" t="inlineStr">
        <is>
          <t>2026-08-09（GLM-5.3 系列 2026-09-28）</t>
        </is>
      </c>
      <c r="G297" t="n">
        <v>5</v>
      </c>
      <c r="J297" t="inlineStr">
        <is>
          <t>RMB 元／百萬 token</t>
        </is>
      </c>
      <c r="K297" t="inlineStr">
        <is>
          <t>Verified</t>
        </is>
      </c>
      <c r="N297" t="inlineStr">
        <is>
          <t>奇連 AI〈GLM API 價格怎麼算〉（轉錄 bigmodel.cn/pricing，資料截至 2026-08-09，09-28 補 GLM-5.3）</t>
        </is>
      </c>
      <c r="O297" t="inlineStr">
        <is>
          <t>https://iqilian.com/learn/glm-api-jifei/</t>
        </is>
      </c>
      <c r="P297" t="inlineStr">
        <is>
          <t>2026-09-28</t>
        </is>
      </c>
      <c r="Q297" t="inlineStr">
        <is>
          <t>轉錄官方表 GLM-5-Turbo 輸入 &lt;32K：輸入 5／快取 1.2／輸出 22；官方頁需 JS 無法直讀，第三方轉錄</t>
        </is>
      </c>
    </row>
    <row r="298">
      <c r="A298" t="inlineStr">
        <is>
          <t>SRC_ZP_297</t>
        </is>
      </c>
      <c r="B298" t="inlineStr">
        <is>
          <t>Z1-R</t>
        </is>
      </c>
      <c r="C298" t="inlineStr">
        <is>
          <t>B</t>
        </is>
      </c>
      <c r="D298" t="inlineStr">
        <is>
          <t>px_rmb_glm5turbo_lt32k_cache</t>
        </is>
      </c>
      <c r="E298" t="inlineStr">
        <is>
          <t>GLM-5-Turbo 開放平台牌價（輸入 &lt;32K，快取命中）</t>
        </is>
      </c>
      <c r="F298" t="inlineStr">
        <is>
          <t>2026-08-09（GLM-5.3 系列 2026-09-28）</t>
        </is>
      </c>
      <c r="G298" t="n">
        <v>1.2</v>
      </c>
      <c r="J298" t="inlineStr">
        <is>
          <t>RMB 元／百萬 token</t>
        </is>
      </c>
      <c r="K298" t="inlineStr">
        <is>
          <t>Verified</t>
        </is>
      </c>
      <c r="N298" t="inlineStr">
        <is>
          <t>奇連 AI〈GLM API 價格怎麼算〉（轉錄 bigmodel.cn/pricing，資料截至 2026-08-09，09-28 補 GLM-5.3）</t>
        </is>
      </c>
      <c r="O298" t="inlineStr">
        <is>
          <t>https://iqilian.com/learn/glm-api-jifei/</t>
        </is>
      </c>
      <c r="P298" t="inlineStr">
        <is>
          <t>2026-09-28</t>
        </is>
      </c>
      <c r="Q298" t="inlineStr">
        <is>
          <t>轉錄官方表 GLM-5-Turbo 輸入 &lt;32K：輸入 5／快取 1.2／輸出 22；官方頁需 JS 無法直讀，第三方轉錄</t>
        </is>
      </c>
    </row>
    <row r="299">
      <c r="A299" t="inlineStr">
        <is>
          <t>SRC_ZP_298</t>
        </is>
      </c>
      <c r="B299" t="inlineStr">
        <is>
          <t>Z1-R</t>
        </is>
      </c>
      <c r="C299" t="inlineStr">
        <is>
          <t>B</t>
        </is>
      </c>
      <c r="D299" t="inlineStr">
        <is>
          <t>px_rmb_glm5turbo_lt32k_out</t>
        </is>
      </c>
      <c r="E299" t="inlineStr">
        <is>
          <t>GLM-5-Turbo 開放平台牌價（輸入 &lt;32K，輸出）</t>
        </is>
      </c>
      <c r="F299" t="inlineStr">
        <is>
          <t>2026-08-09（GLM-5.3 系列 2026-09-28）</t>
        </is>
      </c>
      <c r="G299" t="n">
        <v>22</v>
      </c>
      <c r="J299" t="inlineStr">
        <is>
          <t>RMB 元／百萬 token</t>
        </is>
      </c>
      <c r="K299" t="inlineStr">
        <is>
          <t>Verified</t>
        </is>
      </c>
      <c r="N299" t="inlineStr">
        <is>
          <t>奇連 AI〈GLM API 價格怎麼算〉（轉錄 bigmodel.cn/pricing，資料截至 2026-08-09，09-28 補 GLM-5.3）</t>
        </is>
      </c>
      <c r="O299" t="inlineStr">
        <is>
          <t>https://iqilian.com/learn/glm-api-jifei/</t>
        </is>
      </c>
      <c r="P299" t="inlineStr">
        <is>
          <t>2026-09-28</t>
        </is>
      </c>
      <c r="Q299" t="inlineStr">
        <is>
          <t>轉錄官方表 GLM-5-Turbo 輸入 &lt;32K：輸入 5／快取 1.2／輸出 22；官方頁需 JS 無法直讀，第三方轉錄</t>
        </is>
      </c>
    </row>
    <row r="300">
      <c r="A300" t="inlineStr">
        <is>
          <t>SRC_ZP_299</t>
        </is>
      </c>
      <c r="B300" t="inlineStr">
        <is>
          <t>Z1-R</t>
        </is>
      </c>
      <c r="C300" t="inlineStr">
        <is>
          <t>B</t>
        </is>
      </c>
      <c r="D300" t="inlineStr">
        <is>
          <t>px_rmb_glm5turbo_ge32k_in</t>
        </is>
      </c>
      <c r="E300" t="inlineStr">
        <is>
          <t>GLM-5-Turbo 開放平台牌價（輸入 ≥32K，輸入）</t>
        </is>
      </c>
      <c r="F300" t="inlineStr">
        <is>
          <t>2026-08-09（GLM-5.3 系列 2026-09-28）</t>
        </is>
      </c>
      <c r="G300" t="n">
        <v>7</v>
      </c>
      <c r="J300" t="inlineStr">
        <is>
          <t>RMB 元／百萬 token</t>
        </is>
      </c>
      <c r="K300" t="inlineStr">
        <is>
          <t>Verified</t>
        </is>
      </c>
      <c r="N300" t="inlineStr">
        <is>
          <t>奇連 AI〈GLM API 價格怎麼算〉（轉錄 bigmodel.cn/pricing，資料截至 2026-08-09，09-28 補 GLM-5.3）</t>
        </is>
      </c>
      <c r="O300" t="inlineStr">
        <is>
          <t>https://iqilian.com/learn/glm-api-jifei/</t>
        </is>
      </c>
      <c r="P300" t="inlineStr">
        <is>
          <t>2026-09-28</t>
        </is>
      </c>
      <c r="Q300" t="inlineStr">
        <is>
          <t>轉錄官方表 GLM-5-Turbo 輸入 ≥32K：輸入 7／快取 1.8／輸出 26；官方頁需 JS 無法直讀，第三方轉錄</t>
        </is>
      </c>
    </row>
    <row r="301">
      <c r="A301" t="inlineStr">
        <is>
          <t>SRC_ZP_300</t>
        </is>
      </c>
      <c r="B301" t="inlineStr">
        <is>
          <t>Z1-R</t>
        </is>
      </c>
      <c r="C301" t="inlineStr">
        <is>
          <t>B</t>
        </is>
      </c>
      <c r="D301" t="inlineStr">
        <is>
          <t>px_rmb_glm5turbo_ge32k_cache</t>
        </is>
      </c>
      <c r="E301" t="inlineStr">
        <is>
          <t>GLM-5-Turbo 開放平台牌價（輸入 ≥32K，快取命中）</t>
        </is>
      </c>
      <c r="F301" t="inlineStr">
        <is>
          <t>2026-08-09（GLM-5.3 系列 2026-09-28）</t>
        </is>
      </c>
      <c r="G301" t="n">
        <v>1.8</v>
      </c>
      <c r="J301" t="inlineStr">
        <is>
          <t>RMB 元／百萬 token</t>
        </is>
      </c>
      <c r="K301" t="inlineStr">
        <is>
          <t>Verified</t>
        </is>
      </c>
      <c r="N301" t="inlineStr">
        <is>
          <t>奇連 AI〈GLM API 價格怎麼算〉（轉錄 bigmodel.cn/pricing，資料截至 2026-08-09，09-28 補 GLM-5.3）</t>
        </is>
      </c>
      <c r="O301" t="inlineStr">
        <is>
          <t>https://iqilian.com/learn/glm-api-jifei/</t>
        </is>
      </c>
      <c r="P301" t="inlineStr">
        <is>
          <t>2026-09-28</t>
        </is>
      </c>
      <c r="Q301" t="inlineStr">
        <is>
          <t>轉錄官方表 GLM-5-Turbo 輸入 ≥32K：輸入 7／快取 1.8／輸出 26；官方頁需 JS 無法直讀，第三方轉錄</t>
        </is>
      </c>
    </row>
    <row r="302">
      <c r="A302" t="inlineStr">
        <is>
          <t>SRC_ZP_301</t>
        </is>
      </c>
      <c r="B302" t="inlineStr">
        <is>
          <t>Z1-R</t>
        </is>
      </c>
      <c r="C302" t="inlineStr">
        <is>
          <t>B</t>
        </is>
      </c>
      <c r="D302" t="inlineStr">
        <is>
          <t>px_rmb_glm5turbo_ge32k_out</t>
        </is>
      </c>
      <c r="E302" t="inlineStr">
        <is>
          <t>GLM-5-Turbo 開放平台牌價（輸入 ≥32K，輸出）</t>
        </is>
      </c>
      <c r="F302" t="inlineStr">
        <is>
          <t>2026-08-09（GLM-5.3 系列 2026-09-28）</t>
        </is>
      </c>
      <c r="G302" t="n">
        <v>26</v>
      </c>
      <c r="J302" t="inlineStr">
        <is>
          <t>RMB 元／百萬 token</t>
        </is>
      </c>
      <c r="K302" t="inlineStr">
        <is>
          <t>Verified</t>
        </is>
      </c>
      <c r="N302" t="inlineStr">
        <is>
          <t>奇連 AI〈GLM API 價格怎麼算〉（轉錄 bigmodel.cn/pricing，資料截至 2026-08-09，09-28 補 GLM-5.3）</t>
        </is>
      </c>
      <c r="O302" t="inlineStr">
        <is>
          <t>https://iqilian.com/learn/glm-api-jifei/</t>
        </is>
      </c>
      <c r="P302" t="inlineStr">
        <is>
          <t>2026-09-28</t>
        </is>
      </c>
      <c r="Q302" t="inlineStr">
        <is>
          <t>轉錄官方表 GLM-5-Turbo 輸入 ≥32K：輸入 7／快取 1.8／輸出 26；官方頁需 JS 無法直讀，第三方轉錄</t>
        </is>
      </c>
    </row>
    <row r="303">
      <c r="A303" t="inlineStr">
        <is>
          <t>SRC_ZP_302</t>
        </is>
      </c>
      <c r="B303" t="inlineStr">
        <is>
          <t>Z1-R</t>
        </is>
      </c>
      <c r="C303" t="inlineStr">
        <is>
          <t>B</t>
        </is>
      </c>
      <c r="D303" t="inlineStr">
        <is>
          <t>px_rmb_glm5_lt32k_in</t>
        </is>
      </c>
      <c r="E303" t="inlineStr">
        <is>
          <t>GLM-5 開放平台牌價（輸入 &lt;32K，輸入）</t>
        </is>
      </c>
      <c r="F303" t="inlineStr">
        <is>
          <t>2026-08-09（GLM-5.3 系列 2026-09-28）</t>
        </is>
      </c>
      <c r="G303" t="n">
        <v>4</v>
      </c>
      <c r="J303" t="inlineStr">
        <is>
          <t>RMB 元／百萬 token</t>
        </is>
      </c>
      <c r="K303" t="inlineStr">
        <is>
          <t>Verified</t>
        </is>
      </c>
      <c r="N303" t="inlineStr">
        <is>
          <t>奇連 AI〈GLM API 價格怎麼算〉（轉錄 bigmodel.cn/pricing，資料截至 2026-08-09，09-28 補 GLM-5.3）</t>
        </is>
      </c>
      <c r="O303" t="inlineStr">
        <is>
          <t>https://iqilian.com/learn/glm-api-jifei/</t>
        </is>
      </c>
      <c r="P303" t="inlineStr">
        <is>
          <t>2026-09-28</t>
        </is>
      </c>
      <c r="Q303" t="inlineStr">
        <is>
          <t>轉錄官方表 GLM-5 輸入 &lt;32K：輸入 4／快取 1／輸出 18；官方頁需 JS 無法直讀，第三方轉錄</t>
        </is>
      </c>
    </row>
    <row r="304">
      <c r="A304" t="inlineStr">
        <is>
          <t>SRC_ZP_303</t>
        </is>
      </c>
      <c r="B304" t="inlineStr">
        <is>
          <t>Z1-R</t>
        </is>
      </c>
      <c r="C304" t="inlineStr">
        <is>
          <t>B</t>
        </is>
      </c>
      <c r="D304" t="inlineStr">
        <is>
          <t>px_rmb_glm5_lt32k_cache</t>
        </is>
      </c>
      <c r="E304" t="inlineStr">
        <is>
          <t>GLM-5 開放平台牌價（輸入 &lt;32K，快取命中）</t>
        </is>
      </c>
      <c r="F304" t="inlineStr">
        <is>
          <t>2026-08-09（GLM-5.3 系列 2026-09-28）</t>
        </is>
      </c>
      <c r="G304" t="n">
        <v>1</v>
      </c>
      <c r="J304" t="inlineStr">
        <is>
          <t>RMB 元／百萬 token</t>
        </is>
      </c>
      <c r="K304" t="inlineStr">
        <is>
          <t>Verified</t>
        </is>
      </c>
      <c r="N304" t="inlineStr">
        <is>
          <t>奇連 AI〈GLM API 價格怎麼算〉（轉錄 bigmodel.cn/pricing，資料截至 2026-08-09，09-28 補 GLM-5.3）</t>
        </is>
      </c>
      <c r="O304" t="inlineStr">
        <is>
          <t>https://iqilian.com/learn/glm-api-jifei/</t>
        </is>
      </c>
      <c r="P304" t="inlineStr">
        <is>
          <t>2026-09-28</t>
        </is>
      </c>
      <c r="Q304" t="inlineStr">
        <is>
          <t>轉錄官方表 GLM-5 輸入 &lt;32K：輸入 4／快取 1／輸出 18；官方頁需 JS 無法直讀，第三方轉錄</t>
        </is>
      </c>
    </row>
    <row r="305">
      <c r="A305" t="inlineStr">
        <is>
          <t>SRC_ZP_304</t>
        </is>
      </c>
      <c r="B305" t="inlineStr">
        <is>
          <t>Z1-R</t>
        </is>
      </c>
      <c r="C305" t="inlineStr">
        <is>
          <t>B</t>
        </is>
      </c>
      <c r="D305" t="inlineStr">
        <is>
          <t>px_rmb_glm5_lt32k_out</t>
        </is>
      </c>
      <c r="E305" t="inlineStr">
        <is>
          <t>GLM-5 開放平台牌價（輸入 &lt;32K，輸出）</t>
        </is>
      </c>
      <c r="F305" t="inlineStr">
        <is>
          <t>2026-08-09（GLM-5.3 系列 2026-09-28）</t>
        </is>
      </c>
      <c r="G305" t="n">
        <v>18</v>
      </c>
      <c r="J305" t="inlineStr">
        <is>
          <t>RMB 元／百萬 token</t>
        </is>
      </c>
      <c r="K305" t="inlineStr">
        <is>
          <t>Verified</t>
        </is>
      </c>
      <c r="N305" t="inlineStr">
        <is>
          <t>奇連 AI〈GLM API 價格怎麼算〉（轉錄 bigmodel.cn/pricing，資料截至 2026-08-09，09-28 補 GLM-5.3）</t>
        </is>
      </c>
      <c r="O305" t="inlineStr">
        <is>
          <t>https://iqilian.com/learn/glm-api-jifei/</t>
        </is>
      </c>
      <c r="P305" t="inlineStr">
        <is>
          <t>2026-09-28</t>
        </is>
      </c>
      <c r="Q305" t="inlineStr">
        <is>
          <t>轉錄官方表 GLM-5 輸入 &lt;32K：輸入 4／快取 1／輸出 18；官方頁需 JS 無法直讀，第三方轉錄</t>
        </is>
      </c>
    </row>
    <row r="306">
      <c r="A306" t="inlineStr">
        <is>
          <t>SRC_ZP_305</t>
        </is>
      </c>
      <c r="B306" t="inlineStr">
        <is>
          <t>Z1-R</t>
        </is>
      </c>
      <c r="C306" t="inlineStr">
        <is>
          <t>B</t>
        </is>
      </c>
      <c r="D306" t="inlineStr">
        <is>
          <t>px_rmb_glm5_ge32k_in</t>
        </is>
      </c>
      <c r="E306" t="inlineStr">
        <is>
          <t>GLM-5 開放平台牌價（輸入 ≥32K，輸入）</t>
        </is>
      </c>
      <c r="F306" t="inlineStr">
        <is>
          <t>2026-08-09（GLM-5.3 系列 2026-09-28）</t>
        </is>
      </c>
      <c r="G306" t="n">
        <v>6</v>
      </c>
      <c r="J306" t="inlineStr">
        <is>
          <t>RMB 元／百萬 token</t>
        </is>
      </c>
      <c r="K306" t="inlineStr">
        <is>
          <t>Verified</t>
        </is>
      </c>
      <c r="N306" t="inlineStr">
        <is>
          <t>奇連 AI〈GLM API 價格怎麼算〉（轉錄 bigmodel.cn/pricing，資料截至 2026-08-09，09-28 補 GLM-5.3）</t>
        </is>
      </c>
      <c r="O306" t="inlineStr">
        <is>
          <t>https://iqilian.com/learn/glm-api-jifei/</t>
        </is>
      </c>
      <c r="P306" t="inlineStr">
        <is>
          <t>2026-09-28</t>
        </is>
      </c>
      <c r="Q306" t="inlineStr">
        <is>
          <t>轉錄官方表 GLM-5 輸入 ≥32K：輸入 6／快取 1.5／輸出 22；官方頁需 JS 無法直讀，第三方轉錄</t>
        </is>
      </c>
    </row>
    <row r="307">
      <c r="A307" t="inlineStr">
        <is>
          <t>SRC_ZP_306</t>
        </is>
      </c>
      <c r="B307" t="inlineStr">
        <is>
          <t>Z1-R</t>
        </is>
      </c>
      <c r="C307" t="inlineStr">
        <is>
          <t>B</t>
        </is>
      </c>
      <c r="D307" t="inlineStr">
        <is>
          <t>px_rmb_glm5_ge32k_cache</t>
        </is>
      </c>
      <c r="E307" t="inlineStr">
        <is>
          <t>GLM-5 開放平台牌價（輸入 ≥32K，快取命中）</t>
        </is>
      </c>
      <c r="F307" t="inlineStr">
        <is>
          <t>2026-08-09（GLM-5.3 系列 2026-09-28）</t>
        </is>
      </c>
      <c r="G307" t="n">
        <v>1.5</v>
      </c>
      <c r="J307" t="inlineStr">
        <is>
          <t>RMB 元／百萬 token</t>
        </is>
      </c>
      <c r="K307" t="inlineStr">
        <is>
          <t>Verified</t>
        </is>
      </c>
      <c r="N307" t="inlineStr">
        <is>
          <t>奇連 AI〈GLM API 價格怎麼算〉（轉錄 bigmodel.cn/pricing，資料截至 2026-08-09，09-28 補 GLM-5.3）</t>
        </is>
      </c>
      <c r="O307" t="inlineStr">
        <is>
          <t>https://iqilian.com/learn/glm-api-jifei/</t>
        </is>
      </c>
      <c r="P307" t="inlineStr">
        <is>
          <t>2026-09-28</t>
        </is>
      </c>
      <c r="Q307" t="inlineStr">
        <is>
          <t>轉錄官方表 GLM-5 輸入 ≥32K：輸入 6／快取 1.5／輸出 22；官方頁需 JS 無法直讀，第三方轉錄</t>
        </is>
      </c>
    </row>
    <row r="308">
      <c r="A308" t="inlineStr">
        <is>
          <t>SRC_ZP_307</t>
        </is>
      </c>
      <c r="B308" t="inlineStr">
        <is>
          <t>Z1-R</t>
        </is>
      </c>
      <c r="C308" t="inlineStr">
        <is>
          <t>B</t>
        </is>
      </c>
      <c r="D308" t="inlineStr">
        <is>
          <t>px_rmb_glm5_ge32k_out</t>
        </is>
      </c>
      <c r="E308" t="inlineStr">
        <is>
          <t>GLM-5 開放平台牌價（輸入 ≥32K，輸出）</t>
        </is>
      </c>
      <c r="F308" t="inlineStr">
        <is>
          <t>2026-08-09（GLM-5.3 系列 2026-09-28）</t>
        </is>
      </c>
      <c r="G308" t="n">
        <v>22</v>
      </c>
      <c r="J308" t="inlineStr">
        <is>
          <t>RMB 元／百萬 token</t>
        </is>
      </c>
      <c r="K308" t="inlineStr">
        <is>
          <t>Verified</t>
        </is>
      </c>
      <c r="N308" t="inlineStr">
        <is>
          <t>奇連 AI〈GLM API 價格怎麼算〉（轉錄 bigmodel.cn/pricing，資料截至 2026-08-09，09-28 補 GLM-5.3）</t>
        </is>
      </c>
      <c r="O308" t="inlineStr">
        <is>
          <t>https://iqilian.com/learn/glm-api-jifei/</t>
        </is>
      </c>
      <c r="P308" t="inlineStr">
        <is>
          <t>2026-09-28</t>
        </is>
      </c>
      <c r="Q308" t="inlineStr">
        <is>
          <t>轉錄官方表 GLM-5 輸入 ≥32K：輸入 6／快取 1.5／輸出 22；官方頁需 JS 無法直讀，第三方轉錄</t>
        </is>
      </c>
    </row>
    <row r="309">
      <c r="A309" t="inlineStr">
        <is>
          <t>SRC_ZP_308</t>
        </is>
      </c>
      <c r="B309" t="inlineStr">
        <is>
          <t>Z1-R</t>
        </is>
      </c>
      <c r="C309" t="inlineStr">
        <is>
          <t>B</t>
        </is>
      </c>
      <c r="D309" t="inlineStr">
        <is>
          <t>px_rmb_glm47_short_in</t>
        </is>
      </c>
      <c r="E309" t="inlineStr">
        <is>
          <t>GLM-4.7 開放平台牌價（輸入 &lt;32K 且輸出 &lt;0.2K，輸入）</t>
        </is>
      </c>
      <c r="F309" t="inlineStr">
        <is>
          <t>2026-08-09（GLM-5.3 系列 2026-09-28）</t>
        </is>
      </c>
      <c r="G309" t="n">
        <v>2</v>
      </c>
      <c r="J309" t="inlineStr">
        <is>
          <t>RMB 元／百萬 token</t>
        </is>
      </c>
      <c r="K309" t="inlineStr">
        <is>
          <t>Verified</t>
        </is>
      </c>
      <c r="N309" t="inlineStr">
        <is>
          <t>奇連 AI〈GLM API 價格怎麼算〉（轉錄 bigmodel.cn/pricing，資料截至 2026-08-09，09-28 補 GLM-5.3）</t>
        </is>
      </c>
      <c r="O309" t="inlineStr">
        <is>
          <t>https://iqilian.com/learn/glm-api-jifei/</t>
        </is>
      </c>
      <c r="P309" t="inlineStr">
        <is>
          <t>2026-09-28</t>
        </is>
      </c>
      <c r="Q309" t="inlineStr">
        <is>
          <t>轉錄官方表 GLM-4.7 輸入 &lt;32K 且輸出 &lt;0.2K：輸入 2／快取 0.4／輸出 8；官方頁需 JS 無法直讀，第三方轉錄</t>
        </is>
      </c>
    </row>
    <row r="310">
      <c r="A310" t="inlineStr">
        <is>
          <t>SRC_ZP_309</t>
        </is>
      </c>
      <c r="B310" t="inlineStr">
        <is>
          <t>Z1-R</t>
        </is>
      </c>
      <c r="C310" t="inlineStr">
        <is>
          <t>B</t>
        </is>
      </c>
      <c r="D310" t="inlineStr">
        <is>
          <t>px_rmb_glm47_short_cache</t>
        </is>
      </c>
      <c r="E310" t="inlineStr">
        <is>
          <t>GLM-4.7 開放平台牌價（輸入 &lt;32K 且輸出 &lt;0.2K，快取命中）</t>
        </is>
      </c>
      <c r="F310" t="inlineStr">
        <is>
          <t>2026-08-09（GLM-5.3 系列 2026-09-28）</t>
        </is>
      </c>
      <c r="G310" t="n">
        <v>0.4</v>
      </c>
      <c r="J310" t="inlineStr">
        <is>
          <t>RMB 元／百萬 token</t>
        </is>
      </c>
      <c r="K310" t="inlineStr">
        <is>
          <t>Verified</t>
        </is>
      </c>
      <c r="N310" t="inlineStr">
        <is>
          <t>奇連 AI〈GLM API 價格怎麼算〉（轉錄 bigmodel.cn/pricing，資料截至 2026-08-09，09-28 補 GLM-5.3）</t>
        </is>
      </c>
      <c r="O310" t="inlineStr">
        <is>
          <t>https://iqilian.com/learn/glm-api-jifei/</t>
        </is>
      </c>
      <c r="P310" t="inlineStr">
        <is>
          <t>2026-09-28</t>
        </is>
      </c>
      <c r="Q310" t="inlineStr">
        <is>
          <t>轉錄官方表 GLM-4.7 輸入 &lt;32K 且輸出 &lt;0.2K：輸入 2／快取 0.4／輸出 8；官方頁需 JS 無法直讀，第三方轉錄</t>
        </is>
      </c>
    </row>
    <row r="311">
      <c r="A311" t="inlineStr">
        <is>
          <t>SRC_ZP_310</t>
        </is>
      </c>
      <c r="B311" t="inlineStr">
        <is>
          <t>Z1-R</t>
        </is>
      </c>
      <c r="C311" t="inlineStr">
        <is>
          <t>B</t>
        </is>
      </c>
      <c r="D311" t="inlineStr">
        <is>
          <t>px_rmb_glm47_short_out</t>
        </is>
      </c>
      <c r="E311" t="inlineStr">
        <is>
          <t>GLM-4.7 開放平台牌價（輸入 &lt;32K 且輸出 &lt;0.2K，輸出）</t>
        </is>
      </c>
      <c r="F311" t="inlineStr">
        <is>
          <t>2026-08-09（GLM-5.3 系列 2026-09-28）</t>
        </is>
      </c>
      <c r="G311" t="n">
        <v>8</v>
      </c>
      <c r="J311" t="inlineStr">
        <is>
          <t>RMB 元／百萬 token</t>
        </is>
      </c>
      <c r="K311" t="inlineStr">
        <is>
          <t>Verified</t>
        </is>
      </c>
      <c r="N311" t="inlineStr">
        <is>
          <t>奇連 AI〈GLM API 價格怎麼算〉（轉錄 bigmodel.cn/pricing，資料截至 2026-08-09，09-28 補 GLM-5.3）</t>
        </is>
      </c>
      <c r="O311" t="inlineStr">
        <is>
          <t>https://iqilian.com/learn/glm-api-jifei/</t>
        </is>
      </c>
      <c r="P311" t="inlineStr">
        <is>
          <t>2026-09-28</t>
        </is>
      </c>
      <c r="Q311" t="inlineStr">
        <is>
          <t>轉錄官方表 GLM-4.7 輸入 &lt;32K 且輸出 &lt;0.2K：輸入 2／快取 0.4／輸出 8；官方頁需 JS 無法直讀，第三方轉錄</t>
        </is>
      </c>
    </row>
    <row r="312">
      <c r="A312" t="inlineStr">
        <is>
          <t>SRC_ZP_311</t>
        </is>
      </c>
      <c r="B312" t="inlineStr">
        <is>
          <t>Z1-R</t>
        </is>
      </c>
      <c r="C312" t="inlineStr">
        <is>
          <t>B</t>
        </is>
      </c>
      <c r="D312" t="inlineStr">
        <is>
          <t>px_rmb_glm47_long_out_in</t>
        </is>
      </c>
      <c r="E312" t="inlineStr">
        <is>
          <t>GLM-4.7 開放平台牌價（輸入 &lt;32K 且輸出 ≥0.2K，輸入）</t>
        </is>
      </c>
      <c r="F312" t="inlineStr">
        <is>
          <t>2026-08-09（GLM-5.3 系列 2026-09-28）</t>
        </is>
      </c>
      <c r="G312" t="n">
        <v>3</v>
      </c>
      <c r="J312" t="inlineStr">
        <is>
          <t>RMB 元／百萬 token</t>
        </is>
      </c>
      <c r="K312" t="inlineStr">
        <is>
          <t>Verified</t>
        </is>
      </c>
      <c r="N312" t="inlineStr">
        <is>
          <t>奇連 AI〈GLM API 價格怎麼算〉（轉錄 bigmodel.cn/pricing，資料截至 2026-08-09，09-28 補 GLM-5.3）</t>
        </is>
      </c>
      <c r="O312" t="inlineStr">
        <is>
          <t>https://iqilian.com/learn/glm-api-jifei/</t>
        </is>
      </c>
      <c r="P312" t="inlineStr">
        <is>
          <t>2026-09-28</t>
        </is>
      </c>
      <c r="Q312" t="inlineStr">
        <is>
          <t>轉錄官方表 GLM-4.7 輸入 &lt;32K 且輸出 ≥0.2K：輸入 3／快取 0.6／輸出 14；官方頁需 JS 無法直讀，第三方轉錄</t>
        </is>
      </c>
    </row>
    <row r="313">
      <c r="A313" t="inlineStr">
        <is>
          <t>SRC_ZP_312</t>
        </is>
      </c>
      <c r="B313" t="inlineStr">
        <is>
          <t>Z1-R</t>
        </is>
      </c>
      <c r="C313" t="inlineStr">
        <is>
          <t>B</t>
        </is>
      </c>
      <c r="D313" t="inlineStr">
        <is>
          <t>px_rmb_glm47_long_out_cache</t>
        </is>
      </c>
      <c r="E313" t="inlineStr">
        <is>
          <t>GLM-4.7 開放平台牌價（輸入 &lt;32K 且輸出 ≥0.2K，快取命中）</t>
        </is>
      </c>
      <c r="F313" t="inlineStr">
        <is>
          <t>2026-08-09（GLM-5.3 系列 2026-09-28）</t>
        </is>
      </c>
      <c r="G313" t="n">
        <v>0.6</v>
      </c>
      <c r="J313" t="inlineStr">
        <is>
          <t>RMB 元／百萬 token</t>
        </is>
      </c>
      <c r="K313" t="inlineStr">
        <is>
          <t>Verified</t>
        </is>
      </c>
      <c r="N313" t="inlineStr">
        <is>
          <t>奇連 AI〈GLM API 價格怎麼算〉（轉錄 bigmodel.cn/pricing，資料截至 2026-08-09，09-28 補 GLM-5.3）</t>
        </is>
      </c>
      <c r="O313" t="inlineStr">
        <is>
          <t>https://iqilian.com/learn/glm-api-jifei/</t>
        </is>
      </c>
      <c r="P313" t="inlineStr">
        <is>
          <t>2026-09-28</t>
        </is>
      </c>
      <c r="Q313" t="inlineStr">
        <is>
          <t>轉錄官方表 GLM-4.7 輸入 &lt;32K 且輸出 ≥0.2K：輸入 3／快取 0.6／輸出 14；官方頁需 JS 無法直讀，第三方轉錄</t>
        </is>
      </c>
    </row>
    <row r="314">
      <c r="A314" t="inlineStr">
        <is>
          <t>SRC_ZP_313</t>
        </is>
      </c>
      <c r="B314" t="inlineStr">
        <is>
          <t>Z1-R</t>
        </is>
      </c>
      <c r="C314" t="inlineStr">
        <is>
          <t>B</t>
        </is>
      </c>
      <c r="D314" t="inlineStr">
        <is>
          <t>px_rmb_glm47_long_out_out</t>
        </is>
      </c>
      <c r="E314" t="inlineStr">
        <is>
          <t>GLM-4.7 開放平台牌價（輸入 &lt;32K 且輸出 ≥0.2K，輸出）</t>
        </is>
      </c>
      <c r="F314" t="inlineStr">
        <is>
          <t>2026-08-09（GLM-5.3 系列 2026-09-28）</t>
        </is>
      </c>
      <c r="G314" t="n">
        <v>14</v>
      </c>
      <c r="J314" t="inlineStr">
        <is>
          <t>RMB 元／百萬 token</t>
        </is>
      </c>
      <c r="K314" t="inlineStr">
        <is>
          <t>Verified</t>
        </is>
      </c>
      <c r="N314" t="inlineStr">
        <is>
          <t>奇連 AI〈GLM API 價格怎麼算〉（轉錄 bigmodel.cn/pricing，資料截至 2026-08-09，09-28 補 GLM-5.3）</t>
        </is>
      </c>
      <c r="O314" t="inlineStr">
        <is>
          <t>https://iqilian.com/learn/glm-api-jifei/</t>
        </is>
      </c>
      <c r="P314" t="inlineStr">
        <is>
          <t>2026-09-28</t>
        </is>
      </c>
      <c r="Q314" t="inlineStr">
        <is>
          <t>轉錄官方表 GLM-4.7 輸入 &lt;32K 且輸出 ≥0.2K：輸入 3／快取 0.6／輸出 14；官方頁需 JS 無法直讀，第三方轉錄</t>
        </is>
      </c>
    </row>
    <row r="315">
      <c r="A315" t="inlineStr">
        <is>
          <t>SRC_ZP_314</t>
        </is>
      </c>
      <c r="B315" t="inlineStr">
        <is>
          <t>Z1-R</t>
        </is>
      </c>
      <c r="C315" t="inlineStr">
        <is>
          <t>B</t>
        </is>
      </c>
      <c r="D315" t="inlineStr">
        <is>
          <t>px_rmb_glm47_32k200k_in</t>
        </is>
      </c>
      <c r="E315" t="inlineStr">
        <is>
          <t>GLM-4.7 開放平台牌價（輸入 32K–200K，輸入）</t>
        </is>
      </c>
      <c r="F315" t="inlineStr">
        <is>
          <t>2026-08-09（GLM-5.3 系列 2026-09-28）</t>
        </is>
      </c>
      <c r="G315" t="n">
        <v>4</v>
      </c>
      <c r="J315" t="inlineStr">
        <is>
          <t>RMB 元／百萬 token</t>
        </is>
      </c>
      <c r="K315" t="inlineStr">
        <is>
          <t>Verified</t>
        </is>
      </c>
      <c r="N315" t="inlineStr">
        <is>
          <t>奇連 AI〈GLM API 價格怎麼算〉（轉錄 bigmodel.cn/pricing，資料截至 2026-08-09，09-28 補 GLM-5.3）</t>
        </is>
      </c>
      <c r="O315" t="inlineStr">
        <is>
          <t>https://iqilian.com/learn/glm-api-jifei/</t>
        </is>
      </c>
      <c r="P315" t="inlineStr">
        <is>
          <t>2026-09-28</t>
        </is>
      </c>
      <c r="Q315" t="inlineStr">
        <is>
          <t>轉錄官方表 GLM-4.7 輸入 32K–200K：輸入 4／快取 0.8／輸出 16；官方頁需 JS 無法直讀，第三方轉錄</t>
        </is>
      </c>
    </row>
    <row r="316">
      <c r="A316" t="inlineStr">
        <is>
          <t>SRC_ZP_315</t>
        </is>
      </c>
      <c r="B316" t="inlineStr">
        <is>
          <t>Z1-R</t>
        </is>
      </c>
      <c r="C316" t="inlineStr">
        <is>
          <t>B</t>
        </is>
      </c>
      <c r="D316" t="inlineStr">
        <is>
          <t>px_rmb_glm47_32k200k_cache</t>
        </is>
      </c>
      <c r="E316" t="inlineStr">
        <is>
          <t>GLM-4.7 開放平台牌價（輸入 32K–200K，快取命中）</t>
        </is>
      </c>
      <c r="F316" t="inlineStr">
        <is>
          <t>2026-08-09（GLM-5.3 系列 2026-09-28）</t>
        </is>
      </c>
      <c r="G316" t="n">
        <v>0.8</v>
      </c>
      <c r="J316" t="inlineStr">
        <is>
          <t>RMB 元／百萬 token</t>
        </is>
      </c>
      <c r="K316" t="inlineStr">
        <is>
          <t>Verified</t>
        </is>
      </c>
      <c r="N316" t="inlineStr">
        <is>
          <t>奇連 AI〈GLM API 價格怎麼算〉（轉錄 bigmodel.cn/pricing，資料截至 2026-08-09，09-28 補 GLM-5.3）</t>
        </is>
      </c>
      <c r="O316" t="inlineStr">
        <is>
          <t>https://iqilian.com/learn/glm-api-jifei/</t>
        </is>
      </c>
      <c r="P316" t="inlineStr">
        <is>
          <t>2026-09-28</t>
        </is>
      </c>
      <c r="Q316" t="inlineStr">
        <is>
          <t>轉錄官方表 GLM-4.7 輸入 32K–200K：輸入 4／快取 0.8／輸出 16；官方頁需 JS 無法直讀，第三方轉錄</t>
        </is>
      </c>
    </row>
    <row r="317">
      <c r="A317" t="inlineStr">
        <is>
          <t>SRC_ZP_316</t>
        </is>
      </c>
      <c r="B317" t="inlineStr">
        <is>
          <t>Z1-R</t>
        </is>
      </c>
      <c r="C317" t="inlineStr">
        <is>
          <t>B</t>
        </is>
      </c>
      <c r="D317" t="inlineStr">
        <is>
          <t>px_rmb_glm47_32k200k_out</t>
        </is>
      </c>
      <c r="E317" t="inlineStr">
        <is>
          <t>GLM-4.7 開放平台牌價（輸入 32K–200K，輸出）</t>
        </is>
      </c>
      <c r="F317" t="inlineStr">
        <is>
          <t>2026-08-09（GLM-5.3 系列 2026-09-28）</t>
        </is>
      </c>
      <c r="G317" t="n">
        <v>16</v>
      </c>
      <c r="J317" t="inlineStr">
        <is>
          <t>RMB 元／百萬 token</t>
        </is>
      </c>
      <c r="K317" t="inlineStr">
        <is>
          <t>Verified</t>
        </is>
      </c>
      <c r="N317" t="inlineStr">
        <is>
          <t>奇連 AI〈GLM API 價格怎麼算〉（轉錄 bigmodel.cn/pricing，資料截至 2026-08-09，09-28 補 GLM-5.3）</t>
        </is>
      </c>
      <c r="O317" t="inlineStr">
        <is>
          <t>https://iqilian.com/learn/glm-api-jifei/</t>
        </is>
      </c>
      <c r="P317" t="inlineStr">
        <is>
          <t>2026-09-28</t>
        </is>
      </c>
      <c r="Q317" t="inlineStr">
        <is>
          <t>轉錄官方表 GLM-4.7 輸入 32K–200K：輸入 4／快取 0.8／輸出 16；官方頁需 JS 無法直讀，第三方轉錄</t>
        </is>
      </c>
    </row>
    <row r="318">
      <c r="A318" t="inlineStr">
        <is>
          <t>SRC_ZP_317</t>
        </is>
      </c>
      <c r="B318" t="inlineStr">
        <is>
          <t>Z1-R</t>
        </is>
      </c>
      <c r="C318" t="inlineStr">
        <is>
          <t>B</t>
        </is>
      </c>
      <c r="D318" t="inlineStr">
        <is>
          <t>px_rmb_glm45air_short_in</t>
        </is>
      </c>
      <c r="E318" t="inlineStr">
        <is>
          <t>GLM-4.5-Air 開放平台牌價（輸入 &lt;32K 且輸出 &lt;0.2K，輸入）</t>
        </is>
      </c>
      <c r="F318" t="inlineStr">
        <is>
          <t>2026-08-09（GLM-5.3 系列 2026-09-28）</t>
        </is>
      </c>
      <c r="G318" t="n">
        <v>0.8</v>
      </c>
      <c r="J318" t="inlineStr">
        <is>
          <t>RMB 元／百萬 token</t>
        </is>
      </c>
      <c r="K318" t="inlineStr">
        <is>
          <t>Verified</t>
        </is>
      </c>
      <c r="N318" t="inlineStr">
        <is>
          <t>奇連 AI〈GLM API 價格怎麼算〉（轉錄 bigmodel.cn/pricing，資料截至 2026-08-09，09-28 補 GLM-5.3）</t>
        </is>
      </c>
      <c r="O318" t="inlineStr">
        <is>
          <t>https://iqilian.com/learn/glm-api-jifei/</t>
        </is>
      </c>
      <c r="P318" t="inlineStr">
        <is>
          <t>2026-09-28</t>
        </is>
      </c>
      <c r="Q318" t="inlineStr">
        <is>
          <t>轉錄官方表 GLM-4.5-Air 輸入 &lt;32K 且輸出 &lt;0.2K：輸入 0.8／快取 0.16／輸出 2；官方頁需 JS 無法直讀，第三方轉錄</t>
        </is>
      </c>
    </row>
    <row r="319">
      <c r="A319" t="inlineStr">
        <is>
          <t>SRC_ZP_318</t>
        </is>
      </c>
      <c r="B319" t="inlineStr">
        <is>
          <t>Z1-R</t>
        </is>
      </c>
      <c r="C319" t="inlineStr">
        <is>
          <t>B</t>
        </is>
      </c>
      <c r="D319" t="inlineStr">
        <is>
          <t>px_rmb_glm45air_short_cache</t>
        </is>
      </c>
      <c r="E319" t="inlineStr">
        <is>
          <t>GLM-4.5-Air 開放平台牌價（輸入 &lt;32K 且輸出 &lt;0.2K，快取命中）</t>
        </is>
      </c>
      <c r="F319" t="inlineStr">
        <is>
          <t>2026-08-09（GLM-5.3 系列 2026-09-28）</t>
        </is>
      </c>
      <c r="G319" t="n">
        <v>0.16</v>
      </c>
      <c r="J319" t="inlineStr">
        <is>
          <t>RMB 元／百萬 token</t>
        </is>
      </c>
      <c r="K319" t="inlineStr">
        <is>
          <t>Verified</t>
        </is>
      </c>
      <c r="N319" t="inlineStr">
        <is>
          <t>奇連 AI〈GLM API 價格怎麼算〉（轉錄 bigmodel.cn/pricing，資料截至 2026-08-09，09-28 補 GLM-5.3）</t>
        </is>
      </c>
      <c r="O319" t="inlineStr">
        <is>
          <t>https://iqilian.com/learn/glm-api-jifei/</t>
        </is>
      </c>
      <c r="P319" t="inlineStr">
        <is>
          <t>2026-09-28</t>
        </is>
      </c>
      <c r="Q319" t="inlineStr">
        <is>
          <t>轉錄官方表 GLM-4.5-Air 輸入 &lt;32K 且輸出 &lt;0.2K：輸入 0.8／快取 0.16／輸出 2；官方頁需 JS 無法直讀，第三方轉錄</t>
        </is>
      </c>
    </row>
    <row r="320">
      <c r="A320" t="inlineStr">
        <is>
          <t>SRC_ZP_319</t>
        </is>
      </c>
      <c r="B320" t="inlineStr">
        <is>
          <t>Z1-R</t>
        </is>
      </c>
      <c r="C320" t="inlineStr">
        <is>
          <t>B</t>
        </is>
      </c>
      <c r="D320" t="inlineStr">
        <is>
          <t>px_rmb_glm45air_short_out</t>
        </is>
      </c>
      <c r="E320" t="inlineStr">
        <is>
          <t>GLM-4.5-Air 開放平台牌價（輸入 &lt;32K 且輸出 &lt;0.2K，輸出）</t>
        </is>
      </c>
      <c r="F320" t="inlineStr">
        <is>
          <t>2026-08-09（GLM-5.3 系列 2026-09-28）</t>
        </is>
      </c>
      <c r="G320" t="n">
        <v>2</v>
      </c>
      <c r="J320" t="inlineStr">
        <is>
          <t>RMB 元／百萬 token</t>
        </is>
      </c>
      <c r="K320" t="inlineStr">
        <is>
          <t>Verified</t>
        </is>
      </c>
      <c r="N320" t="inlineStr">
        <is>
          <t>奇連 AI〈GLM API 價格怎麼算〉（轉錄 bigmodel.cn/pricing，資料截至 2026-08-09，09-28 補 GLM-5.3）</t>
        </is>
      </c>
      <c r="O320" t="inlineStr">
        <is>
          <t>https://iqilian.com/learn/glm-api-jifei/</t>
        </is>
      </c>
      <c r="P320" t="inlineStr">
        <is>
          <t>2026-09-28</t>
        </is>
      </c>
      <c r="Q320" t="inlineStr">
        <is>
          <t>轉錄官方表 GLM-4.5-Air 輸入 &lt;32K 且輸出 &lt;0.2K：輸入 0.8／快取 0.16／輸出 2；官方頁需 JS 無法直讀，第三方轉錄</t>
        </is>
      </c>
    </row>
    <row r="321">
      <c r="A321" t="inlineStr">
        <is>
          <t>SRC_ZP_320</t>
        </is>
      </c>
      <c r="B321" t="inlineStr">
        <is>
          <t>Z1-R</t>
        </is>
      </c>
      <c r="C321" t="inlineStr">
        <is>
          <t>B</t>
        </is>
      </c>
      <c r="D321" t="inlineStr">
        <is>
          <t>px_rmb_glm45air_long_out_in</t>
        </is>
      </c>
      <c r="E321" t="inlineStr">
        <is>
          <t>GLM-4.5-Air 開放平台牌價（輸入 &lt;32K 且輸出 ≥0.2K，輸入）</t>
        </is>
      </c>
      <c r="F321" t="inlineStr">
        <is>
          <t>2026-08-09（GLM-5.3 系列 2026-09-28）</t>
        </is>
      </c>
      <c r="G321" t="n">
        <v>0.8</v>
      </c>
      <c r="J321" t="inlineStr">
        <is>
          <t>RMB 元／百萬 token</t>
        </is>
      </c>
      <c r="K321" t="inlineStr">
        <is>
          <t>Verified</t>
        </is>
      </c>
      <c r="N321" t="inlineStr">
        <is>
          <t>奇連 AI〈GLM API 價格怎麼算〉（轉錄 bigmodel.cn/pricing，資料截至 2026-08-09，09-28 補 GLM-5.3）</t>
        </is>
      </c>
      <c r="O321" t="inlineStr">
        <is>
          <t>https://iqilian.com/learn/glm-api-jifei/</t>
        </is>
      </c>
      <c r="P321" t="inlineStr">
        <is>
          <t>2026-09-28</t>
        </is>
      </c>
      <c r="Q321" t="inlineStr">
        <is>
          <t>轉錄官方表 GLM-4.5-Air 輸入 &lt;32K 且輸出 ≥0.2K：輸入 0.8／快取 0.16／輸出 6；官方頁需 JS 無法直讀，第三方轉錄</t>
        </is>
      </c>
    </row>
    <row r="322">
      <c r="A322" t="inlineStr">
        <is>
          <t>SRC_ZP_321</t>
        </is>
      </c>
      <c r="B322" t="inlineStr">
        <is>
          <t>Z1-R</t>
        </is>
      </c>
      <c r="C322" t="inlineStr">
        <is>
          <t>B</t>
        </is>
      </c>
      <c r="D322" t="inlineStr">
        <is>
          <t>px_rmb_glm45air_long_out_cache</t>
        </is>
      </c>
      <c r="E322" t="inlineStr">
        <is>
          <t>GLM-4.5-Air 開放平台牌價（輸入 &lt;32K 且輸出 ≥0.2K，快取命中）</t>
        </is>
      </c>
      <c r="F322" t="inlineStr">
        <is>
          <t>2026-08-09（GLM-5.3 系列 2026-09-28）</t>
        </is>
      </c>
      <c r="G322" t="n">
        <v>0.16</v>
      </c>
      <c r="J322" t="inlineStr">
        <is>
          <t>RMB 元／百萬 token</t>
        </is>
      </c>
      <c r="K322" t="inlineStr">
        <is>
          <t>Verified</t>
        </is>
      </c>
      <c r="N322" t="inlineStr">
        <is>
          <t>奇連 AI〈GLM API 價格怎麼算〉（轉錄 bigmodel.cn/pricing，資料截至 2026-08-09，09-28 補 GLM-5.3）</t>
        </is>
      </c>
      <c r="O322" t="inlineStr">
        <is>
          <t>https://iqilian.com/learn/glm-api-jifei/</t>
        </is>
      </c>
      <c r="P322" t="inlineStr">
        <is>
          <t>2026-09-28</t>
        </is>
      </c>
      <c r="Q322" t="inlineStr">
        <is>
          <t>轉錄官方表 GLM-4.5-Air 輸入 &lt;32K 且輸出 ≥0.2K：輸入 0.8／快取 0.16／輸出 6；官方頁需 JS 無法直讀，第三方轉錄</t>
        </is>
      </c>
    </row>
    <row r="323">
      <c r="A323" t="inlineStr">
        <is>
          <t>SRC_ZP_322</t>
        </is>
      </c>
      <c r="B323" t="inlineStr">
        <is>
          <t>Z1-R</t>
        </is>
      </c>
      <c r="C323" t="inlineStr">
        <is>
          <t>B</t>
        </is>
      </c>
      <c r="D323" t="inlineStr">
        <is>
          <t>px_rmb_glm45air_long_out_out</t>
        </is>
      </c>
      <c r="E323" t="inlineStr">
        <is>
          <t>GLM-4.5-Air 開放平台牌價（輸入 &lt;32K 且輸出 ≥0.2K，輸出）</t>
        </is>
      </c>
      <c r="F323" t="inlineStr">
        <is>
          <t>2026-08-09（GLM-5.3 系列 2026-09-28）</t>
        </is>
      </c>
      <c r="G323" t="n">
        <v>6</v>
      </c>
      <c r="J323" t="inlineStr">
        <is>
          <t>RMB 元／百萬 token</t>
        </is>
      </c>
      <c r="K323" t="inlineStr">
        <is>
          <t>Verified</t>
        </is>
      </c>
      <c r="N323" t="inlineStr">
        <is>
          <t>奇連 AI〈GLM API 價格怎麼算〉（轉錄 bigmodel.cn/pricing，資料截至 2026-08-09，09-28 補 GLM-5.3）</t>
        </is>
      </c>
      <c r="O323" t="inlineStr">
        <is>
          <t>https://iqilian.com/learn/glm-api-jifei/</t>
        </is>
      </c>
      <c r="P323" t="inlineStr">
        <is>
          <t>2026-09-28</t>
        </is>
      </c>
      <c r="Q323" t="inlineStr">
        <is>
          <t>轉錄官方表 GLM-4.5-Air 輸入 &lt;32K 且輸出 ≥0.2K：輸入 0.8／快取 0.16／輸出 6；官方頁需 JS 無法直讀，第三方轉錄</t>
        </is>
      </c>
    </row>
    <row r="324">
      <c r="A324" t="inlineStr">
        <is>
          <t>SRC_ZP_323</t>
        </is>
      </c>
      <c r="B324" t="inlineStr">
        <is>
          <t>Z1-R</t>
        </is>
      </c>
      <c r="C324" t="inlineStr">
        <is>
          <t>B</t>
        </is>
      </c>
      <c r="D324" t="inlineStr">
        <is>
          <t>px_rmb_glm45air_32k128k_in</t>
        </is>
      </c>
      <c r="E324" t="inlineStr">
        <is>
          <t>GLM-4.5-Air 開放平台牌價（輸入 32K–128K，輸入）</t>
        </is>
      </c>
      <c r="F324" t="inlineStr">
        <is>
          <t>2026-08-09（GLM-5.3 系列 2026-09-28）</t>
        </is>
      </c>
      <c r="G324" t="n">
        <v>1.2</v>
      </c>
      <c r="J324" t="inlineStr">
        <is>
          <t>RMB 元／百萬 token</t>
        </is>
      </c>
      <c r="K324" t="inlineStr">
        <is>
          <t>Verified</t>
        </is>
      </c>
      <c r="N324" t="inlineStr">
        <is>
          <t>奇連 AI〈GLM API 價格怎麼算〉（轉錄 bigmodel.cn/pricing，資料截至 2026-08-09，09-28 補 GLM-5.3）</t>
        </is>
      </c>
      <c r="O324" t="inlineStr">
        <is>
          <t>https://iqilian.com/learn/glm-api-jifei/</t>
        </is>
      </c>
      <c r="P324" t="inlineStr">
        <is>
          <t>2026-09-28</t>
        </is>
      </c>
      <c r="Q324" t="inlineStr">
        <is>
          <t>轉錄官方表 GLM-4.5-Air 輸入 32K–128K：輸入 1.2／快取 0.24／輸出 8；官方頁需 JS 無法直讀，第三方轉錄</t>
        </is>
      </c>
    </row>
    <row r="325">
      <c r="A325" t="inlineStr">
        <is>
          <t>SRC_ZP_324</t>
        </is>
      </c>
      <c r="B325" t="inlineStr">
        <is>
          <t>Z1-R</t>
        </is>
      </c>
      <c r="C325" t="inlineStr">
        <is>
          <t>B</t>
        </is>
      </c>
      <c r="D325" t="inlineStr">
        <is>
          <t>px_rmb_glm45air_32k128k_cache</t>
        </is>
      </c>
      <c r="E325" t="inlineStr">
        <is>
          <t>GLM-4.5-Air 開放平台牌價（輸入 32K–128K，快取命中）</t>
        </is>
      </c>
      <c r="F325" t="inlineStr">
        <is>
          <t>2026-08-09（GLM-5.3 系列 2026-09-28）</t>
        </is>
      </c>
      <c r="G325" t="n">
        <v>0.24</v>
      </c>
      <c r="J325" t="inlineStr">
        <is>
          <t>RMB 元／百萬 token</t>
        </is>
      </c>
      <c r="K325" t="inlineStr">
        <is>
          <t>Verified</t>
        </is>
      </c>
      <c r="N325" t="inlineStr">
        <is>
          <t>奇連 AI〈GLM API 價格怎麼算〉（轉錄 bigmodel.cn/pricing，資料截至 2026-08-09，09-28 補 GLM-5.3）</t>
        </is>
      </c>
      <c r="O325" t="inlineStr">
        <is>
          <t>https://iqilian.com/learn/glm-api-jifei/</t>
        </is>
      </c>
      <c r="P325" t="inlineStr">
        <is>
          <t>2026-09-28</t>
        </is>
      </c>
      <c r="Q325" t="inlineStr">
        <is>
          <t>轉錄官方表 GLM-4.5-Air 輸入 32K–128K：輸入 1.2／快取 0.24／輸出 8；官方頁需 JS 無法直讀，第三方轉錄</t>
        </is>
      </c>
    </row>
    <row r="326">
      <c r="A326" t="inlineStr">
        <is>
          <t>SRC_ZP_325</t>
        </is>
      </c>
      <c r="B326" t="inlineStr">
        <is>
          <t>Z1-R</t>
        </is>
      </c>
      <c r="C326" t="inlineStr">
        <is>
          <t>B</t>
        </is>
      </c>
      <c r="D326" t="inlineStr">
        <is>
          <t>px_rmb_glm45air_32k128k_out</t>
        </is>
      </c>
      <c r="E326" t="inlineStr">
        <is>
          <t>GLM-4.5-Air 開放平台牌價（輸入 32K–128K，輸出）</t>
        </is>
      </c>
      <c r="F326" t="inlineStr">
        <is>
          <t>2026-08-09（GLM-5.3 系列 2026-09-28）</t>
        </is>
      </c>
      <c r="G326" t="n">
        <v>8</v>
      </c>
      <c r="J326" t="inlineStr">
        <is>
          <t>RMB 元／百萬 token</t>
        </is>
      </c>
      <c r="K326" t="inlineStr">
        <is>
          <t>Verified</t>
        </is>
      </c>
      <c r="N326" t="inlineStr">
        <is>
          <t>奇連 AI〈GLM API 價格怎麼算〉（轉錄 bigmodel.cn/pricing，資料截至 2026-08-09，09-28 補 GLM-5.3）</t>
        </is>
      </c>
      <c r="O326" t="inlineStr">
        <is>
          <t>https://iqilian.com/learn/glm-api-jifei/</t>
        </is>
      </c>
      <c r="P326" t="inlineStr">
        <is>
          <t>2026-09-28</t>
        </is>
      </c>
      <c r="Q326" t="inlineStr">
        <is>
          <t>轉錄官方表 GLM-4.5-Air 輸入 32K–128K：輸入 1.2／快取 0.24／輸出 8；官方頁需 JS 無法直讀，第三方轉錄</t>
        </is>
      </c>
    </row>
    <row r="327">
      <c r="A327" t="inlineStr">
        <is>
          <t>SRC_ZP_326</t>
        </is>
      </c>
      <c r="B327" t="inlineStr">
        <is>
          <t>Z1-R</t>
        </is>
      </c>
      <c r="C327" t="inlineStr">
        <is>
          <t>B</t>
        </is>
      </c>
      <c r="D327" t="inlineStr">
        <is>
          <t>px_rmb_glm47flashx_in</t>
        </is>
      </c>
      <c r="E327" t="inlineStr">
        <is>
          <t>GLM-4.7-FlashX 開放平台牌價（200K，輸入）</t>
        </is>
      </c>
      <c r="F327" t="inlineStr">
        <is>
          <t>2026-08-09（GLM-5.3 系列 2026-09-28）</t>
        </is>
      </c>
      <c r="G327" t="n">
        <v>0.5</v>
      </c>
      <c r="J327" t="inlineStr">
        <is>
          <t>RMB 元／百萬 token</t>
        </is>
      </c>
      <c r="K327" t="inlineStr">
        <is>
          <t>Verified</t>
        </is>
      </c>
      <c r="N327" t="inlineStr">
        <is>
          <t>奇連 AI〈GLM API 價格怎麼算〉（轉錄 bigmodel.cn/pricing，資料截至 2026-08-09，09-28 補 GLM-5.3）</t>
        </is>
      </c>
      <c r="O327" t="inlineStr">
        <is>
          <t>https://iqilian.com/learn/glm-api-jifei/</t>
        </is>
      </c>
      <c r="P327" t="inlineStr">
        <is>
          <t>2026-09-28</t>
        </is>
      </c>
      <c r="Q327" t="inlineStr">
        <is>
          <t>轉錄官方表 GLM-4.7-FlashX 200K：輸入 0.5／快取 0.1／輸出 3；官方頁需 JS 無法直讀，第三方轉錄</t>
        </is>
      </c>
    </row>
    <row r="328">
      <c r="A328" t="inlineStr">
        <is>
          <t>SRC_ZP_327</t>
        </is>
      </c>
      <c r="B328" t="inlineStr">
        <is>
          <t>Z1-R</t>
        </is>
      </c>
      <c r="C328" t="inlineStr">
        <is>
          <t>B</t>
        </is>
      </c>
      <c r="D328" t="inlineStr">
        <is>
          <t>px_rmb_glm47flashx_cache</t>
        </is>
      </c>
      <c r="E328" t="inlineStr">
        <is>
          <t>GLM-4.7-FlashX 開放平台牌價（200K，快取命中）</t>
        </is>
      </c>
      <c r="F328" t="inlineStr">
        <is>
          <t>2026-08-09（GLM-5.3 系列 2026-09-28）</t>
        </is>
      </c>
      <c r="G328" t="n">
        <v>0.1</v>
      </c>
      <c r="J328" t="inlineStr">
        <is>
          <t>RMB 元／百萬 token</t>
        </is>
      </c>
      <c r="K328" t="inlineStr">
        <is>
          <t>Verified</t>
        </is>
      </c>
      <c r="N328" t="inlineStr">
        <is>
          <t>奇連 AI〈GLM API 價格怎麼算〉（轉錄 bigmodel.cn/pricing，資料截至 2026-08-09，09-28 補 GLM-5.3）</t>
        </is>
      </c>
      <c r="O328" t="inlineStr">
        <is>
          <t>https://iqilian.com/learn/glm-api-jifei/</t>
        </is>
      </c>
      <c r="P328" t="inlineStr">
        <is>
          <t>2026-09-28</t>
        </is>
      </c>
      <c r="Q328" t="inlineStr">
        <is>
          <t>轉錄官方表 GLM-4.7-FlashX 200K：輸入 0.5／快取 0.1／輸出 3；官方頁需 JS 無法直讀，第三方轉錄</t>
        </is>
      </c>
    </row>
    <row r="329">
      <c r="A329" t="inlineStr">
        <is>
          <t>SRC_ZP_328</t>
        </is>
      </c>
      <c r="B329" t="inlineStr">
        <is>
          <t>Z1-R</t>
        </is>
      </c>
      <c r="C329" t="inlineStr">
        <is>
          <t>B</t>
        </is>
      </c>
      <c r="D329" t="inlineStr">
        <is>
          <t>px_rmb_glm47flashx_out</t>
        </is>
      </c>
      <c r="E329" t="inlineStr">
        <is>
          <t>GLM-4.7-FlashX 開放平台牌價（200K，輸出）</t>
        </is>
      </c>
      <c r="F329" t="inlineStr">
        <is>
          <t>2026-08-09（GLM-5.3 系列 2026-09-28）</t>
        </is>
      </c>
      <c r="G329" t="n">
        <v>3</v>
      </c>
      <c r="J329" t="inlineStr">
        <is>
          <t>RMB 元／百萬 token</t>
        </is>
      </c>
      <c r="K329" t="inlineStr">
        <is>
          <t>Verified</t>
        </is>
      </c>
      <c r="N329" t="inlineStr">
        <is>
          <t>奇連 AI〈GLM API 價格怎麼算〉（轉錄 bigmodel.cn/pricing，資料截至 2026-08-09，09-28 補 GLM-5.3）</t>
        </is>
      </c>
      <c r="O329" t="inlineStr">
        <is>
          <t>https://iqilian.com/learn/glm-api-jifei/</t>
        </is>
      </c>
      <c r="P329" t="inlineStr">
        <is>
          <t>2026-09-28</t>
        </is>
      </c>
      <c r="Q329" t="inlineStr">
        <is>
          <t>轉錄官方表 GLM-4.7-FlashX 200K：輸入 0.5／快取 0.1／輸出 3；官方頁需 JS 無法直讀，第三方轉錄</t>
        </is>
      </c>
    </row>
    <row r="330">
      <c r="A330" t="inlineStr">
        <is>
          <t>SRC_ZP_329</t>
        </is>
      </c>
      <c r="B330" t="inlineStr">
        <is>
          <t>Z1-R</t>
        </is>
      </c>
      <c r="C330" t="inlineStr">
        <is>
          <t>B</t>
        </is>
      </c>
      <c r="D330" t="inlineStr">
        <is>
          <t>px_rmb_glm53flash_in</t>
        </is>
      </c>
      <c r="E330" t="inlineStr">
        <is>
          <t>GLM-5.3-Flash 開放平台牌價（1M（原價；限時五折見 note），輸入）</t>
        </is>
      </c>
      <c r="F330" t="inlineStr">
        <is>
          <t>2026-08-09（GLM-5.3 系列 2026-09-28）</t>
        </is>
      </c>
      <c r="G330" t="n">
        <v>0.8</v>
      </c>
      <c r="J330" t="inlineStr">
        <is>
          <t>RMB 元／百萬 token</t>
        </is>
      </c>
      <c r="K330" t="inlineStr">
        <is>
          <t>Verified</t>
        </is>
      </c>
      <c r="N330" t="inlineStr">
        <is>
          <t>奇連 AI〈GLM API 價格怎麼算〉（轉錄 bigmodel.cn/pricing，資料截至 2026-08-09，09-28 補 GLM-5.3）</t>
        </is>
      </c>
      <c r="O330" t="inlineStr">
        <is>
          <t>https://iqilian.com/learn/glm-api-jifei/</t>
        </is>
      </c>
      <c r="P330" t="inlineStr">
        <is>
          <t>2026-09-28</t>
        </is>
      </c>
      <c r="Q330" t="inlineStr">
        <is>
          <t>轉錄官方表 GLM-5.3-Flash 1M（原價；限時五折見 note）：輸入 0.8／快取 0.23／輸出 2.8；限時五折 0.4／0.115／1.4；官方頁需 JS 無法直讀，第三方轉錄</t>
        </is>
      </c>
    </row>
    <row r="331">
      <c r="A331" t="inlineStr">
        <is>
          <t>SRC_ZP_330</t>
        </is>
      </c>
      <c r="B331" t="inlineStr">
        <is>
          <t>Z1-R</t>
        </is>
      </c>
      <c r="C331" t="inlineStr">
        <is>
          <t>B</t>
        </is>
      </c>
      <c r="D331" t="inlineStr">
        <is>
          <t>px_rmb_glm53flash_cache</t>
        </is>
      </c>
      <c r="E331" t="inlineStr">
        <is>
          <t>GLM-5.3-Flash 開放平台牌價（1M（原價；限時五折見 note），快取命中）</t>
        </is>
      </c>
      <c r="F331" t="inlineStr">
        <is>
          <t>2026-08-09（GLM-5.3 系列 2026-09-28）</t>
        </is>
      </c>
      <c r="G331" t="n">
        <v>0.23</v>
      </c>
      <c r="J331" t="inlineStr">
        <is>
          <t>RMB 元／百萬 token</t>
        </is>
      </c>
      <c r="K331" t="inlineStr">
        <is>
          <t>Verified</t>
        </is>
      </c>
      <c r="N331" t="inlineStr">
        <is>
          <t>奇連 AI〈GLM API 價格怎麼算〉（轉錄 bigmodel.cn/pricing，資料截至 2026-08-09，09-28 補 GLM-5.3）</t>
        </is>
      </c>
      <c r="O331" t="inlineStr">
        <is>
          <t>https://iqilian.com/learn/glm-api-jifei/</t>
        </is>
      </c>
      <c r="P331" t="inlineStr">
        <is>
          <t>2026-09-28</t>
        </is>
      </c>
      <c r="Q331" t="inlineStr">
        <is>
          <t>轉錄官方表 GLM-5.3-Flash 1M（原價；限時五折見 note）：輸入 0.8／快取 0.23／輸出 2.8；限時五折 0.4／0.115／1.4；官方頁需 JS 無法直讀，第三方轉錄</t>
        </is>
      </c>
    </row>
    <row r="332">
      <c r="A332" t="inlineStr">
        <is>
          <t>SRC_ZP_331</t>
        </is>
      </c>
      <c r="B332" t="inlineStr">
        <is>
          <t>Z1-R</t>
        </is>
      </c>
      <c r="C332" t="inlineStr">
        <is>
          <t>B</t>
        </is>
      </c>
      <c r="D332" t="inlineStr">
        <is>
          <t>px_rmb_glm53flash_out</t>
        </is>
      </c>
      <c r="E332" t="inlineStr">
        <is>
          <t>GLM-5.3-Flash 開放平台牌價（1M（原價；限時五折見 note），輸出）</t>
        </is>
      </c>
      <c r="F332" t="inlineStr">
        <is>
          <t>2026-08-09（GLM-5.3 系列 2026-09-28）</t>
        </is>
      </c>
      <c r="G332" t="n">
        <v>2.8</v>
      </c>
      <c r="J332" t="inlineStr">
        <is>
          <t>RMB 元／百萬 token</t>
        </is>
      </c>
      <c r="K332" t="inlineStr">
        <is>
          <t>Verified</t>
        </is>
      </c>
      <c r="N332" t="inlineStr">
        <is>
          <t>奇連 AI〈GLM API 價格怎麼算〉（轉錄 bigmodel.cn/pricing，資料截至 2026-08-09，09-28 補 GLM-5.3）</t>
        </is>
      </c>
      <c r="O332" t="inlineStr">
        <is>
          <t>https://iqilian.com/learn/glm-api-jifei/</t>
        </is>
      </c>
      <c r="P332" t="inlineStr">
        <is>
          <t>2026-09-28</t>
        </is>
      </c>
      <c r="Q332" t="inlineStr">
        <is>
          <t>轉錄官方表 GLM-5.3-Flash 1M（原價；限時五折見 note）：輸入 0.8／快取 0.23／輸出 2.8；限時五折 0.4／0.115／1.4；官方頁需 JS 無法直讀，第三方轉錄</t>
        </is>
      </c>
    </row>
    <row r="333">
      <c r="A333" t="inlineStr">
        <is>
          <t>SRC_ZP_332</t>
        </is>
      </c>
      <c r="B333" t="inlineStr">
        <is>
          <t>Z1-R</t>
        </is>
      </c>
      <c r="C333" t="inlineStr">
        <is>
          <t>B</t>
        </is>
      </c>
      <c r="D333" t="inlineStr">
        <is>
          <t>px_rmb_batch_discount</t>
        </is>
      </c>
      <c r="E333" t="inlineStr">
        <is>
          <t>開放平台 Batch API 折扣</t>
        </is>
      </c>
      <c r="F333" t="inlineStr">
        <is>
          <t>2026-08</t>
        </is>
      </c>
      <c r="G333" t="n">
        <v>0.5</v>
      </c>
      <c r="J333" t="inlineStr">
        <is>
          <t>倍（原價）</t>
        </is>
      </c>
      <c r="K333" t="inlineStr">
        <is>
          <t>Verified</t>
        </is>
      </c>
      <c r="N333" t="inlineStr">
        <is>
          <t>奇連 AI〈GLM API 價格怎麼算〉（轉錄 bigmodel.cn/pricing，資料截至 2026-08-09，09-28 補 GLM-5.3）</t>
        </is>
      </c>
      <c r="O333" t="inlineStr">
        <is>
          <t>https://iqilian.com/learn/glm-api-jifei/</t>
        </is>
      </c>
      <c r="P333" t="inlineStr">
        <is>
          <t>2026-09-28</t>
        </is>
      </c>
      <c r="Q333" t="inlineStr">
        <is>
          <t>引官方說明 Batch API「只需五折費用」</t>
        </is>
      </c>
    </row>
    <row r="334">
      <c r="A334" t="inlineStr">
        <is>
          <t>SRC_ZP_333</t>
        </is>
      </c>
      <c r="B334" t="inlineStr">
        <is>
          <t>Z1-R</t>
        </is>
      </c>
      <c r="C334" t="inlineStr">
        <is>
          <t>B</t>
        </is>
      </c>
      <c r="D334" t="inlineStr">
        <is>
          <t>px_rmb_glm47flash_free</t>
        </is>
      </c>
      <c r="E334" t="inlineStr">
        <is>
          <t>GLM-4.7-Flash 開放平台價格</t>
        </is>
      </c>
      <c r="F334" t="inlineStr">
        <is>
          <t>2026-08</t>
        </is>
      </c>
      <c r="G334" t="n">
        <v>0</v>
      </c>
      <c r="J334" t="inlineStr">
        <is>
          <t>RMB 元／百萬 token</t>
        </is>
      </c>
      <c r="K334" t="inlineStr">
        <is>
          <t>Verified</t>
        </is>
      </c>
      <c r="N334" t="inlineStr">
        <is>
          <t>奇連 AI〈GLM API 價格怎麼算〉（轉錄 bigmodel.cn/pricing，資料截至 2026-08-09，09-28 補 GLM-5.3）</t>
        </is>
      </c>
      <c r="O334" t="inlineStr">
        <is>
          <t>https://iqilian.com/learn/glm-api-jifei/</t>
        </is>
      </c>
      <c r="P334" t="inlineStr">
        <is>
          <t>2026-09-28</t>
        </is>
      </c>
      <c r="Q334" t="inlineStr">
        <is>
          <t>價目表輸入／輸出／快取皆標「免費」，稱長期免費；GLM-4.5-Flash 已於 2026-01-30 下線改路由至 4.7-Flash</t>
        </is>
      </c>
    </row>
    <row r="335">
      <c r="A335" t="inlineStr">
        <is>
          <t>SRC_ZP_334</t>
        </is>
      </c>
      <c r="B335" t="inlineStr">
        <is>
          <t>Z1-R</t>
        </is>
      </c>
      <c r="C335" t="inlineStr">
        <is>
          <t>B</t>
        </is>
      </c>
      <c r="D335" t="inlineStr">
        <is>
          <t>px_rmb_glm52_huaweicloud_in</t>
        </is>
      </c>
      <c r="E335" t="inlineStr">
        <is>
          <t>GLM-5.2 華為雲 MaaS 價（輸入，區間）</t>
        </is>
      </c>
      <c r="F335" t="inlineStr">
        <is>
          <t>2026-10（現行）</t>
        </is>
      </c>
      <c r="H335" t="n">
        <v>5.6</v>
      </c>
      <c r="I335" t="n">
        <v>8</v>
      </c>
      <c r="J335" t="inlineStr">
        <is>
          <t>RMB 元／百萬 token</t>
        </is>
      </c>
      <c r="K335" t="inlineStr">
        <is>
          <t>Interested-party</t>
        </is>
      </c>
      <c r="L335" t="inlineStr">
        <is>
          <t>華為雲：合作方宣傳、雲平台導流誘因</t>
        </is>
      </c>
      <c r="N335" t="inlineStr">
        <is>
          <t>華為雲 ModelArts Studio MaaS GLM 頁</t>
        </is>
      </c>
      <c r="O335" t="inlineStr">
        <is>
          <t>https://www.huaweicloud.com/product/modelarts/studio/maas-GLM.html</t>
        </is>
      </c>
      <c r="P335" t="inlineStr">
        <is>
          <t>2026-10-08</t>
        </is>
      </c>
      <c r="Q335" t="inlineStr">
        <is>
          <t>頁示「推理輸入 ¥5.60 - ¥8.00 / 百萬tokens」；與 bigmodel 8 元上限一致，低端或為折扣價</t>
        </is>
      </c>
    </row>
    <row r="336">
      <c r="A336" t="inlineStr">
        <is>
          <t>SRC_ZP_335</t>
        </is>
      </c>
      <c r="B336" t="inlineStr">
        <is>
          <t>Z1-R</t>
        </is>
      </c>
      <c r="C336" t="inlineStr">
        <is>
          <t>B</t>
        </is>
      </c>
      <c r="D336" t="inlineStr">
        <is>
          <t>px_rmb_glm52_huaweicloud_out</t>
        </is>
      </c>
      <c r="E336" t="inlineStr">
        <is>
          <t>GLM-5.2 華為雲 MaaS 價（輸出，區間）</t>
        </is>
      </c>
      <c r="F336" t="inlineStr">
        <is>
          <t>2026-10（現行）</t>
        </is>
      </c>
      <c r="H336" t="n">
        <v>19.6</v>
      </c>
      <c r="I336" t="n">
        <v>28</v>
      </c>
      <c r="J336" t="inlineStr">
        <is>
          <t>RMB 元／百萬 token</t>
        </is>
      </c>
      <c r="K336" t="inlineStr">
        <is>
          <t>Interested-party</t>
        </is>
      </c>
      <c r="L336" t="inlineStr">
        <is>
          <t>華為雲：合作方宣傳、雲平台導流誘因</t>
        </is>
      </c>
      <c r="N336" t="inlineStr">
        <is>
          <t>華為雲 ModelArts Studio MaaS GLM 頁</t>
        </is>
      </c>
      <c r="O336" t="inlineStr">
        <is>
          <t>https://www.huaweicloud.com/product/modelarts/studio/maas-GLM.html</t>
        </is>
      </c>
      <c r="P336" t="inlineStr">
        <is>
          <t>2026-10-08</t>
        </is>
      </c>
      <c r="Q336" t="inlineStr">
        <is>
          <t>頁示「推理輸出 ¥19.60 - ¥28.00 / 百萬tokens」</t>
        </is>
      </c>
    </row>
    <row r="337">
      <c r="A337" t="inlineStr">
        <is>
          <t>SRC_ZP_336</t>
        </is>
      </c>
      <c r="B337" t="inlineStr">
        <is>
          <t>Z1-R</t>
        </is>
      </c>
      <c r="C337" t="inlineStr">
        <is>
          <t>B</t>
        </is>
      </c>
      <c r="D337" t="inlineStr">
        <is>
          <t>px_rmb_glm45_launch_in</t>
        </is>
      </c>
      <c r="E337" t="inlineStr">
        <is>
          <t>GLM-4.5 上市時開放平台價（輸入，最低檔）</t>
        </is>
      </c>
      <c r="F337" t="inlineStr">
        <is>
          <t>2025-07</t>
        </is>
      </c>
      <c r="G337" t="n">
        <v>0.8</v>
      </c>
      <c r="J337" t="inlineStr">
        <is>
          <t>RMB 元／百萬 token</t>
        </is>
      </c>
      <c r="K337" t="inlineStr">
        <is>
          <t>Verified</t>
        </is>
      </c>
      <c r="N337" t="inlineStr">
        <is>
          <t>愛范兒〈智譜發布新開源模型〉</t>
        </is>
      </c>
      <c r="O337" t="inlineStr">
        <is>
          <t>https://www.ifanr.com/1632223</t>
        </is>
      </c>
      <c r="P337" t="inlineStr">
        <is>
          <t>2025-07-29</t>
        </is>
      </c>
      <c r="Q337" t="inlineStr">
        <is>
          <t>原文「輸入 0.8 元/百萬tokens」「輸出 2 元/百萬tokens」；為最低檔位價，未列長上下文檔</t>
        </is>
      </c>
    </row>
    <row r="338">
      <c r="A338" t="inlineStr">
        <is>
          <t>SRC_ZP_337</t>
        </is>
      </c>
      <c r="B338" t="inlineStr">
        <is>
          <t>Z1-R</t>
        </is>
      </c>
      <c r="C338" t="inlineStr">
        <is>
          <t>B</t>
        </is>
      </c>
      <c r="D338" t="inlineStr">
        <is>
          <t>px_rmb_glm45_launch_out</t>
        </is>
      </c>
      <c r="E338" t="inlineStr">
        <is>
          <t>GLM-4.5 上市時開放平台價（輸出，最低檔）</t>
        </is>
      </c>
      <c r="F338" t="inlineStr">
        <is>
          <t>2025-07</t>
        </is>
      </c>
      <c r="G338" t="n">
        <v>2</v>
      </c>
      <c r="J338" t="inlineStr">
        <is>
          <t>RMB 元／百萬 token</t>
        </is>
      </c>
      <c r="K338" t="inlineStr">
        <is>
          <t>Verified</t>
        </is>
      </c>
      <c r="N338" t="inlineStr">
        <is>
          <t>愛范兒〈智譜發布新開源模型〉</t>
        </is>
      </c>
      <c r="O338" t="inlineStr">
        <is>
          <t>https://www.ifanr.com/1632223</t>
        </is>
      </c>
      <c r="P338" t="inlineStr">
        <is>
          <t>2025-07-29</t>
        </is>
      </c>
      <c r="Q338" t="inlineStr">
        <is>
          <t>同上</t>
        </is>
      </c>
    </row>
    <row r="339">
      <c r="A339" t="inlineStr">
        <is>
          <t>SRC_ZP_338</t>
        </is>
      </c>
      <c r="B339" t="inlineStr">
        <is>
          <t>Z1-R</t>
        </is>
      </c>
      <c r="C339" t="inlineStr">
        <is>
          <t>B</t>
        </is>
      </c>
      <c r="D339" t="inlineStr">
        <is>
          <t>px_rmb_glm4plus_cut_2025</t>
        </is>
      </c>
      <c r="E339" t="inlineStr">
        <is>
          <t>GLM-4-Plus 降價後價格</t>
        </is>
      </c>
      <c r="F339" t="inlineStr">
        <is>
          <t>2025-04-24</t>
        </is>
      </c>
      <c r="G339" t="n">
        <v>5</v>
      </c>
      <c r="J339" t="inlineStr">
        <is>
          <t>RMB 元／百萬 token</t>
        </is>
      </c>
      <c r="K339" t="inlineStr">
        <is>
          <t>Verified</t>
        </is>
      </c>
      <c r="N339" t="inlineStr">
        <is>
          <t>愛范兒〈BigModel 進入「億」時代〉</t>
        </is>
      </c>
      <c r="O339" t="inlineStr">
        <is>
          <t>https://www.ifanr.com/1621829</t>
        </is>
      </c>
      <c r="P339" t="inlineStr">
        <is>
          <t>2025-04-24</t>
        </is>
      </c>
      <c r="Q339" t="inlineStr">
        <is>
          <t>GLM-4-Plus 降價 90%，由 50 元降至 5 元/百萬 Tokens（輸入輸出同價）；價格戰期間事件</t>
        </is>
      </c>
    </row>
    <row r="340">
      <c r="A340" t="inlineStr">
        <is>
          <t>SRC_ZP_339</t>
        </is>
      </c>
      <c r="B340" t="inlineStr">
        <is>
          <t>Z1-R</t>
        </is>
      </c>
      <c r="C340" t="inlineStr">
        <is>
          <t>B</t>
        </is>
      </c>
      <c r="D340" t="inlineStr">
        <is>
          <t>px_usd_glm46_launch_in</t>
        </is>
      </c>
      <c r="E340" t="inlineStr">
        <is>
          <t>GLM-4.6 上市時國際站價（輸入）</t>
        </is>
      </c>
      <c r="F340" t="inlineStr">
        <is>
          <t>2025-09-30</t>
        </is>
      </c>
      <c r="G340" t="n">
        <v>0.6</v>
      </c>
      <c r="H340" t="n">
        <v>0.6</v>
      </c>
      <c r="I340" t="n">
        <v>0.6</v>
      </c>
      <c r="J340" t="inlineStr">
        <is>
          <t>USD／百萬 token</t>
        </is>
      </c>
      <c r="K340" t="inlineStr">
        <is>
          <t>Analogy</t>
        </is>
      </c>
      <c r="N340" t="inlineStr">
        <is>
          <t>TypingMind Zhipu GLM-4.6 價格頁</t>
        </is>
      </c>
      <c r="O340" t="inlineStr">
        <is>
          <t>https://custom.typingmind.com/tools/estimate-llm-usage-costs/zhipuai/glm-4-6</t>
        </is>
      </c>
      <c r="P340" t="inlineStr">
        <is>
          <t>2025-09-30</t>
        </is>
      </c>
      <c r="Q340" t="inlineStr">
        <is>
          <t>頁示 Input $0.6000、Cache read $0.11、Output $2.20，更新日 2025-09-30；第三方彙整，與現行官方表一致（即上市後未改價）</t>
        </is>
      </c>
    </row>
    <row r="341">
      <c r="A341" t="inlineStr">
        <is>
          <t>SRC_ZP_340</t>
        </is>
      </c>
      <c r="B341" t="inlineStr">
        <is>
          <t>Z1-R</t>
        </is>
      </c>
      <c r="C341" t="inlineStr">
        <is>
          <t>B</t>
        </is>
      </c>
      <c r="D341" t="inlineStr">
        <is>
          <t>px_usd_glm5_launch_in</t>
        </is>
      </c>
      <c r="E341" t="inlineStr">
        <is>
          <t>GLM-5 上市時國際站價（輸入）</t>
        </is>
      </c>
      <c r="F341" t="inlineStr">
        <is>
          <t>2026-02-11</t>
        </is>
      </c>
      <c r="G341" t="n">
        <v>1</v>
      </c>
      <c r="H341" t="n">
        <v>1</v>
      </c>
      <c r="I341" t="n">
        <v>1</v>
      </c>
      <c r="J341" t="inlineStr">
        <is>
          <t>USD／百萬 token</t>
        </is>
      </c>
      <c r="K341" t="inlineStr">
        <is>
          <t>Analogy</t>
        </is>
      </c>
      <c r="N341" t="inlineStr">
        <is>
          <t>TypingMind Zhipu GLM-5 價格頁</t>
        </is>
      </c>
      <c r="O341" t="inlineStr">
        <is>
          <t>https://custom.typingmind.com/tools/estimate-llm-usage-costs/zhipuai/glm-5</t>
        </is>
      </c>
      <c r="P341" t="inlineStr">
        <is>
          <t>2026-02-11</t>
        </is>
      </c>
      <c r="Q341" t="inlineStr">
        <is>
          <t>「priced at $1.00/1M input tokens and $3.20/1M output tokens」；更新日 2026-02-11；與現行官方表一致</t>
        </is>
      </c>
    </row>
    <row r="342">
      <c r="A342" t="inlineStr">
        <is>
          <t>SRC_ZP_341</t>
        </is>
      </c>
      <c r="B342" t="inlineStr">
        <is>
          <t>Z1-R</t>
        </is>
      </c>
      <c r="C342" t="inlineStr">
        <is>
          <t>B</t>
        </is>
      </c>
      <c r="D342" t="inlineStr">
        <is>
          <t>px_usd_glm53flash_launch</t>
        </is>
      </c>
      <c r="E342" t="inlineStr">
        <is>
          <t>GLM-5.3-Flash 上市國際站價（輸入）</t>
        </is>
      </c>
      <c r="F342" t="inlineStr">
        <is>
          <t>2026-08-26</t>
        </is>
      </c>
      <c r="G342" t="n">
        <v>0.15</v>
      </c>
      <c r="J342" t="inlineStr">
        <is>
          <t>USD／百萬 token</t>
        </is>
      </c>
      <c r="K342" t="inlineStr">
        <is>
          <t>Verified</t>
        </is>
      </c>
      <c r="N342" t="inlineStr">
        <is>
          <t>80AJ〈GLM-5.3-Flash 價格〉（引官方博客）</t>
        </is>
      </c>
      <c r="O342" t="inlineStr">
        <is>
          <t>https://www.80aj.com/2026/08/26/glm-5-3-flash-price-drop/</t>
        </is>
      </c>
      <c r="P342" t="inlineStr">
        <is>
          <t>2026-08-26</t>
        </is>
      </c>
      <c r="Q342" t="inlineStr">
        <is>
          <t>原文「每百萬 tokens 輸入 0.15 美元」「輸出 0.50 美元」快取「0.03 美元」；與官方表一致</t>
        </is>
      </c>
    </row>
    <row r="343">
      <c r="A343" t="inlineStr">
        <is>
          <t>SRC_ZP_342</t>
        </is>
      </c>
      <c r="B343" t="inlineStr">
        <is>
          <t>Z1-R</t>
        </is>
      </c>
      <c r="C343" t="inlineStr">
        <is>
          <t>B</t>
        </is>
      </c>
      <c r="D343" t="inlineStr">
        <is>
          <t>pxev_api_overseas_feb2026</t>
        </is>
      </c>
      <c r="E343" t="inlineStr">
        <is>
          <t>海外 API 呼叫價格上調幅度（2026-02-12）</t>
        </is>
      </c>
      <c r="F343" t="inlineStr">
        <is>
          <t>2026-02-12</t>
        </is>
      </c>
      <c r="H343" t="n">
        <v>67</v>
      </c>
      <c r="I343" t="n">
        <v>100</v>
      </c>
      <c r="J343" t="inlineStr">
        <is>
          <t>%</t>
        </is>
      </c>
      <c r="K343" t="inlineStr">
        <is>
          <t>Interested-party</t>
        </is>
      </c>
      <c r="L343" t="inlineStr">
        <is>
          <t>媒體（AIbase）轉述智譜調價函；智譜誘因同上</t>
        </is>
      </c>
      <c r="N343" t="inlineStr">
        <is>
          <t>AIbase〈智譜連發兩項重磅動作〉</t>
        </is>
      </c>
      <c r="O343" t="inlineStr">
        <is>
          <t>https://www.aibase.com/zh/news/25514</t>
        </is>
      </c>
      <c r="P343" t="inlineStr">
        <is>
          <t>2026-02-13</t>
        </is>
      </c>
      <c r="Q343" t="inlineStr">
        <is>
          <t>原文「API 調用價格更是直接提升了 67%-100%」；媒體轉述，未見官方百分比；GLM-4.7 $0.6/$2.2→GLM-5 $1.0/$3.2 合 +67%/+45%</t>
        </is>
      </c>
    </row>
    <row r="344">
      <c r="A344" t="inlineStr">
        <is>
          <t>SRC_ZP_343</t>
        </is>
      </c>
      <c r="B344" t="inlineStr">
        <is>
          <t>Z1-R</t>
        </is>
      </c>
      <c r="C344" t="inlineStr">
        <is>
          <t>B</t>
        </is>
      </c>
      <c r="D344" t="inlineStr">
        <is>
          <t>pxev_api_glm51_apr2026</t>
        </is>
      </c>
      <c r="E344" t="inlineStr">
        <is>
          <t>GLM-5.1 上線時 API 再漲幅（2026-04）</t>
        </is>
      </c>
      <c r="F344" t="inlineStr">
        <is>
          <t>2026-04-07</t>
        </is>
      </c>
      <c r="G344" t="n">
        <v>10</v>
      </c>
      <c r="J344" t="inlineStr">
        <is>
          <t>%</t>
        </is>
      </c>
      <c r="K344" t="inlineStr">
        <is>
          <t>Interested-party</t>
        </is>
      </c>
      <c r="L344" t="inlineStr">
        <is>
          <t>媒體轉述；智譜：上市後股價誘因</t>
        </is>
      </c>
      <c r="N344" t="inlineStr">
        <is>
          <t>騰訊新聞（2026-04-08）</t>
        </is>
      </c>
      <c r="O344" t="inlineStr">
        <is>
          <t>https://news.qq.com/rain/a/20260408A05BMM00</t>
        </is>
      </c>
      <c r="P344" t="inlineStr">
        <is>
          <t>2026-04-08</t>
        </is>
      </c>
      <c r="Q344" t="inlineStr">
        <is>
          <t>原文「智譜GLM再提價10%」；另稱雲端調用價「較舊版GLM-5 Turbo上調8%至17%不等」；Wikipedia 引 SCMP 同稱 API 漲 10%</t>
        </is>
      </c>
    </row>
    <row r="345">
      <c r="A345" t="inlineStr">
        <is>
          <t>SRC_ZP_344</t>
        </is>
      </c>
      <c r="B345" t="inlineStr">
        <is>
          <t>Z1-R</t>
        </is>
      </c>
      <c r="C345" t="inlineStr">
        <is>
          <t>B</t>
        </is>
      </c>
      <c r="D345" t="inlineStr">
        <is>
          <t>pxev_api_glm51_vs_turbo</t>
        </is>
      </c>
      <c r="E345" t="inlineStr">
        <is>
          <t>GLM-5.1 雲端調用價較 GLM-5-Turbo 漲幅</t>
        </is>
      </c>
      <c r="F345" t="inlineStr">
        <is>
          <t>2026-04</t>
        </is>
      </c>
      <c r="H345" t="n">
        <v>8</v>
      </c>
      <c r="I345" t="n">
        <v>17</v>
      </c>
      <c r="J345" t="inlineStr">
        <is>
          <t>%</t>
        </is>
      </c>
      <c r="K345" t="inlineStr">
        <is>
          <t>Interested-party</t>
        </is>
      </c>
      <c r="L345" t="inlineStr">
        <is>
          <t>媒體轉述</t>
        </is>
      </c>
      <c r="N345" t="inlineStr">
        <is>
          <t>騰訊新聞（2026-04-08）</t>
        </is>
      </c>
      <c r="O345" t="inlineStr">
        <is>
          <t>https://news.qq.com/rain/a/20260408A05BMM00</t>
        </is>
      </c>
      <c r="P345" t="inlineStr">
        <is>
          <t>2026-04-08</t>
        </is>
      </c>
      <c r="Q345" t="inlineStr">
        <is>
          <t>原文「較舊版GLM-5 Turbo上調8%至17%不等」；bigmodel 牌價 5→6、22→24、7→8、26→28 合 +8%～+20%</t>
        </is>
      </c>
    </row>
    <row r="346">
      <c r="A346" t="inlineStr">
        <is>
          <t>SRC_ZP_345</t>
        </is>
      </c>
      <c r="B346" t="inlineStr">
        <is>
          <t>Z1-R</t>
        </is>
      </c>
      <c r="C346" t="inlineStr">
        <is>
          <t>B</t>
        </is>
      </c>
      <c r="D346" t="inlineStr">
        <is>
          <t>pxev_api_cum_feb_apr2026</t>
        </is>
      </c>
      <c r="E346" t="inlineStr">
        <is>
          <t>2026-02～04 API 連續三次漲價累計幅度</t>
        </is>
      </c>
      <c r="F346" t="inlineStr">
        <is>
          <t>2026-02～2026-04</t>
        </is>
      </c>
      <c r="G346" t="n">
        <v>83</v>
      </c>
      <c r="J346" t="inlineStr">
        <is>
          <t>%</t>
        </is>
      </c>
      <c r="K346" t="inlineStr">
        <is>
          <t>Interested-party</t>
        </is>
      </c>
      <c r="L346" t="inlineStr">
        <is>
          <t>媒體轉述公司數字；智譜誘因同上</t>
        </is>
      </c>
      <c r="N346" t="inlineStr">
        <is>
          <t>虎嗅（2026-09-14）</t>
        </is>
      </c>
      <c r="O346" t="inlineStr">
        <is>
          <t>https://m.huxiu.com/article/4890871.html</t>
        </is>
      </c>
      <c r="P346" t="inlineStr">
        <is>
          <t>2026-09-14</t>
        </is>
      </c>
      <c r="Q346" t="inlineStr">
        <is>
          <t>原文「2026年2月到4月，智譜連續三次上調API價格，累計漲幅超過83%」；與年度業績公告 83% 同數，口徑疑為同一數</t>
        </is>
      </c>
    </row>
    <row r="347">
      <c r="A347" t="inlineStr">
        <is>
          <t>SRC_ZP_346</t>
        </is>
      </c>
      <c r="B347" t="inlineStr">
        <is>
          <t>Z1-R</t>
        </is>
      </c>
      <c r="C347" t="inlineStr">
        <is>
          <t>B</t>
        </is>
      </c>
      <c r="D347" t="inlineStr">
        <is>
          <t>pxev_api_price_vs_ye2025</t>
        </is>
      </c>
      <c r="E347" t="inlineStr">
        <is>
          <t>API 呼叫定價較 2025 年底上升</t>
        </is>
      </c>
      <c r="F347" t="inlineStr">
        <is>
          <t>截至 2026-03</t>
        </is>
      </c>
      <c r="G347" t="n">
        <v>83</v>
      </c>
      <c r="J347" t="inlineStr">
        <is>
          <t>%</t>
        </is>
      </c>
      <c r="K347" t="inlineStr">
        <is>
          <t>Interested-party</t>
        </is>
      </c>
      <c r="L347" t="inlineStr">
        <is>
          <t>智譜：上市後股價、配售、招募誘因</t>
        </is>
      </c>
      <c r="N347" t="inlineStr">
        <is>
          <t>智譜 2025 年度業績公告（截至 2025-12-31）（第 4 頁）</t>
        </is>
      </c>
      <c r="O347" t="inlineStr">
        <is>
          <t>https://www1.hkexnews.hk/listedco/listconews/sehk/2026/0331/2026033101549.pdf</t>
        </is>
      </c>
      <c r="P347" t="inlineStr">
        <is>
          <t>2026-03-31</t>
        </is>
      </c>
      <c r="Q347" t="inlineStr">
        <is>
          <t>原文「despite an 83% increase in API call pricing compared to the end of last year」；口徑：牌價或呼叫定價，非實現 ASP</t>
        </is>
      </c>
    </row>
    <row r="348">
      <c r="A348" t="inlineStr">
        <is>
          <t>SRC_ZP_347</t>
        </is>
      </c>
      <c r="B348" t="inlineStr">
        <is>
          <t>Z1-R</t>
        </is>
      </c>
      <c r="C348" t="inlineStr">
        <is>
          <t>B</t>
        </is>
      </c>
      <c r="D348" t="inlineStr">
        <is>
          <t>pxev_api_asp_1h26</t>
        </is>
      </c>
      <c r="E348" t="inlineStr">
        <is>
          <t>API 平均售價較年初上升（中期口徑）</t>
        </is>
      </c>
      <c r="F348" t="inlineStr">
        <is>
          <t>2026-01-01→2026-06-30（或公告日）</t>
        </is>
      </c>
      <c r="G348" t="n">
        <v>101</v>
      </c>
      <c r="J348" t="inlineStr">
        <is>
          <t>%</t>
        </is>
      </c>
      <c r="K348" t="inlineStr">
        <is>
          <t>Interested-party</t>
        </is>
      </c>
      <c r="L348" t="inlineStr">
        <is>
          <t>智譜：上市後股價、配售、招募誘因</t>
        </is>
      </c>
      <c r="N348" t="inlineStr">
        <is>
          <t>智譜 2026 中期業績公告（Z.AI Co., Ltd.，截至 2026-06-30 止六個月）（第 14 頁）</t>
        </is>
      </c>
      <c r="O348" t="inlineStr">
        <is>
          <t>https://www1.hkexnews.hk/listedco/listconews/sehk/2026/0831/2026083101539.pdf</t>
        </is>
      </c>
      <c r="P348" t="inlineStr">
        <is>
          <t>2026-08-31</t>
        </is>
      </c>
      <c r="Q348" t="inlineStr">
        <is>
          <t>原文「the average API selling price increased by approximately 101%」；基期「from the beginning of 2026」；實現售價口徑（收入÷token），非牌價</t>
        </is>
      </c>
    </row>
    <row r="349">
      <c r="A349" t="inlineStr">
        <is>
          <t>SRC_ZP_348</t>
        </is>
      </c>
      <c r="B349" t="inlineStr">
        <is>
          <t>Z1-R</t>
        </is>
      </c>
      <c r="C349" t="inlineStr">
        <is>
          <t>B</t>
        </is>
      </c>
      <c r="D349" t="inlineStr">
        <is>
          <t>pxev_api_asp_1h26_b</t>
        </is>
      </c>
      <c r="E349" t="inlineStr">
        <is>
          <t>API 平均售價較年初上升（媒體中文轉述）</t>
        </is>
      </c>
      <c r="F349" t="inlineStr">
        <is>
          <t>1H2026</t>
        </is>
      </c>
      <c r="G349" t="n">
        <v>101</v>
      </c>
      <c r="J349" t="inlineStr">
        <is>
          <t>%</t>
        </is>
      </c>
      <c r="K349" t="inlineStr">
        <is>
          <t>Interested-party</t>
        </is>
      </c>
      <c r="L349" t="inlineStr">
        <is>
          <t>智譜：上市後股價、配售、招募誘因</t>
        </is>
      </c>
      <c r="N349" t="inlineStr">
        <is>
          <t>科創板日報（財聯社）</t>
        </is>
      </c>
      <c r="O349" t="inlineStr">
        <is>
          <t>https://m.cls.cn/detail/2470120</t>
        </is>
      </c>
      <c r="P349" t="inlineStr">
        <is>
          <t>2026-08-31</t>
        </is>
      </c>
      <c r="Q349" t="inlineStr">
        <is>
          <t>原文「API平均售價提高約101%，推動該業務毛利率由負轉正至24.6%」；與公告一致</t>
        </is>
      </c>
    </row>
    <row r="350">
      <c r="A350" t="inlineStr">
        <is>
          <t>SRC_ZP_349</t>
        </is>
      </c>
      <c r="B350" t="inlineStr">
        <is>
          <t>Z1-R</t>
        </is>
      </c>
      <c r="C350" t="inlineStr">
        <is>
          <t>B</t>
        </is>
      </c>
      <c r="D350" t="inlineStr">
        <is>
          <t>pxev_cp_cn_feb2026</t>
        </is>
      </c>
      <c r="E350" t="inlineStr">
        <is>
          <t>GLM Coding Plan（國內）結構性漲價幅度</t>
        </is>
      </c>
      <c r="F350" t="inlineStr">
        <is>
          <t>2026-02-12</t>
        </is>
      </c>
      <c r="G350" t="n">
        <v>30</v>
      </c>
      <c r="H350" t="n">
        <v>30</v>
      </c>
      <c r="J350" t="inlineStr">
        <is>
          <t>%（下限）</t>
        </is>
      </c>
      <c r="K350" t="inlineStr">
        <is>
          <t>Interested-party</t>
        </is>
      </c>
      <c r="L350" t="inlineStr">
        <is>
          <t>智譜：上市後股價、配售、招募誘因</t>
        </is>
      </c>
      <c r="N350" t="inlineStr">
        <is>
          <t>財聯社〈智譜：對GLM Coding Plan套餐價格進行結構性調整〉</t>
        </is>
      </c>
      <c r="O350" t="inlineStr">
        <is>
          <t>https://m.cls.cn/detail/2287878</t>
        </is>
      </c>
      <c r="P350" t="inlineStr">
        <is>
          <t>2026-02-12</t>
        </is>
      </c>
      <c r="Q350" t="inlineStr">
        <is>
          <t>原文「整體漲幅自30%起」，生效 2026-02-12；取消首購優惠，保留包季包年折扣，「已訂閱用戶價格保持不變」</t>
        </is>
      </c>
    </row>
    <row r="351">
      <c r="A351" t="inlineStr">
        <is>
          <t>SRC_ZP_350</t>
        </is>
      </c>
      <c r="B351" t="inlineStr">
        <is>
          <t>Z1-R</t>
        </is>
      </c>
      <c r="C351" t="inlineStr">
        <is>
          <t>B</t>
        </is>
      </c>
      <c r="D351" t="inlineStr">
        <is>
          <t>pxev_cp_ar_feb2026</t>
        </is>
      </c>
      <c r="E351" t="inlineStr">
        <is>
          <t>Coding Plan 漲價（年度業績公告口徑）</t>
        </is>
      </c>
      <c r="F351" t="inlineStr">
        <is>
          <t>2026-02</t>
        </is>
      </c>
      <c r="G351" t="n">
        <v>30</v>
      </c>
      <c r="J351" t="inlineStr">
        <is>
          <t>%</t>
        </is>
      </c>
      <c r="K351" t="inlineStr">
        <is>
          <t>Interested-party</t>
        </is>
      </c>
      <c r="L351" t="inlineStr">
        <is>
          <t>智譜：上市後股價、配售、招募誘因</t>
        </is>
      </c>
      <c r="N351" t="inlineStr">
        <is>
          <t>智譜 2025 年度業績公告（截至 2025-12-31）（第 4 頁）</t>
        </is>
      </c>
      <c r="O351" t="inlineStr">
        <is>
          <t>https://www1.hkexnews.hk/listedco/listconews/sehk/2026/0331/2026033101549.pdf</t>
        </is>
      </c>
      <c r="P351" t="inlineStr">
        <is>
          <t>2026-03-31</t>
        </is>
      </c>
      <c r="Q351" t="inlineStr">
        <is>
          <t>原文「we proactively raised prices by 30%」並取消首購優惠（2026-02）</t>
        </is>
      </c>
    </row>
    <row r="352">
      <c r="A352" t="inlineStr">
        <is>
          <t>SRC_ZP_351</t>
        </is>
      </c>
      <c r="B352" t="inlineStr">
        <is>
          <t>Z1-R</t>
        </is>
      </c>
      <c r="C352" t="inlineStr">
        <is>
          <t>B</t>
        </is>
      </c>
      <c r="D352" t="inlineStr">
        <is>
          <t>pxev_cp_overseas_feb2026</t>
        </is>
      </c>
      <c r="E352" t="inlineStr">
        <is>
          <t>海外 Coding Plan 漲幅（2026-02）</t>
        </is>
      </c>
      <c r="F352" t="inlineStr">
        <is>
          <t>2026-02-12</t>
        </is>
      </c>
      <c r="H352" t="n">
        <v>30</v>
      </c>
      <c r="I352" t="n">
        <v>60</v>
      </c>
      <c r="J352" t="inlineStr">
        <is>
          <t>%</t>
        </is>
      </c>
      <c r="K352" t="inlineStr">
        <is>
          <t>Interested-party</t>
        </is>
      </c>
      <c r="L352" t="inlineStr">
        <is>
          <t>媒體轉述</t>
        </is>
      </c>
      <c r="N352" t="inlineStr">
        <is>
          <t>AIbase（2026-02-13）</t>
        </is>
      </c>
      <c r="O352" t="inlineStr">
        <is>
          <t>https://www.aibase.com/zh/news/25514</t>
        </is>
      </c>
      <c r="P352" t="inlineStr">
        <is>
          <t>2026-02-13</t>
        </is>
      </c>
      <c r="Q352" t="inlineStr">
        <is>
          <t>原文海外 Coding Plan 訂閱上調 30%～60%</t>
        </is>
      </c>
    </row>
    <row r="353">
      <c r="A353" t="inlineStr">
        <is>
          <t>SRC_ZP_352</t>
        </is>
      </c>
      <c r="B353" t="inlineStr">
        <is>
          <t>Z1-R</t>
        </is>
      </c>
      <c r="C353" t="inlineStr">
        <is>
          <t>B</t>
        </is>
      </c>
      <c r="D353" t="inlineStr">
        <is>
          <t>pxev_cp_overseas_feb2026_b</t>
        </is>
      </c>
      <c r="E353" t="inlineStr">
        <is>
          <t>海外 Coding Plan 漲幅（虎嗅口徑）</t>
        </is>
      </c>
      <c r="F353" t="inlineStr">
        <is>
          <t>2026（未明）</t>
        </is>
      </c>
      <c r="H353" t="n">
        <v>80</v>
      </c>
      <c r="I353" t="n">
        <v>150</v>
      </c>
      <c r="J353" t="inlineStr">
        <is>
          <t>%</t>
        </is>
      </c>
      <c r="K353" t="inlineStr">
        <is>
          <t>Interested-party</t>
        </is>
      </c>
      <c r="L353" t="inlineStr">
        <is>
          <t>媒體轉述</t>
        </is>
      </c>
      <c r="N353" t="inlineStr">
        <is>
          <t>虎嗅（2026-09-14）</t>
        </is>
      </c>
      <c r="O353" t="inlineStr">
        <is>
          <t>https://m.huxiu.com/article/4890871.html</t>
        </is>
      </c>
      <c r="P353" t="inlineStr">
        <is>
          <t>2026-09-14</t>
        </is>
      </c>
      <c r="Q353" t="inlineStr">
        <is>
          <t>原文「海外版Coding Plan漲幅在80%到150%之間」；與 AIbase 30–60% 矛盾，疑為累計（含 2026-07 再調價）</t>
        </is>
      </c>
    </row>
    <row r="354">
      <c r="A354" t="inlineStr">
        <is>
          <t>SRC_ZP_353</t>
        </is>
      </c>
      <c r="B354" t="inlineStr">
        <is>
          <t>Z1-R</t>
        </is>
      </c>
      <c r="C354" t="inlineStr">
        <is>
          <t>B</t>
        </is>
      </c>
      <c r="D354" t="inlineStr">
        <is>
          <t>pxev_cp_oldplan_apr2026</t>
        </is>
      </c>
      <c r="E354" t="inlineStr">
        <is>
          <t>Coding Plan 舊套餐（無週限額）停止自動續訂日</t>
        </is>
      </c>
      <c r="F354" t="inlineStr">
        <is>
          <t>2026-04-30</t>
        </is>
      </c>
      <c r="J354" t="inlineStr">
        <is>
          <t>日期</t>
        </is>
      </c>
      <c r="K354" t="inlineStr">
        <is>
          <t>Verified</t>
        </is>
      </c>
      <c r="N354" t="inlineStr">
        <is>
          <t>IT之家（2026-04-22）</t>
        </is>
      </c>
      <c r="O354" t="inlineStr">
        <is>
          <t>https://www.ithome.com/0/941/977.htm</t>
        </is>
      </c>
      <c r="P354" t="inlineStr">
        <is>
          <t>2026-04-22</t>
        </is>
      </c>
      <c r="Q354" t="inlineStr">
        <is>
          <t>原文「GLM Coding Plan 老套餐（無周限額版本）將停止自動續訂」2026-04-30 10:00 起；改新套餐並贈 2 個月，實質加週限額＝變相漲價</t>
        </is>
      </c>
    </row>
    <row r="355">
      <c r="A355" t="inlineStr">
        <is>
          <t>SRC_ZP_354</t>
        </is>
      </c>
      <c r="B355" t="inlineStr">
        <is>
          <t>Z1-R</t>
        </is>
      </c>
      <c r="C355" t="inlineStr">
        <is>
          <t>B</t>
        </is>
      </c>
      <c r="D355" t="inlineStr">
        <is>
          <t>pxev_cp_cn_launch_2025</t>
        </is>
      </c>
      <c r="E355" t="inlineStr">
        <is>
          <t>GLM Coding Plan 國內上市價（2025-09）</t>
        </is>
      </c>
      <c r="F355" t="inlineStr">
        <is>
          <t>2025-09-01</t>
        </is>
      </c>
      <c r="H355" t="n">
        <v>20</v>
      </c>
      <c r="I355" t="n">
        <v>100</v>
      </c>
      <c r="J355" t="inlineStr">
        <is>
          <t>RMB 元／月</t>
        </is>
      </c>
      <c r="K355" t="inlineStr">
        <is>
          <t>Verified</t>
        </is>
      </c>
      <c r="N355" t="inlineStr">
        <is>
          <t>鳳凰網科技（2025-09-02）</t>
        </is>
      </c>
      <c r="O355" t="inlineStr">
        <is>
          <t>https://tech.ifeng.com/c/8mJoak9q60M</t>
        </is>
      </c>
      <c r="P355" t="inlineStr">
        <is>
          <t>2025-09-02</t>
        </is>
      </c>
      <c r="Q355" t="inlineStr">
        <is>
          <t>原文「每月 20~100 元」，「自 9 月 1 日起」；未分方案</t>
        </is>
      </c>
    </row>
    <row r="356">
      <c r="A356" t="inlineStr">
        <is>
          <t>SRC_ZP_355</t>
        </is>
      </c>
      <c r="B356" t="inlineStr">
        <is>
          <t>Z1-R</t>
        </is>
      </c>
      <c r="C356" t="inlineStr">
        <is>
          <t>B</t>
        </is>
      </c>
      <c r="D356" t="inlineStr">
        <is>
          <t>pxev_cp_intl_promo_pre2026</t>
        </is>
      </c>
      <c r="E356" t="inlineStr">
        <is>
          <t>國際站 Coding Plan 舊促銷價（Lite）</t>
        </is>
      </c>
      <c r="F356" t="inlineStr">
        <is>
          <t>2026-02-11 前</t>
        </is>
      </c>
      <c r="G356" t="n">
        <v>3</v>
      </c>
      <c r="H356" t="n">
        <v>3</v>
      </c>
      <c r="I356" t="n">
        <v>3</v>
      </c>
      <c r="J356" t="inlineStr">
        <is>
          <t>USD／月</t>
        </is>
      </c>
      <c r="K356" t="inlineStr">
        <is>
          <t>Analogy</t>
        </is>
      </c>
      <c r="N356" t="inlineStr">
        <is>
          <t>Labmemo〈Zai GLM Coding Plan 値上げ完了〉</t>
        </is>
      </c>
      <c r="O356" t="inlineStr">
        <is>
          <t>https://labmemo.com/zai-glm-price-increase-2026/</t>
        </is>
      </c>
      <c r="P356" t="inlineStr">
        <is>
          <t>2026-04-14</t>
        </is>
      </c>
      <c r="Q356" t="inlineStr">
        <is>
          <t>原文「$3/月という破格のプロモーション価格が廃止され」2026-02-11 起改三段定額；第三方部落格</t>
        </is>
      </c>
    </row>
    <row r="357">
      <c r="A357" t="inlineStr">
        <is>
          <t>SRC_ZP_356</t>
        </is>
      </c>
      <c r="B357" t="inlineStr">
        <is>
          <t>Z1-R</t>
        </is>
      </c>
      <c r="C357" t="inlineStr">
        <is>
          <t>B</t>
        </is>
      </c>
      <c r="D357" t="inlineStr">
        <is>
          <t>cp_rmb_lite_month</t>
        </is>
      </c>
      <c r="E357" t="inlineStr">
        <is>
          <t>GLM Coding Plan Lite（國內）月付</t>
        </is>
      </c>
      <c r="F357" t="inlineStr">
        <is>
          <t>2026-05（2026-02 漲價後）</t>
        </is>
      </c>
      <c r="G357" t="n">
        <v>49</v>
      </c>
      <c r="J357" t="inlineStr">
        <is>
          <t>RMB 元／月</t>
        </is>
      </c>
      <c r="K357" t="inlineStr">
        <is>
          <t>Verified</t>
        </is>
      </c>
      <c r="N357" t="inlineStr">
        <is>
          <t>CodePick〈國內 Coding API 橫評 2026〉</t>
        </is>
      </c>
      <c r="O357" t="inlineStr">
        <is>
          <t>https://codepick.dev/zh/guides/china-coding-api-roundup-2026/</t>
        </is>
      </c>
      <c r="P357" t="inlineStr">
        <is>
          <t>2026-05-19</t>
        </is>
      </c>
      <c r="Q357" t="inlineStr">
        <is>
          <t>表列 Lite 月付 ¥49、包季每月 ¥44、包年每月 ¥34；「包季 9 折／包年 7 折」；第三方整理官方價</t>
        </is>
      </c>
    </row>
    <row r="358">
      <c r="A358" t="inlineStr">
        <is>
          <t>SRC_ZP_357</t>
        </is>
      </c>
      <c r="B358" t="inlineStr">
        <is>
          <t>Z1-R</t>
        </is>
      </c>
      <c r="C358" t="inlineStr">
        <is>
          <t>B</t>
        </is>
      </c>
      <c r="D358" t="inlineStr">
        <is>
          <t>cp_rmb_lite_qtr_permonth</t>
        </is>
      </c>
      <c r="E358" t="inlineStr">
        <is>
          <t>GLM Coding Plan Lite（國內）包季折合每月</t>
        </is>
      </c>
      <c r="F358" t="inlineStr">
        <is>
          <t>2026-05</t>
        </is>
      </c>
      <c r="G358" t="n">
        <v>44</v>
      </c>
      <c r="J358" t="inlineStr">
        <is>
          <t>RMB 元／月</t>
        </is>
      </c>
      <c r="K358" t="inlineStr">
        <is>
          <t>Verified</t>
        </is>
      </c>
      <c r="N358" t="inlineStr">
        <is>
          <t>CodePick〈國內 Coding API 橫評 2026〉</t>
        </is>
      </c>
      <c r="O358" t="inlineStr">
        <is>
          <t>https://codepick.dev/zh/guides/china-coding-api-roundup-2026/</t>
        </is>
      </c>
      <c r="P358" t="inlineStr">
        <is>
          <t>2026-05-19</t>
        </is>
      </c>
      <c r="Q358" t="inlineStr">
        <is>
          <t>同上（9 折）</t>
        </is>
      </c>
    </row>
    <row r="359">
      <c r="A359" t="inlineStr">
        <is>
          <t>SRC_ZP_358</t>
        </is>
      </c>
      <c r="B359" t="inlineStr">
        <is>
          <t>Z1-R</t>
        </is>
      </c>
      <c r="C359" t="inlineStr">
        <is>
          <t>B</t>
        </is>
      </c>
      <c r="D359" t="inlineStr">
        <is>
          <t>cp_rmb_lite_yr_permonth</t>
        </is>
      </c>
      <c r="E359" t="inlineStr">
        <is>
          <t>GLM Coding Plan Lite（國內）包年折合每月</t>
        </is>
      </c>
      <c r="F359" t="inlineStr">
        <is>
          <t>2026-05</t>
        </is>
      </c>
      <c r="G359" t="n">
        <v>34</v>
      </c>
      <c r="J359" t="inlineStr">
        <is>
          <t>RMB 元／月</t>
        </is>
      </c>
      <c r="K359" t="inlineStr">
        <is>
          <t>Verified</t>
        </is>
      </c>
      <c r="N359" t="inlineStr">
        <is>
          <t>CodePick〈國內 Coding API 橫評 2026〉</t>
        </is>
      </c>
      <c r="O359" t="inlineStr">
        <is>
          <t>https://codepick.dev/zh/guides/china-coding-api-roundup-2026/</t>
        </is>
      </c>
      <c r="P359" t="inlineStr">
        <is>
          <t>2026-05-19</t>
        </is>
      </c>
      <c r="Q359" t="inlineStr">
        <is>
          <t>同上（7 折）</t>
        </is>
      </c>
    </row>
    <row r="360">
      <c r="A360" t="inlineStr">
        <is>
          <t>SRC_ZP_359</t>
        </is>
      </c>
      <c r="B360" t="inlineStr">
        <is>
          <t>Z1-R</t>
        </is>
      </c>
      <c r="C360" t="inlineStr">
        <is>
          <t>B</t>
        </is>
      </c>
      <c r="D360" t="inlineStr">
        <is>
          <t>cp_rmb_pro_month</t>
        </is>
      </c>
      <c r="E360" t="inlineStr">
        <is>
          <t>GLM Coding Plan Pro（國內）月付</t>
        </is>
      </c>
      <c r="F360" t="inlineStr">
        <is>
          <t>2026-05（2026-02 漲價後）</t>
        </is>
      </c>
      <c r="G360" t="n">
        <v>149</v>
      </c>
      <c r="J360" t="inlineStr">
        <is>
          <t>RMB 元／月</t>
        </is>
      </c>
      <c r="K360" t="inlineStr">
        <is>
          <t>Verified</t>
        </is>
      </c>
      <c r="N360" t="inlineStr">
        <is>
          <t>CodePick〈國內 Coding API 橫評 2026〉</t>
        </is>
      </c>
      <c r="O360" t="inlineStr">
        <is>
          <t>https://codepick.dev/zh/guides/china-coding-api-roundup-2026/</t>
        </is>
      </c>
      <c r="P360" t="inlineStr">
        <is>
          <t>2026-05-19</t>
        </is>
      </c>
      <c r="Q360" t="inlineStr">
        <is>
          <t>表列 Pro 月付 ¥149、包季每月 ¥134、包年每月 ¥104；「包季 9 折／包年 7 折」；第三方整理官方價</t>
        </is>
      </c>
    </row>
    <row r="361">
      <c r="A361" t="inlineStr">
        <is>
          <t>SRC_ZP_360</t>
        </is>
      </c>
      <c r="B361" t="inlineStr">
        <is>
          <t>Z1-R</t>
        </is>
      </c>
      <c r="C361" t="inlineStr">
        <is>
          <t>B</t>
        </is>
      </c>
      <c r="D361" t="inlineStr">
        <is>
          <t>cp_rmb_pro_qtr_permonth</t>
        </is>
      </c>
      <c r="E361" t="inlineStr">
        <is>
          <t>GLM Coding Plan Pro（國內）包季折合每月</t>
        </is>
      </c>
      <c r="F361" t="inlineStr">
        <is>
          <t>2026-05</t>
        </is>
      </c>
      <c r="G361" t="n">
        <v>134</v>
      </c>
      <c r="J361" t="inlineStr">
        <is>
          <t>RMB 元／月</t>
        </is>
      </c>
      <c r="K361" t="inlineStr">
        <is>
          <t>Verified</t>
        </is>
      </c>
      <c r="N361" t="inlineStr">
        <is>
          <t>CodePick〈國內 Coding API 橫評 2026〉</t>
        </is>
      </c>
      <c r="O361" t="inlineStr">
        <is>
          <t>https://codepick.dev/zh/guides/china-coding-api-roundup-2026/</t>
        </is>
      </c>
      <c r="P361" t="inlineStr">
        <is>
          <t>2026-05-19</t>
        </is>
      </c>
      <c r="Q361" t="inlineStr">
        <is>
          <t>同上（9 折）</t>
        </is>
      </c>
    </row>
    <row r="362">
      <c r="A362" t="inlineStr">
        <is>
          <t>SRC_ZP_361</t>
        </is>
      </c>
      <c r="B362" t="inlineStr">
        <is>
          <t>Z1-R</t>
        </is>
      </c>
      <c r="C362" t="inlineStr">
        <is>
          <t>B</t>
        </is>
      </c>
      <c r="D362" t="inlineStr">
        <is>
          <t>cp_rmb_pro_yr_permonth</t>
        </is>
      </c>
      <c r="E362" t="inlineStr">
        <is>
          <t>GLM Coding Plan Pro（國內）包年折合每月</t>
        </is>
      </c>
      <c r="F362" t="inlineStr">
        <is>
          <t>2026-05</t>
        </is>
      </c>
      <c r="G362" t="n">
        <v>104</v>
      </c>
      <c r="J362" t="inlineStr">
        <is>
          <t>RMB 元／月</t>
        </is>
      </c>
      <c r="K362" t="inlineStr">
        <is>
          <t>Verified</t>
        </is>
      </c>
      <c r="N362" t="inlineStr">
        <is>
          <t>CodePick〈國內 Coding API 橫評 2026〉</t>
        </is>
      </c>
      <c r="O362" t="inlineStr">
        <is>
          <t>https://codepick.dev/zh/guides/china-coding-api-roundup-2026/</t>
        </is>
      </c>
      <c r="P362" t="inlineStr">
        <is>
          <t>2026-05-19</t>
        </is>
      </c>
      <c r="Q362" t="inlineStr">
        <is>
          <t>同上（7 折）</t>
        </is>
      </c>
    </row>
    <row r="363">
      <c r="A363" t="inlineStr">
        <is>
          <t>SRC_ZP_362</t>
        </is>
      </c>
      <c r="B363" t="inlineStr">
        <is>
          <t>Z1-R</t>
        </is>
      </c>
      <c r="C363" t="inlineStr">
        <is>
          <t>B</t>
        </is>
      </c>
      <c r="D363" t="inlineStr">
        <is>
          <t>cp_rmb_max_month</t>
        </is>
      </c>
      <c r="E363" t="inlineStr">
        <is>
          <t>GLM Coding Plan Max（國內）月付</t>
        </is>
      </c>
      <c r="F363" t="inlineStr">
        <is>
          <t>2026-05（2026-02 漲價後）</t>
        </is>
      </c>
      <c r="G363" t="n">
        <v>469</v>
      </c>
      <c r="J363" t="inlineStr">
        <is>
          <t>RMB 元／月</t>
        </is>
      </c>
      <c r="K363" t="inlineStr">
        <is>
          <t>Verified</t>
        </is>
      </c>
      <c r="N363" t="inlineStr">
        <is>
          <t>CodePick〈國內 Coding API 橫評 2026〉</t>
        </is>
      </c>
      <c r="O363" t="inlineStr">
        <is>
          <t>https://codepick.dev/zh/guides/china-coding-api-roundup-2026/</t>
        </is>
      </c>
      <c r="P363" t="inlineStr">
        <is>
          <t>2026-05-19</t>
        </is>
      </c>
      <c r="Q363" t="inlineStr">
        <is>
          <t>表列 Max 月付 ¥469、包季每月 ¥422、包年每月 ¥328；「包季 9 折／包年 7 折」；第三方整理官方價</t>
        </is>
      </c>
    </row>
    <row r="364">
      <c r="A364" t="inlineStr">
        <is>
          <t>SRC_ZP_363</t>
        </is>
      </c>
      <c r="B364" t="inlineStr">
        <is>
          <t>Z1-R</t>
        </is>
      </c>
      <c r="C364" t="inlineStr">
        <is>
          <t>B</t>
        </is>
      </c>
      <c r="D364" t="inlineStr">
        <is>
          <t>cp_rmb_max_qtr_permonth</t>
        </is>
      </c>
      <c r="E364" t="inlineStr">
        <is>
          <t>GLM Coding Plan Max（國內）包季折合每月</t>
        </is>
      </c>
      <c r="F364" t="inlineStr">
        <is>
          <t>2026-05</t>
        </is>
      </c>
      <c r="G364" t="n">
        <v>422</v>
      </c>
      <c r="J364" t="inlineStr">
        <is>
          <t>RMB 元／月</t>
        </is>
      </c>
      <c r="K364" t="inlineStr">
        <is>
          <t>Verified</t>
        </is>
      </c>
      <c r="N364" t="inlineStr">
        <is>
          <t>CodePick〈國內 Coding API 橫評 2026〉</t>
        </is>
      </c>
      <c r="O364" t="inlineStr">
        <is>
          <t>https://codepick.dev/zh/guides/china-coding-api-roundup-2026/</t>
        </is>
      </c>
      <c r="P364" t="inlineStr">
        <is>
          <t>2026-05-19</t>
        </is>
      </c>
      <c r="Q364" t="inlineStr">
        <is>
          <t>同上（9 折）</t>
        </is>
      </c>
    </row>
    <row r="365">
      <c r="A365" t="inlineStr">
        <is>
          <t>SRC_ZP_364</t>
        </is>
      </c>
      <c r="B365" t="inlineStr">
        <is>
          <t>Z1-R</t>
        </is>
      </c>
      <c r="C365" t="inlineStr">
        <is>
          <t>B</t>
        </is>
      </c>
      <c r="D365" t="inlineStr">
        <is>
          <t>cp_rmb_max_yr_permonth</t>
        </is>
      </c>
      <c r="E365" t="inlineStr">
        <is>
          <t>GLM Coding Plan Max（國內）包年折合每月</t>
        </is>
      </c>
      <c r="F365" t="inlineStr">
        <is>
          <t>2026-05</t>
        </is>
      </c>
      <c r="G365" t="n">
        <v>328</v>
      </c>
      <c r="J365" t="inlineStr">
        <is>
          <t>RMB 元／月</t>
        </is>
      </c>
      <c r="K365" t="inlineStr">
        <is>
          <t>Verified</t>
        </is>
      </c>
      <c r="N365" t="inlineStr">
        <is>
          <t>CodePick〈國內 Coding API 橫評 2026〉</t>
        </is>
      </c>
      <c r="O365" t="inlineStr">
        <is>
          <t>https://codepick.dev/zh/guides/china-coding-api-roundup-2026/</t>
        </is>
      </c>
      <c r="P365" t="inlineStr">
        <is>
          <t>2026-05-19</t>
        </is>
      </c>
      <c r="Q365" t="inlineStr">
        <is>
          <t>同上（7 折）</t>
        </is>
      </c>
    </row>
    <row r="366">
      <c r="A366" t="inlineStr">
        <is>
          <t>SRC_ZP_365</t>
        </is>
      </c>
      <c r="B366" t="inlineStr">
        <is>
          <t>Z1-R</t>
        </is>
      </c>
      <c r="C366" t="inlineStr">
        <is>
          <t>B</t>
        </is>
      </c>
      <c r="D366" t="inlineStr">
        <is>
          <t>cp_rmb_pro_qtr</t>
        </is>
      </c>
      <c r="E366" t="inlineStr">
        <is>
          <t>GLM Coding Pro 連續包季</t>
        </is>
      </c>
      <c r="F366" t="inlineStr">
        <is>
          <t>2026-02-13</t>
        </is>
      </c>
      <c r="G366" t="n">
        <v>402</v>
      </c>
      <c r="J366" t="inlineStr">
        <is>
          <t>RMB 元／季</t>
        </is>
      </c>
      <c r="K366" t="inlineStr">
        <is>
          <t>Verified</t>
        </is>
      </c>
      <c r="N366" t="inlineStr">
        <is>
          <t>17173 新聞（2026-02-13）</t>
        </is>
      </c>
      <c r="O366" t="inlineStr">
        <is>
          <t>https://news.17173.com/content/02132026/080853761.shtml</t>
        </is>
      </c>
      <c r="P366" t="inlineStr">
        <is>
          <t>2026-02-13</t>
        </is>
      </c>
      <c r="Q366" t="inlineStr">
        <is>
          <t>原文「連續包季享受 9 折優惠（402 元/季）」；月付「149 元 / 月」；與 CodePick 134×3=402 一致</t>
        </is>
      </c>
    </row>
    <row r="367">
      <c r="A367" t="inlineStr">
        <is>
          <t>SRC_ZP_366</t>
        </is>
      </c>
      <c r="B367" t="inlineStr">
        <is>
          <t>Z1-R</t>
        </is>
      </c>
      <c r="C367" t="inlineStr">
        <is>
          <t>B</t>
        </is>
      </c>
      <c r="D367" t="inlineStr">
        <is>
          <t>cp_rmb_pro_yr</t>
        </is>
      </c>
      <c r="E367" t="inlineStr">
        <is>
          <t>GLM Coding Pro 連續包年</t>
        </is>
      </c>
      <c r="F367" t="inlineStr">
        <is>
          <t>2026-02-13</t>
        </is>
      </c>
      <c r="G367" t="n">
        <v>1251</v>
      </c>
      <c r="J367" t="inlineStr">
        <is>
          <t>RMB 元／年</t>
        </is>
      </c>
      <c r="K367" t="inlineStr">
        <is>
          <t>Verified</t>
        </is>
      </c>
      <c r="N367" t="inlineStr">
        <is>
          <t>17173 新聞（2026-02-13）</t>
        </is>
      </c>
      <c r="O367" t="inlineStr">
        <is>
          <t>https://news.17173.com/content/02132026/080853761.shtml</t>
        </is>
      </c>
      <c r="P367" t="inlineStr">
        <is>
          <t>2026-02-13</t>
        </is>
      </c>
      <c r="Q367" t="inlineStr">
        <is>
          <t>原文「連續包年享 7 折優惠（1251 元/年）」；與 CodePick 104×12=1248 差 3 元（四捨五入）</t>
        </is>
      </c>
    </row>
    <row r="368">
      <c r="A368" t="inlineStr">
        <is>
          <t>SRC_ZP_367</t>
        </is>
      </c>
      <c r="B368" t="inlineStr">
        <is>
          <t>Z1-R</t>
        </is>
      </c>
      <c r="C368" t="inlineStr">
        <is>
          <t>B</t>
        </is>
      </c>
      <c r="D368" t="inlineStr">
        <is>
          <t>cp_usd_lite_list</t>
        </is>
      </c>
      <c r="E368" t="inlineStr">
        <is>
          <t>GLM Coding Plan Lite（國際）牌價</t>
        </is>
      </c>
      <c r="F368" t="inlineStr">
        <is>
          <t>2026-07-03 起（快照）</t>
        </is>
      </c>
      <c r="G368" t="n">
        <v>18</v>
      </c>
      <c r="J368" t="inlineStr">
        <is>
          <t>USD／月</t>
        </is>
      </c>
      <c r="K368" t="inlineStr">
        <is>
          <t>Verified</t>
        </is>
      </c>
      <c r="N368" t="inlineStr">
        <is>
          <t>Digital Applied〈GLM Coding Plan worth it 2026〉</t>
        </is>
      </c>
      <c r="O368" t="inlineStr">
        <is>
          <t>https://www.digitalapplied.com/blog/glm-coding-plan-worth-it-2026-value-analysis</t>
        </is>
      </c>
      <c r="P368" t="inlineStr">
        <is>
          <t>2026-07-03</t>
        </is>
      </c>
      <c r="Q368" t="inlineStr">
        <is>
          <t>表列 Lite 牌價 $18；月付 −10% $16.2；季付 −20% $14.4/月；年付 −30% $12.6/月；aipricing.guru 2026-10-07 核對同價</t>
        </is>
      </c>
    </row>
    <row r="369">
      <c r="A369" t="inlineStr">
        <is>
          <t>SRC_ZP_368</t>
        </is>
      </c>
      <c r="B369" t="inlineStr">
        <is>
          <t>Z1-R</t>
        </is>
      </c>
      <c r="C369" t="inlineStr">
        <is>
          <t>B</t>
        </is>
      </c>
      <c r="D369" t="inlineStr">
        <is>
          <t>cp_usd_lite_yr_permonth</t>
        </is>
      </c>
      <c r="E369" t="inlineStr">
        <is>
          <t>GLM Coding Plan Lite（國際）年付折合每月</t>
        </is>
      </c>
      <c r="F369" t="inlineStr">
        <is>
          <t>2026-07～2026-10</t>
        </is>
      </c>
      <c r="G369" t="n">
        <v>12.6</v>
      </c>
      <c r="J369" t="inlineStr">
        <is>
          <t>USD／月</t>
        </is>
      </c>
      <c r="K369" t="inlineStr">
        <is>
          <t>Verified</t>
        </is>
      </c>
      <c r="N369" t="inlineStr">
        <is>
          <t>UsagePricing〈2026-07-22 price change〉</t>
        </is>
      </c>
      <c r="O369" t="inlineStr">
        <is>
          <t>https://usagepricing.com/blueprint/activity/zhipu-ai-2026-07-22-price-change</t>
        </is>
      </c>
      <c r="P369" t="inlineStr">
        <is>
          <t>2026-07-22</t>
        </is>
      </c>
      <c r="Q369" t="inlineStr">
        <is>
          <t>年付 30% off：$12.6／$50.4／$112；季付 20% off：$14.4／$57.6／$128</t>
        </is>
      </c>
    </row>
    <row r="370">
      <c r="A370" t="inlineStr">
        <is>
          <t>SRC_ZP_369</t>
        </is>
      </c>
      <c r="B370" t="inlineStr">
        <is>
          <t>Z1-R</t>
        </is>
      </c>
      <c r="C370" t="inlineStr">
        <is>
          <t>B</t>
        </is>
      </c>
      <c r="D370" t="inlineStr">
        <is>
          <t>cp_usd_pro_list</t>
        </is>
      </c>
      <c r="E370" t="inlineStr">
        <is>
          <t>GLM Coding Plan Pro（國際）牌價</t>
        </is>
      </c>
      <c r="F370" t="inlineStr">
        <is>
          <t>2026-07-03 起（快照）</t>
        </is>
      </c>
      <c r="G370" t="n">
        <v>72</v>
      </c>
      <c r="J370" t="inlineStr">
        <is>
          <t>USD／月</t>
        </is>
      </c>
      <c r="K370" t="inlineStr">
        <is>
          <t>Verified</t>
        </is>
      </c>
      <c r="N370" t="inlineStr">
        <is>
          <t>Digital Applied〈GLM Coding Plan worth it 2026〉</t>
        </is>
      </c>
      <c r="O370" t="inlineStr">
        <is>
          <t>https://www.digitalapplied.com/blog/glm-coding-plan-worth-it-2026-value-analysis</t>
        </is>
      </c>
      <c r="P370" t="inlineStr">
        <is>
          <t>2026-07-03</t>
        </is>
      </c>
      <c r="Q370" t="inlineStr">
        <is>
          <t>表列 Pro 牌價 $72；月付 −10% $64.8；季付 −20% $57.6/月；年付 −30% $50.4/月；aipricing.guru 2026-10-07 核對同價</t>
        </is>
      </c>
    </row>
    <row r="371">
      <c r="A371" t="inlineStr">
        <is>
          <t>SRC_ZP_370</t>
        </is>
      </c>
      <c r="B371" t="inlineStr">
        <is>
          <t>Z1-R</t>
        </is>
      </c>
      <c r="C371" t="inlineStr">
        <is>
          <t>B</t>
        </is>
      </c>
      <c r="D371" t="inlineStr">
        <is>
          <t>cp_usd_pro_yr_permonth</t>
        </is>
      </c>
      <c r="E371" t="inlineStr">
        <is>
          <t>GLM Coding Plan Pro（國際）年付折合每月</t>
        </is>
      </c>
      <c r="F371" t="inlineStr">
        <is>
          <t>2026-07～2026-10</t>
        </is>
      </c>
      <c r="G371" t="n">
        <v>50.4</v>
      </c>
      <c r="J371" t="inlineStr">
        <is>
          <t>USD／月</t>
        </is>
      </c>
      <c r="K371" t="inlineStr">
        <is>
          <t>Verified</t>
        </is>
      </c>
      <c r="N371" t="inlineStr">
        <is>
          <t>UsagePricing〈2026-07-22 price change〉</t>
        </is>
      </c>
      <c r="O371" t="inlineStr">
        <is>
          <t>https://usagepricing.com/blueprint/activity/zhipu-ai-2026-07-22-price-change</t>
        </is>
      </c>
      <c r="P371" t="inlineStr">
        <is>
          <t>2026-07-22</t>
        </is>
      </c>
      <c r="Q371" t="inlineStr">
        <is>
          <t>年付 30% off：$12.6／$50.4／$112；季付 20% off：$14.4／$57.6／$128</t>
        </is>
      </c>
    </row>
    <row r="372">
      <c r="A372" t="inlineStr">
        <is>
          <t>SRC_ZP_371</t>
        </is>
      </c>
      <c r="B372" t="inlineStr">
        <is>
          <t>Z1-R</t>
        </is>
      </c>
      <c r="C372" t="inlineStr">
        <is>
          <t>B</t>
        </is>
      </c>
      <c r="D372" t="inlineStr">
        <is>
          <t>cp_usd_max_list</t>
        </is>
      </c>
      <c r="E372" t="inlineStr">
        <is>
          <t>GLM Coding Plan Max（國際）牌價</t>
        </is>
      </c>
      <c r="F372" t="inlineStr">
        <is>
          <t>2026-07-03 起（快照）</t>
        </is>
      </c>
      <c r="G372" t="n">
        <v>160</v>
      </c>
      <c r="J372" t="inlineStr">
        <is>
          <t>USD／月</t>
        </is>
      </c>
      <c r="K372" t="inlineStr">
        <is>
          <t>Verified</t>
        </is>
      </c>
      <c r="N372" t="inlineStr">
        <is>
          <t>Digital Applied〈GLM Coding Plan worth it 2026〉</t>
        </is>
      </c>
      <c r="O372" t="inlineStr">
        <is>
          <t>https://www.digitalapplied.com/blog/glm-coding-plan-worth-it-2026-value-analysis</t>
        </is>
      </c>
      <c r="P372" t="inlineStr">
        <is>
          <t>2026-07-03</t>
        </is>
      </c>
      <c r="Q372" t="inlineStr">
        <is>
          <t>表列 Max 牌價 $160；月付 −10% $144；季付 −20% $128/月；年付 −30% $112/月；aipricing.guru 2026-10-07 核對同價</t>
        </is>
      </c>
    </row>
    <row r="373">
      <c r="A373" t="inlineStr">
        <is>
          <t>SRC_ZP_372</t>
        </is>
      </c>
      <c r="B373" t="inlineStr">
        <is>
          <t>Z1-R</t>
        </is>
      </c>
      <c r="C373" t="inlineStr">
        <is>
          <t>B</t>
        </is>
      </c>
      <c r="D373" t="inlineStr">
        <is>
          <t>cp_usd_max_yr_permonth</t>
        </is>
      </c>
      <c r="E373" t="inlineStr">
        <is>
          <t>GLM Coding Plan Max（國際）年付折合每月</t>
        </is>
      </c>
      <c r="F373" t="inlineStr">
        <is>
          <t>2026-07～2026-10</t>
        </is>
      </c>
      <c r="G373" t="n">
        <v>112</v>
      </c>
      <c r="J373" t="inlineStr">
        <is>
          <t>USD／月</t>
        </is>
      </c>
      <c r="K373" t="inlineStr">
        <is>
          <t>Verified</t>
        </is>
      </c>
      <c r="N373" t="inlineStr">
        <is>
          <t>UsagePricing〈2026-07-22 price change〉</t>
        </is>
      </c>
      <c r="O373" t="inlineStr">
        <is>
          <t>https://usagepricing.com/blueprint/activity/zhipu-ai-2026-07-22-price-change</t>
        </is>
      </c>
      <c r="P373" t="inlineStr">
        <is>
          <t>2026-07-22</t>
        </is>
      </c>
      <c r="Q373" t="inlineStr">
        <is>
          <t>年付 30% off：$12.6／$50.4／$112；季付 20% off：$14.4／$57.6／$128</t>
        </is>
      </c>
    </row>
    <row r="374">
      <c r="A374" t="inlineStr">
        <is>
          <t>SRC_ZP_373</t>
        </is>
      </c>
      <c r="B374" t="inlineStr">
        <is>
          <t>Z1-R</t>
        </is>
      </c>
      <c r="C374" t="inlineStr">
        <is>
          <t>B</t>
        </is>
      </c>
      <c r="D374" t="inlineStr">
        <is>
          <t>cp_usd_lite_qtr_feb2026</t>
        </is>
      </c>
      <c r="E374" t="inlineStr">
        <is>
          <t>GLM Coding Plan Lite（國際）2026-02～07 季付價</t>
        </is>
      </c>
      <c r="F374" t="inlineStr">
        <is>
          <t>2026-02-11～2026-07</t>
        </is>
      </c>
      <c r="G374" t="n">
        <v>30</v>
      </c>
      <c r="J374" t="inlineStr">
        <is>
          <t>USD／季</t>
        </is>
      </c>
      <c r="K374" t="inlineStr">
        <is>
          <t>Verified</t>
        </is>
      </c>
      <c r="N374" t="inlineStr">
        <is>
          <t>UsagePricing〈2026-07-22 price change〉（before 欄）</t>
        </is>
      </c>
      <c r="O374" t="inlineStr">
        <is>
          <t>https://usagepricing.com/blueprint/activity/zhipu-ai-2026-07-22-price-change</t>
        </is>
      </c>
      <c r="P374" t="inlineStr">
        <is>
          <t>2026-07-22</t>
        </is>
      </c>
      <c r="Q374" t="inlineStr">
        <is>
          <t>before：約 $30/季（約 $10/月）；Labmemo 2026-04 同列 $30/$90/$240 季付</t>
        </is>
      </c>
    </row>
    <row r="375">
      <c r="A375" t="inlineStr">
        <is>
          <t>SRC_ZP_374</t>
        </is>
      </c>
      <c r="B375" t="inlineStr">
        <is>
          <t>Z1-R</t>
        </is>
      </c>
      <c r="C375" t="inlineStr">
        <is>
          <t>B</t>
        </is>
      </c>
      <c r="D375" t="inlineStr">
        <is>
          <t>cp_usd_pro_qtr_feb2026</t>
        </is>
      </c>
      <c r="E375" t="inlineStr">
        <is>
          <t>GLM Coding Plan Pro（國際）2026-02～07 季付價</t>
        </is>
      </c>
      <c r="F375" t="inlineStr">
        <is>
          <t>2026-02-11～2026-07</t>
        </is>
      </c>
      <c r="G375" t="n">
        <v>90</v>
      </c>
      <c r="J375" t="inlineStr">
        <is>
          <t>USD／季</t>
        </is>
      </c>
      <c r="K375" t="inlineStr">
        <is>
          <t>Verified</t>
        </is>
      </c>
      <c r="N375" t="inlineStr">
        <is>
          <t>UsagePricing〈2026-07-22 price change〉（before 欄）</t>
        </is>
      </c>
      <c r="O375" t="inlineStr">
        <is>
          <t>https://usagepricing.com/blueprint/activity/zhipu-ai-2026-07-22-price-change</t>
        </is>
      </c>
      <c r="P375" t="inlineStr">
        <is>
          <t>2026-07-22</t>
        </is>
      </c>
      <c r="Q375" t="inlineStr">
        <is>
          <t>before：約 $90/季（約 $30/月）；Labmemo 2026-04 同列 $30/$90/$240 季付</t>
        </is>
      </c>
    </row>
    <row r="376">
      <c r="A376" t="inlineStr">
        <is>
          <t>SRC_ZP_375</t>
        </is>
      </c>
      <c r="B376" t="inlineStr">
        <is>
          <t>Z1-R</t>
        </is>
      </c>
      <c r="C376" t="inlineStr">
        <is>
          <t>B</t>
        </is>
      </c>
      <c r="D376" t="inlineStr">
        <is>
          <t>cp_usd_max_qtr_feb2026</t>
        </is>
      </c>
      <c r="E376" t="inlineStr">
        <is>
          <t>GLM Coding Plan Max（國際）2026-02～07 季付價</t>
        </is>
      </c>
      <c r="F376" t="inlineStr">
        <is>
          <t>2026-02-11～2026-07</t>
        </is>
      </c>
      <c r="G376" t="n">
        <v>240</v>
      </c>
      <c r="J376" t="inlineStr">
        <is>
          <t>USD／季</t>
        </is>
      </c>
      <c r="K376" t="inlineStr">
        <is>
          <t>Verified</t>
        </is>
      </c>
      <c r="N376" t="inlineStr">
        <is>
          <t>UsagePricing〈2026-07-22 price change〉（before 欄）</t>
        </is>
      </c>
      <c r="O376" t="inlineStr">
        <is>
          <t>https://usagepricing.com/blueprint/activity/zhipu-ai-2026-07-22-price-change</t>
        </is>
      </c>
      <c r="P376" t="inlineStr">
        <is>
          <t>2026-07-22</t>
        </is>
      </c>
      <c r="Q376" t="inlineStr">
        <is>
          <t>before：約 $240/季（約 $80/月）；Labmemo 2026-04 同列 $30/$90/$240 季付</t>
        </is>
      </c>
    </row>
    <row r="377">
      <c r="A377" t="inlineStr">
        <is>
          <t>SRC_ZP_376</t>
        </is>
      </c>
      <c r="B377" t="inlineStr">
        <is>
          <t>Z1-R</t>
        </is>
      </c>
      <c r="C377" t="inlineStr">
        <is>
          <t>B</t>
        </is>
      </c>
      <c r="D377" t="inlineStr">
        <is>
          <t>cp_quota_lite_5h</t>
        </is>
      </c>
      <c r="E377" t="inlineStr">
        <is>
          <t>Coding Plan Lite 額度（每 5 小時）</t>
        </is>
      </c>
      <c r="F377" t="inlineStr">
        <is>
          <t>2026-04-30 起</t>
        </is>
      </c>
      <c r="G377" t="n">
        <v>80</v>
      </c>
      <c r="J377" t="inlineStr">
        <is>
          <t>prompts／5 小時</t>
        </is>
      </c>
      <c r="K377" t="inlineStr">
        <is>
          <t>Verified</t>
        </is>
      </c>
      <c r="N377" t="inlineStr">
        <is>
          <t>IT之家（2026-04-22）</t>
        </is>
      </c>
      <c r="O377" t="inlineStr">
        <is>
          <t>https://www.ithome.com/0/941/977.htm</t>
        </is>
      </c>
      <c r="P377" t="inlineStr">
        <is>
          <t>2026-04-22</t>
        </is>
      </c>
      <c r="Q377" t="inlineStr">
        <is>
          <t>Lite ~80／5h、~400／週；Pro ~400／~2000；Max ~1600／~8000；每 prompt 約 15–20 次模型呼叫</t>
        </is>
      </c>
    </row>
    <row r="378">
      <c r="A378" t="inlineStr">
        <is>
          <t>SRC_ZP_377</t>
        </is>
      </c>
      <c r="B378" t="inlineStr">
        <is>
          <t>Z1-R</t>
        </is>
      </c>
      <c r="C378" t="inlineStr">
        <is>
          <t>B</t>
        </is>
      </c>
      <c r="D378" t="inlineStr">
        <is>
          <t>cp_quota_pro_5h</t>
        </is>
      </c>
      <c r="E378" t="inlineStr">
        <is>
          <t>Coding Plan Pro 額度（每 5 小時）</t>
        </is>
      </c>
      <c r="F378" t="inlineStr">
        <is>
          <t>2026-04-30 起</t>
        </is>
      </c>
      <c r="G378" t="n">
        <v>400</v>
      </c>
      <c r="J378" t="inlineStr">
        <is>
          <t>prompts／5 小時</t>
        </is>
      </c>
      <c r="K378" t="inlineStr">
        <is>
          <t>Verified</t>
        </is>
      </c>
      <c r="N378" t="inlineStr">
        <is>
          <t>IT之家（2026-04-22）</t>
        </is>
      </c>
      <c r="O378" t="inlineStr">
        <is>
          <t>https://www.ithome.com/0/941/977.htm</t>
        </is>
      </c>
      <c r="P378" t="inlineStr">
        <is>
          <t>2026-04-22</t>
        </is>
      </c>
      <c r="Q378" t="inlineStr">
        <is>
          <t>Pro＝5× Lite；週 ~2000</t>
        </is>
      </c>
    </row>
    <row r="379">
      <c r="A379" t="inlineStr">
        <is>
          <t>SRC_ZP_378</t>
        </is>
      </c>
      <c r="B379" t="inlineStr">
        <is>
          <t>Z1-R</t>
        </is>
      </c>
      <c r="C379" t="inlineStr">
        <is>
          <t>B</t>
        </is>
      </c>
      <c r="D379" t="inlineStr">
        <is>
          <t>cp_quota_max_5h</t>
        </is>
      </c>
      <c r="E379" t="inlineStr">
        <is>
          <t>Coding Plan Max 額度（每 5 小時）</t>
        </is>
      </c>
      <c r="F379" t="inlineStr">
        <is>
          <t>2026-04-30 起</t>
        </is>
      </c>
      <c r="G379" t="n">
        <v>1600</v>
      </c>
      <c r="J379" t="inlineStr">
        <is>
          <t>prompts／5 小時</t>
        </is>
      </c>
      <c r="K379" t="inlineStr">
        <is>
          <t>Verified</t>
        </is>
      </c>
      <c r="N379" t="inlineStr">
        <is>
          <t>IT之家（2026-04-22）</t>
        </is>
      </c>
      <c r="O379" t="inlineStr">
        <is>
          <t>https://www.ithome.com/0/941/977.htm</t>
        </is>
      </c>
      <c r="P379" t="inlineStr">
        <is>
          <t>2026-04-22</t>
        </is>
      </c>
      <c r="Q379" t="inlineStr">
        <is>
          <t>Max＝20× Lite；週 ~8000</t>
        </is>
      </c>
    </row>
    <row r="380">
      <c r="A380" t="inlineStr">
        <is>
          <t>SRC_ZP_379</t>
        </is>
      </c>
      <c r="B380" t="inlineStr">
        <is>
          <t>Z1-R</t>
        </is>
      </c>
      <c r="C380" t="inlineStr">
        <is>
          <t>B</t>
        </is>
      </c>
      <c r="D380" t="inlineStr">
        <is>
          <t>cp_calls_per_prompt</t>
        </is>
      </c>
      <c r="E380" t="inlineStr">
        <is>
          <t>每 prompt 對應模型呼叫次數</t>
        </is>
      </c>
      <c r="F380" t="inlineStr">
        <is>
          <t>2026-04</t>
        </is>
      </c>
      <c r="H380" t="n">
        <v>15</v>
      </c>
      <c r="I380" t="n">
        <v>20</v>
      </c>
      <c r="J380" t="inlineStr">
        <is>
          <t>次</t>
        </is>
      </c>
      <c r="K380" t="inlineStr">
        <is>
          <t>Interested-party</t>
        </is>
      </c>
      <c r="L380" t="inlineStr">
        <is>
          <t>智譜：上市後股價、配售、招募誘因</t>
        </is>
      </c>
      <c r="N380" t="inlineStr">
        <is>
          <t>IT之家（2026-04-22）</t>
        </is>
      </c>
      <c r="O380" t="inlineStr">
        <is>
          <t>https://www.ithome.com/0/941/977.htm</t>
        </is>
      </c>
      <c r="P380" t="inlineStr">
        <is>
          <t>2026-04-22</t>
        </is>
      </c>
      <c r="Q380" t="inlineStr">
        <is>
          <t>原文每 prompt「預計可調用模型 15–20 次」；公司估計</t>
        </is>
      </c>
    </row>
    <row r="381">
      <c r="A381" t="inlineStr">
        <is>
          <t>SRC_ZP_380</t>
        </is>
      </c>
      <c r="B381" t="inlineStr">
        <is>
          <t>Z1-R</t>
        </is>
      </c>
      <c r="C381" t="inlineStr">
        <is>
          <t>B</t>
        </is>
      </c>
      <c r="D381" t="inlineStr">
        <is>
          <t>qy_iap_auto_month</t>
        </is>
      </c>
      <c r="E381" t="inlineStr">
        <is>
          <t>清言連續包月會員（App 內購）</t>
        </is>
      </c>
      <c r="F381" t="inlineStr">
        <is>
          <t>2026-10（App Store 現行）</t>
        </is>
      </c>
      <c r="G381" t="n">
        <v>79</v>
      </c>
      <c r="J381" t="inlineStr">
        <is>
          <t>RMB 元／月</t>
        </is>
      </c>
      <c r="K381" t="inlineStr">
        <is>
          <t>Verified</t>
        </is>
      </c>
      <c r="N381" t="inlineStr">
        <is>
          <t>Apple App Store 中國區「智譜清言」頁</t>
        </is>
      </c>
      <c r="O381" t="inlineStr">
        <is>
          <t>https://apps.apple.com/cn/app/%E6%99%BA%E8%B0%B1%E6%B8%85%E8%A8%80-%E5%B7%A5%E4%BD%9C%E7%94%9F%E6%B4%BB%E5%AD%A6%E4%B9%A0ai%E5%8A%A9%E6%89%8B/id6450893458</t>
        </is>
      </c>
      <c r="P381" t="inlineStr">
        <is>
          <t>2026-10-08</t>
        </is>
      </c>
      <c r="Q381" t="inlineStr">
        <is>
          <t>App 內購買列「連續包月會員 ¥79.00」；與 App 描述價矛盾（見 _b）</t>
        </is>
      </c>
    </row>
    <row r="382">
      <c r="A382" t="inlineStr">
        <is>
          <t>SRC_ZP_381</t>
        </is>
      </c>
      <c r="B382" t="inlineStr">
        <is>
          <t>Z1-R</t>
        </is>
      </c>
      <c r="C382" t="inlineStr">
        <is>
          <t>B</t>
        </is>
      </c>
      <c r="D382" t="inlineStr">
        <is>
          <t>qy_iap_auto_qtr</t>
        </is>
      </c>
      <c r="E382" t="inlineStr">
        <is>
          <t>清言連續包季會員（App 內購）</t>
        </is>
      </c>
      <c r="F382" t="inlineStr">
        <is>
          <t>2026-10（App Store 現行）</t>
        </is>
      </c>
      <c r="G382" t="n">
        <v>219</v>
      </c>
      <c r="J382" t="inlineStr">
        <is>
          <t>RMB 元／季</t>
        </is>
      </c>
      <c r="K382" t="inlineStr">
        <is>
          <t>Verified</t>
        </is>
      </c>
      <c r="N382" t="inlineStr">
        <is>
          <t>Apple App Store 中國區「智譜清言」頁</t>
        </is>
      </c>
      <c r="O382" t="inlineStr">
        <is>
          <t>https://apps.apple.com/cn/app/%E6%99%BA%E8%B0%B1%E6%B8%85%E8%A8%80-%E5%B7%A5%E4%BD%9C%E7%94%9F%E6%B4%BB%E5%AD%A6%E4%B9%A0ai%E5%8A%A9%E6%89%8B/id6450893458</t>
        </is>
      </c>
      <c r="P382" t="inlineStr">
        <is>
          <t>2026-10-08</t>
        </is>
      </c>
      <c r="Q382" t="inlineStr">
        <is>
          <t>「連續包季會員 ¥219.00」；與 App 描述價矛盾（見 _b）</t>
        </is>
      </c>
    </row>
    <row r="383">
      <c r="A383" t="inlineStr">
        <is>
          <t>SRC_ZP_382</t>
        </is>
      </c>
      <c r="B383" t="inlineStr">
        <is>
          <t>Z1-R</t>
        </is>
      </c>
      <c r="C383" t="inlineStr">
        <is>
          <t>B</t>
        </is>
      </c>
      <c r="D383" t="inlineStr">
        <is>
          <t>qy_iap_auto_year</t>
        </is>
      </c>
      <c r="E383" t="inlineStr">
        <is>
          <t>清言連續包年會員（App 內購）</t>
        </is>
      </c>
      <c r="F383" t="inlineStr">
        <is>
          <t>2026-10（App Store 現行）</t>
        </is>
      </c>
      <c r="G383" t="n">
        <v>859</v>
      </c>
      <c r="J383" t="inlineStr">
        <is>
          <t>RMB 元／年</t>
        </is>
      </c>
      <c r="K383" t="inlineStr">
        <is>
          <t>Verified</t>
        </is>
      </c>
      <c r="N383" t="inlineStr">
        <is>
          <t>Apple App Store 中國區「智譜清言」頁</t>
        </is>
      </c>
      <c r="O383" t="inlineStr">
        <is>
          <t>https://apps.apple.com/cn/app/%E6%99%BA%E8%B0%B1%E6%B8%85%E8%A8%80-%E5%B7%A5%E4%BD%9C%E7%94%9F%E6%B4%BB%E5%AD%A6%E4%B9%A0ai%E5%8A%A9%E6%89%8B/id6450893458</t>
        </is>
      </c>
      <c r="P383" t="inlineStr">
        <is>
          <t>2026-10-08</t>
        </is>
      </c>
      <c r="Q383" t="inlineStr">
        <is>
          <t>「連續包年會員 ¥859.00」；與 App 描述價矛盾（見 _b）</t>
        </is>
      </c>
    </row>
    <row r="384">
      <c r="A384" t="inlineStr">
        <is>
          <t>SRC_ZP_383</t>
        </is>
      </c>
      <c r="B384" t="inlineStr">
        <is>
          <t>Z1-R</t>
        </is>
      </c>
      <c r="C384" t="inlineStr">
        <is>
          <t>B</t>
        </is>
      </c>
      <c r="D384" t="inlineStr">
        <is>
          <t>qy_iap_month_card</t>
        </is>
      </c>
      <c r="E384" t="inlineStr">
        <is>
          <t>清言月卡會員（App 內購）</t>
        </is>
      </c>
      <c r="F384" t="inlineStr">
        <is>
          <t>2026-10（App Store 現行）</t>
        </is>
      </c>
      <c r="G384" t="n">
        <v>119</v>
      </c>
      <c r="J384" t="inlineStr">
        <is>
          <t>RMB 元／月</t>
        </is>
      </c>
      <c r="K384" t="inlineStr">
        <is>
          <t>Verified</t>
        </is>
      </c>
      <c r="N384" t="inlineStr">
        <is>
          <t>Apple App Store 中國區「智譜清言」頁</t>
        </is>
      </c>
      <c r="O384" t="inlineStr">
        <is>
          <t>https://apps.apple.com/cn/app/%E6%99%BA%E8%B0%B1%E6%B8%85%E8%A8%80-%E5%B7%A5%E4%BD%9C%E7%94%9F%E6%B4%BB%E5%AD%A6%E4%B9%A0ai%E5%8A%A9%E6%89%8B/id6450893458</t>
        </is>
      </c>
      <c r="P384" t="inlineStr">
        <is>
          <t>2026-10-08</t>
        </is>
      </c>
      <c r="Q384" t="inlineStr">
        <is>
          <t>「清言月卡會員 ¥119.00」；與 App 描述價矛盾（見 _b）</t>
        </is>
      </c>
    </row>
    <row r="385">
      <c r="A385" t="inlineStr">
        <is>
          <t>SRC_ZP_384</t>
        </is>
      </c>
      <c r="B385" t="inlineStr">
        <is>
          <t>Z1-R</t>
        </is>
      </c>
      <c r="C385" t="inlineStr">
        <is>
          <t>B</t>
        </is>
      </c>
      <c r="D385" t="inlineStr">
        <is>
          <t>qy_iap_svip_month</t>
        </is>
      </c>
      <c r="E385" t="inlineStr">
        <is>
          <t>清言 SVIP 連續包月（App 內購）</t>
        </is>
      </c>
      <c r="F385" t="inlineStr">
        <is>
          <t>2026-10（App Store 現行）</t>
        </is>
      </c>
      <c r="G385" t="n">
        <v>229</v>
      </c>
      <c r="J385" t="inlineStr">
        <is>
          <t>RMB 元／月</t>
        </is>
      </c>
      <c r="K385" t="inlineStr">
        <is>
          <t>Verified</t>
        </is>
      </c>
      <c r="N385" t="inlineStr">
        <is>
          <t>Apple App Store 中國區「智譜清言」頁</t>
        </is>
      </c>
      <c r="O385" t="inlineStr">
        <is>
          <t>https://apps.apple.com/cn/app/%E6%99%BA%E8%B0%B1%E6%B8%85%E8%A8%80-%E5%B7%A5%E4%BD%9C%E7%94%9F%E6%B4%BB%E5%AD%A6%E4%B9%A0ai%E5%8A%A9%E6%89%8B/id6450893458</t>
        </is>
      </c>
      <c r="P385" t="inlineStr">
        <is>
          <t>2026-10-08</t>
        </is>
      </c>
      <c r="Q385" t="inlineStr">
        <is>
          <t>「清言SVIP連續包月 ¥229.00」；與 App 描述價矛盾（見 _b）</t>
        </is>
      </c>
    </row>
    <row r="386">
      <c r="A386" t="inlineStr">
        <is>
          <t>SRC_ZP_385</t>
        </is>
      </c>
      <c r="B386" t="inlineStr">
        <is>
          <t>Z1-R</t>
        </is>
      </c>
      <c r="C386" t="inlineStr">
        <is>
          <t>B</t>
        </is>
      </c>
      <c r="D386" t="inlineStr">
        <is>
          <t>qy_desc_auto_month_b</t>
        </is>
      </c>
      <c r="E386" t="inlineStr">
        <is>
          <t>清言連續包月（App 描述文字）</t>
        </is>
      </c>
      <c r="F386" t="inlineStr">
        <is>
          <t>描述文字（日期未明）</t>
        </is>
      </c>
      <c r="G386" t="n">
        <v>19</v>
      </c>
      <c r="J386" t="inlineStr">
        <is>
          <t>RMB 元／月</t>
        </is>
      </c>
      <c r="K386" t="inlineStr">
        <is>
          <t>Verified</t>
        </is>
      </c>
      <c r="N386" t="inlineStr">
        <is>
          <t>Apple App Store 中國區「智譜清言」頁</t>
        </is>
      </c>
      <c r="O386" t="inlineStr">
        <is>
          <t>https://apps.apple.com/cn/app/%E6%99%BA%E8%B0%B1%E6%B8%85%E8%A8%80-%E5%B7%A5%E4%BD%9C%E7%94%9F%E6%B4%BB%E5%AD%A6%E4%B9%A0ai%E5%8A%A9%E6%89%8B/id6450893458</t>
        </is>
      </c>
      <c r="P386" t="inlineStr">
        <is>
          <t>2026-10-08</t>
        </is>
      </c>
      <c r="Q386" t="inlineStr">
        <is>
          <t>描述「連續包月（¥19/月）」「連續包季（¥79/季）」「連續包年（¥299/年）」「單月¥59」「年卡 ¥399」；與內購清單 ¥79/219/859 矛盾，疑描述為舊版或不同檔位</t>
        </is>
      </c>
    </row>
    <row r="387">
      <c r="A387" t="inlineStr">
        <is>
          <t>SRC_ZP_386</t>
        </is>
      </c>
      <c r="B387" t="inlineStr">
        <is>
          <t>Z1-R</t>
        </is>
      </c>
      <c r="C387" t="inlineStr">
        <is>
          <t>B</t>
        </is>
      </c>
      <c r="D387" t="inlineStr">
        <is>
          <t>rel_glm45</t>
        </is>
      </c>
      <c r="E387" t="inlineStr">
        <is>
          <t>GLM-4.5／4.5-Air 發布日</t>
        </is>
      </c>
      <c r="F387" t="inlineStr">
        <is>
          <t>2025-07-28</t>
        </is>
      </c>
      <c r="J387" t="inlineStr">
        <is>
          <t>日期</t>
        </is>
      </c>
      <c r="K387" t="inlineStr">
        <is>
          <t>Verified</t>
        </is>
      </c>
      <c r="N387" t="inlineStr">
        <is>
          <t>Wikipedia〈Z.ai〉（引 Z.ai blog）</t>
        </is>
      </c>
      <c r="O387" t="inlineStr">
        <is>
          <t>https://en.wikipedia.org/wiki/Z.ai</t>
        </is>
      </c>
      <c r="P387" t="inlineStr">
        <is>
          <t>2026-10-08</t>
        </is>
      </c>
      <c r="Q387" t="inlineStr">
        <is>
          <t>引 Z.ai blog〈GLM-4.5: Reasoning, Coding, and Agentic Abilities〉28 July 2025；愛范兒 2025-07-29 07:44 稱「就在剛剛」</t>
        </is>
      </c>
    </row>
    <row r="388">
      <c r="A388" t="inlineStr">
        <is>
          <t>SRC_ZP_387</t>
        </is>
      </c>
      <c r="B388" t="inlineStr">
        <is>
          <t>Z1-R</t>
        </is>
      </c>
      <c r="C388" t="inlineStr">
        <is>
          <t>B</t>
        </is>
      </c>
      <c r="D388" t="inlineStr">
        <is>
          <t>rel_glm45_b</t>
        </is>
      </c>
      <c r="E388" t="inlineStr">
        <is>
          <t>GLM-4.5 發布日（彙整站）</t>
        </is>
      </c>
      <c r="F388" t="inlineStr">
        <is>
          <t>2025-07-25</t>
        </is>
      </c>
      <c r="J388" t="inlineStr">
        <is>
          <t>日期</t>
        </is>
      </c>
      <c r="K388" t="inlineStr">
        <is>
          <t>Verified</t>
        </is>
      </c>
      <c r="N388" t="inlineStr">
        <is>
          <t>The GTM Directory GLM 頁</t>
        </is>
      </c>
      <c r="O388" t="inlineStr">
        <is>
          <t>https://thegtmdirectory.com/models/z-ai-glm</t>
        </is>
      </c>
      <c r="P388" t="inlineStr">
        <is>
          <t>2026-10-08</t>
        </is>
      </c>
      <c r="Q388" t="inlineStr">
        <is>
          <t>表列 2025-07-25；與 07-28 矛盾，以官方 blog 07-28 為準</t>
        </is>
      </c>
    </row>
    <row r="389">
      <c r="A389" t="inlineStr">
        <is>
          <t>SRC_ZP_388</t>
        </is>
      </c>
      <c r="B389" t="inlineStr">
        <is>
          <t>Z1-R</t>
        </is>
      </c>
      <c r="C389" t="inlineStr">
        <is>
          <t>B</t>
        </is>
      </c>
      <c r="D389" t="inlineStr">
        <is>
          <t>rel_glm46</t>
        </is>
      </c>
      <c r="E389" t="inlineStr">
        <is>
          <t>GLM-4.6 發布日</t>
        </is>
      </c>
      <c r="F389" t="inlineStr">
        <is>
          <t>2025-09-30</t>
        </is>
      </c>
      <c r="J389" t="inlineStr">
        <is>
          <t>日期</t>
        </is>
      </c>
      <c r="K389" t="inlineStr">
        <is>
          <t>Verified</t>
        </is>
      </c>
      <c r="N389" t="inlineStr">
        <is>
          <t>Wikipedia〈Z.ai〉（引 Z.ai blog）</t>
        </is>
      </c>
      <c r="O389" t="inlineStr">
        <is>
          <t>https://en.wikipedia.org/wiki/Z.ai</t>
        </is>
      </c>
      <c r="P389" t="inlineStr">
        <is>
          <t>2026-10-08</t>
        </is>
      </c>
      <c r="Q389" t="inlineStr">
        <is>
          <t>「reported as 30 September 2025」；GTM Directory 同</t>
        </is>
      </c>
    </row>
    <row r="390">
      <c r="A390" t="inlineStr">
        <is>
          <t>SRC_ZP_389</t>
        </is>
      </c>
      <c r="B390" t="inlineStr">
        <is>
          <t>Z1-R</t>
        </is>
      </c>
      <c r="C390" t="inlineStr">
        <is>
          <t>B</t>
        </is>
      </c>
      <c r="D390" t="inlineStr">
        <is>
          <t>rel_glm47</t>
        </is>
      </c>
      <c r="E390" t="inlineStr">
        <is>
          <t>GLM-4.7 發布日</t>
        </is>
      </c>
      <c r="F390" t="inlineStr">
        <is>
          <t>2025-12-22</t>
        </is>
      </c>
      <c r="J390" t="inlineStr">
        <is>
          <t>日期</t>
        </is>
      </c>
      <c r="K390" t="inlineStr">
        <is>
          <t>Verified</t>
        </is>
      </c>
      <c r="N390" t="inlineStr">
        <is>
          <t>The GTM Directory GLM 頁</t>
        </is>
      </c>
      <c r="O390" t="inlineStr">
        <is>
          <t>https://thegtmdirectory.com/models/z-ai-glm</t>
        </is>
      </c>
      <c r="P390" t="inlineStr">
        <is>
          <t>2026-10-08</t>
        </is>
      </c>
      <c r="Q390" t="inlineStr">
        <is>
          <t>表列 2025-12-22；Wikipedia 稱 December 2025（Gigazine 23 Dec 2025）</t>
        </is>
      </c>
    </row>
    <row r="391">
      <c r="A391" t="inlineStr">
        <is>
          <t>SRC_ZP_390</t>
        </is>
      </c>
      <c r="B391" t="inlineStr">
        <is>
          <t>Z1-R</t>
        </is>
      </c>
      <c r="C391" t="inlineStr">
        <is>
          <t>B</t>
        </is>
      </c>
      <c r="D391" t="inlineStr">
        <is>
          <t>rel_glm5</t>
        </is>
      </c>
      <c r="E391" t="inlineStr">
        <is>
          <t>GLM-5 發布日</t>
        </is>
      </c>
      <c r="F391" t="inlineStr">
        <is>
          <t>2026-02-12</t>
        </is>
      </c>
      <c r="J391" t="inlineStr">
        <is>
          <t>日期</t>
        </is>
      </c>
      <c r="K391" t="inlineStr">
        <is>
          <t>Verified</t>
        </is>
      </c>
      <c r="N391" t="inlineStr">
        <is>
          <t>上海證券報（同花順 2026-02-13）</t>
        </is>
      </c>
      <c r="O391" t="inlineStr">
        <is>
          <t>https://stock.10jqka.com.cn/20260213/c674781266.shtml</t>
        </is>
      </c>
      <c r="P391" t="inlineStr">
        <is>
          <t>2026-02-13</t>
        </is>
      </c>
      <c r="Q391" t="inlineStr">
        <is>
          <t>GLM-5「正式開源並上線」於 2 月 12 日；同日發 Coding Plan 調價函</t>
        </is>
      </c>
    </row>
    <row r="392">
      <c r="A392" t="inlineStr">
        <is>
          <t>SRC_ZP_391</t>
        </is>
      </c>
      <c r="B392" t="inlineStr">
        <is>
          <t>Z1-R</t>
        </is>
      </c>
      <c r="C392" t="inlineStr">
        <is>
          <t>B</t>
        </is>
      </c>
      <c r="D392" t="inlineStr">
        <is>
          <t>rel_glm5_b</t>
        </is>
      </c>
      <c r="E392" t="inlineStr">
        <is>
          <t>GLM-5 發布日（彙整站／Reuters）</t>
        </is>
      </c>
      <c r="F392" t="inlineStr">
        <is>
          <t>2026-02-11</t>
        </is>
      </c>
      <c r="J392" t="inlineStr">
        <is>
          <t>日期</t>
        </is>
      </c>
      <c r="K392" t="inlineStr">
        <is>
          <t>Verified</t>
        </is>
      </c>
      <c r="N392" t="inlineStr">
        <is>
          <t>The GTM Directory GLM 頁</t>
        </is>
      </c>
      <c r="O392" t="inlineStr">
        <is>
          <t>https://thegtmdirectory.com/models/z-ai-glm</t>
        </is>
      </c>
      <c r="P392" t="inlineStr">
        <is>
          <t>2026-10-08</t>
        </is>
      </c>
      <c r="Q392" t="inlineStr">
        <is>
          <t>表列 2026-02-11；Wikipedia 稱 Reuters 記 11 February（時區差）</t>
        </is>
      </c>
    </row>
    <row r="393">
      <c r="A393" t="inlineStr">
        <is>
          <t>SRC_ZP_392</t>
        </is>
      </c>
      <c r="B393" t="inlineStr">
        <is>
          <t>Z1-R</t>
        </is>
      </c>
      <c r="C393" t="inlineStr">
        <is>
          <t>B</t>
        </is>
      </c>
      <c r="D393" t="inlineStr">
        <is>
          <t>rel_glm51</t>
        </is>
      </c>
      <c r="E393" t="inlineStr">
        <is>
          <t>GLM-5.1 開源發布日</t>
        </is>
      </c>
      <c r="F393" t="inlineStr">
        <is>
          <t>2026-04-07</t>
        </is>
      </c>
      <c r="J393" t="inlineStr">
        <is>
          <t>日期</t>
        </is>
      </c>
      <c r="K393" t="inlineStr">
        <is>
          <t>Verified</t>
        </is>
      </c>
      <c r="N393" t="inlineStr">
        <is>
          <t>Wikipedia〈Z.ai〉（引 SCMP、Computerworld）</t>
        </is>
      </c>
      <c r="O393" t="inlineStr">
        <is>
          <t>https://en.wikipedia.org/wiki/Z.ai</t>
        </is>
      </c>
      <c r="P393" t="inlineStr">
        <is>
          <t>2026-10-08</t>
        </is>
      </c>
      <c r="Q393" t="inlineStr">
        <is>
          <t>「released as open-source on 7 April 2026」；3 月底先推訂閱用戶；GTM 列 04-06</t>
        </is>
      </c>
    </row>
    <row r="394">
      <c r="A394" t="inlineStr">
        <is>
          <t>SRC_ZP_393</t>
        </is>
      </c>
      <c r="B394" t="inlineStr">
        <is>
          <t>Z1-R</t>
        </is>
      </c>
      <c r="C394" t="inlineStr">
        <is>
          <t>B</t>
        </is>
      </c>
      <c r="D394" t="inlineStr">
        <is>
          <t>rel_glm52</t>
        </is>
      </c>
      <c r="E394" t="inlineStr">
        <is>
          <t>GLM-5.2 發布日</t>
        </is>
      </c>
      <c r="F394" t="inlineStr">
        <is>
          <t>2026-06-16</t>
        </is>
      </c>
      <c r="J394" t="inlineStr">
        <is>
          <t>日期</t>
        </is>
      </c>
      <c r="K394" t="inlineStr">
        <is>
          <t>Verified</t>
        </is>
      </c>
      <c r="N394" t="inlineStr">
        <is>
          <t>36氪（2026-06-18）</t>
        </is>
      </c>
      <c r="O394" t="inlineStr">
        <is>
          <t>https://www.36kr.com/p/3858548611709828</t>
        </is>
      </c>
      <c r="P394" t="inlineStr">
        <is>
          <t>2026-06-18</t>
        </is>
      </c>
      <c r="Q394" t="inlineStr">
        <is>
          <t>原文「6月16日晚，智譜正式開源新一代旗艦模型GLM-5.2」；1M 上下文</t>
        </is>
      </c>
    </row>
    <row r="395">
      <c r="A395" t="inlineStr">
        <is>
          <t>SRC_ZP_394</t>
        </is>
      </c>
      <c r="B395" t="inlineStr">
        <is>
          <t>Z1-R</t>
        </is>
      </c>
      <c r="C395" t="inlineStr">
        <is>
          <t>B</t>
        </is>
      </c>
      <c r="D395" t="inlineStr">
        <is>
          <t>rel_glm52_b</t>
        </is>
      </c>
      <c r="E395" t="inlineStr">
        <is>
          <t>GLM-5.2 發布日（華為雲）</t>
        </is>
      </c>
      <c r="F395" t="inlineStr">
        <is>
          <t>2026-06-17</t>
        </is>
      </c>
      <c r="J395" t="inlineStr">
        <is>
          <t>日期</t>
        </is>
      </c>
      <c r="K395" t="inlineStr">
        <is>
          <t>Verified</t>
        </is>
      </c>
      <c r="N395" t="inlineStr">
        <is>
          <t>華為雲 MaaS GLM 頁</t>
        </is>
      </c>
      <c r="O395" t="inlineStr">
        <is>
          <t>https://www.huaweicloud.com/product/modelarts/studio/maas-GLM.html</t>
        </is>
      </c>
      <c r="P395" t="inlineStr">
        <is>
          <t>2026-10-08</t>
        </is>
      </c>
      <c r="Q395" t="inlineStr">
        <is>
          <t>頁示「GLM-5.2 20260617」；與 06-16 晚差一日</t>
        </is>
      </c>
    </row>
    <row r="396">
      <c r="A396" t="inlineStr">
        <is>
          <t>SRC_ZP_395</t>
        </is>
      </c>
      <c r="B396" t="inlineStr">
        <is>
          <t>Z1-R</t>
        </is>
      </c>
      <c r="C396" t="inlineStr">
        <is>
          <t>B</t>
        </is>
      </c>
      <c r="D396" t="inlineStr">
        <is>
          <t>rel_glm53</t>
        </is>
      </c>
      <c r="E396" t="inlineStr">
        <is>
          <t>GLM-5.3 發布日</t>
        </is>
      </c>
      <c r="F396" t="inlineStr">
        <is>
          <t>2026-08-14</t>
        </is>
      </c>
      <c r="J396" t="inlineStr">
        <is>
          <t>日期</t>
        </is>
      </c>
      <c r="K396" t="inlineStr">
        <is>
          <t>Verified</t>
        </is>
      </c>
      <c r="N396" t="inlineStr">
        <is>
          <t>DataNorth〈Z.ai releases GLM-5.3〉</t>
        </is>
      </c>
      <c r="O396" t="inlineStr">
        <is>
          <t>https://datanorth.ai/news/z-ai-releases-glm-5-3</t>
        </is>
      </c>
      <c r="P396" t="inlineStr">
        <is>
          <t>2026-08-17</t>
        </is>
      </c>
      <c r="Q396" t="inlineStr">
        <is>
          <t>「released GLM-5.3 on 14 August 2026」，API 上市時「coming soon」，先經 Coding Plan；權重約 08-28；DataLearner 同 08-14；GTM 列 08-16</t>
        </is>
      </c>
    </row>
    <row r="397">
      <c r="A397" t="inlineStr">
        <is>
          <t>SRC_ZP_396</t>
        </is>
      </c>
      <c r="B397" t="inlineStr">
        <is>
          <t>Z1-R</t>
        </is>
      </c>
      <c r="C397" t="inlineStr">
        <is>
          <t>B</t>
        </is>
      </c>
      <c r="D397" t="inlineStr">
        <is>
          <t>rel_glm53flash</t>
        </is>
      </c>
      <c r="E397" t="inlineStr">
        <is>
          <t>GLM-5.3-Flash 發布日</t>
        </is>
      </c>
      <c r="F397" t="inlineStr">
        <is>
          <t>2026-08-26</t>
        </is>
      </c>
      <c r="J397" t="inlineStr">
        <is>
          <t>日期</t>
        </is>
      </c>
      <c r="K397" t="inlineStr">
        <is>
          <t>Verified</t>
        </is>
      </c>
      <c r="N397" t="inlineStr">
        <is>
          <t>AIToolly（2026-08-27）</t>
        </is>
      </c>
      <c r="O397" t="inlineStr">
        <is>
          <t>https://aitoolly.com/zh/ai-news/article/2026-08-27-glm-53-flash-zhipu-ais-strategic-leap-in-high-efficiency-language-model-performance</t>
        </is>
      </c>
      <c r="P397" t="inlineStr">
        <is>
          <t>2026-08-27</t>
        </is>
      </c>
      <c r="Q397" t="inlineStr">
        <is>
          <t>原文「2026年8月26日，關於 GLM-5.3-Flash 的消息在 Hacker News 及 z.ai 博客上發布」；上市前以代號 Ox-Alpha 匿名測試（中期公告）</t>
        </is>
      </c>
    </row>
    <row r="398">
      <c r="A398" t="inlineStr">
        <is>
          <t>SRC_ZP_397</t>
        </is>
      </c>
      <c r="B398" t="inlineStr">
        <is>
          <t>Z1-R</t>
        </is>
      </c>
      <c r="C398" t="inlineStr">
        <is>
          <t>C</t>
        </is>
      </c>
      <c r="D398" t="inlineStr">
        <is>
          <t>usr_maas_1h26_pe</t>
        </is>
      </c>
      <c r="E398" t="inlineStr">
        <is>
          <t>GLM MaaS 平台企業及開發者用戶數（期末）</t>
        </is>
      </c>
      <c r="F398" t="inlineStr">
        <is>
          <t>2026-06-30</t>
        </is>
      </c>
      <c r="G398" t="n">
        <v>580</v>
      </c>
      <c r="J398" t="inlineStr">
        <is>
          <t>萬</t>
        </is>
      </c>
      <c r="K398" t="inlineStr">
        <is>
          <t>Interested-party</t>
        </is>
      </c>
      <c r="L398" t="inlineStr">
        <is>
          <t>智譜：上市後股價、配售、招募誘因</t>
        </is>
      </c>
      <c r="M398" t="inlineStr">
        <is>
          <t>管理層口徑</t>
        </is>
      </c>
      <c r="N398" t="inlineStr">
        <is>
          <t>智譜 2026 中期業績公告（Z.AI Co., Ltd.，截至 2026-06-30 止六個月）（第 3 頁）</t>
        </is>
      </c>
      <c r="O398" t="inlineStr">
        <is>
          <t>https://www1.hkexnews.hk/listedco/listconews/sehk/2026/0831/2026083101539.pdf</t>
        </is>
      </c>
      <c r="P398" t="inlineStr">
        <is>
          <t>2026-08-31</t>
        </is>
      </c>
      <c r="Q398" t="inlineStr">
        <is>
          <t>原文「enterprise and developer users on the GLM MaaS platform exceeded 5.8 million」（報告期末）</t>
        </is>
      </c>
    </row>
    <row r="399">
      <c r="A399" t="inlineStr">
        <is>
          <t>SRC_ZP_398</t>
        </is>
      </c>
      <c r="B399" t="inlineStr">
        <is>
          <t>Z1-R</t>
        </is>
      </c>
      <c r="C399" t="inlineStr">
        <is>
          <t>C</t>
        </is>
      </c>
      <c r="D399" t="inlineStr">
        <is>
          <t>usr_maas_ann</t>
        </is>
      </c>
      <c r="E399" t="inlineStr">
        <is>
          <t>GLM MaaS 平台企業及開發者用戶數（公告日）</t>
        </is>
      </c>
      <c r="F399" t="inlineStr">
        <is>
          <t>2026-08-31（公告日）</t>
        </is>
      </c>
      <c r="G399" t="n">
        <v>740</v>
      </c>
      <c r="J399" t="inlineStr">
        <is>
          <t>萬</t>
        </is>
      </c>
      <c r="K399" t="inlineStr">
        <is>
          <t>Interested-party</t>
        </is>
      </c>
      <c r="L399" t="inlineStr">
        <is>
          <t>智譜：上市後股價、配售、招募誘因</t>
        </is>
      </c>
      <c r="M399" t="inlineStr">
        <is>
          <t>管理層口徑</t>
        </is>
      </c>
      <c r="N399" t="inlineStr">
        <is>
          <t>智譜 2026 中期業績公告（Z.AI Co., Ltd.，截至 2026-06-30 止六個月）（第 3 頁）</t>
        </is>
      </c>
      <c r="O399" t="inlineStr">
        <is>
          <t>https://www1.hkexnews.hk/listedco/listconews/sehk/2026/0831/2026083101539.pdf</t>
        </is>
      </c>
      <c r="P399" t="inlineStr">
        <is>
          <t>2026-08-31</t>
        </is>
      </c>
      <c r="Q399" t="inlineStr">
        <is>
          <t>原文「As of the date of this announcement ... over 7.4 million enterprise and developer users」；第 15 頁稱較年初 +144%</t>
        </is>
      </c>
    </row>
    <row r="400">
      <c r="A400" t="inlineStr">
        <is>
          <t>SRC_ZP_399</t>
        </is>
      </c>
      <c r="B400" t="inlineStr">
        <is>
          <t>Z1-R</t>
        </is>
      </c>
      <c r="C400" t="inlineStr">
        <is>
          <t>C</t>
        </is>
      </c>
      <c r="D400" t="inlineStr">
        <is>
          <t>usr_maas_growth_ytd</t>
        </is>
      </c>
      <c r="E400" t="inlineStr">
        <is>
          <t>MaaS 用戶數較年初增幅</t>
        </is>
      </c>
      <c r="F400" t="inlineStr">
        <is>
          <t>2026-01-01→公告日</t>
        </is>
      </c>
      <c r="G400" t="n">
        <v>144</v>
      </c>
      <c r="J400" t="inlineStr">
        <is>
          <t>%</t>
        </is>
      </c>
      <c r="K400" t="inlineStr">
        <is>
          <t>Interested-party</t>
        </is>
      </c>
      <c r="L400" t="inlineStr">
        <is>
          <t>智譜：上市後股價、配售、招募誘因</t>
        </is>
      </c>
      <c r="N400" t="inlineStr">
        <is>
          <t>智譜 2026 中期業績公告（Z.AI Co., Ltd.，截至 2026-06-30 止六個月）（第 15 頁）</t>
        </is>
      </c>
      <c r="O400" t="inlineStr">
        <is>
          <t>https://www1.hkexnews.hk/listedco/listconews/sehk/2026/0831/2026083101539.pdf</t>
        </is>
      </c>
      <c r="P400" t="inlineStr">
        <is>
          <t>2026-08-31</t>
        </is>
      </c>
      <c r="Q400" t="inlineStr">
        <is>
          <t>原文「over 7.4 million users, an increase of 144% from the beginning of 2026」；反推年初約 303 萬（Derived）</t>
        </is>
      </c>
    </row>
    <row r="401">
      <c r="A401" t="inlineStr">
        <is>
          <t>SRC_ZP_400</t>
        </is>
      </c>
      <c r="B401" t="inlineStr">
        <is>
          <t>Z1-R</t>
        </is>
      </c>
      <c r="C401" t="inlineStr">
        <is>
          <t>C</t>
        </is>
      </c>
      <c r="D401" t="inlineStr">
        <is>
          <t>usr_maas_mar26</t>
        </is>
      </c>
      <c r="E401" t="inlineStr">
        <is>
          <t>開放平台註冊用戶數</t>
        </is>
      </c>
      <c r="F401" t="inlineStr">
        <is>
          <t>2026-03</t>
        </is>
      </c>
      <c r="G401" t="n">
        <v>400</v>
      </c>
      <c r="J401" t="inlineStr">
        <is>
          <t>萬</t>
        </is>
      </c>
      <c r="K401" t="inlineStr">
        <is>
          <t>Interested-party</t>
        </is>
      </c>
      <c r="L401" t="inlineStr">
        <is>
          <t>智譜：上市後股價、配售、招募誘因</t>
        </is>
      </c>
      <c r="N401" t="inlineStr">
        <is>
          <t>智譜 2025 年度業績公告（截至 2025-12-31）（第 4 頁）</t>
        </is>
      </c>
      <c r="O401" t="inlineStr">
        <is>
          <t>https://www1.hkexnews.hk/listedco/listconews/sehk/2026/0331/2026033101549.pdf</t>
        </is>
      </c>
      <c r="P401" t="inlineStr">
        <is>
          <t>2026-03-31</t>
        </is>
      </c>
      <c r="Q401" t="inlineStr">
        <is>
          <t>原文「surpassed 4 million registered users as of March 2026」；另稱合作「over 4 million small and medium-sized enterprises and developers」</t>
        </is>
      </c>
    </row>
    <row r="402">
      <c r="A402" t="inlineStr">
        <is>
          <t>SRC_ZP_401</t>
        </is>
      </c>
      <c r="B402" t="inlineStr">
        <is>
          <t>Z1-R</t>
        </is>
      </c>
      <c r="C402" t="inlineStr">
        <is>
          <t>C</t>
        </is>
      </c>
      <c r="D402" t="inlineStr">
        <is>
          <t>usr_paid_dau_growth</t>
        </is>
      </c>
      <c r="E402" t="inlineStr">
        <is>
          <t>付費日活用戶較年初增幅</t>
        </is>
      </c>
      <c r="F402" t="inlineStr">
        <is>
          <t>2026-01-01→1H2026</t>
        </is>
      </c>
      <c r="G402" t="n">
        <v>603</v>
      </c>
      <c r="J402" t="inlineStr">
        <is>
          <t>%</t>
        </is>
      </c>
      <c r="K402" t="inlineStr">
        <is>
          <t>Interested-party</t>
        </is>
      </c>
      <c r="L402" t="inlineStr">
        <is>
          <t>智譜：上市後股價、配售、招募誘因</t>
        </is>
      </c>
      <c r="N402" t="inlineStr">
        <is>
          <t>智譜 2026 中期業績公告（Z.AI Co., Ltd.，截至 2026-06-30 止六個月）（第 15 頁）</t>
        </is>
      </c>
      <c r="O402" t="inlineStr">
        <is>
          <t>https://www1.hkexnews.hk/listedco/listconews/sehk/2026/0831/2026083101539.pdf</t>
        </is>
      </c>
      <c r="P402" t="inlineStr">
        <is>
          <t>2026-08-31</t>
        </is>
      </c>
      <c r="Q402" t="inlineStr">
        <is>
          <t>原文「the number of paid daily active users rising by 603%」；未揭露絕對數</t>
        </is>
      </c>
    </row>
    <row r="403">
      <c r="A403" t="inlineStr">
        <is>
          <t>SRC_ZP_402</t>
        </is>
      </c>
      <c r="B403" t="inlineStr">
        <is>
          <t>Z1-R</t>
        </is>
      </c>
      <c r="C403" t="inlineStr">
        <is>
          <t>C</t>
        </is>
      </c>
      <c r="D403" t="inlineStr">
        <is>
          <t>usr_cp_paying_dev</t>
        </is>
      </c>
      <c r="E403" t="inlineStr">
        <is>
          <t>GLM Coding Plan 付費開發者數</t>
        </is>
      </c>
      <c r="F403" t="inlineStr">
        <is>
          <t>截至 2026-03</t>
        </is>
      </c>
      <c r="G403" t="n">
        <v>24.2</v>
      </c>
      <c r="J403" t="inlineStr">
        <is>
          <t>萬</t>
        </is>
      </c>
      <c r="K403" t="inlineStr">
        <is>
          <t>Interested-party</t>
        </is>
      </c>
      <c r="L403" t="inlineStr">
        <is>
          <t>智譜：上市後股價、配售、招募誘因</t>
        </is>
      </c>
      <c r="N403" t="inlineStr">
        <is>
          <t>智譜 2025 年度業績公告（截至 2025-12-31）（第 4 頁）</t>
        </is>
      </c>
      <c r="O403" t="inlineStr">
        <is>
          <t>https://www1.hkexnews.hk/listedco/listconews/sehk/2026/0331/2026033101549.pdf</t>
        </is>
      </c>
      <c r="P403" t="inlineStr">
        <is>
          <t>2026-03-31</t>
        </is>
      </c>
      <c r="Q403" t="inlineStr">
        <is>
          <t>原文「reaching over 242,000 paying developers」（Coding Plan 段落）</t>
        </is>
      </c>
    </row>
    <row r="404">
      <c r="A404" t="inlineStr">
        <is>
          <t>SRC_ZP_403</t>
        </is>
      </c>
      <c r="B404" t="inlineStr">
        <is>
          <t>Z1-R</t>
        </is>
      </c>
      <c r="C404" t="inlineStr">
        <is>
          <t>C</t>
        </is>
      </c>
      <c r="D404" t="inlineStr">
        <is>
          <t>usr_clawplan_subs</t>
        </is>
      </c>
      <c r="E404" t="inlineStr">
        <is>
          <t>Claw Plan 訂閱數（20 天）</t>
        </is>
      </c>
      <c r="F404" t="inlineStr">
        <is>
          <t>2026-03</t>
        </is>
      </c>
      <c r="G404" t="n">
        <v>40</v>
      </c>
      <c r="J404" t="inlineStr">
        <is>
          <t>萬</t>
        </is>
      </c>
      <c r="K404" t="inlineStr">
        <is>
          <t>Interested-party</t>
        </is>
      </c>
      <c r="L404" t="inlineStr">
        <is>
          <t>智譜：上市後股價、配售、招募誘因</t>
        </is>
      </c>
      <c r="N404" t="inlineStr">
        <is>
          <t>智譜 2025 年度業績公告（截至 2025-12-31）（第 4 頁）</t>
        </is>
      </c>
      <c r="O404" t="inlineStr">
        <is>
          <t>https://www1.hkexnews.hk/listedco/listconews/sehk/2026/0331/2026033101549.pdf</t>
        </is>
      </c>
      <c r="P404" t="inlineStr">
        <is>
          <t>2026-03-31</t>
        </is>
      </c>
      <c r="Q404" t="inlineStr">
        <is>
          <t>原文「100,000 subscribers within just two days and 400,000 subscribers within 20 days」；未稱付費</t>
        </is>
      </c>
    </row>
    <row r="405">
      <c r="A405" t="inlineStr">
        <is>
          <t>SRC_ZP_404</t>
        </is>
      </c>
      <c r="B405" t="inlineStr">
        <is>
          <t>Z1-R</t>
        </is>
      </c>
      <c r="C405" t="inlineStr">
        <is>
          <t>C</t>
        </is>
      </c>
      <c r="D405" t="inlineStr">
        <is>
          <t>usr_inst_cust_1h25</t>
        </is>
      </c>
      <c r="E405" t="inlineStr">
        <is>
          <t>機構客戶數</t>
        </is>
      </c>
      <c r="F405" t="inlineStr">
        <is>
          <t>2025-06-30</t>
        </is>
      </c>
      <c r="G405" t="n">
        <v>8000</v>
      </c>
      <c r="J405" t="inlineStr">
        <is>
          <t>家</t>
        </is>
      </c>
      <c r="K405" t="inlineStr">
        <is>
          <t>Interested-party</t>
        </is>
      </c>
      <c r="L405" t="inlineStr">
        <is>
          <t>智譜：上市後股價、配售、招募誘因</t>
        </is>
      </c>
      <c r="N405" t="inlineStr">
        <is>
          <t>智譜招股章程（全球發售，2025-12-30）</t>
        </is>
      </c>
      <c r="O405" t="inlineStr">
        <is>
          <t>https://www1.hkexnews.hk/listedco/listconews/sehk/2025/1230/2025123000017.pdf</t>
        </is>
      </c>
      <c r="P405" t="inlineStr">
        <is>
          <t>2025-12-30</t>
        </is>
      </c>
      <c r="Q405" t="inlineStr">
        <is>
          <t>原文「empowered over eight thousand institutional customers as of June 30, 2025」</t>
        </is>
      </c>
    </row>
    <row r="406">
      <c r="A406" t="inlineStr">
        <is>
          <t>SRC_ZP_405</t>
        </is>
      </c>
      <c r="B406" t="inlineStr">
        <is>
          <t>Z1-R</t>
        </is>
      </c>
      <c r="C406" t="inlineStr">
        <is>
          <t>C</t>
        </is>
      </c>
      <c r="D406" t="inlineStr">
        <is>
          <t>usr_inst_cust_9m25</t>
        </is>
      </c>
      <c r="E406" t="inlineStr">
        <is>
          <t>機構客戶數（九個月）</t>
        </is>
      </c>
      <c r="F406" t="inlineStr">
        <is>
          <t>9M2025（截至 2025-09-30）</t>
        </is>
      </c>
      <c r="G406" t="n">
        <v>12000</v>
      </c>
      <c r="J406" t="inlineStr">
        <is>
          <t>家</t>
        </is>
      </c>
      <c r="K406" t="inlineStr">
        <is>
          <t>Interested-party</t>
        </is>
      </c>
      <c r="L406" t="inlineStr">
        <is>
          <t>智譜：上市後股價、配售、招募誘因</t>
        </is>
      </c>
      <c r="N406" t="inlineStr">
        <is>
          <t>智譜招股章程（全球發售，2025-12-30）</t>
        </is>
      </c>
      <c r="O406" t="inlineStr">
        <is>
          <t>https://www1.hkexnews.hk/listedco/listconews/sehk/2025/1230/2025123000017.pdf</t>
        </is>
      </c>
      <c r="P406" t="inlineStr">
        <is>
          <t>2025-12-30</t>
        </is>
      </c>
      <c r="Q406" t="inlineStr">
        <is>
          <t>原文「over 12,000 institutional customers」</t>
        </is>
      </c>
    </row>
    <row r="407">
      <c r="A407" t="inlineStr">
        <is>
          <t>SRC_ZP_406</t>
        </is>
      </c>
      <c r="B407" t="inlineStr">
        <is>
          <t>Z1-R</t>
        </is>
      </c>
      <c r="C407" t="inlineStr">
        <is>
          <t>C</t>
        </is>
      </c>
      <c r="D407" t="inlineStr">
        <is>
          <t>usr_devices</t>
        </is>
      </c>
      <c r="E407" t="inlineStr">
        <is>
          <t>賦能終端設備數</t>
        </is>
      </c>
      <c r="F407" t="inlineStr">
        <is>
          <t>最後實際可行日期（2025-12）</t>
        </is>
      </c>
      <c r="G407" t="n">
        <v>8000</v>
      </c>
      <c r="J407" t="inlineStr">
        <is>
          <t>萬台</t>
        </is>
      </c>
      <c r="K407" t="inlineStr">
        <is>
          <t>Interested-party</t>
        </is>
      </c>
      <c r="L407" t="inlineStr">
        <is>
          <t>智譜：上市後股價、配售、招募誘因</t>
        </is>
      </c>
      <c r="N407" t="inlineStr">
        <is>
          <t>智譜招股章程（全球發售，2025-12-30）</t>
        </is>
      </c>
      <c r="O407" t="inlineStr">
        <is>
          <t>https://www1.hkexnews.hk/listedco/listconews/sehk/2025/1230/2025123000017.pdf</t>
        </is>
      </c>
      <c r="P407" t="inlineStr">
        <is>
          <t>2025-12-30</t>
        </is>
      </c>
      <c r="Q407" t="inlineStr">
        <is>
          <t>原文「approximately 80 million devices」</t>
        </is>
      </c>
    </row>
    <row r="408">
      <c r="A408" t="inlineStr">
        <is>
          <t>SRC_ZP_407</t>
        </is>
      </c>
      <c r="B408" t="inlineStr">
        <is>
          <t>Z1-R</t>
        </is>
      </c>
      <c r="C408" t="inlineStr">
        <is>
          <t>C</t>
        </is>
      </c>
      <c r="D408" t="inlineStr">
        <is>
          <t>usr_top10_internet</t>
        </is>
      </c>
      <c r="E408" t="inlineStr">
        <is>
          <t>中國前十大互聯網公司中接入 GLM 家數</t>
        </is>
      </c>
      <c r="F408" t="inlineStr">
        <is>
          <t>2026-03</t>
        </is>
      </c>
      <c r="G408" t="n">
        <v>9</v>
      </c>
      <c r="J408" t="inlineStr">
        <is>
          <t>家</t>
        </is>
      </c>
      <c r="K408" t="inlineStr">
        <is>
          <t>Interested-party</t>
        </is>
      </c>
      <c r="L408" t="inlineStr">
        <is>
          <t>智譜：上市後股價、配售、招募誘因</t>
        </is>
      </c>
      <c r="N408" t="inlineStr">
        <is>
          <t>智譜 2025 年度業績公告（截至 2025-12-31）</t>
        </is>
      </c>
      <c r="O408" t="inlineStr">
        <is>
          <t>https://www1.hkexnews.hk/listedco/listconews/sehk/2026/0331/2026033101549.pdf</t>
        </is>
      </c>
      <c r="P408" t="inlineStr">
        <is>
          <t>2026-03-31</t>
        </is>
      </c>
      <c r="Q408" t="inlineStr">
        <is>
          <t>原文「9 of the top 10 Internet companies in China have now deeply integrated GLM」</t>
        </is>
      </c>
    </row>
    <row r="409">
      <c r="A409" t="inlineStr">
        <is>
          <t>SRC_ZP_408</t>
        </is>
      </c>
      <c r="B409" t="inlineStr">
        <is>
          <t>Z1-R</t>
        </is>
      </c>
      <c r="C409" t="inlineStr">
        <is>
          <t>C</t>
        </is>
      </c>
      <c r="D409" t="inlineStr">
        <is>
          <t>usr_countries_fy25</t>
        </is>
      </c>
      <c r="E409" t="inlineStr">
        <is>
          <t>用戶覆蓋國家與地區</t>
        </is>
      </c>
      <c r="F409" t="inlineStr">
        <is>
          <t>FY2025</t>
        </is>
      </c>
      <c r="G409" t="n">
        <v>218</v>
      </c>
      <c r="J409" t="inlineStr">
        <is>
          <t>個</t>
        </is>
      </c>
      <c r="K409" t="inlineStr">
        <is>
          <t>Interested-party</t>
        </is>
      </c>
      <c r="L409" t="inlineStr">
        <is>
          <t>智譜：上市後股價、配售、招募誘因</t>
        </is>
      </c>
      <c r="N409" t="inlineStr">
        <is>
          <t>智譜 2025 年度業績公告（截至 2025-12-31）</t>
        </is>
      </c>
      <c r="O409" t="inlineStr">
        <is>
          <t>https://www1.hkexnews.hk/listedco/listconews/sehk/2026/0331/2026033101549.pdf</t>
        </is>
      </c>
      <c r="P409" t="inlineStr">
        <is>
          <t>2026-03-31</t>
        </is>
      </c>
      <c r="Q409" t="inlineStr">
        <is>
          <t>原文「covering 218 countries and regions worldwide」</t>
        </is>
      </c>
    </row>
    <row r="410">
      <c r="A410" t="inlineStr">
        <is>
          <t>SRC_ZP_409</t>
        </is>
      </c>
      <c r="B410" t="inlineStr">
        <is>
          <t>Z1-R</t>
        </is>
      </c>
      <c r="C410" t="inlineStr">
        <is>
          <t>C</t>
        </is>
      </c>
      <c r="D410" t="inlineStr">
        <is>
          <t>usr_countries_1h26_b</t>
        </is>
      </c>
      <c r="E410" t="inlineStr">
        <is>
          <t>用戶覆蓋國家與地區（中期媒體轉述）</t>
        </is>
      </c>
      <c r="F410" t="inlineStr">
        <is>
          <t>1H2026</t>
        </is>
      </c>
      <c r="G410" t="n">
        <v>233</v>
      </c>
      <c r="J410" t="inlineStr">
        <is>
          <t>個</t>
        </is>
      </c>
      <c r="K410" t="inlineStr">
        <is>
          <t>Interested-party</t>
        </is>
      </c>
      <c r="L410" t="inlineStr">
        <is>
          <t>智譜：上市後股價、配售、招募誘因</t>
        </is>
      </c>
      <c r="N410" t="inlineStr">
        <is>
          <t>科創板日報（財聯社）</t>
        </is>
      </c>
      <c r="O410" t="inlineStr">
        <is>
          <t>https://m.cls.cn/detail/2470120</t>
        </is>
      </c>
      <c r="P410" t="inlineStr">
        <is>
          <t>2026-08-31</t>
        </is>
      </c>
      <c r="Q410" t="inlineStr">
        <is>
          <t>原文「用戶覆蓋233個國家和地區」；公告本文未查得此句</t>
        </is>
      </c>
    </row>
    <row r="411">
      <c r="A411" t="inlineStr">
        <is>
          <t>SRC_ZP_410</t>
        </is>
      </c>
      <c r="B411" t="inlineStr">
        <is>
          <t>Z1-R</t>
        </is>
      </c>
      <c r="C411" t="inlineStr">
        <is>
          <t>C</t>
        </is>
      </c>
      <c r="D411" t="inlineStr">
        <is>
          <t>tok_maas_growth_ytd</t>
        </is>
      </c>
      <c r="E411" t="inlineStr">
        <is>
          <t>MaaS 平台 token 呼叫量較年初倍數</t>
        </is>
      </c>
      <c r="F411" t="inlineStr">
        <is>
          <t>2026-01-01→1H2026</t>
        </is>
      </c>
      <c r="G411" t="n">
        <v>40</v>
      </c>
      <c r="J411" t="inlineStr">
        <is>
          <t>倍（以上）</t>
        </is>
      </c>
      <c r="K411" t="inlineStr">
        <is>
          <t>Interested-party</t>
        </is>
      </c>
      <c r="L411" t="inlineStr">
        <is>
          <t>智譜：上市後股價、配售、招募誘因</t>
        </is>
      </c>
      <c r="N411" t="inlineStr">
        <is>
          <t>智譜 2026 中期業績公告（Z.AI Co., Ltd.，截至 2026-06-30 止六個月）（第 14 頁）</t>
        </is>
      </c>
      <c r="O411" t="inlineStr">
        <is>
          <t>https://www1.hkexnews.hk/listedco/listconews/sehk/2026/0831/2026083101539.pdf</t>
        </is>
      </c>
      <c r="P411" t="inlineStr">
        <is>
          <t>2026-08-31</t>
        </is>
      </c>
      <c r="Q411" t="inlineStr">
        <is>
          <t>原文「Token invocation volume of the MaaS platform had increased over 40 times from the beginning of 2026」</t>
        </is>
      </c>
    </row>
    <row r="412">
      <c r="A412" t="inlineStr">
        <is>
          <t>SRC_ZP_411</t>
        </is>
      </c>
      <c r="B412" t="inlineStr">
        <is>
          <t>Z1-R</t>
        </is>
      </c>
      <c r="C412" t="inlineStr">
        <is>
          <t>C</t>
        </is>
      </c>
      <c r="D412" t="inlineStr">
        <is>
          <t>tok_cp_growth_ytd</t>
        </is>
      </c>
      <c r="E412" t="inlineStr">
        <is>
          <t>Coding Plan 呼叫量較年初倍數</t>
        </is>
      </c>
      <c r="F412" t="inlineStr">
        <is>
          <t>2026-01-01→1H2026</t>
        </is>
      </c>
      <c r="G412" t="n">
        <v>23</v>
      </c>
      <c r="J412" t="inlineStr">
        <is>
          <t>倍（以上）</t>
        </is>
      </c>
      <c r="K412" t="inlineStr">
        <is>
          <t>Interested-party</t>
        </is>
      </c>
      <c r="L412" t="inlineStr">
        <is>
          <t>智譜：上市後股價、配售、招募誘因</t>
        </is>
      </c>
      <c r="N412" t="inlineStr">
        <is>
          <t>智譜 2026 中期業績公告（Z.AI Co., Ltd.，截至 2026-06-30 止六個月）（第 14 頁）</t>
        </is>
      </c>
      <c r="O412" t="inlineStr">
        <is>
          <t>https://www1.hkexnews.hk/listedco/listconews/sehk/2026/0831/2026083101539.pdf</t>
        </is>
      </c>
      <c r="P412" t="inlineStr">
        <is>
          <t>2026-08-31</t>
        </is>
      </c>
      <c r="Q412" t="inlineStr">
        <is>
          <t>原文「with Coding Plan invocation volume growing over 23 times」</t>
        </is>
      </c>
    </row>
    <row r="413">
      <c r="A413" t="inlineStr">
        <is>
          <t>SRC_ZP_412</t>
        </is>
      </c>
      <c r="B413" t="inlineStr">
        <is>
          <t>Z1-R</t>
        </is>
      </c>
      <c r="C413" t="inlineStr">
        <is>
          <t>C</t>
        </is>
      </c>
      <c r="D413" t="inlineStr">
        <is>
          <t>tok_top10_daily_growth</t>
        </is>
      </c>
      <c r="E413" t="inlineStr">
        <is>
          <t>前十大付費客戶日均呼叫量較年初倍數</t>
        </is>
      </c>
      <c r="F413" t="inlineStr">
        <is>
          <t>2026-01-01→1H2026</t>
        </is>
      </c>
      <c r="G413" t="n">
        <v>98</v>
      </c>
      <c r="J413" t="inlineStr">
        <is>
          <t>倍</t>
        </is>
      </c>
      <c r="K413" t="inlineStr">
        <is>
          <t>Interested-party</t>
        </is>
      </c>
      <c r="L413" t="inlineStr">
        <is>
          <t>智譜：上市後股價、配售、招募誘因</t>
        </is>
      </c>
      <c r="N413" t="inlineStr">
        <is>
          <t>智譜 2026 中期業績公告（Z.AI Co., Ltd.，截至 2026-06-30 止六個月）（第 15 頁）</t>
        </is>
      </c>
      <c r="O413" t="inlineStr">
        <is>
          <t>https://www1.hkexnews.hk/listedco/listconews/sehk/2026/0831/2026083101539.pdf</t>
        </is>
      </c>
      <c r="P413" t="inlineStr">
        <is>
          <t>2026-08-31</t>
        </is>
      </c>
      <c r="Q413" t="inlineStr">
        <is>
          <t>原文「For the top ten customers by revenue, the average daily invocation volume soared 98 times」</t>
        </is>
      </c>
    </row>
    <row r="414">
      <c r="A414" t="inlineStr">
        <is>
          <t>SRC_ZP_413</t>
        </is>
      </c>
      <c r="B414" t="inlineStr">
        <is>
          <t>Z1-R</t>
        </is>
      </c>
      <c r="C414" t="inlineStr">
        <is>
          <t>C</t>
        </is>
      </c>
      <c r="D414" t="inlineStr">
        <is>
          <t>tok_daily_nov25</t>
        </is>
      </c>
      <c r="E414" t="inlineStr">
        <is>
          <t>日均 token 消耗量</t>
        </is>
      </c>
      <c r="F414" t="inlineStr">
        <is>
          <t>2025-11</t>
        </is>
      </c>
      <c r="G414" t="n">
        <v>4.2</v>
      </c>
      <c r="J414" t="inlineStr">
        <is>
          <t>T／日</t>
        </is>
      </c>
      <c r="K414" t="inlineStr">
        <is>
          <t>Interested-party</t>
        </is>
      </c>
      <c r="L414" t="inlineStr">
        <is>
          <t>智譜：上市後股價、配售、招募誘因</t>
        </is>
      </c>
      <c r="M414" t="inlineStr">
        <is>
          <t>管理層口徑</t>
        </is>
      </c>
      <c r="N414" t="inlineStr">
        <is>
          <t>智譜招股章程（全球發售，2025-12-30）</t>
        </is>
      </c>
      <c r="O414" t="inlineStr">
        <is>
          <t>https://www1.hkexnews.hk/listedco/listconews/sehk/2025/1230/2025123000017.pdf</t>
        </is>
      </c>
      <c r="P414" t="inlineStr">
        <is>
          <t>2025-12-30</t>
        </is>
      </c>
      <c r="Q414" t="inlineStr">
        <is>
          <t>原文「our average daily token consumption volume was 4.2 trillion in November 2025」；口徑可能含本地化以外全部雲端</t>
        </is>
      </c>
    </row>
    <row r="415">
      <c r="A415" t="inlineStr">
        <is>
          <t>SRC_ZP_414</t>
        </is>
      </c>
      <c r="B415" t="inlineStr">
        <is>
          <t>Z1-R</t>
        </is>
      </c>
      <c r="C415" t="inlineStr">
        <is>
          <t>C</t>
        </is>
      </c>
      <c r="D415" t="inlineStr">
        <is>
          <t>tok_daily_1h25_b</t>
        </is>
      </c>
      <c r="E415" t="inlineStr">
        <is>
          <t>日均 token 消耗量（媒體轉述招股書）</t>
        </is>
      </c>
      <c r="F415" t="inlineStr">
        <is>
          <t>1H2025</t>
        </is>
      </c>
      <c r="G415" t="n">
        <v>4.6</v>
      </c>
      <c r="J415" t="inlineStr">
        <is>
          <t>T／日</t>
        </is>
      </c>
      <c r="K415" t="inlineStr">
        <is>
          <t>Interested-party</t>
        </is>
      </c>
      <c r="L415" t="inlineStr">
        <is>
          <t>媒體轉述 PHIP；智譜誘因同上</t>
        </is>
      </c>
      <c r="N415" t="inlineStr">
        <is>
          <t>鈦媒體（2025-12-26）</t>
        </is>
      </c>
      <c r="O415" t="inlineStr">
        <is>
          <t>https://www.tmtpost.com/7821744.html</t>
        </is>
      </c>
      <c r="P415" t="inlineStr">
        <is>
          <t>2025-12-26</t>
        </is>
      </c>
      <c r="Q415" t="inlineStr">
        <is>
          <t>原文「日均token消耗量，從2022年的5億上升到2025年上半年4.6萬億」；與招股章程 2025-11 的 4.2T 矛盾（期間不同或口徑不同），全部登錄</t>
        </is>
      </c>
    </row>
    <row r="416">
      <c r="A416" t="inlineStr">
        <is>
          <t>SRC_ZP_415</t>
        </is>
      </c>
      <c r="B416" t="inlineStr">
        <is>
          <t>Z1-R</t>
        </is>
      </c>
      <c r="C416" t="inlineStr">
        <is>
          <t>C</t>
        </is>
      </c>
      <c r="D416" t="inlineStr">
        <is>
          <t>tok_daily_2022_b</t>
        </is>
      </c>
      <c r="E416" t="inlineStr">
        <is>
          <t>日均 token 消耗量（2022）</t>
        </is>
      </c>
      <c r="F416" t="inlineStr">
        <is>
          <t>FY2022</t>
        </is>
      </c>
      <c r="G416" t="n">
        <v>0.0005</v>
      </c>
      <c r="J416" t="inlineStr">
        <is>
          <t>T／日</t>
        </is>
      </c>
      <c r="K416" t="inlineStr">
        <is>
          <t>Interested-party</t>
        </is>
      </c>
      <c r="L416" t="inlineStr">
        <is>
          <t>媒體轉述 PHIP</t>
        </is>
      </c>
      <c r="N416" t="inlineStr">
        <is>
          <t>鈦媒體（2025-12-26）</t>
        </is>
      </c>
      <c r="O416" t="inlineStr">
        <is>
          <t>https://www.tmtpost.com/7821744.html</t>
        </is>
      </c>
      <c r="P416" t="inlineStr">
        <is>
          <t>2025-12-26</t>
        </is>
      </c>
      <c r="Q416" t="inlineStr">
        <is>
          <t>原文「從2022年的5億」＝5 億 token／日＝0.0005T</t>
        </is>
      </c>
    </row>
    <row r="417">
      <c r="A417" t="inlineStr">
        <is>
          <t>SRC_ZP_416</t>
        </is>
      </c>
      <c r="B417" t="inlineStr">
        <is>
          <t>Z1-R</t>
        </is>
      </c>
      <c r="C417" t="inlineStr">
        <is>
          <t>C</t>
        </is>
      </c>
      <c r="D417" t="inlineStr">
        <is>
          <t>tok_oxalpha_6d</t>
        </is>
      </c>
      <c r="E417" t="inlineStr">
        <is>
          <t>GLM-5.3-Flash（代號 Ox-Alpha）匿名測試 6 日累計 token</t>
        </is>
      </c>
      <c r="F417" t="inlineStr">
        <is>
          <t>2026-08（上市前一週）</t>
        </is>
      </c>
      <c r="G417" t="n">
        <v>62</v>
      </c>
      <c r="J417" t="inlineStr">
        <is>
          <t>T（6 日累計）</t>
        </is>
      </c>
      <c r="K417" t="inlineStr">
        <is>
          <t>Interested-party</t>
        </is>
      </c>
      <c r="L417" t="inlineStr">
        <is>
          <t>智譜：上市後股價、配售、招募誘因</t>
        </is>
      </c>
      <c r="N417" t="inlineStr">
        <is>
          <t>智譜 2026 中期業績公告（Z.AI Co., Ltd.，截至 2026-06-30 止六個月）（第 10 頁）</t>
        </is>
      </c>
      <c r="O417" t="inlineStr">
        <is>
          <t>https://www1.hkexnews.hk/listedco/listconews/sehk/2026/0831/2026083101539.pdf</t>
        </is>
      </c>
      <c r="P417" t="inlineStr">
        <is>
          <t>2026-08-31</t>
        </is>
      </c>
      <c r="Q417" t="inlineStr">
        <is>
          <t>原文「6-day cumulative Token volume of more than 62 trillion」，於 OpenCode／OpenRouter 匿名部署；含免費流量，非付費口徑</t>
        </is>
      </c>
    </row>
    <row r="418">
      <c r="A418" t="inlineStr">
        <is>
          <t>SRC_ZP_417</t>
        </is>
      </c>
      <c r="B418" t="inlineStr">
        <is>
          <t>Z1-R</t>
        </is>
      </c>
      <c r="C418" t="inlineStr">
        <is>
          <t>C</t>
        </is>
      </c>
      <c r="D418" t="inlineStr">
        <is>
          <t>arr_maas_aug26_monthly</t>
        </is>
      </c>
      <c r="E418" t="inlineStr">
        <is>
          <t>MaaS 平台 ARR（月度年化）</t>
        </is>
      </c>
      <c r="F418" t="inlineStr">
        <is>
          <t>2026-08 末</t>
        </is>
      </c>
      <c r="G418" t="n">
        <v>16</v>
      </c>
      <c r="J418" t="inlineStr">
        <is>
          <t>USD 億</t>
        </is>
      </c>
      <c r="K418" t="inlineStr">
        <is>
          <t>Interested-party</t>
        </is>
      </c>
      <c r="L418" t="inlineStr">
        <is>
          <t>智譜：上市後股價、配售、招募誘因</t>
        </is>
      </c>
      <c r="N418" t="inlineStr">
        <is>
          <t>網易科技（同花順轉載，業績電話會）</t>
        </is>
      </c>
      <c r="O418" t="inlineStr">
        <is>
          <t>https://stock.10jqka.com.cn/20260901/c679482271.shtml</t>
        </is>
      </c>
      <c r="P418" t="inlineStr">
        <is>
          <t>2026-09-01</t>
        </is>
      </c>
      <c r="Q418" t="inlineStr">
        <is>
          <t>原文「截至8月末…MaaS平台按月度收入年化計算的ARR達到16億美元，按周度年化口徑超過20億美元」</t>
        </is>
      </c>
    </row>
    <row r="419">
      <c r="A419" t="inlineStr">
        <is>
          <t>SRC_ZP_418</t>
        </is>
      </c>
      <c r="B419" t="inlineStr">
        <is>
          <t>Z1-R</t>
        </is>
      </c>
      <c r="C419" t="inlineStr">
        <is>
          <t>C</t>
        </is>
      </c>
      <c r="D419" t="inlineStr">
        <is>
          <t>arr_maas_aug26_weekly_b</t>
        </is>
      </c>
      <c r="E419" t="inlineStr">
        <is>
          <t>MaaS 平台 ARR（週度年化）</t>
        </is>
      </c>
      <c r="F419" t="inlineStr">
        <is>
          <t>2026-08 末</t>
        </is>
      </c>
      <c r="G419" t="n">
        <v>20</v>
      </c>
      <c r="J419" t="inlineStr">
        <is>
          <t>USD 億（以上）</t>
        </is>
      </c>
      <c r="K419" t="inlineStr">
        <is>
          <t>Interested-party</t>
        </is>
      </c>
      <c r="L419" t="inlineStr">
        <is>
          <t>智譜：上市後股價、配售、招募誘因</t>
        </is>
      </c>
      <c r="N419" t="inlineStr">
        <is>
          <t>網易科技（同花順轉載，業績電話會）</t>
        </is>
      </c>
      <c r="O419" t="inlineStr">
        <is>
          <t>https://stock.10jqka.com.cn/20260901/c679482271.shtml</t>
        </is>
      </c>
      <c r="P419" t="inlineStr">
        <is>
          <t>2026-09-01</t>
        </is>
      </c>
      <c r="Q419" t="inlineStr">
        <is>
          <t>同上「按周度年化口徑超過20億美元」</t>
        </is>
      </c>
    </row>
    <row r="420">
      <c r="A420" t="inlineStr">
        <is>
          <t>SRC_ZP_419</t>
        </is>
      </c>
      <c r="B420" t="inlineStr">
        <is>
          <t>Z1-R</t>
        </is>
      </c>
      <c r="C420" t="inlineStr">
        <is>
          <t>C</t>
        </is>
      </c>
      <c r="D420" t="inlineStr">
        <is>
          <t>arr_total_sep26</t>
        </is>
      </c>
      <c r="E420" t="inlineStr">
        <is>
          <t>全業務 ARR</t>
        </is>
      </c>
      <c r="F420" t="inlineStr">
        <is>
          <t>2026-09-16</t>
        </is>
      </c>
      <c r="G420" t="n">
        <v>18</v>
      </c>
      <c r="J420" t="inlineStr">
        <is>
          <t>USD 億</t>
        </is>
      </c>
      <c r="K420" t="inlineStr">
        <is>
          <t>Interested-party</t>
        </is>
      </c>
      <c r="L420" t="inlineStr">
        <is>
          <t>智譜：上市後股價、配售、招募誘因</t>
        </is>
      </c>
      <c r="N420" t="inlineStr">
        <is>
          <t>證券日報（同花順 2026-09-16）</t>
        </is>
      </c>
      <c r="O420" t="inlineStr">
        <is>
          <t>https://stock.10jqka.com.cn/20260916/c679973930.shtml</t>
        </is>
      </c>
      <c r="P420" t="inlineStr">
        <is>
          <t>2026-09-16</t>
        </is>
      </c>
      <c r="Q420" t="inlineStr">
        <is>
          <t>原文「全業務口徑ARR…已經達到18億美元，年末ARR指引由24億美元上調至30億美元」；指引不得用於反推</t>
        </is>
      </c>
    </row>
    <row r="421">
      <c r="A421" t="inlineStr">
        <is>
          <t>SRC_ZP_420</t>
        </is>
      </c>
      <c r="B421" t="inlineStr">
        <is>
          <t>Z1-R</t>
        </is>
      </c>
      <c r="C421" t="inlineStr">
        <is>
          <t>C</t>
        </is>
      </c>
      <c r="D421" t="inlineStr">
        <is>
          <t>arr_guide_ye26</t>
        </is>
      </c>
      <c r="E421" t="inlineStr">
        <is>
          <t>年末 ARR 指引（上調後）</t>
        </is>
      </c>
      <c r="F421" t="inlineStr">
        <is>
          <t>2026-12（目標）</t>
        </is>
      </c>
      <c r="G421" t="n">
        <v>30</v>
      </c>
      <c r="J421" t="inlineStr">
        <is>
          <t>USD 億</t>
        </is>
      </c>
      <c r="K421" t="inlineStr">
        <is>
          <t>Interested-party</t>
        </is>
      </c>
      <c r="L421" t="inlineStr">
        <is>
          <t>智譜：上市後股價、配售、招募誘因</t>
        </is>
      </c>
      <c r="N421" t="inlineStr">
        <is>
          <t>證券日報（同花順 2026-09-16）</t>
        </is>
      </c>
      <c r="O421" t="inlineStr">
        <is>
          <t>https://stock.10jqka.com.cn/20260916/c679973930.shtml</t>
        </is>
      </c>
      <c r="P421" t="inlineStr">
        <is>
          <t>2026-09-16</t>
        </is>
      </c>
      <c r="Q421" t="inlineStr">
        <is>
          <t>由 24 億美元上調至 30 億美元；屬公司目標，只作對照（規格 D22）</t>
        </is>
      </c>
    </row>
    <row r="422">
      <c r="A422" t="inlineStr">
        <is>
          <t>SRC_ZP_421</t>
        </is>
      </c>
      <c r="B422" t="inlineStr">
        <is>
          <t>Z1-R</t>
        </is>
      </c>
      <c r="C422" t="inlineStr">
        <is>
          <t>C</t>
        </is>
      </c>
      <c r="D422" t="inlineStr">
        <is>
          <t>dem_glm5_10x</t>
        </is>
      </c>
      <c r="E422" t="inlineStr">
        <is>
          <t>GLM-5 發布後模型呼叫需求倍數</t>
        </is>
      </c>
      <c r="F422" t="inlineStr">
        <is>
          <t>2026-02 後</t>
        </is>
      </c>
      <c r="G422" t="n">
        <v>10</v>
      </c>
      <c r="J422" t="inlineStr">
        <is>
          <t>倍</t>
        </is>
      </c>
      <c r="K422" t="inlineStr">
        <is>
          <t>Interested-party</t>
        </is>
      </c>
      <c r="L422" t="inlineStr">
        <is>
          <t>智譜：上市後股價、配售、招募誘因</t>
        </is>
      </c>
      <c r="N422" t="inlineStr">
        <is>
          <t>證券日報（同花順 2026-09-16）</t>
        </is>
      </c>
      <c r="O422" t="inlineStr">
        <is>
          <t>https://stock.10jqka.com.cn/20260916/c679973930.shtml</t>
        </is>
      </c>
      <c r="P422" t="inlineStr">
        <is>
          <t>2026-09-16</t>
        </is>
      </c>
      <c r="Q422" t="inlineStr">
        <is>
          <t>原文「模型調用需求量比發布之前增長10倍」</t>
        </is>
      </c>
    </row>
    <row r="423">
      <c r="A423" t="inlineStr">
        <is>
          <t>SRC_ZP_422</t>
        </is>
      </c>
      <c r="B423" t="inlineStr">
        <is>
          <t>Z1-R</t>
        </is>
      </c>
      <c r="C423" t="inlineStr">
        <is>
          <t>C</t>
        </is>
      </c>
      <c r="D423" t="inlineStr">
        <is>
          <t>dem_signup_restrict_feb26</t>
        </is>
      </c>
      <c r="E423" t="inlineStr">
        <is>
          <t>2026-02 算力不足限制新用戶註冊</t>
        </is>
      </c>
      <c r="F423" t="inlineStr">
        <is>
          <t>2026-02 下旬</t>
        </is>
      </c>
      <c r="J423" t="inlineStr">
        <is>
          <t>事件</t>
        </is>
      </c>
      <c r="K423" t="inlineStr">
        <is>
          <t>Interested-party</t>
        </is>
      </c>
      <c r="L423" t="inlineStr">
        <is>
          <t>媒體（SCMP）</t>
        </is>
      </c>
      <c r="N423" t="inlineStr">
        <is>
          <t>Wikipedia〈Z.ai〉（引 SCMP 2026-02-23）</t>
        </is>
      </c>
      <c r="O423" t="inlineStr">
        <is>
          <t>https://en.wikipedia.org/wiki/Z.ai</t>
        </is>
      </c>
      <c r="P423" t="inlineStr">
        <is>
          <t>2026-10-08</t>
        </is>
      </c>
      <c r="Q423" t="inlineStr">
        <is>
          <t>引 SCMP：compute shortage 致用戶抱怨，「new user signups were restricted」；容量上限曾綁定</t>
        </is>
      </c>
    </row>
    <row r="424">
      <c r="A424" t="inlineStr">
        <is>
          <t>SRC_ZP_423</t>
        </is>
      </c>
      <c r="B424" t="inlineStr">
        <is>
          <t>Z1-R</t>
        </is>
      </c>
      <c r="C424" t="inlineStr">
        <is>
          <t>C</t>
        </is>
      </c>
      <c r="D424" t="inlineStr">
        <is>
          <t>cust_top5_share_fy22</t>
        </is>
      </c>
      <c r="E424" t="inlineStr">
        <is>
          <t>前五大客戶收入占比</t>
        </is>
      </c>
      <c r="F424" t="inlineStr">
        <is>
          <t>FY2022</t>
        </is>
      </c>
      <c r="G424" t="n">
        <v>55.4</v>
      </c>
      <c r="J424" t="inlineStr">
        <is>
          <t>%</t>
        </is>
      </c>
      <c r="K424" t="inlineStr">
        <is>
          <t>Verified</t>
        </is>
      </c>
      <c r="M424" t="inlineStr">
        <is>
          <t>經審計（往績記錄期）</t>
        </is>
      </c>
      <c r="N424" t="inlineStr">
        <is>
          <t>智譜招股章程（全球發售，2025-12-30）</t>
        </is>
      </c>
      <c r="O424" t="inlineStr">
        <is>
          <t>https://www1.hkexnews.hk/listedco/listconews/sehk/2025/1230/2025123000017.pdf</t>
        </is>
      </c>
      <c r="P424" t="inlineStr">
        <is>
          <t>2025-12-30</t>
        </is>
      </c>
      <c r="Q424" t="inlineStr">
        <is>
          <t>招股章程：前五大 55.4%、最大客戶 15.4%</t>
        </is>
      </c>
    </row>
    <row r="425">
      <c r="A425" t="inlineStr">
        <is>
          <t>SRC_ZP_424</t>
        </is>
      </c>
      <c r="B425" t="inlineStr">
        <is>
          <t>Z1-R</t>
        </is>
      </c>
      <c r="C425" t="inlineStr">
        <is>
          <t>C</t>
        </is>
      </c>
      <c r="D425" t="inlineStr">
        <is>
          <t>cust_top1_share_fy22</t>
        </is>
      </c>
      <c r="E425" t="inlineStr">
        <is>
          <t>最大客戶收入占比</t>
        </is>
      </c>
      <c r="F425" t="inlineStr">
        <is>
          <t>FY2022</t>
        </is>
      </c>
      <c r="G425" t="n">
        <v>15.4</v>
      </c>
      <c r="J425" t="inlineStr">
        <is>
          <t>%</t>
        </is>
      </c>
      <c r="K425" t="inlineStr">
        <is>
          <t>Verified</t>
        </is>
      </c>
      <c r="M425" t="inlineStr">
        <is>
          <t>經審計（往績記錄期）</t>
        </is>
      </c>
      <c r="N425" t="inlineStr">
        <is>
          <t>智譜招股章程（全球發售，2025-12-30）</t>
        </is>
      </c>
      <c r="O425" t="inlineStr">
        <is>
          <t>https://www1.hkexnews.hk/listedco/listconews/sehk/2025/1230/2025123000017.pdf</t>
        </is>
      </c>
      <c r="P425" t="inlineStr">
        <is>
          <t>2025-12-30</t>
        </is>
      </c>
      <c r="Q425" t="inlineStr">
        <is>
          <t>同上</t>
        </is>
      </c>
    </row>
    <row r="426">
      <c r="A426" t="inlineStr">
        <is>
          <t>SRC_ZP_425</t>
        </is>
      </c>
      <c r="B426" t="inlineStr">
        <is>
          <t>Z1-R</t>
        </is>
      </c>
      <c r="C426" t="inlineStr">
        <is>
          <t>C</t>
        </is>
      </c>
      <c r="D426" t="inlineStr">
        <is>
          <t>cust_top5_share_fy23</t>
        </is>
      </c>
      <c r="E426" t="inlineStr">
        <is>
          <t>前五大客戶收入占比</t>
        </is>
      </c>
      <c r="F426" t="inlineStr">
        <is>
          <t>FY2023</t>
        </is>
      </c>
      <c r="G426" t="n">
        <v>61.5</v>
      </c>
      <c r="J426" t="inlineStr">
        <is>
          <t>%</t>
        </is>
      </c>
      <c r="K426" t="inlineStr">
        <is>
          <t>Verified</t>
        </is>
      </c>
      <c r="M426" t="inlineStr">
        <is>
          <t>經審計（往績記錄期）</t>
        </is>
      </c>
      <c r="N426" t="inlineStr">
        <is>
          <t>智譜招股章程（全球發售，2025-12-30）</t>
        </is>
      </c>
      <c r="O426" t="inlineStr">
        <is>
          <t>https://www1.hkexnews.hk/listedco/listconews/sehk/2025/1230/2025123000017.pdf</t>
        </is>
      </c>
      <c r="P426" t="inlineStr">
        <is>
          <t>2025-12-30</t>
        </is>
      </c>
      <c r="Q426" t="inlineStr">
        <is>
          <t>招股章程：前五大 61.5%、最大客戶 14.7%</t>
        </is>
      </c>
    </row>
    <row r="427">
      <c r="A427" t="inlineStr">
        <is>
          <t>SRC_ZP_426</t>
        </is>
      </c>
      <c r="B427" t="inlineStr">
        <is>
          <t>Z1-R</t>
        </is>
      </c>
      <c r="C427" t="inlineStr">
        <is>
          <t>C</t>
        </is>
      </c>
      <c r="D427" t="inlineStr">
        <is>
          <t>cust_top1_share_fy23</t>
        </is>
      </c>
      <c r="E427" t="inlineStr">
        <is>
          <t>最大客戶收入占比</t>
        </is>
      </c>
      <c r="F427" t="inlineStr">
        <is>
          <t>FY2023</t>
        </is>
      </c>
      <c r="G427" t="n">
        <v>14.7</v>
      </c>
      <c r="J427" t="inlineStr">
        <is>
          <t>%</t>
        </is>
      </c>
      <c r="K427" t="inlineStr">
        <is>
          <t>Verified</t>
        </is>
      </c>
      <c r="M427" t="inlineStr">
        <is>
          <t>經審計（往績記錄期）</t>
        </is>
      </c>
      <c r="N427" t="inlineStr">
        <is>
          <t>智譜招股章程（全球發售，2025-12-30）</t>
        </is>
      </c>
      <c r="O427" t="inlineStr">
        <is>
          <t>https://www1.hkexnews.hk/listedco/listconews/sehk/2025/1230/2025123000017.pdf</t>
        </is>
      </c>
      <c r="P427" t="inlineStr">
        <is>
          <t>2025-12-30</t>
        </is>
      </c>
      <c r="Q427" t="inlineStr">
        <is>
          <t>同上</t>
        </is>
      </c>
    </row>
    <row r="428">
      <c r="A428" t="inlineStr">
        <is>
          <t>SRC_ZP_427</t>
        </is>
      </c>
      <c r="B428" t="inlineStr">
        <is>
          <t>Z1-R</t>
        </is>
      </c>
      <c r="C428" t="inlineStr">
        <is>
          <t>C</t>
        </is>
      </c>
      <c r="D428" t="inlineStr">
        <is>
          <t>cust_top5_share_fy24</t>
        </is>
      </c>
      <c r="E428" t="inlineStr">
        <is>
          <t>前五大客戶收入占比</t>
        </is>
      </c>
      <c r="F428" t="inlineStr">
        <is>
          <t>FY2024</t>
        </is>
      </c>
      <c r="G428" t="n">
        <v>45.5</v>
      </c>
      <c r="J428" t="inlineStr">
        <is>
          <t>%</t>
        </is>
      </c>
      <c r="K428" t="inlineStr">
        <is>
          <t>Verified</t>
        </is>
      </c>
      <c r="M428" t="inlineStr">
        <is>
          <t>經審計（往績記錄期）</t>
        </is>
      </c>
      <c r="N428" t="inlineStr">
        <is>
          <t>智譜招股章程（全球發售，2025-12-30）</t>
        </is>
      </c>
      <c r="O428" t="inlineStr">
        <is>
          <t>https://www1.hkexnews.hk/listedco/listconews/sehk/2025/1230/2025123000017.pdf</t>
        </is>
      </c>
      <c r="P428" t="inlineStr">
        <is>
          <t>2025-12-30</t>
        </is>
      </c>
      <c r="Q428" t="inlineStr">
        <is>
          <t>招股章程：前五大 45.5%、最大客戶 19.0%</t>
        </is>
      </c>
    </row>
    <row r="429">
      <c r="A429" t="inlineStr">
        <is>
          <t>SRC_ZP_428</t>
        </is>
      </c>
      <c r="B429" t="inlineStr">
        <is>
          <t>Z1-R</t>
        </is>
      </c>
      <c r="C429" t="inlineStr">
        <is>
          <t>C</t>
        </is>
      </c>
      <c r="D429" t="inlineStr">
        <is>
          <t>cust_top1_share_fy24</t>
        </is>
      </c>
      <c r="E429" t="inlineStr">
        <is>
          <t>最大客戶收入占比</t>
        </is>
      </c>
      <c r="F429" t="inlineStr">
        <is>
          <t>FY2024</t>
        </is>
      </c>
      <c r="G429" t="n">
        <v>19</v>
      </c>
      <c r="J429" t="inlineStr">
        <is>
          <t>%</t>
        </is>
      </c>
      <c r="K429" t="inlineStr">
        <is>
          <t>Verified</t>
        </is>
      </c>
      <c r="M429" t="inlineStr">
        <is>
          <t>經審計（往績記錄期）</t>
        </is>
      </c>
      <c r="N429" t="inlineStr">
        <is>
          <t>智譜招股章程（全球發售，2025-12-30）</t>
        </is>
      </c>
      <c r="O429" t="inlineStr">
        <is>
          <t>https://www1.hkexnews.hk/listedco/listconews/sehk/2025/1230/2025123000017.pdf</t>
        </is>
      </c>
      <c r="P429" t="inlineStr">
        <is>
          <t>2025-12-30</t>
        </is>
      </c>
      <c r="Q429" t="inlineStr">
        <is>
          <t>同上</t>
        </is>
      </c>
    </row>
    <row r="430">
      <c r="A430" t="inlineStr">
        <is>
          <t>SRC_ZP_429</t>
        </is>
      </c>
      <c r="B430" t="inlineStr">
        <is>
          <t>Z1-R</t>
        </is>
      </c>
      <c r="C430" t="inlineStr">
        <is>
          <t>C</t>
        </is>
      </c>
      <c r="D430" t="inlineStr">
        <is>
          <t>cust_top5_share_1h25</t>
        </is>
      </c>
      <c r="E430" t="inlineStr">
        <is>
          <t>前五大客戶收入占比</t>
        </is>
      </c>
      <c r="F430" t="inlineStr">
        <is>
          <t>1H2025</t>
        </is>
      </c>
      <c r="G430" t="n">
        <v>40</v>
      </c>
      <c r="J430" t="inlineStr">
        <is>
          <t>%</t>
        </is>
      </c>
      <c r="K430" t="inlineStr">
        <is>
          <t>Verified</t>
        </is>
      </c>
      <c r="M430" t="inlineStr">
        <is>
          <t>經審計（往績記錄期）</t>
        </is>
      </c>
      <c r="N430" t="inlineStr">
        <is>
          <t>智譜招股章程（全球發售，2025-12-30）</t>
        </is>
      </c>
      <c r="O430" t="inlineStr">
        <is>
          <t>https://www1.hkexnews.hk/listedco/listconews/sehk/2025/1230/2025123000017.pdf</t>
        </is>
      </c>
      <c r="P430" t="inlineStr">
        <is>
          <t>2025-12-30</t>
        </is>
      </c>
      <c r="Q430" t="inlineStr">
        <is>
          <t>招股章程：前五大 40.0%、最大客戶 11.0%</t>
        </is>
      </c>
    </row>
    <row r="431">
      <c r="A431" t="inlineStr">
        <is>
          <t>SRC_ZP_430</t>
        </is>
      </c>
      <c r="B431" t="inlineStr">
        <is>
          <t>Z1-R</t>
        </is>
      </c>
      <c r="C431" t="inlineStr">
        <is>
          <t>C</t>
        </is>
      </c>
      <c r="D431" t="inlineStr">
        <is>
          <t>cust_top1_share_1h25</t>
        </is>
      </c>
      <c r="E431" t="inlineStr">
        <is>
          <t>最大客戶收入占比</t>
        </is>
      </c>
      <c r="F431" t="inlineStr">
        <is>
          <t>1H2025</t>
        </is>
      </c>
      <c r="G431" t="n">
        <v>11</v>
      </c>
      <c r="J431" t="inlineStr">
        <is>
          <t>%</t>
        </is>
      </c>
      <c r="K431" t="inlineStr">
        <is>
          <t>Verified</t>
        </is>
      </c>
      <c r="M431" t="inlineStr">
        <is>
          <t>經審計（往績記錄期）</t>
        </is>
      </c>
      <c r="N431" t="inlineStr">
        <is>
          <t>智譜招股章程（全球發售，2025-12-30）</t>
        </is>
      </c>
      <c r="O431" t="inlineStr">
        <is>
          <t>https://www1.hkexnews.hk/listedco/listconews/sehk/2025/1230/2025123000017.pdf</t>
        </is>
      </c>
      <c r="P431" t="inlineStr">
        <is>
          <t>2025-12-30</t>
        </is>
      </c>
      <c r="Q431" t="inlineStr">
        <is>
          <t>同上</t>
        </is>
      </c>
    </row>
    <row r="432">
      <c r="A432" t="inlineStr">
        <is>
          <t>SRC_ZP_431</t>
        </is>
      </c>
      <c r="B432" t="inlineStr">
        <is>
          <t>Z1-R</t>
        </is>
      </c>
      <c r="C432" t="inlineStr">
        <is>
          <t>C</t>
        </is>
      </c>
      <c r="D432" t="inlineStr">
        <is>
          <t>cust_top5_rev_fy24</t>
        </is>
      </c>
      <c r="E432" t="inlineStr">
        <is>
          <t>前五大客戶收入金額</t>
        </is>
      </c>
      <c r="F432" t="inlineStr">
        <is>
          <t>FY2024</t>
        </is>
      </c>
      <c r="G432" t="n">
        <v>1.42</v>
      </c>
      <c r="J432" t="inlineStr">
        <is>
          <t>RMB 億</t>
        </is>
      </c>
      <c r="K432" t="inlineStr">
        <is>
          <t>Verified</t>
        </is>
      </c>
      <c r="N432" t="inlineStr">
        <is>
          <t>華爾街見聞（2025-12-20）</t>
        </is>
      </c>
      <c r="O432" t="inlineStr">
        <is>
          <t>https://wallstreetcn.com/articles/3761769</t>
        </is>
      </c>
      <c r="P432" t="inlineStr">
        <is>
          <t>2025-12-20</t>
        </is>
      </c>
      <c r="Q432" t="inlineStr">
        <is>
          <t>原文「2024年前五大客戶貢獻了1.42億元的收入，佔比達到45.5%」；轉述招股文件</t>
        </is>
      </c>
    </row>
    <row r="433">
      <c r="A433" t="inlineStr">
        <is>
          <t>SRC_ZP_432</t>
        </is>
      </c>
      <c r="B433" t="inlineStr">
        <is>
          <t>Z1-R</t>
        </is>
      </c>
      <c r="C433" t="inlineStr">
        <is>
          <t>C</t>
        </is>
      </c>
      <c r="D433" t="inlineStr">
        <is>
          <t>cust_no10pct_fy25</t>
        </is>
      </c>
      <c r="E433" t="inlineStr">
        <is>
          <t>FY2025 單一客戶占收入 &gt;10% 者</t>
        </is>
      </c>
      <c r="F433" t="inlineStr">
        <is>
          <t>FY2025</t>
        </is>
      </c>
      <c r="G433" t="n">
        <v>0</v>
      </c>
      <c r="J433" t="inlineStr">
        <is>
          <t>家</t>
        </is>
      </c>
      <c r="K433" t="inlineStr">
        <is>
          <t>Verified</t>
        </is>
      </c>
      <c r="M433" t="inlineStr">
        <is>
          <t>經審計</t>
        </is>
      </c>
      <c r="N433" t="inlineStr">
        <is>
          <t>智譜 2025 年度業績公告（截至 2025-12-31）（第 24 頁）</t>
        </is>
      </c>
      <c r="O433" t="inlineStr">
        <is>
          <t>https://www1.hkexnews.hk/listedco/listconews/sehk/2026/0331/2026033101549.pdf</t>
        </is>
      </c>
      <c r="P433" t="inlineStr">
        <is>
          <t>2026-03-31</t>
        </is>
      </c>
      <c r="Q433" t="inlineStr">
        <is>
          <t>原文「There is no individual customer contributing over 10% of the total revenue」</t>
        </is>
      </c>
    </row>
    <row r="434">
      <c r="A434" t="inlineStr">
        <is>
          <t>SRC_ZP_433</t>
        </is>
      </c>
      <c r="B434" t="inlineStr">
        <is>
          <t>Z1-R</t>
        </is>
      </c>
      <c r="C434" t="inlineStr">
        <is>
          <t>C</t>
        </is>
      </c>
      <c r="D434" t="inlineStr">
        <is>
          <t>cust_a_sales_vs_purch</t>
        </is>
      </c>
      <c r="E434" t="inlineStr">
        <is>
          <t>最大客戶 A：銷售 vs 向其採購（2022–1H25 累計）</t>
        </is>
      </c>
      <c r="F434" t="inlineStr">
        <is>
          <t>2022～1H2025</t>
        </is>
      </c>
      <c r="G434" t="n">
        <v>2.42</v>
      </c>
      <c r="J434" t="inlineStr">
        <is>
          <t>RMB 億（銷售）</t>
        </is>
      </c>
      <c r="K434" t="inlineStr">
        <is>
          <t>Interested-party</t>
        </is>
      </c>
      <c r="L434" t="inlineStr">
        <is>
          <t>媒體轉述</t>
        </is>
      </c>
      <c r="N434" t="inlineStr">
        <is>
          <t>鈦媒體（2025-12-26）</t>
        </is>
      </c>
      <c r="O434" t="inlineStr">
        <is>
          <t>https://www.tmtpost.com/7821744.html</t>
        </is>
      </c>
      <c r="P434" t="inlineStr">
        <is>
          <t>2025-12-26</t>
        </is>
      </c>
      <c r="Q434" t="inlineStr">
        <is>
          <t>原文「向最大客戶A銷售了2.42億元，但卻向客戶採購了2.47億元」；客戶兼供應商（D19 回流對照）</t>
        </is>
      </c>
    </row>
    <row r="435">
      <c r="A435" t="inlineStr">
        <is>
          <t>SRC_ZP_434</t>
        </is>
      </c>
      <c r="B435" t="inlineStr">
        <is>
          <t>Z1-R</t>
        </is>
      </c>
      <c r="C435" t="inlineStr">
        <is>
          <t>C</t>
        </is>
      </c>
      <c r="D435" t="inlineStr">
        <is>
          <t>qy_mau_q1_26</t>
        </is>
      </c>
      <c r="E435" t="inlineStr">
        <is>
          <t>智譜清言月活排名（QuestMobile 2026Q1）</t>
        </is>
      </c>
      <c r="F435" t="inlineStr">
        <is>
          <t>2026Q1</t>
        </is>
      </c>
      <c r="J435" t="inlineStr">
        <is>
          <t>排名</t>
        </is>
      </c>
      <c r="K435" t="inlineStr">
        <is>
          <t>Analogy</t>
        </is>
      </c>
      <c r="N435" t="inlineStr">
        <is>
          <t>每日經濟新聞×QuestMobile〈2026 年一季度 AI 應用價值榜〉</t>
        </is>
      </c>
      <c r="O435" t="inlineStr">
        <is>
          <t>https://www.nbd.com.cn/articles/2026-04-21/4350446.html</t>
        </is>
      </c>
      <c r="P435" t="inlineStr">
        <is>
          <t>2026-04-21</t>
        </is>
      </c>
      <c r="Q435" t="inlineStr">
        <is>
          <t>原文「智譜清言、階躍、MiniMax均未進入一季度月活、下載TOP 20」；無絕對值；C 端規模小</t>
        </is>
      </c>
    </row>
    <row r="436">
      <c r="A436" t="inlineStr">
        <is>
          <t>SRC_ZP_435</t>
        </is>
      </c>
      <c r="B436" t="inlineStr">
        <is>
          <t>Z1-R</t>
        </is>
      </c>
      <c r="C436" t="inlineStr">
        <is>
          <t>C</t>
        </is>
      </c>
      <c r="D436" t="inlineStr">
        <is>
          <t>or_glm52_weekly_tok</t>
        </is>
      </c>
      <c r="E436" t="inlineStr">
        <is>
          <t>OpenRouter：GLM-5.2 週呼叫量</t>
        </is>
      </c>
      <c r="F436" t="inlineStr">
        <is>
          <t>2026-06-29～07-05</t>
        </is>
      </c>
      <c r="G436" t="n">
        <v>2.58</v>
      </c>
      <c r="H436" t="n">
        <v>2.58</v>
      </c>
      <c r="I436" t="n">
        <v>2.58</v>
      </c>
      <c r="J436" t="inlineStr">
        <is>
          <t>T／週</t>
        </is>
      </c>
      <c r="K436" t="inlineStr">
        <is>
          <t>Analogy</t>
        </is>
      </c>
      <c r="N436" t="inlineStr">
        <is>
          <t>21世紀經濟報道（新浪財經 2026-07-06）</t>
        </is>
      </c>
      <c r="O436" t="inlineStr">
        <is>
          <t>https://finance.sina.cn/2026-07-06/detail-inifwfpy8578766.d.html</t>
        </is>
      </c>
      <c r="P436" t="inlineStr">
        <is>
          <t>2026-07-06</t>
        </is>
      </c>
      <c r="Q436" t="inlineStr">
        <is>
          <t>原文 GLM-5.2「2.58萬億Token」週增 22%、進前五；同週全平台「46.7萬億Token」</t>
        </is>
      </c>
    </row>
    <row r="437">
      <c r="A437" t="inlineStr">
        <is>
          <t>SRC_ZP_436</t>
        </is>
      </c>
      <c r="B437" t="inlineStr">
        <is>
          <t>Z1-R</t>
        </is>
      </c>
      <c r="C437" t="inlineStr">
        <is>
          <t>C</t>
        </is>
      </c>
      <c r="D437" t="inlineStr">
        <is>
          <t>or_total_weekly_tok</t>
        </is>
      </c>
      <c r="E437" t="inlineStr">
        <is>
          <t>OpenRouter：全平台週呼叫量</t>
        </is>
      </c>
      <c r="F437" t="inlineStr">
        <is>
          <t>2026-06-29～07-05</t>
        </is>
      </c>
      <c r="G437" t="n">
        <v>46.7</v>
      </c>
      <c r="H437" t="n">
        <v>46.7</v>
      </c>
      <c r="I437" t="n">
        <v>46.7</v>
      </c>
      <c r="J437" t="inlineStr">
        <is>
          <t>T／週</t>
        </is>
      </c>
      <c r="K437" t="inlineStr">
        <is>
          <t>Analogy</t>
        </is>
      </c>
      <c r="N437" t="inlineStr">
        <is>
          <t>21世紀經濟報道（新浪財經 2026-07-06）</t>
        </is>
      </c>
      <c r="O437" t="inlineStr">
        <is>
          <t>https://finance.sina.cn/2026-07-06/detail-inifwfpy8578766.d.html</t>
        </is>
      </c>
      <c r="P437" t="inlineStr">
        <is>
          <t>2026-07-06</t>
        </is>
      </c>
      <c r="Q437" t="inlineStr">
        <is>
          <t>原文「46.7萬億Token」</t>
        </is>
      </c>
    </row>
    <row r="438">
      <c r="A438" t="inlineStr">
        <is>
          <t>SRC_ZP_437</t>
        </is>
      </c>
      <c r="B438" t="inlineStr">
        <is>
          <t>Z1-R</t>
        </is>
      </c>
      <c r="C438" t="inlineStr">
        <is>
          <t>C</t>
        </is>
      </c>
      <c r="D438" t="inlineStr">
        <is>
          <t>or_glm52_share_derived</t>
        </is>
      </c>
      <c r="E438" t="inlineStr">
        <is>
          <t>OpenRouter：GLM-5.2 週 token 份額</t>
        </is>
      </c>
      <c r="F438" t="inlineStr">
        <is>
          <t>2026-06-29～07-05</t>
        </is>
      </c>
      <c r="G438" t="n">
        <v>5.5</v>
      </c>
      <c r="H438" t="n">
        <v>4</v>
      </c>
      <c r="I438" t="n">
        <v>7</v>
      </c>
      <c r="J438" t="inlineStr">
        <is>
          <t>%</t>
        </is>
      </c>
      <c r="K438" t="inlineStr">
        <is>
          <t>Derived</t>
        </is>
      </c>
      <c r="N438" t="inlineStr">
        <is>
          <t>由 or_glm52_weekly_tok ÷ or_total_weekly_tok</t>
        </is>
      </c>
      <c r="O438" t="inlineStr">
        <is>
          <t>https://finance.sina.cn/2026-07-06/detail-inifwfpy8578766.d.html</t>
        </is>
      </c>
      <c r="P438" t="inlineStr">
        <is>
          <t>2026-07-06</t>
        </is>
      </c>
      <c r="Q438" t="inlineStr">
        <is>
          <t>2.58÷46.7＝5.52%；僅單一型號，不含 GLM 其他版本；OpenRouter 為海外開發者通路，不代表智譜整體（Analogy 用途）</t>
        </is>
      </c>
    </row>
    <row r="439">
      <c r="A439" t="inlineStr">
        <is>
          <t>SRC_ZP_438</t>
        </is>
      </c>
      <c r="B439" t="inlineStr">
        <is>
          <t>Z1-R</t>
        </is>
      </c>
      <c r="C439" t="inlineStr">
        <is>
          <t>C</t>
        </is>
      </c>
      <c r="D439" t="inlineStr">
        <is>
          <t>or_glm52_rank_jul26</t>
        </is>
      </c>
      <c r="E439" t="inlineStr">
        <is>
          <t>OpenRouter：GLM-5.2 週排名</t>
        </is>
      </c>
      <c r="F439" t="inlineStr">
        <is>
          <t>2026-07-20～26</t>
        </is>
      </c>
      <c r="G439" t="n">
        <v>4</v>
      </c>
      <c r="H439" t="n">
        <v>4</v>
      </c>
      <c r="I439" t="n">
        <v>5</v>
      </c>
      <c r="J439" t="inlineStr">
        <is>
          <t>名</t>
        </is>
      </c>
      <c r="K439" t="inlineStr">
        <is>
          <t>Analogy</t>
        </is>
      </c>
      <c r="N439" t="inlineStr">
        <is>
          <t>老虎證券（2026-07-27）</t>
        </is>
      </c>
      <c r="O439" t="inlineStr">
        <is>
          <t>https://www.itiger.com/hans/news/2654013695</t>
        </is>
      </c>
      <c r="P439" t="inlineStr">
        <is>
          <t>2026-07-27</t>
        </is>
      </c>
      <c r="Q439" t="inlineStr">
        <is>
          <t>原文「智譜GLM-5.2及DeepSeek-V4-Pro分列第四及第五位」；同週總量「58萬億Token」</t>
        </is>
      </c>
    </row>
    <row r="440">
      <c r="A440" t="inlineStr">
        <is>
          <t>SRC_ZP_439</t>
        </is>
      </c>
      <c r="B440" t="inlineStr">
        <is>
          <t>Z1-R</t>
        </is>
      </c>
      <c r="C440" t="inlineStr">
        <is>
          <t>C</t>
        </is>
      </c>
      <c r="D440" t="inlineStr">
        <is>
          <t>or_glm52_share_c</t>
        </is>
      </c>
      <c r="E440" t="inlineStr">
        <is>
          <t>OpenRouter：GLM-5.2「市占 75%」說法</t>
        </is>
      </c>
      <c r="F440" t="inlineStr">
        <is>
          <t>2026-06 上市首週</t>
        </is>
      </c>
      <c r="G440" t="n">
        <v>75</v>
      </c>
      <c r="J440" t="inlineStr">
        <is>
          <t>%（口徑不明）</t>
        </is>
      </c>
      <c r="K440" t="inlineStr">
        <is>
          <t>Analogy</t>
        </is>
      </c>
      <c r="N440" t="inlineStr">
        <is>
          <t>GIGAZINE（2026-06-23）</t>
        </is>
      </c>
      <c r="O440" t="inlineStr">
        <is>
          <t>https://www.gigazine.net/gsc_news/en/20260623-glm-5-2-openrouter</t>
        </is>
      </c>
      <c r="P440" t="inlineStr">
        <is>
          <t>2026-06-23</t>
        </is>
      </c>
      <c r="Q440" t="inlineStr">
        <is>
          <t>原文「GLM-5.2 reportedly accounts for 75% of the market share」，分母未明（疑為 Z.ai 自家型號內占比）；與 5.5% 矛盾，不建議使用</t>
        </is>
      </c>
    </row>
    <row r="441">
      <c r="A441" t="inlineStr">
        <is>
          <t>SRC_ZP_440</t>
        </is>
      </c>
      <c r="B441" t="inlineStr">
        <is>
          <t>Z1-R</t>
        </is>
      </c>
      <c r="C441" t="inlineStr">
        <is>
          <t>D</t>
        </is>
      </c>
      <c r="D441" t="inlineStr">
        <is>
          <t>sup_top5_share_fy22</t>
        </is>
      </c>
      <c r="E441" t="inlineStr">
        <is>
          <t>前五大供應商採購占比</t>
        </is>
      </c>
      <c r="F441" t="inlineStr">
        <is>
          <t>FY2022</t>
        </is>
      </c>
      <c r="G441" t="n">
        <v>54.5</v>
      </c>
      <c r="J441" t="inlineStr">
        <is>
          <t>%</t>
        </is>
      </c>
      <c r="K441" t="inlineStr">
        <is>
          <t>Verified</t>
        </is>
      </c>
      <c r="M441" t="inlineStr">
        <is>
          <t>經審計（往績記錄期）</t>
        </is>
      </c>
      <c r="N441" t="inlineStr">
        <is>
          <t>智譜招股章程（全球發售，2025-12-30）</t>
        </is>
      </c>
      <c r="O441" t="inlineStr">
        <is>
          <t>https://www1.hkexnews.hk/listedco/listconews/sehk/2025/1230/2025123000017.pdf</t>
        </is>
      </c>
      <c r="P441" t="inlineStr">
        <is>
          <t>2025-12-30</t>
        </is>
      </c>
      <c r="Q441" t="inlineStr">
        <is>
          <t>招股章程：前五大 54.5%、最大供應商 33.1%；供應商含「providers of computing resources, such as computing hardware」，未揭露名稱與是否皆為算力</t>
        </is>
      </c>
    </row>
    <row r="442">
      <c r="A442" t="inlineStr">
        <is>
          <t>SRC_ZP_441</t>
        </is>
      </c>
      <c r="B442" t="inlineStr">
        <is>
          <t>Z1-R</t>
        </is>
      </c>
      <c r="C442" t="inlineStr">
        <is>
          <t>D</t>
        </is>
      </c>
      <c r="D442" t="inlineStr">
        <is>
          <t>sup_top1_share_fy22</t>
        </is>
      </c>
      <c r="E442" t="inlineStr">
        <is>
          <t>最大供應商採購占比</t>
        </is>
      </c>
      <c r="F442" t="inlineStr">
        <is>
          <t>FY2022</t>
        </is>
      </c>
      <c r="G442" t="n">
        <v>33.1</v>
      </c>
      <c r="J442" t="inlineStr">
        <is>
          <t>%</t>
        </is>
      </c>
      <c r="K442" t="inlineStr">
        <is>
          <t>Verified</t>
        </is>
      </c>
      <c r="M442" t="inlineStr">
        <is>
          <t>經審計（往績記錄期）</t>
        </is>
      </c>
      <c r="N442" t="inlineStr">
        <is>
          <t>智譜招股章程（全球發售，2025-12-30）</t>
        </is>
      </c>
      <c r="O442" t="inlineStr">
        <is>
          <t>https://www1.hkexnews.hk/listedco/listconews/sehk/2025/1230/2025123000017.pdf</t>
        </is>
      </c>
      <c r="P442" t="inlineStr">
        <is>
          <t>2025-12-30</t>
        </is>
      </c>
      <c r="Q442" t="inlineStr">
        <is>
          <t>同上</t>
        </is>
      </c>
    </row>
    <row r="443">
      <c r="A443" t="inlineStr">
        <is>
          <t>SRC_ZP_442</t>
        </is>
      </c>
      <c r="B443" t="inlineStr">
        <is>
          <t>Z1-R</t>
        </is>
      </c>
      <c r="C443" t="inlineStr">
        <is>
          <t>D</t>
        </is>
      </c>
      <c r="D443" t="inlineStr">
        <is>
          <t>sup_top5_share_fy23</t>
        </is>
      </c>
      <c r="E443" t="inlineStr">
        <is>
          <t>前五大供應商採購占比</t>
        </is>
      </c>
      <c r="F443" t="inlineStr">
        <is>
          <t>FY2023</t>
        </is>
      </c>
      <c r="G443" t="n">
        <v>53.6</v>
      </c>
      <c r="J443" t="inlineStr">
        <is>
          <t>%</t>
        </is>
      </c>
      <c r="K443" t="inlineStr">
        <is>
          <t>Verified</t>
        </is>
      </c>
      <c r="M443" t="inlineStr">
        <is>
          <t>經審計（往績記錄期）</t>
        </is>
      </c>
      <c r="N443" t="inlineStr">
        <is>
          <t>智譜招股章程（全球發售，2025-12-30）</t>
        </is>
      </c>
      <c r="O443" t="inlineStr">
        <is>
          <t>https://www1.hkexnews.hk/listedco/listconews/sehk/2025/1230/2025123000017.pdf</t>
        </is>
      </c>
      <c r="P443" t="inlineStr">
        <is>
          <t>2025-12-30</t>
        </is>
      </c>
      <c r="Q443" t="inlineStr">
        <is>
          <t>招股章程：前五大 53.6%、最大供應商 16.4%；供應商含「providers of computing resources, such as computing hardware」，未揭露名稱與是否皆為算力</t>
        </is>
      </c>
    </row>
    <row r="444">
      <c r="A444" t="inlineStr">
        <is>
          <t>SRC_ZP_443</t>
        </is>
      </c>
      <c r="B444" t="inlineStr">
        <is>
          <t>Z1-R</t>
        </is>
      </c>
      <c r="C444" t="inlineStr">
        <is>
          <t>D</t>
        </is>
      </c>
      <c r="D444" t="inlineStr">
        <is>
          <t>sup_top1_share_fy23</t>
        </is>
      </c>
      <c r="E444" t="inlineStr">
        <is>
          <t>最大供應商採購占比</t>
        </is>
      </c>
      <c r="F444" t="inlineStr">
        <is>
          <t>FY2023</t>
        </is>
      </c>
      <c r="G444" t="n">
        <v>16.4</v>
      </c>
      <c r="J444" t="inlineStr">
        <is>
          <t>%</t>
        </is>
      </c>
      <c r="K444" t="inlineStr">
        <is>
          <t>Verified</t>
        </is>
      </c>
      <c r="M444" t="inlineStr">
        <is>
          <t>經審計（往績記錄期）</t>
        </is>
      </c>
      <c r="N444" t="inlineStr">
        <is>
          <t>智譜招股章程（全球發售，2025-12-30）</t>
        </is>
      </c>
      <c r="O444" t="inlineStr">
        <is>
          <t>https://www1.hkexnews.hk/listedco/listconews/sehk/2025/1230/2025123000017.pdf</t>
        </is>
      </c>
      <c r="P444" t="inlineStr">
        <is>
          <t>2025-12-30</t>
        </is>
      </c>
      <c r="Q444" t="inlineStr">
        <is>
          <t>同上</t>
        </is>
      </c>
    </row>
    <row r="445">
      <c r="A445" t="inlineStr">
        <is>
          <t>SRC_ZP_444</t>
        </is>
      </c>
      <c r="B445" t="inlineStr">
        <is>
          <t>Z1-R</t>
        </is>
      </c>
      <c r="C445" t="inlineStr">
        <is>
          <t>D</t>
        </is>
      </c>
      <c r="D445" t="inlineStr">
        <is>
          <t>sup_top5_share_fy24</t>
        </is>
      </c>
      <c r="E445" t="inlineStr">
        <is>
          <t>前五大供應商採購占比</t>
        </is>
      </c>
      <c r="F445" t="inlineStr">
        <is>
          <t>FY2024</t>
        </is>
      </c>
      <c r="G445" t="n">
        <v>47.3</v>
      </c>
      <c r="J445" t="inlineStr">
        <is>
          <t>%</t>
        </is>
      </c>
      <c r="K445" t="inlineStr">
        <is>
          <t>Verified</t>
        </is>
      </c>
      <c r="M445" t="inlineStr">
        <is>
          <t>經審計（往績記錄期）</t>
        </is>
      </c>
      <c r="N445" t="inlineStr">
        <is>
          <t>智譜招股章程（全球發售，2025-12-30）</t>
        </is>
      </c>
      <c r="O445" t="inlineStr">
        <is>
          <t>https://www1.hkexnews.hk/listedco/listconews/sehk/2025/1230/2025123000017.pdf</t>
        </is>
      </c>
      <c r="P445" t="inlineStr">
        <is>
          <t>2025-12-30</t>
        </is>
      </c>
      <c r="Q445" t="inlineStr">
        <is>
          <t>招股章程：前五大 47.3%、最大供應商 15.6%；供應商含「providers of computing resources, such as computing hardware」，未揭露名稱與是否皆為算力</t>
        </is>
      </c>
    </row>
    <row r="446">
      <c r="A446" t="inlineStr">
        <is>
          <t>SRC_ZP_445</t>
        </is>
      </c>
      <c r="B446" t="inlineStr">
        <is>
          <t>Z1-R</t>
        </is>
      </c>
      <c r="C446" t="inlineStr">
        <is>
          <t>D</t>
        </is>
      </c>
      <c r="D446" t="inlineStr">
        <is>
          <t>sup_top1_share_fy24</t>
        </is>
      </c>
      <c r="E446" t="inlineStr">
        <is>
          <t>最大供應商採購占比</t>
        </is>
      </c>
      <c r="F446" t="inlineStr">
        <is>
          <t>FY2024</t>
        </is>
      </c>
      <c r="G446" t="n">
        <v>15.6</v>
      </c>
      <c r="J446" t="inlineStr">
        <is>
          <t>%</t>
        </is>
      </c>
      <c r="K446" t="inlineStr">
        <is>
          <t>Verified</t>
        </is>
      </c>
      <c r="M446" t="inlineStr">
        <is>
          <t>經審計（往績記錄期）</t>
        </is>
      </c>
      <c r="N446" t="inlineStr">
        <is>
          <t>智譜招股章程（全球發售，2025-12-30）</t>
        </is>
      </c>
      <c r="O446" t="inlineStr">
        <is>
          <t>https://www1.hkexnews.hk/listedco/listconews/sehk/2025/1230/2025123000017.pdf</t>
        </is>
      </c>
      <c r="P446" t="inlineStr">
        <is>
          <t>2025-12-30</t>
        </is>
      </c>
      <c r="Q446" t="inlineStr">
        <is>
          <t>同上</t>
        </is>
      </c>
    </row>
    <row r="447">
      <c r="A447" t="inlineStr">
        <is>
          <t>SRC_ZP_446</t>
        </is>
      </c>
      <c r="B447" t="inlineStr">
        <is>
          <t>Z1-R</t>
        </is>
      </c>
      <c r="C447" t="inlineStr">
        <is>
          <t>D</t>
        </is>
      </c>
      <c r="D447" t="inlineStr">
        <is>
          <t>sup_top5_share_1h25</t>
        </is>
      </c>
      <c r="E447" t="inlineStr">
        <is>
          <t>前五大供應商採購占比</t>
        </is>
      </c>
      <c r="F447" t="inlineStr">
        <is>
          <t>1H2025</t>
        </is>
      </c>
      <c r="G447" t="n">
        <v>50.2</v>
      </c>
      <c r="J447" t="inlineStr">
        <is>
          <t>%</t>
        </is>
      </c>
      <c r="K447" t="inlineStr">
        <is>
          <t>Verified</t>
        </is>
      </c>
      <c r="M447" t="inlineStr">
        <is>
          <t>經審計（往績記錄期）</t>
        </is>
      </c>
      <c r="N447" t="inlineStr">
        <is>
          <t>智譜招股章程（全球發售，2025-12-30）</t>
        </is>
      </c>
      <c r="O447" t="inlineStr">
        <is>
          <t>https://www1.hkexnews.hk/listedco/listconews/sehk/2025/1230/2025123000017.pdf</t>
        </is>
      </c>
      <c r="P447" t="inlineStr">
        <is>
          <t>2025-12-30</t>
        </is>
      </c>
      <c r="Q447" t="inlineStr">
        <is>
          <t>招股章程：前五大 50.2%、最大供應商 13.4%；供應商含「providers of computing resources, such as computing hardware」，未揭露名稱與是否皆為算力</t>
        </is>
      </c>
    </row>
    <row r="448">
      <c r="A448" t="inlineStr">
        <is>
          <t>SRC_ZP_447</t>
        </is>
      </c>
      <c r="B448" t="inlineStr">
        <is>
          <t>Z1-R</t>
        </is>
      </c>
      <c r="C448" t="inlineStr">
        <is>
          <t>D</t>
        </is>
      </c>
      <c r="D448" t="inlineStr">
        <is>
          <t>sup_top1_share_1h25</t>
        </is>
      </c>
      <c r="E448" t="inlineStr">
        <is>
          <t>最大供應商採購占比</t>
        </is>
      </c>
      <c r="F448" t="inlineStr">
        <is>
          <t>1H2025</t>
        </is>
      </c>
      <c r="G448" t="n">
        <v>13.4</v>
      </c>
      <c r="J448" t="inlineStr">
        <is>
          <t>%</t>
        </is>
      </c>
      <c r="K448" t="inlineStr">
        <is>
          <t>Verified</t>
        </is>
      </c>
      <c r="M448" t="inlineStr">
        <is>
          <t>經審計（往績記錄期）</t>
        </is>
      </c>
      <c r="N448" t="inlineStr">
        <is>
          <t>智譜招股章程（全球發售，2025-12-30）</t>
        </is>
      </c>
      <c r="O448" t="inlineStr">
        <is>
          <t>https://www1.hkexnews.hk/listedco/listconews/sehk/2025/1230/2025123000017.pdf</t>
        </is>
      </c>
      <c r="P448" t="inlineStr">
        <is>
          <t>2025-12-30</t>
        </is>
      </c>
      <c r="Q448" t="inlineStr">
        <is>
          <t>同上</t>
        </is>
      </c>
    </row>
    <row r="449">
      <c r="A449" t="inlineStr">
        <is>
          <t>SRC_ZP_448</t>
        </is>
      </c>
      <c r="B449" t="inlineStr">
        <is>
          <t>Z1-R</t>
        </is>
      </c>
      <c r="C449" t="inlineStr">
        <is>
          <t>D</t>
        </is>
      </c>
      <c r="D449" t="inlineStr">
        <is>
          <t>cmp_fee_total_fy24</t>
        </is>
      </c>
      <c r="E449" t="inlineStr">
        <is>
          <t>算力服務費（研發＋銷售成本合計）</t>
        </is>
      </c>
      <c r="F449" t="inlineStr">
        <is>
          <t>FY2024</t>
        </is>
      </c>
      <c r="G449" t="n">
        <v>15.52</v>
      </c>
      <c r="J449" t="inlineStr">
        <is>
          <t>RMB 億</t>
        </is>
      </c>
      <c r="K449" t="inlineStr">
        <is>
          <t>Interested-party</t>
        </is>
      </c>
      <c r="L449" t="inlineStr">
        <is>
          <t>媒體轉述</t>
        </is>
      </c>
      <c r="N449" t="inlineStr">
        <is>
          <t>華爾街見聞（2025-12-20）</t>
        </is>
      </c>
      <c r="O449" t="inlineStr">
        <is>
          <t>https://wallstreetcn.com/articles/3761769</t>
        </is>
      </c>
      <c r="P449" t="inlineStr">
        <is>
          <t>2025-12-20</t>
        </is>
      </c>
      <c r="Q449" t="inlineStr">
        <is>
          <t>原文「2024年，智譜的算力服務費達到15.52億元，這已然是同期收入的5倍左右」；轉述 PHIP</t>
        </is>
      </c>
    </row>
    <row r="450">
      <c r="A450" t="inlineStr">
        <is>
          <t>SRC_ZP_449</t>
        </is>
      </c>
      <c r="B450" t="inlineStr">
        <is>
          <t>Z1-R</t>
        </is>
      </c>
      <c r="C450" t="inlineStr">
        <is>
          <t>D</t>
        </is>
      </c>
      <c r="D450" t="inlineStr">
        <is>
          <t>cmp_fee_total_fy24_b</t>
        </is>
      </c>
      <c r="E450" t="inlineStr">
        <is>
          <t>算力服務費（媒體 b）</t>
        </is>
      </c>
      <c r="F450" t="inlineStr">
        <is>
          <t>FY2024</t>
        </is>
      </c>
      <c r="G450" t="n">
        <v>15.53</v>
      </c>
      <c r="J450" t="inlineStr">
        <is>
          <t>RMB 億</t>
        </is>
      </c>
      <c r="K450" t="inlineStr">
        <is>
          <t>Interested-party</t>
        </is>
      </c>
      <c r="L450" t="inlineStr">
        <is>
          <t>媒體轉述</t>
        </is>
      </c>
      <c r="N450" t="inlineStr">
        <is>
          <t>每日經濟新聞（2025-12-21）</t>
        </is>
      </c>
      <c r="O450" t="inlineStr">
        <is>
          <t>https://www.nbd.com.cn/articles/2025-12-21/4189232.html</t>
        </is>
      </c>
      <c r="P450" t="inlineStr">
        <is>
          <t>2025-12-21</t>
        </is>
      </c>
      <c r="Q450" t="inlineStr">
        <is>
          <t>原文「2024年，智譜算力服務費用為15.53億元，佔研發開支的比重超過70%」；與 15.52 差 0.01（四捨五入）</t>
        </is>
      </c>
    </row>
    <row r="451">
      <c r="A451" t="inlineStr">
        <is>
          <t>SRC_ZP_450</t>
        </is>
      </c>
      <c r="B451" t="inlineStr">
        <is>
          <t>Z1-R</t>
        </is>
      </c>
      <c r="C451" t="inlineStr">
        <is>
          <t>D</t>
        </is>
      </c>
      <c r="D451" t="inlineStr">
        <is>
          <t>cmp_fee_total_1h25</t>
        </is>
      </c>
      <c r="E451" t="inlineStr">
        <is>
          <t>算力服務費（含訓練與雲端部署）</t>
        </is>
      </c>
      <c r="F451" t="inlineStr">
        <is>
          <t>1H2025</t>
        </is>
      </c>
      <c r="G451" t="n">
        <v>11.45</v>
      </c>
      <c r="J451" t="inlineStr">
        <is>
          <t>RMB 億</t>
        </is>
      </c>
      <c r="K451" t="inlineStr">
        <is>
          <t>Interested-party</t>
        </is>
      </c>
      <c r="L451" t="inlineStr">
        <is>
          <t>媒體轉述</t>
        </is>
      </c>
      <c r="N451" t="inlineStr">
        <is>
          <t>鈦媒體（2025-12-26）</t>
        </is>
      </c>
      <c r="O451" t="inlineStr">
        <is>
          <t>https://www.tmtpost.com/7821744.html</t>
        </is>
      </c>
      <c r="P451" t="inlineStr">
        <is>
          <t>2025-12-26</t>
        </is>
      </c>
      <c r="Q451" t="inlineStr">
        <is>
          <t>原文「算力服務費（包括模型訓練以及通過雲端部署為客戶提供服務）從2022年的0.15億元到2025年上半年的11.45億」</t>
        </is>
      </c>
    </row>
    <row r="452">
      <c r="A452" t="inlineStr">
        <is>
          <t>SRC_ZP_451</t>
        </is>
      </c>
      <c r="B452" t="inlineStr">
        <is>
          <t>Z1-R</t>
        </is>
      </c>
      <c r="C452" t="inlineStr">
        <is>
          <t>D</t>
        </is>
      </c>
      <c r="D452" t="inlineStr">
        <is>
          <t>cmp_fee_total_fy22</t>
        </is>
      </c>
      <c r="E452" t="inlineStr">
        <is>
          <t>算力服務費（含訓練與雲端部署）</t>
        </is>
      </c>
      <c r="F452" t="inlineStr">
        <is>
          <t>FY2022</t>
        </is>
      </c>
      <c r="G452" t="n">
        <v>0.15</v>
      </c>
      <c r="J452" t="inlineStr">
        <is>
          <t>RMB 億</t>
        </is>
      </c>
      <c r="K452" t="inlineStr">
        <is>
          <t>Interested-party</t>
        </is>
      </c>
      <c r="L452" t="inlineStr">
        <is>
          <t>媒體轉述</t>
        </is>
      </c>
      <c r="N452" t="inlineStr">
        <is>
          <t>鈦媒體（2025-12-26）</t>
        </is>
      </c>
      <c r="O452" t="inlineStr">
        <is>
          <t>https://www.tmtpost.com/7821744.html</t>
        </is>
      </c>
      <c r="P452" t="inlineStr">
        <is>
          <t>2025-12-26</t>
        </is>
      </c>
      <c r="Q452" t="inlineStr">
        <is>
          <t>同上「2022年的0.15億元」</t>
        </is>
      </c>
    </row>
    <row r="453">
      <c r="A453" t="inlineStr">
        <is>
          <t>SRC_ZP_452</t>
        </is>
      </c>
      <c r="B453" t="inlineStr">
        <is>
          <t>Z1-R</t>
        </is>
      </c>
      <c r="C453" t="inlineStr">
        <is>
          <t>D</t>
        </is>
      </c>
      <c r="D453" t="inlineStr">
        <is>
          <t>cmp_chips_domestic_100k</t>
        </is>
      </c>
      <c r="E453" t="inlineStr">
        <is>
          <t>推論用國產晶片規模</t>
        </is>
      </c>
      <c r="F453" t="inlineStr">
        <is>
          <t>截至 2026-08-31</t>
        </is>
      </c>
      <c r="G453" t="n">
        <v>100000</v>
      </c>
      <c r="J453" t="inlineStr">
        <is>
          <t>張（以上，「10 萬級」）</t>
        </is>
      </c>
      <c r="K453" t="inlineStr">
        <is>
          <t>Interested-party</t>
        </is>
      </c>
      <c r="L453" t="inlineStr">
        <is>
          <t>智譜：上市後股價、配售、招募誘因</t>
        </is>
      </c>
      <c r="M453" t="inlineStr">
        <is>
          <t>管理層口徑</t>
        </is>
      </c>
      <c r="N453" t="inlineStr">
        <is>
          <t>智譜 2026 中期業績公告（Z.AI Co., Ltd.，截至 2026-06-30 止六個月）（第 4 頁）</t>
        </is>
      </c>
      <c r="O453" t="inlineStr">
        <is>
          <t>https://www1.hkexnews.hk/listedco/listconews/sehk/2026/0831/2026083101539.pdf</t>
        </is>
      </c>
      <c r="P453" t="inlineStr">
        <is>
          <t>2026-08-31</t>
        </is>
      </c>
      <c r="Q453" t="inlineStr">
        <is>
          <t>原文「large-scale, low-cost inference across a cluster of over 100,000 domestic chips」；未揭露廠牌、自有或租用、型號</t>
        </is>
      </c>
    </row>
    <row r="454">
      <c r="A454" t="inlineStr">
        <is>
          <t>SRC_ZP_453</t>
        </is>
      </c>
      <c r="B454" t="inlineStr">
        <is>
          <t>Z1-R</t>
        </is>
      </c>
      <c r="C454" t="inlineStr">
        <is>
          <t>D</t>
        </is>
      </c>
      <c r="D454" t="inlineStr">
        <is>
          <t>cmp_chips_domestic_100k_b</t>
        </is>
      </c>
      <c r="E454" t="inlineStr">
        <is>
          <t>推論用國產晶片規模（中文轉述）</t>
        </is>
      </c>
      <c r="F454" t="inlineStr">
        <is>
          <t>2026</t>
        </is>
      </c>
      <c r="G454" t="n">
        <v>100000</v>
      </c>
      <c r="J454" t="inlineStr">
        <is>
          <t>張（10 萬級）</t>
        </is>
      </c>
      <c r="K454" t="inlineStr">
        <is>
          <t>Interested-party</t>
        </is>
      </c>
      <c r="L454" t="inlineStr">
        <is>
          <t>智譜：上市後股價、配售、招募誘因</t>
        </is>
      </c>
      <c r="N454" t="inlineStr">
        <is>
          <t>網易科技（同花順 2026-09-01）</t>
        </is>
      </c>
      <c r="O454" t="inlineStr">
        <is>
          <t>https://stock.10jqka.com.cn/20260901/c679482271.shtml</t>
        </is>
      </c>
      <c r="P454" t="inlineStr">
        <is>
          <t>2026-09-01</t>
        </is>
      </c>
      <c r="Q454" t="inlineStr">
        <is>
          <t>原文「已經實現10萬級國產晶片的規模化低成本推理」，2026 年初起全面實施 All-in-Infra 戰略</t>
        </is>
      </c>
    </row>
    <row r="455">
      <c r="A455" t="inlineStr">
        <is>
          <t>SRC_ZP_454</t>
        </is>
      </c>
      <c r="B455" t="inlineStr">
        <is>
          <t>Z1-R</t>
        </is>
      </c>
      <c r="C455" t="inlineStr">
        <is>
          <t>D</t>
        </is>
      </c>
      <c r="D455" t="inlineStr">
        <is>
          <t>cmp_inf_cost_drop</t>
        </is>
      </c>
      <c r="E455" t="inlineStr">
        <is>
          <t>單位 token 推論成本較年初降幅</t>
        </is>
      </c>
      <c r="F455" t="inlineStr">
        <is>
          <t>2026-01-01→2026-08</t>
        </is>
      </c>
      <c r="G455" t="n">
        <v>80</v>
      </c>
      <c r="J455" t="inlineStr">
        <is>
          <t>%</t>
        </is>
      </c>
      <c r="K455" t="inlineStr">
        <is>
          <t>Interested-party</t>
        </is>
      </c>
      <c r="L455" t="inlineStr">
        <is>
          <t>智譜：上市後股價、配售、招募誘因</t>
        </is>
      </c>
      <c r="N455" t="inlineStr">
        <is>
          <t>智譜 2026 中期業績公告（Z.AI Co., Ltd.，截至 2026-06-30 止六個月）（第 4 頁）</t>
        </is>
      </c>
      <c r="O455" t="inlineStr">
        <is>
          <t>https://www1.hkexnews.hk/listedco/listconews/sehk/2026/0831/2026083101539.pdf</t>
        </is>
      </c>
      <c r="P455" t="inlineStr">
        <is>
          <t>2026-08-31</t>
        </is>
      </c>
      <c r="Q455" t="inlineStr">
        <is>
          <t>原文「unit Token inference costs declining by 80% from the beginning of the year」；未說明是否含晶片折舊</t>
        </is>
      </c>
    </row>
    <row r="456">
      <c r="A456" t="inlineStr">
        <is>
          <t>SRC_ZP_455</t>
        </is>
      </c>
      <c r="B456" t="inlineStr">
        <is>
          <t>Z1-R</t>
        </is>
      </c>
      <c r="C456" t="inlineStr">
        <is>
          <t>D</t>
        </is>
      </c>
      <c r="D456" t="inlineStr">
        <is>
          <t>cmp_e2e_perf_3x</t>
        </is>
      </c>
      <c r="E456" t="inlineStr">
        <is>
          <t>同硬體端到端服務效能提升倍數</t>
        </is>
      </c>
      <c r="F456" t="inlineStr">
        <is>
          <t>2026（相對初始基線）</t>
        </is>
      </c>
      <c r="G456" t="n">
        <v>3</v>
      </c>
      <c r="J456" t="inlineStr">
        <is>
          <t>倍</t>
        </is>
      </c>
      <c r="K456" t="inlineStr">
        <is>
          <t>Interested-party</t>
        </is>
      </c>
      <c r="L456" t="inlineStr">
        <is>
          <t>智譜：上市後股價、配售、招募誘因</t>
        </is>
      </c>
      <c r="N456" t="inlineStr">
        <is>
          <t>智譜 2026 中期業績公告（Z.AI Co., Ltd.，截至 2026-06-30 止六個月）（第 12 頁）</t>
        </is>
      </c>
      <c r="O456" t="inlineStr">
        <is>
          <t>https://www1.hkexnews.hk/listedco/listconews/sehk/2026/0831/2026083101539.pdf</t>
        </is>
      </c>
      <c r="P456" t="inlineStr">
        <is>
          <t>2026-08-31</t>
        </is>
      </c>
      <c r="Q456" t="inlineStr">
        <is>
          <t>原文「Compared with the initial baseline on the same hardware, end-to-end service performance tripled」；第 21 頁 GLM-5.3-Flash 於國產晶片「300% improvement」</t>
        </is>
      </c>
    </row>
    <row r="457">
      <c r="A457" t="inlineStr">
        <is>
          <t>SRC_ZP_456</t>
        </is>
      </c>
      <c r="B457" t="inlineStr">
        <is>
          <t>Z1-R</t>
        </is>
      </c>
      <c r="C457" t="inlineStr">
        <is>
          <t>D</t>
        </is>
      </c>
      <c r="D457" t="inlineStr">
        <is>
          <t>cmp_multiplier_yoy</t>
        </is>
      </c>
      <c r="E457" t="inlineStr">
        <is>
          <t>「算力乘數」同比增幅</t>
        </is>
      </c>
      <c r="F457" t="inlineStr">
        <is>
          <t>1H2026 vs 1H2025</t>
        </is>
      </c>
      <c r="G457" t="n">
        <v>14</v>
      </c>
      <c r="J457" t="inlineStr">
        <is>
          <t>倍</t>
        </is>
      </c>
      <c r="K457" t="inlineStr">
        <is>
          <t>Interested-party</t>
        </is>
      </c>
      <c r="L457" t="inlineStr">
        <is>
          <t>智譜：上市後股價、配售、招募誘因</t>
        </is>
      </c>
      <c r="N457" t="inlineStr">
        <is>
          <t>智譜 2026 中期業績公告（Z.AI Co., Ltd.，截至 2026-06-30 止六個月）（第 15 頁）</t>
        </is>
      </c>
      <c r="O457" t="inlineStr">
        <is>
          <t>https://www1.hkexnews.hk/listedco/listconews/sehk/2026/0831/2026083101539.pdf</t>
        </is>
      </c>
      <c r="P457" t="inlineStr">
        <is>
          <t>2026-08-31</t>
        </is>
      </c>
      <c r="Q457" t="inlineStr">
        <is>
          <t>定義「open platform and API revenue generated from every RMB1 of computing power investment」（分母含訓練與推論），「increased by approximately 14 times year-on-year」</t>
        </is>
      </c>
    </row>
    <row r="458">
      <c r="A458" t="inlineStr">
        <is>
          <t>SRC_ZP_457</t>
        </is>
      </c>
      <c r="B458" t="inlineStr">
        <is>
          <t>Z1-R</t>
        </is>
      </c>
      <c r="C458" t="inlineStr">
        <is>
          <t>D</t>
        </is>
      </c>
      <c r="D458" t="inlineStr">
        <is>
          <t>cmp_deploy_cost_50</t>
        </is>
      </c>
      <c r="E458" t="inlineStr">
        <is>
          <t>部署成本降幅（FY2025 說法）</t>
        </is>
      </c>
      <c r="F458" t="inlineStr">
        <is>
          <t>FY2025</t>
        </is>
      </c>
      <c r="G458" t="n">
        <v>50</v>
      </c>
      <c r="J458" t="inlineStr">
        <is>
          <t>%</t>
        </is>
      </c>
      <c r="K458" t="inlineStr">
        <is>
          <t>Interested-party</t>
        </is>
      </c>
      <c r="L458" t="inlineStr">
        <is>
          <t>智譜：上市後股價、配售、招募誘因</t>
        </is>
      </c>
      <c r="N458" t="inlineStr">
        <is>
          <t>智譜 2025 年度業績公告（截至 2025-12-31）</t>
        </is>
      </c>
      <c r="O458" t="inlineStr">
        <is>
          <t>https://www1.hkexnews.hk/listedco/listconews/sehk/2026/0331/2026033101549.pdf</t>
        </is>
      </c>
      <c r="P458" t="inlineStr">
        <is>
          <t>2026-03-31</t>
        </is>
      </c>
      <c r="Q458" t="inlineStr">
        <is>
          <t>原文「cutting deployment costs by 50% with zero performance degradation」；另稱國產晶片推論效率「comparable to that of international top-tier chips」</t>
        </is>
      </c>
    </row>
    <row r="459">
      <c r="A459" t="inlineStr">
        <is>
          <t>SRC_ZP_458</t>
        </is>
      </c>
      <c r="B459" t="inlineStr">
        <is>
          <t>Z1-R</t>
        </is>
      </c>
      <c r="C459" t="inlineStr">
        <is>
          <t>D</t>
        </is>
      </c>
      <c r="D459" t="inlineStr">
        <is>
          <t>cmp_1gw_dc</t>
        </is>
      </c>
      <c r="E459" t="inlineStr">
        <is>
          <t>國產 AI 算力資料中心規模</t>
        </is>
      </c>
      <c r="F459" t="inlineStr">
        <is>
          <t>2026-07-21</t>
        </is>
      </c>
      <c r="G459" t="n">
        <v>1</v>
      </c>
      <c r="J459" t="inlineStr">
        <is>
          <t>GW（口徑未明）</t>
        </is>
      </c>
      <c r="K459" t="inlineStr">
        <is>
          <t>Interested-party</t>
        </is>
      </c>
      <c r="L459" t="inlineStr">
        <is>
          <t>智譜：上市後股價、配售、招募誘因</t>
        </is>
      </c>
      <c r="M459" t="inlineStr">
        <is>
          <t>GW 口徑未明</t>
        </is>
      </c>
      <c r="N459" t="inlineStr">
        <is>
          <t>財聞（同花順 2026-07-21）</t>
        </is>
      </c>
      <c r="O459" t="inlineStr">
        <is>
          <t>https://stock.10jqka.com.cn/20260721/c678310697.shtml</t>
        </is>
      </c>
      <c r="P459" t="inlineStr">
        <is>
          <t>2026-07-21</t>
        </is>
      </c>
      <c r="Q459" t="inlineStr">
        <is>
          <t>原文「已落地1GW級國產AI算力數據中心建設，並全部採用國產AI晶片」；未揭露地點、夥伴、IT／設施口徑、持有方式、完工時點</t>
        </is>
      </c>
    </row>
    <row r="460">
      <c r="A460" t="inlineStr">
        <is>
          <t>SRC_ZP_459</t>
        </is>
      </c>
      <c r="B460" t="inlineStr">
        <is>
          <t>Z1-R</t>
        </is>
      </c>
      <c r="C460" t="inlineStr">
        <is>
          <t>D</t>
        </is>
      </c>
      <c r="D460" t="inlineStr">
        <is>
          <t>cmp_entity_list</t>
        </is>
      </c>
      <c r="E460" t="inlineStr">
        <is>
          <t>美國實體清單列入日</t>
        </is>
      </c>
      <c r="F460" t="inlineStr">
        <is>
          <t>2025-01-16</t>
        </is>
      </c>
      <c r="J460" t="inlineStr">
        <is>
          <t>日期</t>
        </is>
      </c>
      <c r="K460" t="inlineStr">
        <is>
          <t>Verified</t>
        </is>
      </c>
      <c r="N460" t="inlineStr">
        <is>
          <t>智譜招股章程（全球發售，2025-12-30）</t>
        </is>
      </c>
      <c r="O460" t="inlineStr">
        <is>
          <t>https://www1.hkexnews.hk/listedco/listconews/sehk/2025/1230/2025123000017.pdf</t>
        </is>
      </c>
      <c r="P460" t="inlineStr">
        <is>
          <t>2025-12-30</t>
        </is>
      </c>
      <c r="Q460" t="inlineStr">
        <is>
          <t>公司及 9 家子公司 2025-01-16 列入 BIS 實體清單；稱往績期間未依賴 EAR 物項，董事與制裁律師預期無重大不利影響</t>
        </is>
      </c>
    </row>
    <row r="461">
      <c r="A461" t="inlineStr">
        <is>
          <t>SRC_ZP_460</t>
        </is>
      </c>
      <c r="B461" t="inlineStr">
        <is>
          <t>Z1-R</t>
        </is>
      </c>
      <c r="C461" t="inlineStr">
        <is>
          <t>D</t>
        </is>
      </c>
      <c r="D461" t="inlineStr">
        <is>
          <t>cmp_glm52_day0_vendors</t>
        </is>
      </c>
      <c r="E461" t="inlineStr">
        <is>
          <t>GLM-5.2 Day-0 適配國產晶片平台</t>
        </is>
      </c>
      <c r="F461" t="inlineStr">
        <is>
          <t>2026-06</t>
        </is>
      </c>
      <c r="G461" t="n">
        <v>5</v>
      </c>
      <c r="J461" t="inlineStr">
        <is>
          <t>家（以上）</t>
        </is>
      </c>
      <c r="K461" t="inlineStr">
        <is>
          <t>Interested-party</t>
        </is>
      </c>
      <c r="L461" t="inlineStr">
        <is>
          <t>晶片廠與智譜：合作宣傳誘因</t>
        </is>
      </c>
      <c r="N461" t="inlineStr">
        <is>
          <t>同花順（2026-06-23）</t>
        </is>
      </c>
      <c r="O461" t="inlineStr">
        <is>
          <t>https://news.10jqka.com.cn/20260623/c677629958.shtml</t>
        </is>
      </c>
      <c r="P461" t="inlineStr">
        <is>
          <t>2026-06-23</t>
        </is>
      </c>
      <c r="Q461" t="inlineStr">
        <is>
          <t>原文「與昇騰、寒武紀、海光、崑崙芯、壁仞等多個國產算力平台的Day0適配」；36氪另列摩爾線程；適配≠採購，不表示 10 萬張晶片的供應方</t>
        </is>
      </c>
    </row>
    <row r="462">
      <c r="A462" t="inlineStr">
        <is>
          <t>SRC_ZP_461</t>
        </is>
      </c>
      <c r="B462" t="inlineStr">
        <is>
          <t>Z1-R</t>
        </is>
      </c>
      <c r="C462" t="inlineStr">
        <is>
          <t>D</t>
        </is>
      </c>
      <c r="D462" t="inlineStr">
        <is>
          <t>cmp_capacity_refi_sep26</t>
        </is>
      </c>
      <c r="E462" t="inlineStr">
        <is>
          <t>為算力擴容之再融資（小股大債）</t>
        </is>
      </c>
      <c r="F462" t="inlineStr">
        <is>
          <t>2026-09</t>
        </is>
      </c>
      <c r="G462" t="n">
        <v>50</v>
      </c>
      <c r="J462" t="inlineStr">
        <is>
          <t>USD 億</t>
        </is>
      </c>
      <c r="K462" t="inlineStr">
        <is>
          <t>Interested-party</t>
        </is>
      </c>
      <c r="L462" t="inlineStr">
        <is>
          <t>智譜：上市後股價、配售、招募誘因</t>
        </is>
      </c>
      <c r="N462" t="inlineStr">
        <is>
          <t>證券日報（同花順 2026-09-16）</t>
        </is>
      </c>
      <c r="O462" t="inlineStr">
        <is>
          <t>https://stock.10jqka.com.cn/20260916/c679973930.shtml</t>
        </is>
      </c>
      <c r="P462" t="inlineStr">
        <is>
          <t>2026-09-16</t>
        </is>
      </c>
      <c r="Q462" t="inlineStr">
        <is>
          <t>原文「以“小股大債”的結構完成總額50億美元的再融資，此次融資是出於算力擴容要求」；7 月另完成 40 億美元；細節屬 F 組（Z1-M）</t>
        </is>
      </c>
    </row>
    <row r="463">
      <c r="A463" t="inlineStr">
        <is>
          <t>SRC_ZP_462</t>
        </is>
      </c>
      <c r="B463" t="inlineStr">
        <is>
          <t>Z1-R</t>
        </is>
      </c>
      <c r="C463" t="inlineStr">
        <is>
          <t>D</t>
        </is>
      </c>
      <c r="D463" t="inlineStr">
        <is>
          <t>rent_h20_cardhr_sep26</t>
        </is>
      </c>
      <c r="E463" t="inlineStr">
        <is>
          <t>H20-96G 卡時租價（京津冀均價）</t>
        </is>
      </c>
      <c r="F463" t="inlineStr">
        <is>
          <t>2026-09-01</t>
        </is>
      </c>
      <c r="G463" t="n">
        <v>7.47</v>
      </c>
      <c r="H463" t="n">
        <v>7.03</v>
      </c>
      <c r="I463" t="n">
        <v>8.16</v>
      </c>
      <c r="J463" t="inlineStr">
        <is>
          <t>RMB 元／卡／小時</t>
        </is>
      </c>
      <c r="K463" t="inlineStr">
        <is>
          <t>Analogy</t>
        </is>
      </c>
      <c r="N463" t="inlineStr">
        <is>
          <t>上海有色網 SMM 算力日報</t>
        </is>
      </c>
      <c r="O463" t="inlineStr">
        <is>
          <t>https://news.metal.com/newscontent/104091780-smm-computing-power-daily-h20-beijing-tianjin-hebei-highest-price-rises-12-dual-track-pricing-emerges-for-domestic-server-computing-power-leasing</t>
        </is>
      </c>
      <c r="P463" t="inlineStr">
        <is>
          <t>2026-09-01</t>
        </is>
      </c>
      <c r="Q463" t="inlineStr">
        <is>
          <t>均價 7.47（前 7.03）、最高 8.16（前 7.29）元/卡/時；整機月租均 43,000、最高 47,000</t>
        </is>
      </c>
    </row>
    <row r="464">
      <c r="A464" t="inlineStr">
        <is>
          <t>SRC_ZP_463</t>
        </is>
      </c>
      <c r="B464" t="inlineStr">
        <is>
          <t>Z1-R</t>
        </is>
      </c>
      <c r="C464" t="inlineStr">
        <is>
          <t>D</t>
        </is>
      </c>
      <c r="D464" t="inlineStr">
        <is>
          <t>rent_h20_machmo_sep26</t>
        </is>
      </c>
      <c r="E464" t="inlineStr">
        <is>
          <t>H20-96G 整機月租（京津冀均價）</t>
        </is>
      </c>
      <c r="F464" t="inlineStr">
        <is>
          <t>2026-09-01</t>
        </is>
      </c>
      <c r="G464" t="n">
        <v>43000</v>
      </c>
      <c r="H464" t="n">
        <v>40500</v>
      </c>
      <c r="I464" t="n">
        <v>47000</v>
      </c>
      <c r="J464" t="inlineStr">
        <is>
          <t>RMB 元／台／月</t>
        </is>
      </c>
      <c r="K464" t="inlineStr">
        <is>
          <t>Analogy</t>
        </is>
      </c>
      <c r="N464" t="inlineStr">
        <is>
          <t>上海有色網 SMM 算力日報</t>
        </is>
      </c>
      <c r="O464" t="inlineStr">
        <is>
          <t>https://news.metal.com/newscontent/104091780-smm-computing-power-daily-h20-beijing-tianjin-hebei-highest-price-rises-12-dual-track-pricing-emerges-for-domestic-server-computing-power-leasing</t>
        </is>
      </c>
      <c r="P464" t="inlineStr">
        <is>
          <t>2026-09-01</t>
        </is>
      </c>
      <c r="Q464" t="inlineStr">
        <is>
          <t>均 43,000（前 40,500），最高 47,000；與卡時價 7.47×8 卡×730h≈43,600 吻合，推定整機＝8 卡</t>
        </is>
      </c>
    </row>
    <row r="465">
      <c r="A465" t="inlineStr">
        <is>
          <t>SRC_ZP_464</t>
        </is>
      </c>
      <c r="B465" t="inlineStr">
        <is>
          <t>Z1-R</t>
        </is>
      </c>
      <c r="C465" t="inlineStr">
        <is>
          <t>D</t>
        </is>
      </c>
      <c r="D465" t="inlineStr">
        <is>
          <t>rent_h20_machmo_jul26</t>
        </is>
      </c>
      <c r="E465" t="inlineStr">
        <is>
          <t>H20 96G 整機月租（華東，一年約）</t>
        </is>
      </c>
      <c r="F465" t="inlineStr">
        <is>
          <t>2026-07-23</t>
        </is>
      </c>
      <c r="G465" t="n">
        <v>35000</v>
      </c>
      <c r="H465" t="n">
        <v>34000</v>
      </c>
      <c r="I465" t="n">
        <v>35000</v>
      </c>
      <c r="J465" t="inlineStr">
        <is>
          <t>RMB 元／台／月</t>
        </is>
      </c>
      <c r="K465" t="inlineStr">
        <is>
          <t>Analogy</t>
        </is>
      </c>
      <c r="N465" t="inlineStr">
        <is>
          <t>上海有色網 SMM 算力日報</t>
        </is>
      </c>
      <c r="O465" t="inlineStr">
        <is>
          <t>https://news.metal.com/newscontent/104021324-smm-computing-power-daily-h100-spot-rental-quotes-hit-a-new-high-of-85000-h20-and-a800-long-term-agreement-resources-ent</t>
        </is>
      </c>
      <c r="P465" t="inlineStr">
        <is>
          <t>2026-07-23</t>
        </is>
      </c>
      <c r="Q465" t="inlineStr">
        <is>
          <t>一年約 35,000、三年約 34,000；H20 141G 版 42,000（年約）～46,000（月租）</t>
        </is>
      </c>
    </row>
    <row r="466">
      <c r="A466" t="inlineStr">
        <is>
          <t>SRC_ZP_465</t>
        </is>
      </c>
      <c r="B466" t="inlineStr">
        <is>
          <t>Z1-R</t>
        </is>
      </c>
      <c r="C466" t="inlineStr">
        <is>
          <t>D</t>
        </is>
      </c>
      <c r="D466" t="inlineStr">
        <is>
          <t>rent_h800_machmo_aug26</t>
        </is>
      </c>
      <c r="E466" t="inlineStr">
        <is>
          <t>H800 月租（湖南，兩年長約）</t>
        </is>
      </c>
      <c r="F466" t="inlineStr">
        <is>
          <t>2026-08-21</t>
        </is>
      </c>
      <c r="G466" t="n">
        <v>78000</v>
      </c>
      <c r="H466" t="n">
        <v>78000</v>
      </c>
      <c r="I466" t="n">
        <v>85000</v>
      </c>
      <c r="J466" t="inlineStr">
        <is>
          <t>RMB 元／台／月</t>
        </is>
      </c>
      <c r="K466" t="inlineStr">
        <is>
          <t>Analogy</t>
        </is>
      </c>
      <c r="N466" t="inlineStr">
        <is>
          <t>上海有色網 SMM 算力日報</t>
        </is>
      </c>
      <c r="O466" t="inlineStr">
        <is>
          <t>https://news.metal.com/newscontent/104072164-smm-computing-power-news-h800-signed-a-2-year-long-term-agreement-at-78000-yuan-per-month-tight-spot-supply</t>
        </is>
      </c>
      <c r="P466" t="inlineStr">
        <is>
          <t>2026-08-21</t>
        </is>
      </c>
      <c r="Q466" t="inlineStr">
        <is>
          <t>原文「78,000 yuan per unit per month on a two-year long-term agreement」；短租含維運 85,000；unit 未定義（推定 8 卡整機）</t>
        </is>
      </c>
    </row>
    <row r="467">
      <c r="A467" t="inlineStr">
        <is>
          <t>SRC_ZP_466</t>
        </is>
      </c>
      <c r="B467" t="inlineStr">
        <is>
          <t>Z1-R</t>
        </is>
      </c>
      <c r="C467" t="inlineStr">
        <is>
          <t>D</t>
        </is>
      </c>
      <c r="D467" t="inlineStr">
        <is>
          <t>rent_a800_machmo_jul26</t>
        </is>
      </c>
      <c r="E467" t="inlineStr">
        <is>
          <t>A800 80G 整機月租（華中）</t>
        </is>
      </c>
      <c r="F467" t="inlineStr">
        <is>
          <t>2026-07-23</t>
        </is>
      </c>
      <c r="G467" t="n">
        <v>36000</v>
      </c>
      <c r="H467" t="n">
        <v>34000</v>
      </c>
      <c r="I467" t="n">
        <v>36000</v>
      </c>
      <c r="J467" t="inlineStr">
        <is>
          <t>RMB 元／台／月</t>
        </is>
      </c>
      <c r="K467" t="inlineStr">
        <is>
          <t>Analogy</t>
        </is>
      </c>
      <c r="N467" t="inlineStr">
        <is>
          <t>上海有色網 SMM 算力日報</t>
        </is>
      </c>
      <c r="O467" t="inlineStr">
        <is>
          <t>https://news.metal.com/newscontent/104021324-smm-computing-power-daily-h100-spot-rental-quotes-hit-a-new-high-of-85000-h20-and-a800-long-term-agreement-resources-ent</t>
        </is>
      </c>
      <c r="P467" t="inlineStr">
        <is>
          <t>2026-07-23</t>
        </is>
      </c>
      <c r="Q467" t="inlineStr">
        <is>
          <t>一年約 36,000、三年約 34,000（16 台）</t>
        </is>
      </c>
    </row>
    <row r="468">
      <c r="A468" t="inlineStr">
        <is>
          <t>SRC_ZP_467</t>
        </is>
      </c>
      <c r="B468" t="inlineStr">
        <is>
          <t>Z1-R</t>
        </is>
      </c>
      <c r="C468" t="inlineStr">
        <is>
          <t>D</t>
        </is>
      </c>
      <c r="D468" t="inlineStr">
        <is>
          <t>rent_h100_machmo_jul26</t>
        </is>
      </c>
      <c r="E468" t="inlineStr">
        <is>
          <t>H100 80G SXM 整機月租（長三角）</t>
        </is>
      </c>
      <c r="F468" t="inlineStr">
        <is>
          <t>2026-07-23</t>
        </is>
      </c>
      <c r="G468" t="n">
        <v>85000</v>
      </c>
      <c r="H468" t="n">
        <v>75000</v>
      </c>
      <c r="I468" t="n">
        <v>85000</v>
      </c>
      <c r="J468" t="inlineStr">
        <is>
          <t>RMB 元／台／月</t>
        </is>
      </c>
      <c r="K468" t="inlineStr">
        <is>
          <t>Analogy</t>
        </is>
      </c>
      <c r="N468" t="inlineStr">
        <is>
          <t>上海有色網 SMM 算力日報</t>
        </is>
      </c>
      <c r="O468" t="inlineStr">
        <is>
          <t>https://news.metal.com/newscontent/104021324-smm-computing-power-daily-h100-spot-rental-quotes-hit-a-new-high-of-85000-h20-and-a800-long-term-agreement-resources-ent</t>
        </is>
      </c>
      <c r="P468" t="inlineStr">
        <is>
          <t>2026-07-23</t>
        </is>
      </c>
      <c r="Q468" t="inlineStr">
        <is>
          <t>短租 85,000（新高）、一年以上 80,000；前主流 75,000–80,000；表頭為 per 8-card server</t>
        </is>
      </c>
    </row>
    <row r="469">
      <c r="A469" t="inlineStr">
        <is>
          <t>SRC_ZP_468</t>
        </is>
      </c>
      <c r="B469" t="inlineStr">
        <is>
          <t>Z1-R</t>
        </is>
      </c>
      <c r="C469" t="inlineStr">
        <is>
          <t>D</t>
        </is>
      </c>
      <c r="D469" t="inlineStr">
        <is>
          <t>rent_910b4_mo_aug26</t>
        </is>
      </c>
      <c r="E469" t="inlineStr">
        <is>
          <t>昇騰 910B4 月租（西南）</t>
        </is>
      </c>
      <c r="F469" t="inlineStr">
        <is>
          <t>2026-08-27</t>
        </is>
      </c>
      <c r="G469" t="n">
        <v>16000</v>
      </c>
      <c r="H469" t="n">
        <v>15000</v>
      </c>
      <c r="I469" t="n">
        <v>16000</v>
      </c>
      <c r="J469" t="inlineStr">
        <is>
          <t>RMB 元／unit／月</t>
        </is>
      </c>
      <c r="K469" t="inlineStr">
        <is>
          <t>Analogy</t>
        </is>
      </c>
      <c r="N469" t="inlineStr">
        <is>
          <t>上海有色網 SMM 算力日報</t>
        </is>
      </c>
      <c r="O469" t="inlineStr">
        <is>
          <t>https://news.metal.com/newscontent/104082769-smm-computing-power-midday-review-market-overall-sideways-domestic-computing-power-rental-and-procurement-prices-emerge</t>
        </is>
      </c>
      <c r="P469" t="inlineStr">
        <is>
          <t>2026-08-27</t>
        </is>
      </c>
      <c r="Q469" t="inlineStr">
        <is>
          <t>原文「monthly rental quote for the 910B was 16,000 yuan per unit per month」，未定義 unit（卡或 8 卡整機）；華東一年全包 15,000；910B4 八卡整機採購約 76 萬元</t>
        </is>
      </c>
    </row>
    <row r="470">
      <c r="A470" t="inlineStr">
        <is>
          <t>SRC_ZP_469</t>
        </is>
      </c>
      <c r="B470" t="inlineStr">
        <is>
          <t>Z1-R</t>
        </is>
      </c>
      <c r="C470" t="inlineStr">
        <is>
          <t>D</t>
        </is>
      </c>
      <c r="D470" t="inlineStr">
        <is>
          <t>rent_910b3_mo_sep26</t>
        </is>
      </c>
      <c r="E470" t="inlineStr">
        <is>
          <t>昇騰 910B3 月租（線上雲）</t>
        </is>
      </c>
      <c r="F470" t="inlineStr">
        <is>
          <t>2026-09-07</t>
        </is>
      </c>
      <c r="G470" t="n">
        <v>16000</v>
      </c>
      <c r="H470" t="n">
        <v>16000</v>
      </c>
      <c r="I470" t="n">
        <v>19000</v>
      </c>
      <c r="J470" t="inlineStr">
        <is>
          <t>RMB 元／unit／月</t>
        </is>
      </c>
      <c r="K470" t="inlineStr">
        <is>
          <t>Analogy</t>
        </is>
      </c>
      <c r="N470" t="inlineStr">
        <is>
          <t>上海有色網 SMM 算力日報</t>
        </is>
      </c>
      <c r="O470" t="inlineStr">
        <is>
          <t>https://news.metal.com/newscontent/104099764-smm-computing-power-flash-30-units-of-910b3-available-for-online-rental-at-16000-yuan-3000-yuan-lower-than-relocatable-units</t>
        </is>
      </c>
      <c r="P470" t="inlineStr">
        <is>
          <t>2026-09-07</t>
        </is>
      </c>
      <c r="Q470" t="inlineStr">
        <is>
          <t>線上 16,000、華東可搬遷 19,000；910B2 線上 17,000；unit 未定義</t>
        </is>
      </c>
    </row>
    <row r="471">
      <c r="A471" t="inlineStr">
        <is>
          <t>SRC_ZP_470</t>
        </is>
      </c>
      <c r="B471" t="inlineStr">
        <is>
          <t>Z1-R</t>
        </is>
      </c>
      <c r="C471" t="inlineStr">
        <is>
          <t>D</t>
        </is>
      </c>
      <c r="D471" t="inlineStr">
        <is>
          <t>rent_910b2_mo_aug26</t>
        </is>
      </c>
      <c r="E471" t="inlineStr">
        <is>
          <t>昇騰 910B2 月租（華東）</t>
        </is>
      </c>
      <c r="F471" t="inlineStr">
        <is>
          <t>2026-08-31</t>
        </is>
      </c>
      <c r="G471" t="n">
        <v>12000</v>
      </c>
      <c r="H471" t="n">
        <v>12000</v>
      </c>
      <c r="I471" t="n">
        <v>17000</v>
      </c>
      <c r="J471" t="inlineStr">
        <is>
          <t>RMB 元／unit／月</t>
        </is>
      </c>
      <c r="K471" t="inlineStr">
        <is>
          <t>Analogy</t>
        </is>
      </c>
      <c r="N471" t="inlineStr">
        <is>
          <t>上海有色網 SMM 算力日報</t>
        </is>
      </c>
      <c r="O471" t="inlineStr">
        <is>
          <t>https://news.metal.com/newscontent/104088520-smm-computing-power-flash-ascend-910b-rental-demand-heats-up-preference-for-910b3-or-higher-specifications</t>
        </is>
      </c>
      <c r="P471" t="inlineStr">
        <is>
          <t>2026-08-31</t>
        </is>
      </c>
      <c r="Q471" t="inlineStr">
        <is>
          <t>原文「910B2 monthly rentals at 12,000 yuan in east China」；合約常見「兩年固定加一年開放」；unit 未定義</t>
        </is>
      </c>
    </row>
    <row r="472">
      <c r="A472" t="inlineStr">
        <is>
          <t>SRC_ZP_471</t>
        </is>
      </c>
      <c r="B472" t="inlineStr">
        <is>
          <t>Z1-R</t>
        </is>
      </c>
      <c r="C472" t="inlineStr">
        <is>
          <t>D</t>
        </is>
      </c>
      <c r="D472" t="inlineStr">
        <is>
          <t>rent_910b_8card_mo_may26</t>
        </is>
      </c>
      <c r="E472" t="inlineStr">
        <is>
          <t>昇騰 910B 八卡月租（智星雲）</t>
        </is>
      </c>
      <c r="F472" t="inlineStr">
        <is>
          <t>2026-05-12</t>
        </is>
      </c>
      <c r="G472" t="n">
        <v>25000</v>
      </c>
      <c r="H472" t="n">
        <v>16000</v>
      </c>
      <c r="I472" t="n">
        <v>25000</v>
      </c>
      <c r="J472" t="inlineStr">
        <is>
          <t>RMB 元／8 卡／月</t>
        </is>
      </c>
      <c r="K472" t="inlineStr">
        <is>
          <t>Analogy</t>
        </is>
      </c>
      <c r="N472" t="inlineStr">
        <is>
          <t>AtomGit／CSDN〈2026 怎麼租到高性價比 GPU 算力〉</t>
        </is>
      </c>
      <c r="O472" t="inlineStr">
        <is>
          <t>https://gitcode.csdn.net/6a02e16154b52172bc73777e.html</t>
        </is>
      </c>
      <c r="P472" t="inlineStr">
        <is>
          <t>2026-05-12</t>
        </is>
      </c>
      <c r="Q472" t="inlineStr">
        <is>
          <t>表列昇騰 910B 八卡配置月租 25,000；與 SMM 16,000 矛盾（若 SMM unit＝8 卡）</t>
        </is>
      </c>
    </row>
    <row r="473">
      <c r="A473" t="inlineStr">
        <is>
          <t>SRC_ZP_472</t>
        </is>
      </c>
      <c r="B473" t="inlineStr">
        <is>
          <t>Z1-R</t>
        </is>
      </c>
      <c r="C473" t="inlineStr">
        <is>
          <t>D</t>
        </is>
      </c>
      <c r="D473" t="inlineStr">
        <is>
          <t>rent_h800_cardhr_aliyun</t>
        </is>
      </c>
      <c r="E473" t="inlineStr">
        <is>
          <t>H800 80G 單卡時租（阿里雲）</t>
        </is>
      </c>
      <c r="F473" t="inlineStr">
        <is>
          <t>2026-05-12</t>
        </is>
      </c>
      <c r="G473" t="n">
        <v>18.75</v>
      </c>
      <c r="H473" t="n">
        <v>11.83</v>
      </c>
      <c r="I473" t="n">
        <v>18.75</v>
      </c>
      <c r="J473" t="inlineStr">
        <is>
          <t>RMB 元／卡／小時</t>
        </is>
      </c>
      <c r="K473" t="inlineStr">
        <is>
          <t>Analogy</t>
        </is>
      </c>
      <c r="N473" t="inlineStr">
        <is>
          <t>AtomGit／CSDN〈2026 怎麼租到高性價比 GPU 算力〉</t>
        </is>
      </c>
      <c r="O473" t="inlineStr">
        <is>
          <t>https://gitcode.csdn.net/6a02e16154b52172bc73777e.html</t>
        </is>
      </c>
      <c r="P473" t="inlineStr">
        <is>
          <t>2026-05-12</t>
        </is>
      </c>
      <c r="Q473" t="inlineStr">
        <is>
          <t>表列阿里雲 H800 時租 18.75、月約 13,500；圖靈小鎮 11.83／月約 8,518</t>
        </is>
      </c>
    </row>
    <row r="474">
      <c r="A474" t="inlineStr">
        <is>
          <t>SRC_ZP_473</t>
        </is>
      </c>
      <c r="B474" t="inlineStr">
        <is>
          <t>Z1-R</t>
        </is>
      </c>
      <c r="C474" t="inlineStr">
        <is>
          <t>D</t>
        </is>
      </c>
      <c r="D474" t="inlineStr">
        <is>
          <t>rent_h800_cardhr_turing_b</t>
        </is>
      </c>
      <c r="E474" t="inlineStr">
        <is>
          <t>H800 80G 單卡時租（圖靈小鎮）</t>
        </is>
      </c>
      <c r="F474" t="inlineStr">
        <is>
          <t>2026-05-12</t>
        </is>
      </c>
      <c r="G474" t="n">
        <v>11.83</v>
      </c>
      <c r="H474" t="n">
        <v>11.83</v>
      </c>
      <c r="I474" t="n">
        <v>18.75</v>
      </c>
      <c r="J474" t="inlineStr">
        <is>
          <t>RMB 元／卡／小時</t>
        </is>
      </c>
      <c r="K474" t="inlineStr">
        <is>
          <t>Analogy</t>
        </is>
      </c>
      <c r="N474" t="inlineStr">
        <is>
          <t>AtomGit／CSDN〈2026 怎麼租到高性價比 GPU 算力〉</t>
        </is>
      </c>
      <c r="O474" t="inlineStr">
        <is>
          <t>https://gitcode.csdn.net/6a02e16154b52172bc73777e.html</t>
        </is>
      </c>
      <c r="P474" t="inlineStr">
        <is>
          <t>2026-05-12</t>
        </is>
      </c>
      <c r="Q474" t="inlineStr">
        <is>
          <t>同上</t>
        </is>
      </c>
    </row>
    <row r="475">
      <c r="A475" t="inlineStr">
        <is>
          <t>SRC_ZP_474</t>
        </is>
      </c>
      <c r="B475" t="inlineStr">
        <is>
          <t>Z1-R</t>
        </is>
      </c>
      <c r="C475" t="inlineStr">
        <is>
          <t>D</t>
        </is>
      </c>
      <c r="D475" t="inlineStr">
        <is>
          <t>rent_h800_cardhr_derived</t>
        </is>
      </c>
      <c r="E475" t="inlineStr">
        <is>
          <t>H800（SMM 兩年約） 折算卡時價</t>
        </is>
      </c>
      <c r="F475" t="inlineStr">
        <is>
          <t>2026-07～09</t>
        </is>
      </c>
      <c r="G475" t="n">
        <v>13.36</v>
      </c>
      <c r="J475" t="inlineStr">
        <is>
          <t>RMB 元／卡／小時</t>
        </is>
      </c>
      <c r="K475" t="inlineStr">
        <is>
          <t>Derived</t>
        </is>
      </c>
      <c r="N475" t="inlineStr">
        <is>
          <t>由 rent_h800_machmo_aug26 ÷ 8 卡 ÷ 730 小時</t>
        </is>
      </c>
      <c r="O475" t="inlineStr">
        <is>
          <t>https://news.metal.com/</t>
        </is>
      </c>
      <c r="P475" t="inlineStr">
        <is>
          <t>2026-10-08</t>
        </is>
      </c>
      <c r="Q475" t="inlineStr">
        <is>
          <t>78000÷8÷730＝13.36；假設整機 8 卡、每月 730 小時、全月計費</t>
        </is>
      </c>
    </row>
    <row r="476">
      <c r="A476" t="inlineStr">
        <is>
          <t>SRC_ZP_475</t>
        </is>
      </c>
      <c r="B476" t="inlineStr">
        <is>
          <t>Z1-R</t>
        </is>
      </c>
      <c r="C476" t="inlineStr">
        <is>
          <t>D</t>
        </is>
      </c>
      <c r="D476" t="inlineStr">
        <is>
          <t>rent_a800_cardhr_derived</t>
        </is>
      </c>
      <c r="E476" t="inlineStr">
        <is>
          <t>A800（SMM 一年約） 折算卡時價</t>
        </is>
      </c>
      <c r="F476" t="inlineStr">
        <is>
          <t>2026-07～09</t>
        </is>
      </c>
      <c r="G476" t="n">
        <v>6.16</v>
      </c>
      <c r="J476" t="inlineStr">
        <is>
          <t>RMB 元／卡／小時</t>
        </is>
      </c>
      <c r="K476" t="inlineStr">
        <is>
          <t>Derived</t>
        </is>
      </c>
      <c r="N476" t="inlineStr">
        <is>
          <t>由 rent_a800_machmo_jul26 ÷ 8 卡 ÷ 730 小時</t>
        </is>
      </c>
      <c r="O476" t="inlineStr">
        <is>
          <t>https://news.metal.com/</t>
        </is>
      </c>
      <c r="P476" t="inlineStr">
        <is>
          <t>2026-10-08</t>
        </is>
      </c>
      <c r="Q476" t="inlineStr">
        <is>
          <t>36000÷8÷730＝6.16；假設整機 8 卡、每月 730 小時、全月計費</t>
        </is>
      </c>
    </row>
    <row r="477">
      <c r="A477" t="inlineStr">
        <is>
          <t>SRC_ZP_476</t>
        </is>
      </c>
      <c r="B477" t="inlineStr">
        <is>
          <t>Z1-R</t>
        </is>
      </c>
      <c r="C477" t="inlineStr">
        <is>
          <t>D</t>
        </is>
      </c>
      <c r="D477" t="inlineStr">
        <is>
          <t>rent_h100_cardhr_derived</t>
        </is>
      </c>
      <c r="E477" t="inlineStr">
        <is>
          <t>H100（SMM 一年以上） 折算卡時價</t>
        </is>
      </c>
      <c r="F477" t="inlineStr">
        <is>
          <t>2026-07～09</t>
        </is>
      </c>
      <c r="G477" t="n">
        <v>13.7</v>
      </c>
      <c r="J477" t="inlineStr">
        <is>
          <t>RMB 元／卡／小時</t>
        </is>
      </c>
      <c r="K477" t="inlineStr">
        <is>
          <t>Derived</t>
        </is>
      </c>
      <c r="N477" t="inlineStr">
        <is>
          <t>由 rent_h100_machmo_jul26 ÷ 8 卡 ÷ 730 小時</t>
        </is>
      </c>
      <c r="O477" t="inlineStr">
        <is>
          <t>https://news.metal.com/</t>
        </is>
      </c>
      <c r="P477" t="inlineStr">
        <is>
          <t>2026-10-08</t>
        </is>
      </c>
      <c r="Q477" t="inlineStr">
        <is>
          <t>80000÷8÷730＝13.7；假設整機 8 卡、每月 730 小時、全月計費</t>
        </is>
      </c>
    </row>
    <row r="478">
      <c r="A478" t="inlineStr">
        <is>
          <t>SRC_ZP_477</t>
        </is>
      </c>
      <c r="B478" t="inlineStr">
        <is>
          <t>Z1-R</t>
        </is>
      </c>
      <c r="C478" t="inlineStr">
        <is>
          <t>D</t>
        </is>
      </c>
      <c r="D478" t="inlineStr">
        <is>
          <t>rent_h20_cardhr_derived</t>
        </is>
      </c>
      <c r="E478" t="inlineStr">
        <is>
          <t>H20 96G（SMM 京津冀均） 折算卡時價</t>
        </is>
      </c>
      <c r="F478" t="inlineStr">
        <is>
          <t>2026-07～09</t>
        </is>
      </c>
      <c r="G478" t="n">
        <v>7.36</v>
      </c>
      <c r="J478" t="inlineStr">
        <is>
          <t>RMB 元／卡／小時</t>
        </is>
      </c>
      <c r="K478" t="inlineStr">
        <is>
          <t>Derived</t>
        </is>
      </c>
      <c r="N478" t="inlineStr">
        <is>
          <t>由 rent_h20_machmo_sep26 ÷ 8 卡 ÷ 730 小時</t>
        </is>
      </c>
      <c r="O478" t="inlineStr">
        <is>
          <t>https://news.metal.com/</t>
        </is>
      </c>
      <c r="P478" t="inlineStr">
        <is>
          <t>2026-10-08</t>
        </is>
      </c>
      <c r="Q478" t="inlineStr">
        <is>
          <t>43000÷8÷730＝7.36；假設整機 8 卡、每月 730 小時、全月計費</t>
        </is>
      </c>
    </row>
    <row r="479">
      <c r="A479" t="inlineStr">
        <is>
          <t>SRC_ZP_478</t>
        </is>
      </c>
      <c r="B479" t="inlineStr">
        <is>
          <t>Z1-R</t>
        </is>
      </c>
      <c r="C479" t="inlineStr">
        <is>
          <t>D</t>
        </is>
      </c>
      <c r="D479" t="inlineStr">
        <is>
          <t>rent_910b4_cardhr_derived</t>
        </is>
      </c>
      <c r="E479" t="inlineStr">
        <is>
          <t>昇騰 910B4／910B3 16,000 折算卡時價（假設 8 卡整機）</t>
        </is>
      </c>
      <c r="F479" t="inlineStr">
        <is>
          <t>2026-05～09</t>
        </is>
      </c>
      <c r="G479" t="n">
        <v>2.74</v>
      </c>
      <c r="H479" t="n">
        <v>2.74</v>
      </c>
      <c r="I479" t="n">
        <v>4.28</v>
      </c>
      <c r="J479" t="inlineStr">
        <is>
          <t>RMB 元／卡／小時</t>
        </is>
      </c>
      <c r="K479" t="inlineStr">
        <is>
          <t>Derived</t>
        </is>
      </c>
      <c r="N479" t="inlineStr">
        <is>
          <t>由 SMM／AtomGit 月租 ÷ 8 ÷ 730</t>
        </is>
      </c>
      <c r="O479" t="inlineStr">
        <is>
          <t>https://news.metal.com/</t>
        </is>
      </c>
      <c r="P479" t="inlineStr">
        <is>
          <t>2026-10-08</t>
        </is>
      </c>
      <c r="Q479" t="inlineStr">
        <is>
          <t>16000÷8÷730＝2.74；若 unit 為單卡則為 21.9（不合理高於 H800，故推定 8 卡）</t>
        </is>
      </c>
    </row>
    <row r="480">
      <c r="A480" t="inlineStr">
        <is>
          <t>SRC_ZP_479</t>
        </is>
      </c>
      <c r="B480" t="inlineStr">
        <is>
          <t>Z1-R</t>
        </is>
      </c>
      <c r="C480" t="inlineStr">
        <is>
          <t>D</t>
        </is>
      </c>
      <c r="D480" t="inlineStr">
        <is>
          <t>rent_910b_zxy_cardhr_derived</t>
        </is>
      </c>
      <c r="E480" t="inlineStr">
        <is>
          <t>昇騰 910B 八卡 25,000（智星雲） 折算卡時價（假設 8 卡整機）</t>
        </is>
      </c>
      <c r="F480" t="inlineStr">
        <is>
          <t>2026-05～09</t>
        </is>
      </c>
      <c r="G480" t="n">
        <v>4.28</v>
      </c>
      <c r="H480" t="n">
        <v>2.74</v>
      </c>
      <c r="I480" t="n">
        <v>4.28</v>
      </c>
      <c r="J480" t="inlineStr">
        <is>
          <t>RMB 元／卡／小時</t>
        </is>
      </c>
      <c r="K480" t="inlineStr">
        <is>
          <t>Derived</t>
        </is>
      </c>
      <c r="N480" t="inlineStr">
        <is>
          <t>由 SMM／AtomGit 月租 ÷ 8 ÷ 730</t>
        </is>
      </c>
      <c r="O480" t="inlineStr">
        <is>
          <t>https://news.metal.com/</t>
        </is>
      </c>
      <c r="P480" t="inlineStr">
        <is>
          <t>2026-10-08</t>
        </is>
      </c>
      <c r="Q480" t="inlineStr">
        <is>
          <t>25000÷8÷730＝4.28；若 unit 為單卡則為 34.2（不合理高於 H800，故推定 8 卡）</t>
        </is>
      </c>
    </row>
    <row r="481">
      <c r="A481" t="inlineStr">
        <is>
          <t>SRC_ZP_480</t>
        </is>
      </c>
      <c r="B481" t="inlineStr">
        <is>
          <t>Z1-R</t>
        </is>
      </c>
      <c r="C481" t="inlineStr">
        <is>
          <t>D</t>
        </is>
      </c>
      <c r="D481" t="inlineStr">
        <is>
          <t>perf_910c_vs_h100_inf</t>
        </is>
      </c>
      <c r="E481" t="inlineStr">
        <is>
          <t>昇騰 910C 推論效能／H100</t>
        </is>
      </c>
      <c r="F481" t="inlineStr">
        <is>
          <t>2025-02</t>
        </is>
      </c>
      <c r="G481" t="n">
        <v>0.6</v>
      </c>
      <c r="H481" t="n">
        <v>0.6</v>
      </c>
      <c r="I481" t="n">
        <v>0.8</v>
      </c>
      <c r="J481" t="inlineStr">
        <is>
          <t>倍</t>
        </is>
      </c>
      <c r="K481" t="inlineStr">
        <is>
          <t>Analogy</t>
        </is>
      </c>
      <c r="N481" t="inlineStr">
        <is>
          <t>GIGAZINE（2025-02-07，引 AGI Hunt／DeepSeek 測試）</t>
        </is>
      </c>
      <c r="O481" t="inlineStr">
        <is>
          <t>https://gigazine.net/gsc_news/en/20250207-huawei-ascend-910c-inference-performance-nvidia</t>
        </is>
      </c>
      <c r="P481" t="inlineStr">
        <is>
          <t>2025-02-07</t>
        </is>
      </c>
      <c r="Q481" t="inlineStr">
        <is>
          <t>原文「Ascend 910C delivered 60% of the performance of NVIDIA’s H100 in inference tasks」；aiwiki 另引 Reuters 同 60%，分析師估 BF16 吞吐約 80%</t>
        </is>
      </c>
    </row>
    <row r="482">
      <c r="A482" t="inlineStr">
        <is>
          <t>SRC_ZP_481</t>
        </is>
      </c>
      <c r="B482" t="inlineStr">
        <is>
          <t>Z1-R</t>
        </is>
      </c>
      <c r="C482" t="inlineStr">
        <is>
          <t>D</t>
        </is>
      </c>
      <c r="D482" t="inlineStr">
        <is>
          <t>perf_910c_power</t>
        </is>
      </c>
      <c r="E482" t="inlineStr">
        <is>
          <t>昇騰 910C 單卡功耗</t>
        </is>
      </c>
      <c r="F482" t="inlineStr">
        <is>
          <t>2024-11（2025-02 更新）</t>
        </is>
      </c>
      <c r="G482" t="n">
        <v>310</v>
      </c>
      <c r="H482" t="n">
        <v>310</v>
      </c>
      <c r="I482" t="n">
        <v>350</v>
      </c>
      <c r="J482" t="inlineStr">
        <is>
          <t>W</t>
        </is>
      </c>
      <c r="K482" t="inlineStr">
        <is>
          <t>Analogy</t>
        </is>
      </c>
      <c r="N482" t="inlineStr">
        <is>
          <t>Unite.AI〈Huawei Ascend 910C〉</t>
        </is>
      </c>
      <c r="O482" t="inlineStr">
        <is>
          <t>https://www.unite.ai/huaweis-ascend-910c-a-bold-challenge-to-nvidia-in-the-ai-chip-market</t>
        </is>
      </c>
      <c r="P482" t="inlineStr">
        <is>
          <t>2025-02-23</t>
        </is>
      </c>
      <c r="Q482" t="inlineStr">
        <is>
          <t>原文「consuming around 310 watts」；aiwiki 列 310–350W（引 SemiAnalysis）；晶片 TDP，非全設施</t>
        </is>
      </c>
    </row>
    <row r="483">
      <c r="A483" t="inlineStr">
        <is>
          <t>SRC_ZP_482</t>
        </is>
      </c>
      <c r="B483" t="inlineStr">
        <is>
          <t>Z1-R</t>
        </is>
      </c>
      <c r="C483" t="inlineStr">
        <is>
          <t>D</t>
        </is>
      </c>
      <c r="D483" t="inlineStr">
        <is>
          <t>perf_910c_bf16</t>
        </is>
      </c>
      <c r="E483" t="inlineStr">
        <is>
          <t>昇騰 910C BF16 稠密算力</t>
        </is>
      </c>
      <c r="F483" t="inlineStr">
        <is>
          <t>2025-07</t>
        </is>
      </c>
      <c r="G483" t="n">
        <v>752</v>
      </c>
      <c r="H483" t="n">
        <v>752</v>
      </c>
      <c r="I483" t="n">
        <v>780</v>
      </c>
      <c r="J483" t="inlineStr">
        <is>
          <t>TFLOPS</t>
        </is>
      </c>
      <c r="K483" t="inlineStr">
        <is>
          <t>Analogy</t>
        </is>
      </c>
      <c r="N483" t="inlineStr">
        <is>
          <t>The Register（2025-07-29）</t>
        </is>
      </c>
      <c r="O483" t="inlineStr">
        <is>
          <t>https://www.theregister.com/2025/07/29/huawei_rackscale_boogeyman/</t>
        </is>
      </c>
      <c r="P483" t="inlineStr">
        <is>
          <t>2025-07-29</t>
        </is>
      </c>
      <c r="Q483" t="inlineStr">
        <is>
          <t>原文「752 teraFLOPS of dense FP16/BF16」，128GB HBM、3.2TB/s；Tom's Hardware（SemiAnalysis）列 780</t>
        </is>
      </c>
    </row>
    <row r="484">
      <c r="A484" t="inlineStr">
        <is>
          <t>SRC_ZP_483</t>
        </is>
      </c>
      <c r="B484" t="inlineStr">
        <is>
          <t>Z1-R</t>
        </is>
      </c>
      <c r="C484" t="inlineStr">
        <is>
          <t>D</t>
        </is>
      </c>
      <c r="D484" t="inlineStr">
        <is>
          <t>perf_cm384_power</t>
        </is>
      </c>
      <c r="E484" t="inlineStr">
        <is>
          <t>CloudMatrix 384 系統功耗</t>
        </is>
      </c>
      <c r="F484" t="inlineStr">
        <is>
          <t>2025-04</t>
        </is>
      </c>
      <c r="G484" t="n">
        <v>559</v>
      </c>
      <c r="H484" t="n">
        <v>559</v>
      </c>
      <c r="I484" t="n">
        <v>600</v>
      </c>
      <c r="J484" t="inlineStr">
        <is>
          <t>kW</t>
        </is>
      </c>
      <c r="K484" t="inlineStr">
        <is>
          <t>Analogy</t>
        </is>
      </c>
      <c r="N484" t="inlineStr">
        <is>
          <t>Tom's Hardware（2025-04-18，引 SemiAnalysis）</t>
        </is>
      </c>
      <c r="O484" t="inlineStr">
        <is>
          <t>https://www.tomshardware.com/tech-industry/artificial-intelligence/huaweis-new-ai-cloudmatrix-cluster-beats-nvidias-gb200-by-brute-force-uses-4x-the-power</t>
        </is>
      </c>
      <c r="P484" t="inlineStr">
        <is>
          <t>2025-04-18</t>
        </is>
      </c>
      <c r="Q484" t="inlineStr">
        <is>
          <t>「all system power (including networking and storage)」約 559kW；The Register 引 SemiAnalysis「~600 kW all in」；少數派亦 559kW 未註源。【所有來源皆追溯至 SemiAnalysis，依規則不可單獨引用，暫不入模型】</t>
        </is>
      </c>
    </row>
    <row r="485">
      <c r="A485" t="inlineStr">
        <is>
          <t>SRC_ZP_484</t>
        </is>
      </c>
      <c r="B485" t="inlineStr">
        <is>
          <t>Z1-R</t>
        </is>
      </c>
      <c r="C485" t="inlineStr">
        <is>
          <t>D</t>
        </is>
      </c>
      <c r="D485" t="inlineStr">
        <is>
          <t>perf_cm384_vs_nvl72_power</t>
        </is>
      </c>
      <c r="E485" t="inlineStr">
        <is>
          <t>CloudMatrix 384 功耗／GB200 NVL72</t>
        </is>
      </c>
      <c r="F485" t="inlineStr">
        <is>
          <t>2025-04</t>
        </is>
      </c>
      <c r="G485" t="n">
        <v>3.9</v>
      </c>
      <c r="H485" t="n">
        <v>3.9</v>
      </c>
      <c r="I485" t="n">
        <v>4.1</v>
      </c>
      <c r="J485" t="inlineStr">
        <is>
          <t>倍</t>
        </is>
      </c>
      <c r="K485" t="inlineStr">
        <is>
          <t>Analogy</t>
        </is>
      </c>
      <c r="N485" t="inlineStr">
        <is>
          <t>Tom's Hardware（2025-04-18，引 SemiAnalysis）</t>
        </is>
      </c>
      <c r="O485" t="inlineStr">
        <is>
          <t>https://www.tomshardware.com/tech-industry/artificial-intelligence/huaweis-new-ai-cloudmatrix-cluster-beats-nvidias-gb200-by-brute-force-uses-4x-the-power</t>
        </is>
      </c>
      <c r="P485" t="inlineStr">
        <is>
          <t>2025-04-18</t>
        </is>
      </c>
      <c r="Q485" t="inlineStr">
        <is>
          <t>559kW vs 約 145kW；每 TFLOP 功耗差 2.3×（1.87 vs 0.81 W/TFLOP）。【僅 SemiAnalysis 源頭，不可單獨引用】</t>
        </is>
      </c>
    </row>
    <row r="486">
      <c r="A486" t="inlineStr">
        <is>
          <t>SRC_ZP_485</t>
        </is>
      </c>
      <c r="B486" t="inlineStr">
        <is>
          <t>Z1-R</t>
        </is>
      </c>
      <c r="C486" t="inlineStr">
        <is>
          <t>D</t>
        </is>
      </c>
      <c r="D486" t="inlineStr">
        <is>
          <t>perf_cm384_decode_per_npu</t>
        </is>
      </c>
      <c r="E486" t="inlineStr">
        <is>
          <t>CloudMatrix384 DeepSeek-R1 解碼吞吐（每 NPU）</t>
        </is>
      </c>
      <c r="F486" t="inlineStr">
        <is>
          <t>2025-06</t>
        </is>
      </c>
      <c r="G486" t="n">
        <v>1943</v>
      </c>
      <c r="J486" t="inlineStr">
        <is>
          <t>token／秒／NPU</t>
        </is>
      </c>
      <c r="K486" t="inlineStr">
        <is>
          <t>Interested-party</t>
        </is>
      </c>
      <c r="L486" t="inlineStr">
        <is>
          <t>華為：自家硬體宣傳誘因</t>
        </is>
      </c>
      <c r="N486" t="inlineStr">
        <is>
          <t>華為 CloudMatrix-Infer 論文（arXiv 2506.12708）</t>
        </is>
      </c>
      <c r="O486" t="inlineStr">
        <is>
          <t>https://arxiv.org/abs/2506.12708v1</t>
        </is>
      </c>
      <c r="P486" t="inlineStr">
        <is>
          <t>2025-06-15</t>
        </is>
      </c>
      <c r="Q486" t="inlineStr">
        <is>
          <t>摘要「prefill throughput of 6,688 tokens/s per NPU and decode throughput of 1,943 tokens/s per NPU (&lt;50 ms TPOT)」；15ms 約束下 538；INT8</t>
        </is>
      </c>
    </row>
    <row r="487">
      <c r="A487" t="inlineStr">
        <is>
          <t>SRC_ZP_486</t>
        </is>
      </c>
      <c r="B487" t="inlineStr">
        <is>
          <t>Z1-R</t>
        </is>
      </c>
      <c r="C487" t="inlineStr">
        <is>
          <t>D</t>
        </is>
      </c>
      <c r="D487" t="inlineStr">
        <is>
          <t>perf_cm384_vs_h800_eff</t>
        </is>
      </c>
      <c r="E487" t="inlineStr">
        <is>
          <t>CloudMatrix384 計算效率對 H800（prefill）</t>
        </is>
      </c>
      <c r="F487" t="inlineStr">
        <is>
          <t>2025-06</t>
        </is>
      </c>
      <c r="G487" t="n">
        <v>4.45</v>
      </c>
      <c r="J487" t="inlineStr">
        <is>
          <t>token／秒／TFLOPS</t>
        </is>
      </c>
      <c r="K487" t="inlineStr">
        <is>
          <t>Interested-party</t>
        </is>
      </c>
      <c r="L487" t="inlineStr">
        <is>
          <t>華為論文自述</t>
        </is>
      </c>
      <c r="N487" t="inlineStr">
        <is>
          <t>The Register（2025-07-29，轉述華為論文）</t>
        </is>
      </c>
      <c r="O487" t="inlineStr">
        <is>
          <t>https://www.theregister.com/2025/07/29/huawei_rackscale_boogeyman/</t>
        </is>
      </c>
      <c r="P487" t="inlineStr">
        <is>
          <t>2025-07-29</t>
        </is>
      </c>
      <c r="Q487" t="inlineStr">
        <is>
          <t>原文「4.5 tokens/sec per teraFLOPS, just ahead of Nvidia’s H800 at 3.96」；decode「roughly 10 percent lead over Nvidia’s H800」；為每 TFLOPS 效率，非每卡</t>
        </is>
      </c>
    </row>
    <row r="488">
      <c r="A488" t="inlineStr">
        <is>
          <t>SRC_ZP_487</t>
        </is>
      </c>
      <c r="B488" t="inlineStr">
        <is>
          <t>Z1-R</t>
        </is>
      </c>
      <c r="C488" t="inlineStr">
        <is>
          <t>D</t>
        </is>
      </c>
      <c r="D488" t="inlineStr">
        <is>
          <t>perf_h20_bf16</t>
        </is>
      </c>
      <c r="E488" t="inlineStr">
        <is>
          <t>H20 BF16 稠密算力</t>
        </is>
      </c>
      <c r="F488" t="inlineStr">
        <is>
          <t>2024-02</t>
        </is>
      </c>
      <c r="G488" t="n">
        <v>148</v>
      </c>
      <c r="J488" t="inlineStr">
        <is>
          <t>TFLOPS</t>
        </is>
      </c>
      <c r="K488" t="inlineStr">
        <is>
          <t>Verified</t>
        </is>
      </c>
      <c r="N488" t="inlineStr">
        <is>
          <t>Tom's Hardware（2024-02-01）</t>
        </is>
      </c>
      <c r="O488" t="inlineStr">
        <is>
          <t>https://tomshardware.com/pc-components/gpus/new-nvidia-ai-gpus-designed-to-get-around-us-export-bans-come-to-china-h20-l20-and-l2-to-fill-void-left-by-restricted-models</t>
        </is>
      </c>
      <c r="P488" t="inlineStr">
        <is>
          <t>2024-02-01</t>
        </is>
      </c>
      <c r="Q488" t="inlineStr">
        <is>
          <t>BF16 148、FP8 296 TFLOPS，96GB HBM3、4.0TB/s、TDP 400W</t>
        </is>
      </c>
    </row>
    <row r="489">
      <c r="A489" t="inlineStr">
        <is>
          <t>SRC_ZP_488</t>
        </is>
      </c>
      <c r="B489" t="inlineStr">
        <is>
          <t>Z1-R</t>
        </is>
      </c>
      <c r="C489" t="inlineStr">
        <is>
          <t>D</t>
        </is>
      </c>
      <c r="D489" t="inlineStr">
        <is>
          <t>perf_h100_bf16_sparse</t>
        </is>
      </c>
      <c r="E489" t="inlineStr">
        <is>
          <t>H100 SXM BF16 峰值（含稀疏）</t>
        </is>
      </c>
      <c r="F489" t="inlineStr">
        <is>
          <t>—</t>
        </is>
      </c>
      <c r="G489" t="n">
        <v>1979</v>
      </c>
      <c r="J489" t="inlineStr">
        <is>
          <t>TFLOPS</t>
        </is>
      </c>
      <c r="K489" t="inlineStr">
        <is>
          <t>Verified</t>
        </is>
      </c>
      <c r="N489" t="inlineStr">
        <is>
          <t>Lenovo Press LP1732（H100 規格）</t>
        </is>
      </c>
      <c r="O489" t="inlineStr">
        <is>
          <t>https://lenovopress.lenovo.com/lp1732.pdf</t>
        </is>
      </c>
      <c r="P489" t="inlineStr">
        <is>
          <t>2026-10-08</t>
        </is>
      </c>
      <c r="Q489" t="inlineStr">
        <is>
          <t>原文「Peak Bfloat16 (BF16) performance: 1,979 TFLOPS*」*＝structural sparsity；稠密＝÷2＝989.5；TDP 700W</t>
        </is>
      </c>
    </row>
    <row r="490">
      <c r="A490" t="inlineStr">
        <is>
          <t>SRC_ZP_489</t>
        </is>
      </c>
      <c r="B490" t="inlineStr">
        <is>
          <t>Z1-R</t>
        </is>
      </c>
      <c r="C490" t="inlineStr">
        <is>
          <t>D</t>
        </is>
      </c>
      <c r="D490" t="inlineStr">
        <is>
          <t>perf_h20_vs_h100_compute</t>
        </is>
      </c>
      <c r="E490" t="inlineStr">
        <is>
          <t>H20 算力／H100（BF16 稠密）</t>
        </is>
      </c>
      <c r="F490" t="inlineStr">
        <is>
          <t>—</t>
        </is>
      </c>
      <c r="G490" t="n">
        <v>0.15</v>
      </c>
      <c r="J490" t="inlineStr">
        <is>
          <t>倍</t>
        </is>
      </c>
      <c r="K490" t="inlineStr">
        <is>
          <t>Derived</t>
        </is>
      </c>
      <c r="N490" t="inlineStr">
        <is>
          <t>由 perf_h20_bf16 ÷（perf_h100_bf16_sparse÷2）</t>
        </is>
      </c>
      <c r="O490" t="inlineStr">
        <is>
          <t>https://lenovopress.lenovo.com/lp1732.pdf</t>
        </is>
      </c>
      <c r="P490" t="inlineStr">
        <is>
          <t>2026-10-08</t>
        </is>
      </c>
      <c r="Q490" t="inlineStr">
        <is>
          <t>148÷989.5＝0.150；頻寬 4.0÷3.35＝1.19（H20 較高）；decode 受頻寬限制，故推論比遠高於 0.15</t>
        </is>
      </c>
    </row>
    <row r="491">
      <c r="A491" t="inlineStr">
        <is>
          <t>SRC_ZP_490</t>
        </is>
      </c>
      <c r="B491" t="inlineStr">
        <is>
          <t>Z1-R</t>
        </is>
      </c>
      <c r="C491" t="inlineStr">
        <is>
          <t>D</t>
        </is>
      </c>
      <c r="D491" t="inlineStr">
        <is>
          <t>perf_h20_vs_h100_inf</t>
        </is>
      </c>
      <c r="E491" t="inlineStr">
        <is>
          <t>H20 推論吞吐／H100（Llama2-70B 估計）</t>
        </is>
      </c>
      <c r="F491" t="inlineStr">
        <is>
          <t>2026-08</t>
        </is>
      </c>
      <c r="G491" t="n">
        <v>0.34</v>
      </c>
      <c r="H491" t="n">
        <v>0.26</v>
      </c>
      <c r="I491" t="n">
        <v>0.42</v>
      </c>
      <c r="J491" t="inlineStr">
        <is>
          <t>倍</t>
        </is>
      </c>
      <c r="K491" t="inlineStr">
        <is>
          <t>Analogy</t>
        </is>
      </c>
      <c r="N491" t="inlineStr">
        <is>
          <t>DatabaseMart〈H20 vs H100〉</t>
        </is>
      </c>
      <c r="O491" t="inlineStr">
        <is>
          <t>https://www.databasemart.com/blog/nvidia-h20-vs-nvidia-h100</t>
        </is>
      </c>
      <c r="P491" t="inlineStr">
        <is>
          <t>2026-08-25</t>
        </is>
      </c>
      <c r="Q491" t="inlineStr">
        <is>
          <t>H100 約 21,500–23,000 token/s（MLPerf），H20 約 6,000–9,000（「engineering-level estimate」）；比值 0.26–0.42（Derived 中點 0.34）</t>
        </is>
      </c>
    </row>
    <row r="492">
      <c r="A492" t="inlineStr">
        <is>
          <t>SRC_ZP_491</t>
        </is>
      </c>
      <c r="B492" t="inlineStr">
        <is>
          <t>Z1-R</t>
        </is>
      </c>
      <c r="C492" t="inlineStr">
        <is>
          <t>D</t>
        </is>
      </c>
      <c r="D492" t="inlineStr">
        <is>
          <t>perf_h20_vs_h100_inf_b</t>
        </is>
      </c>
      <c r="E492" t="inlineStr">
        <is>
          <t>H20 對 H100 LLM 推論（SemiAnalysis 說法）</t>
        </is>
      </c>
      <c r="F492" t="inlineStr">
        <is>
          <t>2023-11</t>
        </is>
      </c>
      <c r="G492" t="n">
        <v>1.2</v>
      </c>
      <c r="H492" t="n">
        <v>0.5</v>
      </c>
      <c r="I492" t="n">
        <v>1.2</v>
      </c>
      <c r="J492" t="inlineStr">
        <is>
          <t>倍（以上）</t>
        </is>
      </c>
      <c r="K492" t="inlineStr">
        <is>
          <t>Analogy</t>
        </is>
      </c>
      <c r="N492" t="inlineStr">
        <is>
          <t>Asia Times（2024-01-04，引 SemiAnalysis Dylan Patel）</t>
        </is>
      </c>
      <c r="O492" t="inlineStr">
        <is>
          <t>https://asiatimes.com/2024/01/nvidia-chips-for-china-dumbed-down-but-lean-and-mean/</t>
        </is>
      </c>
      <c r="P492" t="inlineStr">
        <is>
          <t>2024-01-04</t>
        </is>
      </c>
      <c r="Q492" t="inlineStr">
        <is>
          <t>原文「H20 actually is over 20% faster than the H100 in large language model (LLM) reasoning」；同文稱多卡環境約 H100 的 50%。【SemiAnalysis 單一源，不可單獨引用；與 0.26–0.42 矛盾】</t>
        </is>
      </c>
    </row>
    <row r="493">
      <c r="A493" t="inlineStr">
        <is>
          <t>SRC_ZP_492</t>
        </is>
      </c>
      <c r="B493" t="inlineStr">
        <is>
          <t>Z1-M</t>
        </is>
      </c>
      <c r="C493" t="inlineStr">
        <is>
          <t>F</t>
        </is>
      </c>
      <c r="D493" t="inlineStr">
        <is>
          <t>preipo_valuation_post_b6</t>
        </is>
      </c>
      <c r="E493" t="inlineStr">
        <is>
          <t>上市前最後一輪（B6，2025-05）投後估值</t>
        </is>
      </c>
      <c r="F493" t="inlineStr">
        <is>
          <t>2025-05</t>
        </is>
      </c>
      <c r="G493" t="n">
        <v>243.77</v>
      </c>
      <c r="J493" t="inlineStr">
        <is>
          <t>RMB 億</t>
        </is>
      </c>
      <c r="K493" t="inlineStr">
        <is>
          <t>Verified</t>
        </is>
      </c>
      <c r="M493" t="inlineStr">
        <is>
          <t>招股章程口徑（媒體轉述，未直接開啟招股章程原文）</t>
        </is>
      </c>
      <c r="N493" t="inlineStr">
        <is>
          <t>智東西（轉述招股章程）</t>
        </is>
      </c>
      <c r="O493" t="inlineStr">
        <is>
          <t>https://zhidx.com/p/522919.html</t>
        </is>
      </c>
      <c r="P493" t="inlineStr">
        <is>
          <t>2025-12</t>
        </is>
      </c>
      <c r="Q493" t="inlineStr">
        <is>
          <t>原文「在今年5月B6輪融資後，智譜投後估值達到243.77億元」；財聯社作243.8億元</t>
        </is>
      </c>
    </row>
    <row r="494">
      <c r="A494" t="inlineStr">
        <is>
          <t>SRC_ZP_493</t>
        </is>
      </c>
      <c r="B494" t="inlineStr">
        <is>
          <t>Z1-M</t>
        </is>
      </c>
      <c r="C494" t="inlineStr">
        <is>
          <t>F</t>
        </is>
      </c>
      <c r="D494" t="inlineStr">
        <is>
          <t>preipo_total_raised</t>
        </is>
      </c>
      <c r="E494" t="inlineStr">
        <is>
          <t>上市前累計融資額</t>
        </is>
      </c>
      <c r="F494" t="inlineStr">
        <is>
          <t>2019–2025</t>
        </is>
      </c>
      <c r="G494" t="n">
        <v>83</v>
      </c>
      <c r="H494" t="n">
        <v>83</v>
      </c>
      <c r="I494" t="n">
        <v>83.59999999999999</v>
      </c>
      <c r="J494" t="inlineStr">
        <is>
          <t>RMB 億</t>
        </is>
      </c>
      <c r="K494" t="inlineStr">
        <is>
          <t>Verified</t>
        </is>
      </c>
      <c r="M494" t="inlineStr">
        <is>
          <t>媒體轉述招股章程</t>
        </is>
      </c>
      <c r="N494" t="inlineStr">
        <is>
          <t>財聯社</t>
        </is>
      </c>
      <c r="O494" t="inlineStr">
        <is>
          <t>https://m.cls.cn/detail/2235451</t>
        </is>
      </c>
      <c r="P494" t="inlineStr">
        <is>
          <t>2025-12</t>
        </is>
      </c>
      <c r="Q494" t="inlineStr">
        <is>
          <t>原文「智譜融資8輪，累計籌資超83億元，IPO前估值已達243.8億元」</t>
        </is>
      </c>
    </row>
    <row r="495">
      <c r="A495" t="inlineStr">
        <is>
          <t>SRC_ZP_494</t>
        </is>
      </c>
      <c r="B495" t="inlineStr">
        <is>
          <t>Z1-M</t>
        </is>
      </c>
      <c r="C495" t="inlineStr">
        <is>
          <t>F</t>
        </is>
      </c>
      <c r="D495" t="inlineStr">
        <is>
          <t>preipo_total_raised_b</t>
        </is>
      </c>
      <c r="E495" t="inlineStr">
        <is>
          <t>上市前累計融資額（另一說）</t>
        </is>
      </c>
      <c r="F495" t="inlineStr">
        <is>
          <t>2019–2025</t>
        </is>
      </c>
      <c r="G495" t="n">
        <v>83.59999999999999</v>
      </c>
      <c r="J495" t="inlineStr">
        <is>
          <t>RMB 億</t>
        </is>
      </c>
      <c r="K495" t="inlineStr">
        <is>
          <t>Verified</t>
        </is>
      </c>
      <c r="M495" t="inlineStr">
        <is>
          <t>媒體轉述招股章程</t>
        </is>
      </c>
      <c r="N495" t="inlineStr">
        <is>
          <t>新浪財經（證券時報）</t>
        </is>
      </c>
      <c r="O495" t="inlineStr">
        <is>
          <t>https://finance.sina.com.cn/stock/marketresearch/2026-01-08/doc-inhfqcat5441095.shtml</t>
        </is>
      </c>
      <c r="P495" s="2" t="n">
        <v>46030</v>
      </c>
      <c r="Q495" t="inlineStr">
        <is>
          <t>同文同時寫「超83億元」與約83.6億元；與財聯社「超83億」不衝突（下限 vs 點值）</t>
        </is>
      </c>
    </row>
    <row r="496">
      <c r="A496" t="inlineStr">
        <is>
          <t>SRC_ZP_495</t>
        </is>
      </c>
      <c r="B496" t="inlineStr">
        <is>
          <t>Z1-M</t>
        </is>
      </c>
      <c r="C496" t="inlineStr">
        <is>
          <t>F</t>
        </is>
      </c>
      <c r="D496" t="inlineStr">
        <is>
          <t>round_seed_2019</t>
        </is>
      </c>
      <c r="E496" t="inlineStr">
        <is>
          <t>成立／天使輪金額（中科創星等）</t>
        </is>
      </c>
      <c r="F496" t="n">
        <v>2019</v>
      </c>
      <c r="G496" t="n">
        <v>0.4</v>
      </c>
      <c r="J496" t="inlineStr">
        <is>
          <t>RMB 億</t>
        </is>
      </c>
      <c r="K496" t="inlineStr">
        <is>
          <t>Verified</t>
        </is>
      </c>
      <c r="M496" t="inlineStr">
        <is>
          <t>媒體轉述招股章程</t>
        </is>
      </c>
      <c r="N496" t="inlineStr">
        <is>
          <t>新浪財經（證券時報）</t>
        </is>
      </c>
      <c r="O496" t="inlineStr">
        <is>
          <t>https://finance.sina.com.cn/stock/marketresearch/2026-01-08/doc-inhfqcat5441095.shtml</t>
        </is>
      </c>
      <c r="P496" s="2" t="n">
        <v>46030</v>
      </c>
      <c r="Q496" t="inlineStr">
        <is>
          <t>中科創星投4,000萬元，投後3.75億元；投資人含華控技術轉移</t>
        </is>
      </c>
    </row>
    <row r="497">
      <c r="A497" t="inlineStr">
        <is>
          <t>SRC_ZP_496</t>
        </is>
      </c>
      <c r="B497" t="inlineStr">
        <is>
          <t>Z1-M</t>
        </is>
      </c>
      <c r="C497" t="inlineStr">
        <is>
          <t>F</t>
        </is>
      </c>
      <c r="D497" t="inlineStr">
        <is>
          <t>round_seed_2019_postval</t>
        </is>
      </c>
      <c r="E497" t="inlineStr">
        <is>
          <t>2019 輪投後估值</t>
        </is>
      </c>
      <c r="F497" t="n">
        <v>2019</v>
      </c>
      <c r="G497" t="n">
        <v>3.75</v>
      </c>
      <c r="J497" t="inlineStr">
        <is>
          <t>RMB 億</t>
        </is>
      </c>
      <c r="K497" t="inlineStr">
        <is>
          <t>Verified</t>
        </is>
      </c>
      <c r="M497" t="inlineStr">
        <is>
          <t>媒體轉述招股章程</t>
        </is>
      </c>
      <c r="N497" t="inlineStr">
        <is>
          <t>新浪財經（證券時報）</t>
        </is>
      </c>
      <c r="O497" t="inlineStr">
        <is>
          <t>https://finance.sina.com.cn/stock/marketresearch/2026-01-08/doc-inhfqcat5441095.shtml</t>
        </is>
      </c>
      <c r="P497" s="2" t="n">
        <v>46030</v>
      </c>
      <c r="Q497" t="inlineStr">
        <is>
          <t>同上文；投後估值 3.75 億元</t>
        </is>
      </c>
    </row>
    <row r="498">
      <c r="A498" t="inlineStr">
        <is>
          <t>SRC_ZP_497</t>
        </is>
      </c>
      <c r="B498" t="inlineStr">
        <is>
          <t>Z1-M</t>
        </is>
      </c>
      <c r="C498" t="inlineStr">
        <is>
          <t>F</t>
        </is>
      </c>
      <c r="D498" t="inlineStr">
        <is>
          <t>round_a_2021</t>
        </is>
      </c>
      <c r="E498" t="inlineStr">
        <is>
          <t>A 輪金額</t>
        </is>
      </c>
      <c r="F498" t="inlineStr">
        <is>
          <t>2021-04</t>
        </is>
      </c>
      <c r="G498" t="n">
        <v>1.52</v>
      </c>
      <c r="J498" t="inlineStr">
        <is>
          <t>RMB 億</t>
        </is>
      </c>
      <c r="K498" t="inlineStr">
        <is>
          <t>Verified</t>
        </is>
      </c>
      <c r="M498" t="inlineStr">
        <is>
          <t>媒體轉述招股章程</t>
        </is>
      </c>
      <c r="N498" t="inlineStr">
        <is>
          <t>新浪財經（證券時報）</t>
        </is>
      </c>
      <c r="O498" t="inlineStr">
        <is>
          <t>https://finance.sina.com.cn/stock/marketresearch/2026-01-08/doc-inhfqcat5441095.shtml</t>
        </is>
      </c>
      <c r="P498" s="2" t="n">
        <v>46030</v>
      </c>
      <c r="Q498" t="inlineStr">
        <is>
          <t>達晨財智、華控基金、將門創投（凌雲光亦列）；投後 8.5 億元。量子位稱「A輪過億元」</t>
        </is>
      </c>
    </row>
    <row r="499">
      <c r="A499" t="inlineStr">
        <is>
          <t>SRC_ZP_498</t>
        </is>
      </c>
      <c r="B499" t="inlineStr">
        <is>
          <t>Z1-M</t>
        </is>
      </c>
      <c r="C499" t="inlineStr">
        <is>
          <t>F</t>
        </is>
      </c>
      <c r="D499" t="inlineStr">
        <is>
          <t>round_a_2021_postval</t>
        </is>
      </c>
      <c r="E499" t="inlineStr">
        <is>
          <t>A 輪投後估值</t>
        </is>
      </c>
      <c r="F499" t="inlineStr">
        <is>
          <t>2021-04</t>
        </is>
      </c>
      <c r="G499" t="n">
        <v>8.5</v>
      </c>
      <c r="J499" t="inlineStr">
        <is>
          <t>RMB 億</t>
        </is>
      </c>
      <c r="K499" t="inlineStr">
        <is>
          <t>Verified</t>
        </is>
      </c>
      <c r="M499" t="inlineStr">
        <is>
          <t>媒體轉述招股章程</t>
        </is>
      </c>
      <c r="N499" t="inlineStr">
        <is>
          <t>新浪財經（證券時報）</t>
        </is>
      </c>
      <c r="O499" t="inlineStr">
        <is>
          <t>https://finance.sina.com.cn/stock/marketresearch/2026-01-08/doc-inhfqcat5441095.shtml</t>
        </is>
      </c>
      <c r="P499" s="2" t="n">
        <v>46030</v>
      </c>
      <c r="Q499" t="inlineStr">
        <is>
          <t>A 輪投後估值 8.5 億元</t>
        </is>
      </c>
    </row>
    <row r="500">
      <c r="A500" t="inlineStr">
        <is>
          <t>SRC_ZP_499</t>
        </is>
      </c>
      <c r="B500" t="inlineStr">
        <is>
          <t>Z1-M</t>
        </is>
      </c>
      <c r="C500" t="inlineStr">
        <is>
          <t>F</t>
        </is>
      </c>
      <c r="D500" t="inlineStr">
        <is>
          <t>round_b1_2021</t>
        </is>
      </c>
      <c r="E500" t="inlineStr">
        <is>
          <t>B1 輪金額（君聯、啟明）</t>
        </is>
      </c>
      <c r="F500" t="inlineStr">
        <is>
          <t>2021-12前後</t>
        </is>
      </c>
      <c r="G500" t="n">
        <v>2.1</v>
      </c>
      <c r="J500" t="inlineStr">
        <is>
          <t>RMB 億</t>
        </is>
      </c>
      <c r="K500" t="inlineStr">
        <is>
          <t>Verified</t>
        </is>
      </c>
      <c r="M500" t="inlineStr">
        <is>
          <t>媒體轉述招股章程</t>
        </is>
      </c>
      <c r="N500" t="inlineStr">
        <is>
          <t>新浪財經（證券時報）</t>
        </is>
      </c>
      <c r="O500" t="inlineStr">
        <is>
          <t>https://finance.sina.com.cn/stock/marketresearch/2026-01-08/doc-inhfqcat5441095.shtml</t>
        </is>
      </c>
      <c r="P500" s="2" t="n">
        <v>46030</v>
      </c>
      <c r="Q500" t="inlineStr">
        <is>
          <t>「近2.1億元」，投後 21.1 億元；日期僅寫 2021-09 後約 3 個月</t>
        </is>
      </c>
    </row>
    <row r="501">
      <c r="A501" t="inlineStr">
        <is>
          <t>SRC_ZP_500</t>
        </is>
      </c>
      <c r="B501" t="inlineStr">
        <is>
          <t>Z1-M</t>
        </is>
      </c>
      <c r="C501" t="inlineStr">
        <is>
          <t>F</t>
        </is>
      </c>
      <c r="D501" t="inlineStr">
        <is>
          <t>round_b1_2021_postval</t>
        </is>
      </c>
      <c r="E501" t="inlineStr">
        <is>
          <t>B1 輪投後估值</t>
        </is>
      </c>
      <c r="F501" t="inlineStr">
        <is>
          <t>2021-12前後</t>
        </is>
      </c>
      <c r="G501" t="n">
        <v>21.1</v>
      </c>
      <c r="J501" t="inlineStr">
        <is>
          <t>RMB 億</t>
        </is>
      </c>
      <c r="K501" t="inlineStr">
        <is>
          <t>Verified</t>
        </is>
      </c>
      <c r="M501" t="inlineStr">
        <is>
          <t>媒體轉述招股章程</t>
        </is>
      </c>
      <c r="N501" t="inlineStr">
        <is>
          <t>新浪財經（證券時報）</t>
        </is>
      </c>
      <c r="O501" t="inlineStr">
        <is>
          <t>https://finance.sina.com.cn/stock/marketresearch/2026-01-08/doc-inhfqcat5441095.shtml</t>
        </is>
      </c>
      <c r="P501" s="2" t="n">
        <v>46030</v>
      </c>
      <c r="Q501" t="inlineStr">
        <is>
          <t>B1 投後 21.1 億元</t>
        </is>
      </c>
    </row>
    <row r="502">
      <c r="A502" t="inlineStr">
        <is>
          <t>SRC_ZP_501</t>
        </is>
      </c>
      <c r="B502" t="inlineStr">
        <is>
          <t>Z1-M</t>
        </is>
      </c>
      <c r="C502" t="inlineStr">
        <is>
          <t>F</t>
        </is>
      </c>
      <c r="D502" t="inlineStr">
        <is>
          <t>round_b2_meituan</t>
        </is>
      </c>
      <c r="E502" t="inlineStr">
        <is>
          <t>B2 輪美團領投金額</t>
        </is>
      </c>
      <c r="F502" t="inlineStr">
        <is>
          <t>2022–2023（未載明）</t>
        </is>
      </c>
      <c r="G502" t="n">
        <v>3</v>
      </c>
      <c r="J502" t="inlineStr">
        <is>
          <t>RMB 億</t>
        </is>
      </c>
      <c r="K502" t="inlineStr">
        <is>
          <t>Verified</t>
        </is>
      </c>
      <c r="M502" t="inlineStr">
        <is>
          <t>媒體轉述招股章程</t>
        </is>
      </c>
      <c r="N502" t="inlineStr">
        <is>
          <t>新浪財經（證券時報）</t>
        </is>
      </c>
      <c r="O502" t="inlineStr">
        <is>
          <t>https://finance.sina.com.cn/stock/marketresearch/2026-01-08/doc-inhfqcat5441095.shtml</t>
        </is>
      </c>
      <c r="P502" s="2" t="n">
        <v>46030</v>
      </c>
      <c r="Q502" t="inlineStr">
        <is>
          <t>「美團領投3億元」，達晨跟投；投後估值未載</t>
        </is>
      </c>
    </row>
    <row r="503">
      <c r="A503" t="inlineStr">
        <is>
          <t>SRC_ZP_502</t>
        </is>
      </c>
      <c r="B503" t="inlineStr">
        <is>
          <t>Z1-M</t>
        </is>
      </c>
      <c r="C503" t="inlineStr">
        <is>
          <t>F</t>
        </is>
      </c>
      <c r="D503" t="inlineStr">
        <is>
          <t>round_ant_cum</t>
        </is>
      </c>
      <c r="E503" t="inlineStr">
        <is>
          <t>螞蟻（上海飛玡／雲玡）跨輪累計投資</t>
        </is>
      </c>
      <c r="F503" t="inlineStr">
        <is>
          <t>2022–2025（跨輪）</t>
        </is>
      </c>
      <c r="G503" t="n">
        <v>6</v>
      </c>
      <c r="J503" t="inlineStr">
        <is>
          <t>RMB 億</t>
        </is>
      </c>
      <c r="K503" t="inlineStr">
        <is>
          <t>Verified</t>
        </is>
      </c>
      <c r="M503" t="inlineStr">
        <is>
          <t>媒體轉述招股章程</t>
        </is>
      </c>
      <c r="N503" t="inlineStr">
        <is>
          <t>新浪財經（證券時報）</t>
        </is>
      </c>
      <c r="O503" t="inlineStr">
        <is>
          <t>https://finance.sina.com.cn/stock/marketresearch/2026-01-08/doc-inhfqcat5441095.shtml</t>
        </is>
      </c>
      <c r="P503" s="2" t="n">
        <v>46030</v>
      </c>
      <c r="Q503" t="inlineStr">
        <is>
          <t>螞蟻經上海飛玡、雲玡累計約 6 億元</t>
        </is>
      </c>
    </row>
    <row r="504">
      <c r="A504" t="inlineStr">
        <is>
          <t>SRC_ZP_503</t>
        </is>
      </c>
      <c r="B504" t="inlineStr">
        <is>
          <t>Z1-M</t>
        </is>
      </c>
      <c r="C504" t="inlineStr">
        <is>
          <t>F</t>
        </is>
      </c>
      <c r="D504" t="inlineStr">
        <is>
          <t>round_b4_tencent</t>
        </is>
      </c>
      <c r="E504" t="inlineStr">
        <is>
          <t>B4 輪騰訊領投金額</t>
        </is>
      </c>
      <c r="F504" t="inlineStr">
        <is>
          <t>2023（未載明）</t>
        </is>
      </c>
      <c r="G504" t="n">
        <v>2</v>
      </c>
      <c r="J504" t="inlineStr">
        <is>
          <t>RMB 億</t>
        </is>
      </c>
      <c r="K504" t="inlineStr">
        <is>
          <t>Verified</t>
        </is>
      </c>
      <c r="M504" t="inlineStr">
        <is>
          <t>媒體轉述招股章程</t>
        </is>
      </c>
      <c r="N504" t="inlineStr">
        <is>
          <t>新浪財經（證券時報）</t>
        </is>
      </c>
      <c r="O504" t="inlineStr">
        <is>
          <t>https://finance.sina.com.cn/stock/marketresearch/2026-01-08/doc-inhfqcat5441095.shtml</t>
        </is>
      </c>
      <c r="P504" s="2" t="n">
        <v>46030</v>
      </c>
      <c r="Q504" t="inlineStr">
        <is>
          <t>騰訊領投 2 億元；順為（小米系）同輪 1.5 億元</t>
        </is>
      </c>
    </row>
    <row r="505">
      <c r="A505" t="inlineStr">
        <is>
          <t>SRC_ZP_504</t>
        </is>
      </c>
      <c r="B505" t="inlineStr">
        <is>
          <t>Z1-M</t>
        </is>
      </c>
      <c r="C505" t="inlineStr">
        <is>
          <t>F</t>
        </is>
      </c>
      <c r="D505" t="inlineStr">
        <is>
          <t>round_b4_shunwei</t>
        </is>
      </c>
      <c r="E505" t="inlineStr">
        <is>
          <t>B4 輪順為資本（小米系）金額</t>
        </is>
      </c>
      <c r="F505" t="inlineStr">
        <is>
          <t>2023（未載明）</t>
        </is>
      </c>
      <c r="G505" t="n">
        <v>1.5</v>
      </c>
      <c r="J505" t="inlineStr">
        <is>
          <t>RMB 億</t>
        </is>
      </c>
      <c r="K505" t="inlineStr">
        <is>
          <t>Verified</t>
        </is>
      </c>
      <c r="M505" t="inlineStr">
        <is>
          <t>媒體轉述招股章程</t>
        </is>
      </c>
      <c r="N505" t="inlineStr">
        <is>
          <t>新浪財經（證券時報）</t>
        </is>
      </c>
      <c r="O505" t="inlineStr">
        <is>
          <t>https://finance.sina.com.cn/stock/marketresearch/2026-01-08/doc-inhfqcat5441095.shtml</t>
        </is>
      </c>
      <c r="P505" s="2" t="n">
        <v>46030</v>
      </c>
      <c r="Q505" t="inlineStr">
        <is>
          <t>順為資本同輪 1.5 億元</t>
        </is>
      </c>
    </row>
    <row r="506">
      <c r="A506" t="inlineStr">
        <is>
          <t>SRC_ZP_505</t>
        </is>
      </c>
      <c r="B506" t="inlineStr">
        <is>
          <t>Z1-M</t>
        </is>
      </c>
      <c r="C506" t="inlineStr">
        <is>
          <t>F</t>
        </is>
      </c>
      <c r="D506" t="inlineStr">
        <is>
          <t>round_2023_cum</t>
        </is>
      </c>
      <c r="E506" t="inlineStr">
        <is>
          <t>2023 年累計融資</t>
        </is>
      </c>
      <c r="F506" t="inlineStr">
        <is>
          <t>FY2023</t>
        </is>
      </c>
      <c r="H506" t="n">
        <v>25</v>
      </c>
      <c r="J506" t="inlineStr">
        <is>
          <t>RMB 億</t>
        </is>
      </c>
      <c r="K506" t="inlineStr">
        <is>
          <t>Interested-party</t>
        </is>
      </c>
      <c r="L506" t="inlineStr">
        <is>
          <t>智譜（公司對外披露融資額）；誘因：募資與招募聲量</t>
        </is>
      </c>
      <c r="M506" t="inlineStr">
        <is>
          <t>公司自述（媒體報導）</t>
        </is>
      </c>
      <c r="N506" t="inlineStr">
        <is>
          <t>投資界</t>
        </is>
      </c>
      <c r="O506" t="inlineStr">
        <is>
          <t>https://news.pedaily.cn/202310/523903.shtml</t>
        </is>
      </c>
      <c r="P506" s="2" t="n">
        <v>45219</v>
      </c>
      <c r="Q506" t="inlineStr">
        <is>
          <t>「今年已累計獲得超25億人民幣融資」；投資人含美團、螞蟻、阿里、騰訊、小米、金山、順為、紅杉、高瓴</t>
        </is>
      </c>
    </row>
    <row r="507">
      <c r="A507" t="inlineStr">
        <is>
          <t>SRC_ZP_506</t>
        </is>
      </c>
      <c r="B507" t="inlineStr">
        <is>
          <t>Z1-M</t>
        </is>
      </c>
      <c r="C507" t="inlineStr">
        <is>
          <t>F</t>
        </is>
      </c>
      <c r="D507" t="inlineStr">
        <is>
          <t>round_2024_prosperity7</t>
        </is>
      </c>
      <c r="E507" t="inlineStr">
        <is>
          <t>2024 年中一輪（Prosperity7 參與）規模</t>
        </is>
      </c>
      <c r="F507" t="inlineStr">
        <is>
          <t>2024-05</t>
        </is>
      </c>
      <c r="G507" t="n">
        <v>400</v>
      </c>
      <c r="J507" t="inlineStr">
        <is>
          <t>USD 百萬</t>
        </is>
      </c>
      <c r="K507" t="inlineStr">
        <is>
          <t>Interested-party</t>
        </is>
      </c>
      <c r="L507" t="inlineStr">
        <is>
          <t>Bloomberg 引述知情人士（媒體名：Bloomberg／Gulf News）</t>
        </is>
      </c>
      <c r="M507" t="inlineStr">
        <is>
          <t>知情人士</t>
        </is>
      </c>
      <c r="N507" t="inlineStr">
        <is>
          <t>Gulf News（轉 Bloomberg）</t>
        </is>
      </c>
      <c r="O507" t="inlineStr">
        <is>
          <t>https://gulfnews.com/business/markets/aramco-owned-saudi-fund-joins-400-million-financing-for-china-ai-firm-zhipu-1.1717156143388</t>
        </is>
      </c>
      <c r="P507" s="2" t="n">
        <v>45443</v>
      </c>
      <c r="Q507" t="inlineStr">
        <is>
          <t>標題「joins $400 million financing」；估值約 US$3bn（知情人士）；P7 個別金額未披露</t>
        </is>
      </c>
    </row>
    <row r="508">
      <c r="A508" t="inlineStr">
        <is>
          <t>SRC_ZP_507</t>
        </is>
      </c>
      <c r="B508" t="inlineStr">
        <is>
          <t>Z1-M</t>
        </is>
      </c>
      <c r="C508" t="inlineStr">
        <is>
          <t>F</t>
        </is>
      </c>
      <c r="D508" t="inlineStr">
        <is>
          <t>round_2024_prosperity7_val</t>
        </is>
      </c>
      <c r="E508" t="inlineStr">
        <is>
          <t>2024 年中一輪估值</t>
        </is>
      </c>
      <c r="F508" t="inlineStr">
        <is>
          <t>2024-05</t>
        </is>
      </c>
      <c r="G508" t="n">
        <v>3</v>
      </c>
      <c r="J508" t="inlineStr">
        <is>
          <t>USD 十億</t>
        </is>
      </c>
      <c r="K508" t="inlineStr">
        <is>
          <t>Interested-party</t>
        </is>
      </c>
      <c r="L508" t="inlineStr">
        <is>
          <t>Bloomberg 引述知情人士</t>
        </is>
      </c>
      <c r="M508" t="inlineStr">
        <is>
          <t>知情人士</t>
        </is>
      </c>
      <c r="N508" t="inlineStr">
        <is>
          <t>Gulf News（轉 Bloomberg）</t>
        </is>
      </c>
      <c r="O508" t="inlineStr">
        <is>
          <t>https://gulfnews.com/business/markets/aramco-owned-saudi-fund-joins-400-million-financing-for-china-ai-firm-zhipu-1.1717156143388</t>
        </is>
      </c>
      <c r="P508" s="2" t="n">
        <v>45443</v>
      </c>
      <c r="Q508" t="inlineStr">
        <is>
          <t>「valued the Beijing-based startup at about $3 billion」</t>
        </is>
      </c>
    </row>
    <row r="509">
      <c r="A509" t="inlineStr">
        <is>
          <t>SRC_ZP_508</t>
        </is>
      </c>
      <c r="B509" t="inlineStr">
        <is>
          <t>Z1-M</t>
        </is>
      </c>
      <c r="C509" t="inlineStr">
        <is>
          <t>F</t>
        </is>
      </c>
      <c r="D509" t="inlineStr">
        <is>
          <t>round_2024_09_zgc_preval</t>
        </is>
      </c>
      <c r="E509" t="inlineStr">
        <is>
          <t>2024-09 中關村科學城領投輪投前估值</t>
        </is>
      </c>
      <c r="F509" t="inlineStr">
        <is>
          <t>2024-09</t>
        </is>
      </c>
      <c r="G509" t="n">
        <v>200</v>
      </c>
      <c r="J509" t="inlineStr">
        <is>
          <t>RMB 億</t>
        </is>
      </c>
      <c r="K509" t="inlineStr">
        <is>
          <t>Interested-party</t>
        </is>
      </c>
      <c r="L509" t="inlineStr">
        <is>
          <t>媒體報導（量子位）；資訊源可能為公司或投資方</t>
        </is>
      </c>
      <c r="M509" t="inlineStr">
        <is>
          <t>媒體報導</t>
        </is>
      </c>
      <c r="N509" t="inlineStr">
        <is>
          <t>量子位</t>
        </is>
      </c>
      <c r="O509" t="inlineStr">
        <is>
          <t>https://www.qbitai.com/2024/12/233513.html</t>
        </is>
      </c>
      <c r="P509" s="2" t="n">
        <v>45643</v>
      </c>
      <c r="Q509" t="inlineStr">
        <is>
          <t>「中關村科學城領投…投前200億估值」；金額界面稱「數十億元」</t>
        </is>
      </c>
    </row>
    <row r="510">
      <c r="A510" t="inlineStr">
        <is>
          <t>SRC_ZP_509</t>
        </is>
      </c>
      <c r="B510" t="inlineStr">
        <is>
          <t>Z1-M</t>
        </is>
      </c>
      <c r="C510" t="inlineStr">
        <is>
          <t>F</t>
        </is>
      </c>
      <c r="D510" t="inlineStr">
        <is>
          <t>round_2024_12</t>
        </is>
      </c>
      <c r="E510" t="inlineStr">
        <is>
          <t>2024-12 輪金額（多家戰投與國資，君聯跟投）</t>
        </is>
      </c>
      <c r="F510" t="inlineStr">
        <is>
          <t>2024-12</t>
        </is>
      </c>
      <c r="G510" t="n">
        <v>30</v>
      </c>
      <c r="J510" t="inlineStr">
        <is>
          <t>RMB 億</t>
        </is>
      </c>
      <c r="K510" t="inlineStr">
        <is>
          <t>Interested-party</t>
        </is>
      </c>
      <c r="L510" t="inlineStr">
        <is>
          <t>媒體報導；資訊源可能為公司</t>
        </is>
      </c>
      <c r="M510" t="inlineStr">
        <is>
          <t>媒體報導</t>
        </is>
      </c>
      <c r="N510" t="inlineStr">
        <is>
          <t>量子位</t>
        </is>
      </c>
      <c r="O510" t="inlineStr">
        <is>
          <t>https://www.qbitai.com/2024/12/233513.html</t>
        </is>
      </c>
      <c r="P510" s="2" t="n">
        <v>45643</v>
      </c>
      <c r="Q510" t="inlineStr">
        <is>
          <t>「已最新完成一輪30億人民幣融資」；投資人未具名</t>
        </is>
      </c>
    </row>
    <row r="511">
      <c r="A511" t="inlineStr">
        <is>
          <t>SRC_ZP_510</t>
        </is>
      </c>
      <c r="B511" t="inlineStr">
        <is>
          <t>Z1-M</t>
        </is>
      </c>
      <c r="C511" t="inlineStr">
        <is>
          <t>F</t>
        </is>
      </c>
      <c r="D511" t="inlineStr">
        <is>
          <t>round_2025_03_hangzhou</t>
        </is>
      </c>
      <c r="E511" t="inlineStr">
        <is>
          <t>2025-03 杭州城投產業基金、上城資本等</t>
        </is>
      </c>
      <c r="F511" s="2" t="n">
        <v>45719</v>
      </c>
      <c r="H511" t="n">
        <v>10</v>
      </c>
      <c r="J511" t="inlineStr">
        <is>
          <t>RMB 億</t>
        </is>
      </c>
      <c r="K511" t="inlineStr">
        <is>
          <t>Interested-party</t>
        </is>
      </c>
      <c r="L511" t="inlineStr">
        <is>
          <t>媒體報導；知情人士稱部分非新錢</t>
        </is>
      </c>
      <c r="M511" t="inlineStr">
        <is>
          <t>媒體報導</t>
        </is>
      </c>
      <c r="N511" t="inlineStr">
        <is>
          <t>界面新聞</t>
        </is>
      </c>
      <c r="O511" t="inlineStr">
        <is>
          <t>https://m.jiemian.com/article/12418121.html</t>
        </is>
      </c>
      <c r="P511" s="2" t="n">
        <v>45719</v>
      </c>
      <c r="Q511" t="inlineStr">
        <is>
          <t>「超10億元人民幣」；界面另稱兩筆3月交易部分屬2024-12輪</t>
        </is>
      </c>
    </row>
    <row r="512">
      <c r="A512" t="inlineStr">
        <is>
          <t>SRC_ZP_511</t>
        </is>
      </c>
      <c r="B512" t="inlineStr">
        <is>
          <t>Z1-M</t>
        </is>
      </c>
      <c r="C512" t="inlineStr">
        <is>
          <t>F</t>
        </is>
      </c>
      <c r="D512" t="inlineStr">
        <is>
          <t>round_2025_03_huafa</t>
        </is>
      </c>
      <c r="E512" t="inlineStr">
        <is>
          <t>2025-03 珠海華發集團戰略投資</t>
        </is>
      </c>
      <c r="F512" s="2" t="n">
        <v>45729</v>
      </c>
      <c r="G512" t="n">
        <v>5</v>
      </c>
      <c r="J512" t="inlineStr">
        <is>
          <t>RMB 億</t>
        </is>
      </c>
      <c r="K512" t="inlineStr">
        <is>
          <t>Interested-party</t>
        </is>
      </c>
      <c r="L512" t="inlineStr">
        <is>
          <t>華發集團（國資投資方宣傳誘因）</t>
        </is>
      </c>
      <c r="M512" t="inlineStr">
        <is>
          <t>媒體報導</t>
        </is>
      </c>
      <c r="N512" t="inlineStr">
        <is>
          <t>界面新聞</t>
        </is>
      </c>
      <c r="O512" t="inlineStr">
        <is>
          <t>https://m.jiemian.com/article/12464980.html</t>
        </is>
      </c>
      <c r="P512" t="inlineStr">
        <is>
          <t>2025-03</t>
        </is>
      </c>
      <c r="Q512" t="inlineStr">
        <is>
          <t>「金額為5億元人民幣」；新浪轉述招股章程亦列華發 5 億元</t>
        </is>
      </c>
    </row>
    <row r="513">
      <c r="A513" t="inlineStr">
        <is>
          <t>SRC_ZP_512</t>
        </is>
      </c>
      <c r="B513" t="inlineStr">
        <is>
          <t>Z1-M</t>
        </is>
      </c>
      <c r="C513" t="inlineStr">
        <is>
          <t>F</t>
        </is>
      </c>
      <c r="D513" t="inlineStr">
        <is>
          <t>round_2025_03_chengdu</t>
        </is>
      </c>
      <c r="E513" t="inlineStr">
        <is>
          <t>2025-03 成都高新區（新經濟創投）</t>
        </is>
      </c>
      <c r="F513" s="2" t="n">
        <v>45735</v>
      </c>
      <c r="G513" t="n">
        <v>3</v>
      </c>
      <c r="J513" t="inlineStr">
        <is>
          <t>RMB 億</t>
        </is>
      </c>
      <c r="K513" t="inlineStr">
        <is>
          <t>Interested-party</t>
        </is>
      </c>
      <c r="L513" t="inlineStr">
        <is>
          <t>地方政府基金（宣傳誘因）</t>
        </is>
      </c>
      <c r="M513" t="inlineStr">
        <is>
          <t>媒體報導</t>
        </is>
      </c>
      <c r="N513" t="inlineStr">
        <is>
          <t>Reuters（老虎轉載）</t>
        </is>
      </c>
      <c r="O513" t="inlineStr">
        <is>
          <t>https://www.itiger.com/hans/news/2520094057</t>
        </is>
      </c>
      <c r="P513" s="2" t="n">
        <v>45735</v>
      </c>
      <c r="Q513" t="inlineStr">
        <is>
          <t>「300 million yuan ($41.5 million)」；招股章程轉述亦列成都高新 3 億元</t>
        </is>
      </c>
    </row>
    <row r="514">
      <c r="A514" t="inlineStr">
        <is>
          <t>SRC_ZP_513</t>
        </is>
      </c>
      <c r="B514" t="inlineStr">
        <is>
          <t>Z1-M</t>
        </is>
      </c>
      <c r="C514" t="inlineStr">
        <is>
          <t>F</t>
        </is>
      </c>
      <c r="D514" t="inlineStr">
        <is>
          <t>round_2025_07_shanghai</t>
        </is>
      </c>
      <c r="E514" t="inlineStr">
        <is>
          <t>2025-07 浦東創投、張江集團戰略投資</t>
        </is>
      </c>
      <c r="F514" s="2" t="n">
        <v>45840</v>
      </c>
      <c r="G514" t="n">
        <v>10</v>
      </c>
      <c r="J514" t="inlineStr">
        <is>
          <t>RMB 億</t>
        </is>
      </c>
      <c r="K514" t="inlineStr">
        <is>
          <t>Interested-party</t>
        </is>
      </c>
      <c r="L514" t="inlineStr">
        <is>
          <t>上海國資（宣傳誘因）</t>
        </is>
      </c>
      <c r="M514" t="inlineStr">
        <is>
          <t>媒體報導</t>
        </is>
      </c>
      <c r="N514" t="inlineStr">
        <is>
          <t>DealStreetAsia</t>
        </is>
      </c>
      <c r="O514" t="inlineStr">
        <is>
          <t>https://www.dealstreetasia.com/?p=447792</t>
        </is>
      </c>
      <c r="P514" s="2" t="n">
        <v>45841</v>
      </c>
      <c r="Q514" t="inlineStr">
        <is>
          <t>「1 billion yuan」；媒體估值約 US$5.6b（推估，不登錄為值）</t>
        </is>
      </c>
    </row>
    <row r="515">
      <c r="A515" t="inlineStr">
        <is>
          <t>SRC_ZP_514</t>
        </is>
      </c>
      <c r="B515" t="inlineStr">
        <is>
          <t>Z1-M</t>
        </is>
      </c>
      <c r="C515" t="inlineStr">
        <is>
          <t>F</t>
        </is>
      </c>
      <c r="D515" t="inlineStr">
        <is>
          <t>round_last_b6_total</t>
        </is>
      </c>
      <c r="E515" t="inlineStr">
        <is>
          <t>上市前最後一輪合計（中關村科學城、大興、杭州城創、華發、成都高新、上城領航）</t>
        </is>
      </c>
      <c r="F515" t="inlineStr">
        <is>
          <t>2024-12～2025</t>
        </is>
      </c>
      <c r="H515" t="n">
        <v>20</v>
      </c>
      <c r="J515" t="inlineStr">
        <is>
          <t>RMB 億</t>
        </is>
      </c>
      <c r="K515" t="inlineStr">
        <is>
          <t>Verified</t>
        </is>
      </c>
      <c r="M515" t="inlineStr">
        <is>
          <t>媒體轉述招股章程</t>
        </is>
      </c>
      <c r="N515" t="inlineStr">
        <is>
          <t>新浪財經（證券時報）</t>
        </is>
      </c>
      <c r="O515" t="inlineStr">
        <is>
          <t>https://finance.sina.com.cn/stock/marketresearch/2026-01-08/doc-inhfqcat5441095.shtml</t>
        </is>
      </c>
      <c r="P515" s="2" t="n">
        <v>46030</v>
      </c>
      <c r="Q515" t="inlineStr">
        <is>
          <t>「超20億元」；國資來自北京、珠海、成都、杭州；與量子位「30億」口徑不同</t>
        </is>
      </c>
    </row>
    <row r="516">
      <c r="A516" t="inlineStr">
        <is>
          <t>SRC_ZP_515</t>
        </is>
      </c>
      <c r="B516" t="inlineStr">
        <is>
          <t>Z1-M</t>
        </is>
      </c>
      <c r="C516" t="inlineStr">
        <is>
          <t>F</t>
        </is>
      </c>
      <c r="D516" t="inlineStr">
        <is>
          <t>ipo_price</t>
        </is>
      </c>
      <c r="E516" t="inlineStr">
        <is>
          <t>IPO 發售價</t>
        </is>
      </c>
      <c r="F516" s="2" t="n">
        <v>46030</v>
      </c>
      <c r="G516" t="n">
        <v>116.2</v>
      </c>
      <c r="J516" t="inlineStr">
        <is>
          <t>HKD／股</t>
        </is>
      </c>
      <c r="K516" t="inlineStr">
        <is>
          <t>Verified</t>
        </is>
      </c>
      <c r="M516" t="inlineStr">
        <is>
          <t>公司公告</t>
        </is>
      </c>
      <c r="N516" t="inlineStr">
        <is>
          <t>智譜 2026-09-13 配售及可換股債券公告（過往 12 個月集資）</t>
        </is>
      </c>
      <c r="O516" t="inlineStr">
        <is>
          <t>https://www1.hkexnews.hk/listedco/listconews/sehk/2026/0913/2026091300026_c.pdf</t>
        </is>
      </c>
      <c r="P516" s="2" t="n">
        <v>46278</v>
      </c>
      <c r="Q516" t="inlineStr">
        <is>
          <t>「按每股H股116.20港元發行37,419,500股新H股」</t>
        </is>
      </c>
    </row>
    <row r="517">
      <c r="A517" t="inlineStr">
        <is>
          <t>SRC_ZP_516</t>
        </is>
      </c>
      <c r="B517" t="inlineStr">
        <is>
          <t>Z1-M</t>
        </is>
      </c>
      <c r="C517" t="inlineStr">
        <is>
          <t>F</t>
        </is>
      </c>
      <c r="D517" t="inlineStr">
        <is>
          <t>ipo_shares</t>
        </is>
      </c>
      <c r="E517" t="inlineStr">
        <is>
          <t>IPO 發行股數（不含超額配股）</t>
        </is>
      </c>
      <c r="F517" s="2" t="n">
        <v>46030</v>
      </c>
      <c r="G517" t="n">
        <v>37419500</v>
      </c>
      <c r="J517" t="inlineStr">
        <is>
          <t>股</t>
        </is>
      </c>
      <c r="K517" t="inlineStr">
        <is>
          <t>Verified</t>
        </is>
      </c>
      <c r="M517" t="inlineStr">
        <is>
          <t>公司公告</t>
        </is>
      </c>
      <c r="N517" t="inlineStr">
        <is>
          <t>智譜 2026-09-13 公告</t>
        </is>
      </c>
      <c r="O517" t="inlineStr">
        <is>
          <t>https://www1.hkexnews.hk/listedco/listconews/sehk/2026/0913/2026091300026_c.pdf</t>
        </is>
      </c>
      <c r="P517" s="2" t="n">
        <v>46278</v>
      </c>
      <c r="Q517" t="inlineStr">
        <is>
          <t>香港公開發售回撥後 7,483,900 股、國際 29,935,600 股（新浪）</t>
        </is>
      </c>
    </row>
    <row r="518">
      <c r="A518" t="inlineStr">
        <is>
          <t>SRC_ZP_517</t>
        </is>
      </c>
      <c r="B518" t="inlineStr">
        <is>
          <t>Z1-M</t>
        </is>
      </c>
      <c r="C518" t="inlineStr">
        <is>
          <t>F</t>
        </is>
      </c>
      <c r="D518" t="inlineStr">
        <is>
          <t>ipo_gross</t>
        </is>
      </c>
      <c r="E518" t="inlineStr">
        <is>
          <t>IPO 募資總額（不含超額配股）</t>
        </is>
      </c>
      <c r="F518" s="2" t="n">
        <v>46030</v>
      </c>
      <c r="G518" t="n">
        <v>4348.1</v>
      </c>
      <c r="J518" t="inlineStr">
        <is>
          <t>HKD 百萬</t>
        </is>
      </c>
      <c r="K518" t="inlineStr">
        <is>
          <t>Verified</t>
        </is>
      </c>
      <c r="M518" t="inlineStr">
        <is>
          <t>媒體轉述配發結果</t>
        </is>
      </c>
      <c r="N518" t="inlineStr">
        <is>
          <t>新浪財經（轉述配發結果公告）</t>
        </is>
      </c>
      <c r="O518" t="inlineStr">
        <is>
          <t>https://finance.sina.cn/2026-01-08/detail-inhfqtyr6689758.d.html</t>
        </is>
      </c>
      <c r="P518" s="2" t="n">
        <v>46030</v>
      </c>
      <c r="Q518" t="inlineStr">
        <is>
          <t>所得款項總額 4,348.1 百萬港元；116.20×37,419,500＝4,348.1 吻合</t>
        </is>
      </c>
    </row>
    <row r="519">
      <c r="A519" t="inlineStr">
        <is>
          <t>SRC_ZP_518</t>
        </is>
      </c>
      <c r="B519" t="inlineStr">
        <is>
          <t>Z1-M</t>
        </is>
      </c>
      <c r="C519" t="inlineStr">
        <is>
          <t>F</t>
        </is>
      </c>
      <c r="D519" t="inlineStr">
        <is>
          <t>ipo_listing_exp</t>
        </is>
      </c>
      <c r="E519" t="inlineStr">
        <is>
          <t>IPO 估計上市開支</t>
        </is>
      </c>
      <c r="F519" s="2" t="n">
        <v>46030</v>
      </c>
      <c r="G519" t="n">
        <v>174.7</v>
      </c>
      <c r="J519" t="inlineStr">
        <is>
          <t>HKD 百萬</t>
        </is>
      </c>
      <c r="K519" t="inlineStr">
        <is>
          <t>Verified</t>
        </is>
      </c>
      <c r="M519" t="inlineStr">
        <is>
          <t>媒體轉述配發結果</t>
        </is>
      </c>
      <c r="N519" t="inlineStr">
        <is>
          <t>新浪財經（轉述配發結果公告）</t>
        </is>
      </c>
      <c r="O519" t="inlineStr">
        <is>
          <t>https://finance.sina.cn/2026-01-08/detail-inhfqtyr6689758.d.html</t>
        </is>
      </c>
      <c r="P519" s="2" t="n">
        <v>46030</v>
      </c>
      <c r="Q519" t="inlineStr">
        <is>
          <t>扣除估計上市開支 174.7 百萬港元</t>
        </is>
      </c>
    </row>
    <row r="520">
      <c r="A520" t="inlineStr">
        <is>
          <t>SRC_ZP_519</t>
        </is>
      </c>
      <c r="B520" t="inlineStr">
        <is>
          <t>Z1-M</t>
        </is>
      </c>
      <c r="C520" t="inlineStr">
        <is>
          <t>F</t>
        </is>
      </c>
      <c r="D520" t="inlineStr">
        <is>
          <t>ipo_net</t>
        </is>
      </c>
      <c r="E520" t="inlineStr">
        <is>
          <t>IPO 所得款項淨額（不含超額配股）</t>
        </is>
      </c>
      <c r="F520" s="2" t="n">
        <v>46030</v>
      </c>
      <c r="G520" t="n">
        <v>4173.4</v>
      </c>
      <c r="J520" t="inlineStr">
        <is>
          <t>HKD 百萬</t>
        </is>
      </c>
      <c r="K520" t="inlineStr">
        <is>
          <t>Verified</t>
        </is>
      </c>
      <c r="M520" t="inlineStr">
        <is>
          <t>媒體轉述配發結果</t>
        </is>
      </c>
      <c r="N520" t="inlineStr">
        <is>
          <t>新浪財經（轉述配發結果公告）；證券時報同值</t>
        </is>
      </c>
      <c r="O520" t="inlineStr">
        <is>
          <t>https://finance.sina.cn/2026-01-08/detail-inhfqtyr6689758.d.html</t>
        </is>
      </c>
      <c r="P520" s="2" t="n">
        <v>46030</v>
      </c>
      <c r="Q520" t="inlineStr">
        <is>
          <t>淨額 4,173.4 百萬港元；證券時報「全球發售淨籌資約41.73億港元」</t>
        </is>
      </c>
    </row>
    <row r="521">
      <c r="A521" t="inlineStr">
        <is>
          <t>SRC_ZP_520</t>
        </is>
      </c>
      <c r="B521" t="inlineStr">
        <is>
          <t>Z1-M</t>
        </is>
      </c>
      <c r="C521" t="inlineStr">
        <is>
          <t>F</t>
        </is>
      </c>
      <c r="D521" t="inlineStr">
        <is>
          <t>ipo_overallot_shares</t>
        </is>
      </c>
      <c r="E521" t="inlineStr">
        <is>
          <t>超額配股權行使股數</t>
        </is>
      </c>
      <c r="F521" s="2" t="n">
        <v>46057</v>
      </c>
      <c r="G521" t="n">
        <v>5612900</v>
      </c>
      <c r="J521" t="inlineStr">
        <is>
          <t>股</t>
        </is>
      </c>
      <c r="K521" t="inlineStr">
        <is>
          <t>Verified</t>
        </is>
      </c>
      <c r="M521" t="inlineStr">
        <is>
          <t>媒體轉述；與 FF301 勾稽</t>
        </is>
      </c>
      <c r="N521" t="inlineStr">
        <is>
          <t>新浪財經（轉述配發結果）＋ 2026-06 月報表股數勾稽</t>
        </is>
      </c>
      <c r="O521" t="inlineStr">
        <is>
          <t>https://finance.sina.cn/2026-01-08/detail-inhfqtyr6689758.d.html</t>
        </is>
      </c>
      <c r="P521" s="2" t="n">
        <v>46030</v>
      </c>
      <c r="Q521" t="inlineStr">
        <is>
          <t>440,230,190＋5,612,900＝445,843,090，與 FF301 總股數吻合</t>
        </is>
      </c>
    </row>
    <row r="522">
      <c r="A522" t="inlineStr">
        <is>
          <t>SRC_ZP_521</t>
        </is>
      </c>
      <c r="B522" t="inlineStr">
        <is>
          <t>Z1-M</t>
        </is>
      </c>
      <c r="C522" t="inlineStr">
        <is>
          <t>F</t>
        </is>
      </c>
      <c r="D522" t="inlineStr">
        <is>
          <t>ipo_overallot_shares_b</t>
        </is>
      </c>
      <c r="E522" t="inlineStr">
        <is>
          <t>超額配股權行使股數（公告另一數字）</t>
        </is>
      </c>
      <c r="F522" s="2" t="n">
        <v>46057</v>
      </c>
      <c r="G522" t="n">
        <v>5623900</v>
      </c>
      <c r="J522" t="inlineStr">
        <is>
          <t>股</t>
        </is>
      </c>
      <c r="K522" t="inlineStr">
        <is>
          <t>Verified</t>
        </is>
      </c>
      <c r="M522" t="inlineStr">
        <is>
          <t>公司公告（經 WebFetch 讀取）</t>
        </is>
      </c>
      <c r="N522" t="inlineStr">
        <is>
          <t>智譜 2026-09-13 公告</t>
        </is>
      </c>
      <c r="O522" t="inlineStr">
        <is>
          <t>https://www1.hkexnews.hk/listedco/listconews/sehk/2026/0913/2026091300026_c.pdf</t>
        </is>
      </c>
      <c r="P522" s="2" t="n">
        <v>46278</v>
      </c>
      <c r="Q522" t="inlineStr">
        <is>
          <t>「超額配股權獲悉數行使…發行額外5,623,900股H股」；與股數勾稽差 11,000 股，疑誤植或讀取誤差</t>
        </is>
      </c>
    </row>
    <row r="523">
      <c r="A523" t="inlineStr">
        <is>
          <t>SRC_ZP_522</t>
        </is>
      </c>
      <c r="B523" t="inlineStr">
        <is>
          <t>Z1-M</t>
        </is>
      </c>
      <c r="C523" t="inlineStr">
        <is>
          <t>F</t>
        </is>
      </c>
      <c r="D523" t="inlineStr">
        <is>
          <t>ipo_net_incl_overallot</t>
        </is>
      </c>
      <c r="E523" t="inlineStr">
        <is>
          <t>IPO 淨額（含超額配股權）</t>
        </is>
      </c>
      <c r="F523" t="inlineStr">
        <is>
          <t>2026-01～02</t>
        </is>
      </c>
      <c r="G523" t="n">
        <v>4896.2</v>
      </c>
      <c r="J523" t="inlineStr">
        <is>
          <t>HKD 百萬</t>
        </is>
      </c>
      <c r="K523" t="inlineStr">
        <is>
          <t>Verified</t>
        </is>
      </c>
      <c r="M523" t="inlineStr">
        <is>
          <t>公司公告</t>
        </is>
      </c>
      <c r="N523" t="inlineStr">
        <is>
          <t>智譜 2026-09-13 公告</t>
        </is>
      </c>
      <c r="O523" t="inlineStr">
        <is>
          <t>https://www1.hkexnews.hk/listedco/listconews/sehk/2026/0913/2026091300026_c.pdf</t>
        </is>
      </c>
      <c r="P523" s="2" t="n">
        <v>46278</v>
      </c>
      <c r="Q523" t="inlineStr">
        <is>
          <t>「全球發售（包括超額配股權獲行使）的所得款項淨額總額約為4,896.2百萬港元」；截至 2026-08-31 已悉數動用</t>
        </is>
      </c>
    </row>
    <row r="524">
      <c r="A524" t="inlineStr">
        <is>
          <t>SRC_ZP_523</t>
        </is>
      </c>
      <c r="B524" t="inlineStr">
        <is>
          <t>Z1-M</t>
        </is>
      </c>
      <c r="C524" t="inlineStr">
        <is>
          <t>F</t>
        </is>
      </c>
      <c r="D524" t="inlineStr">
        <is>
          <t>ipo_cornerstone_total</t>
        </is>
      </c>
      <c r="E524" t="inlineStr">
        <is>
          <t>基石投資者認購總額（11 家）</t>
        </is>
      </c>
      <c r="F524" t="inlineStr">
        <is>
          <t>2026-01</t>
        </is>
      </c>
      <c r="G524" t="n">
        <v>29.8</v>
      </c>
      <c r="J524" t="inlineStr">
        <is>
          <t>HKD 億</t>
        </is>
      </c>
      <c r="K524" t="inlineStr">
        <is>
          <t>Verified</t>
        </is>
      </c>
      <c r="M524" t="inlineStr">
        <is>
          <t>媒體轉述招股章程</t>
        </is>
      </c>
      <c r="N524" t="inlineStr">
        <is>
          <t>鉅亨網</t>
        </is>
      </c>
      <c r="O524" t="inlineStr">
        <is>
          <t>https://news.cnyes.com/news/id/6292807</t>
        </is>
      </c>
      <c r="P524" s="2" t="n">
        <v>46021</v>
      </c>
      <c r="Q524" t="inlineStr">
        <is>
          <t>「合共認購29.8億港元」約占發售 70%；JSC、JinYi、高毅、泰康人壽、廣發基金等；個別金額未載</t>
        </is>
      </c>
    </row>
    <row r="525">
      <c r="A525" t="inlineStr">
        <is>
          <t>SRC_ZP_524</t>
        </is>
      </c>
      <c r="B525" t="inlineStr">
        <is>
          <t>Z1-M</t>
        </is>
      </c>
      <c r="C525" t="inlineStr">
        <is>
          <t>F</t>
        </is>
      </c>
      <c r="D525" t="inlineStr">
        <is>
          <t>ipo_hk_oversub</t>
        </is>
      </c>
      <c r="E525" t="inlineStr">
        <is>
          <t>香港公開發售超額認購倍數</t>
        </is>
      </c>
      <c r="F525" t="inlineStr">
        <is>
          <t>2026-01</t>
        </is>
      </c>
      <c r="G525" t="n">
        <v>1159.46</v>
      </c>
      <c r="J525" t="inlineStr">
        <is>
          <t>倍</t>
        </is>
      </c>
      <c r="K525" t="inlineStr">
        <is>
          <t>Verified</t>
        </is>
      </c>
      <c r="M525" t="inlineStr">
        <is>
          <t>媒體轉述配發結果</t>
        </is>
      </c>
      <c r="N525" t="inlineStr">
        <is>
          <t>中國日報網</t>
        </is>
      </c>
      <c r="O525" t="inlineStr">
        <is>
          <t>https://cn.chinadaily.com.cn/a/202601/08/WS695f5b9da310942cc499a93e.html</t>
        </is>
      </c>
      <c r="P525" s="2" t="n">
        <v>46030</v>
      </c>
      <c r="Q525" t="inlineStr">
        <is>
          <t>公開發售 1,159.46 倍；國際發售 15.28 倍</t>
        </is>
      </c>
    </row>
    <row r="526">
      <c r="A526" t="inlineStr">
        <is>
          <t>SRC_ZP_525</t>
        </is>
      </c>
      <c r="B526" t="inlineStr">
        <is>
          <t>Z1-M</t>
        </is>
      </c>
      <c r="C526" t="inlineStr">
        <is>
          <t>F</t>
        </is>
      </c>
      <c r="D526" t="inlineStr">
        <is>
          <t>ipo_proceeds_use_rd</t>
        </is>
      </c>
      <c r="E526" t="inlineStr">
        <is>
          <t>IPO 用途：通用大模型研發占比</t>
        </is>
      </c>
      <c r="F526" t="inlineStr">
        <is>
          <t>2026-01</t>
        </is>
      </c>
      <c r="G526" t="n">
        <v>70</v>
      </c>
      <c r="J526" t="inlineStr">
        <is>
          <t>%</t>
        </is>
      </c>
      <c r="K526" t="inlineStr">
        <is>
          <t>Verified</t>
        </is>
      </c>
      <c r="M526" t="inlineStr">
        <is>
          <t>媒體轉述招股章程</t>
        </is>
      </c>
      <c r="N526" t="inlineStr">
        <is>
          <t>澎湃新聞</t>
        </is>
      </c>
      <c r="O526" t="inlineStr">
        <is>
          <t>https://www.thepaper.cn/newsDetail_forward_32280640</t>
        </is>
      </c>
      <c r="P526" s="2" t="n">
        <v>46021</v>
      </c>
      <c r="Q526" t="inlineStr">
        <is>
          <t>研發 70%、MaaS 平台 10%、合作夥伴與戰投 10%、營運資金 10%</t>
        </is>
      </c>
    </row>
    <row r="527">
      <c r="A527" t="inlineStr">
        <is>
          <t>SRC_ZP_526</t>
        </is>
      </c>
      <c r="B527" t="inlineStr">
        <is>
          <t>Z1-M</t>
        </is>
      </c>
      <c r="C527" t="inlineStr">
        <is>
          <t>F</t>
        </is>
      </c>
      <c r="D527" t="inlineStr">
        <is>
          <t>ipo_shares_post</t>
        </is>
      </c>
      <c r="E527" t="inlineStr">
        <is>
          <t>上市後已發行股份總數（超額配股前）</t>
        </is>
      </c>
      <c r="F527" s="2" t="n">
        <v>46030</v>
      </c>
      <c r="G527" t="n">
        <v>440230190</v>
      </c>
      <c r="J527" t="inlineStr">
        <is>
          <t>股</t>
        </is>
      </c>
      <c r="K527" t="inlineStr">
        <is>
          <t>Verified</t>
        </is>
      </c>
      <c r="M527" t="inlineStr">
        <is>
          <t>媒體轉述配發結果</t>
        </is>
      </c>
      <c r="N527" t="inlineStr">
        <is>
          <t>新浪財經（轉述配發結果公告）</t>
        </is>
      </c>
      <c r="O527" t="inlineStr">
        <is>
          <t>https://finance.sina.cn/2026-01-08/detail-inhfqtyr6689758.d.html</t>
        </is>
      </c>
      <c r="P527" s="2" t="n">
        <v>46030</v>
      </c>
      <c r="Q527" t="inlineStr">
        <is>
          <t>上市後已發行 440,230,190 股</t>
        </is>
      </c>
    </row>
    <row r="528">
      <c r="A528" t="inlineStr">
        <is>
          <t>SRC_ZP_527</t>
        </is>
      </c>
      <c r="B528" t="inlineStr">
        <is>
          <t>Z1-M</t>
        </is>
      </c>
      <c r="C528" t="inlineStr">
        <is>
          <t>F</t>
        </is>
      </c>
      <c r="D528" t="inlineStr">
        <is>
          <t>ipo_offer_mktcap</t>
        </is>
      </c>
      <c r="E528" t="inlineStr">
        <is>
          <t>按發售價計算市值</t>
        </is>
      </c>
      <c r="F528" s="2" t="n">
        <v>46030</v>
      </c>
      <c r="G528" t="n">
        <v>511.5</v>
      </c>
      <c r="J528" t="inlineStr">
        <is>
          <t>HKD 億</t>
        </is>
      </c>
      <c r="K528" t="inlineStr">
        <is>
          <t>Derived</t>
        </is>
      </c>
      <c r="M528" t="inlineStr">
        <is>
          <t>計算</t>
        </is>
      </c>
      <c r="N528" t="inlineStr">
        <is>
          <t>鉅亨網（511 億）；Derived＝116.20×440,230,190</t>
        </is>
      </c>
      <c r="O528" t="inlineStr">
        <is>
          <t>https://news.cnyes.com/news/id/6292807</t>
        </is>
      </c>
      <c r="P528" s="2" t="n">
        <v>46021</v>
      </c>
      <c r="Q528" t="inlineStr">
        <is>
          <t>媒體「發行市值達511億」；計算值 511.55 億港元</t>
        </is>
      </c>
    </row>
    <row r="529">
      <c r="A529" t="inlineStr">
        <is>
          <t>SRC_ZP_528</t>
        </is>
      </c>
      <c r="B529" t="inlineStr">
        <is>
          <t>Z1-M</t>
        </is>
      </c>
      <c r="C529" t="inlineStr">
        <is>
          <t>F</t>
        </is>
      </c>
      <c r="D529" t="inlineStr">
        <is>
          <t>ipo_day1_open_mktcap</t>
        </is>
      </c>
      <c r="E529" t="inlineStr">
        <is>
          <t>上市首日開盤市值（線索 528 億）</t>
        </is>
      </c>
      <c r="F529" s="2" t="n">
        <v>46030</v>
      </c>
      <c r="G529" t="n">
        <v>528.3</v>
      </c>
      <c r="J529" t="inlineStr">
        <is>
          <t>HKD 億</t>
        </is>
      </c>
      <c r="K529" t="inlineStr">
        <is>
          <t>Derived</t>
        </is>
      </c>
      <c r="M529" t="inlineStr">
        <is>
          <t>計算</t>
        </is>
      </c>
      <c r="N529" t="inlineStr">
        <is>
          <t>Derived＝開盤價 120.00×440,230,190；開盤價見證券時報</t>
        </is>
      </c>
      <c r="O529" t="inlineStr">
        <is>
          <t>https://www.stcn.com/article/detail/3580246.html</t>
        </is>
      </c>
      <c r="P529" s="2" t="n">
        <v>46030</v>
      </c>
      <c r="Q529" t="inlineStr">
        <is>
          <t>開盤「報120港元/股」；線索 528 億即開盤市值，非收盤</t>
        </is>
      </c>
    </row>
    <row r="530">
      <c r="A530" t="inlineStr">
        <is>
          <t>SRC_ZP_529</t>
        </is>
      </c>
      <c r="B530" t="inlineStr">
        <is>
          <t>Z1-M</t>
        </is>
      </c>
      <c r="C530" t="inlineStr">
        <is>
          <t>F</t>
        </is>
      </c>
      <c r="D530" t="inlineStr">
        <is>
          <t>ipo_day1_close</t>
        </is>
      </c>
      <c r="E530" t="inlineStr">
        <is>
          <t>上市首日收盤價</t>
        </is>
      </c>
      <c r="F530" s="2" t="n">
        <v>46030</v>
      </c>
      <c r="G530" t="n">
        <v>131.5</v>
      </c>
      <c r="J530" t="inlineStr">
        <is>
          <t>HKD／股</t>
        </is>
      </c>
      <c r="K530" t="inlineStr">
        <is>
          <t>Verified</t>
        </is>
      </c>
      <c r="M530" t="inlineStr">
        <is>
          <t>市場數據</t>
        </is>
      </c>
      <c r="N530" t="inlineStr">
        <is>
          <t>證券時報</t>
        </is>
      </c>
      <c r="O530" t="inlineStr">
        <is>
          <t>https://www.stcn.com/article/detail/3580246.html</t>
        </is>
      </c>
      <c r="P530" s="2" t="n">
        <v>46030</v>
      </c>
      <c r="Q530" t="inlineStr">
        <is>
          <t>「收報131.5港元/股」，漲 13.17%；盤中低 116.10</t>
        </is>
      </c>
    </row>
    <row r="531">
      <c r="A531" t="inlineStr">
        <is>
          <t>SRC_ZP_530</t>
        </is>
      </c>
      <c r="B531" t="inlineStr">
        <is>
          <t>Z1-M</t>
        </is>
      </c>
      <c r="C531" t="inlineStr">
        <is>
          <t>F</t>
        </is>
      </c>
      <c r="D531" t="inlineStr">
        <is>
          <t>ipo_day1_close_mktcap</t>
        </is>
      </c>
      <c r="E531" t="inlineStr">
        <is>
          <t>上市首日收盤市值</t>
        </is>
      </c>
      <c r="F531" s="2" t="n">
        <v>46030</v>
      </c>
      <c r="G531" t="n">
        <v>578.9</v>
      </c>
      <c r="J531" t="inlineStr">
        <is>
          <t>HKD 億</t>
        </is>
      </c>
      <c r="K531" t="inlineStr">
        <is>
          <t>Verified</t>
        </is>
      </c>
      <c r="M531" t="inlineStr">
        <is>
          <t>市場數據</t>
        </is>
      </c>
      <c r="N531" t="inlineStr">
        <is>
          <t>證券時報</t>
        </is>
      </c>
      <c r="O531" t="inlineStr">
        <is>
          <t>https://www.stcn.com/article/detail/3580246.html</t>
        </is>
      </c>
      <c r="P531" s="2" t="n">
        <v>46030</v>
      </c>
      <c r="Q531" t="inlineStr">
        <is>
          <t>「總市值達578.9億港元」；131.5×440,230,190＝578.9 吻合</t>
        </is>
      </c>
    </row>
    <row r="532">
      <c r="A532" t="inlineStr">
        <is>
          <t>SRC_ZP_531</t>
        </is>
      </c>
      <c r="B532" t="inlineStr">
        <is>
          <t>Z1-M</t>
        </is>
      </c>
      <c r="C532" t="inlineStr">
        <is>
          <t>F</t>
        </is>
      </c>
      <c r="D532" t="inlineStr">
        <is>
          <t>ipo_day1_close_mktcap_b</t>
        </is>
      </c>
      <c r="E532" t="inlineStr">
        <is>
          <t>上市首日收盤市值（另一說）</t>
        </is>
      </c>
      <c r="F532" s="2" t="n">
        <v>46030</v>
      </c>
      <c r="G532" t="n">
        <v>586</v>
      </c>
      <c r="J532" t="inlineStr">
        <is>
          <t>HKD 億</t>
        </is>
      </c>
      <c r="K532" t="inlineStr">
        <is>
          <t>Verified</t>
        </is>
      </c>
      <c r="M532" t="inlineStr">
        <is>
          <t>市場數據（媒體）</t>
        </is>
      </c>
      <c r="N532" t="inlineStr">
        <is>
          <t>每日經濟新聞</t>
        </is>
      </c>
      <c r="O532" t="inlineStr">
        <is>
          <t>https://www.mrjjxw.com/articles/2026-06-22/4432957.html</t>
        </is>
      </c>
      <c r="P532" s="2" t="n">
        <v>46195</v>
      </c>
      <c r="Q532" t="inlineStr">
        <is>
          <t>「市值約586億港元」；與 578.9 差異未說明，以證券時報為主</t>
        </is>
      </c>
    </row>
    <row r="533">
      <c r="A533" t="inlineStr">
        <is>
          <t>SRC_ZP_532</t>
        </is>
      </c>
      <c r="B533" t="inlineStr">
        <is>
          <t>Z1-M</t>
        </is>
      </c>
      <c r="C533" t="inlineStr">
        <is>
          <t>F</t>
        </is>
      </c>
      <c r="D533" t="inlineStr">
        <is>
          <t>placing1_price</t>
        </is>
      </c>
      <c r="E533" t="inlineStr">
        <is>
          <t>2026-07 配售價</t>
        </is>
      </c>
      <c r="F533" s="2" t="n">
        <v>46212</v>
      </c>
      <c r="G533" t="n">
        <v>1588</v>
      </c>
      <c r="J533" t="inlineStr">
        <is>
          <t>HKD／股</t>
        </is>
      </c>
      <c r="K533" t="inlineStr">
        <is>
          <t>Verified</t>
        </is>
      </c>
      <c r="M533" t="inlineStr">
        <is>
          <t>公司公告</t>
        </is>
      </c>
      <c r="N533" t="inlineStr">
        <is>
          <t>智譜 2026-09-13 公告（過往 12 個月集資）</t>
        </is>
      </c>
      <c r="O533" t="inlineStr">
        <is>
          <t>https://www1.hkexnews.hk/listedco/listconews/sehk/2026/0913/2026091300026_c.pdf</t>
        </is>
      </c>
      <c r="P533" s="2" t="n">
        <v>46278</v>
      </c>
      <c r="Q533" t="inlineStr">
        <is>
          <t>「按配售價每股H股1,588.00港元配發及發行合共19,780,000股新H股」</t>
        </is>
      </c>
    </row>
    <row r="534">
      <c r="A534" t="inlineStr">
        <is>
          <t>SRC_ZP_533</t>
        </is>
      </c>
      <c r="B534" t="inlineStr">
        <is>
          <t>Z1-M</t>
        </is>
      </c>
      <c r="C534" t="inlineStr">
        <is>
          <t>F</t>
        </is>
      </c>
      <c r="D534" t="inlineStr">
        <is>
          <t>placing1_shares</t>
        </is>
      </c>
      <c r="E534" t="inlineStr">
        <is>
          <t>2026-07 配售股數</t>
        </is>
      </c>
      <c r="F534" s="2" t="n">
        <v>46216</v>
      </c>
      <c r="G534" t="n">
        <v>19780000</v>
      </c>
      <c r="J534" t="inlineStr">
        <is>
          <t>股</t>
        </is>
      </c>
      <c r="K534" t="inlineStr">
        <is>
          <t>Verified</t>
        </is>
      </c>
      <c r="M534" t="inlineStr">
        <is>
          <t>公司公告（東方財富鏡像）</t>
        </is>
      </c>
      <c r="N534" t="inlineStr">
        <is>
          <t>智譜翌日披露報表 FF305（2026-07-14）</t>
        </is>
      </c>
      <c r="O534" t="inlineStr">
        <is>
          <t>https://pdf.dfcfw.com/pdf/H2_AN202607141826942427_1.pdf</t>
        </is>
      </c>
      <c r="P534" s="2" t="n">
        <v>46217</v>
      </c>
      <c r="Q534" t="inlineStr">
        <is>
          <t>總股數 445,843,090→465,623,090；H 股 221,314,605→241,094,605</t>
        </is>
      </c>
    </row>
    <row r="535">
      <c r="A535" t="inlineStr">
        <is>
          <t>SRC_ZP_534</t>
        </is>
      </c>
      <c r="B535" t="inlineStr">
        <is>
          <t>Z1-M</t>
        </is>
      </c>
      <c r="C535" t="inlineStr">
        <is>
          <t>F</t>
        </is>
      </c>
      <c r="D535" t="inlineStr">
        <is>
          <t>placing1_discount</t>
        </is>
      </c>
      <c r="E535" t="inlineStr">
        <is>
          <t>2026-07 配售價較前收盤折讓</t>
        </is>
      </c>
      <c r="F535" s="2" t="n">
        <v>46211</v>
      </c>
      <c r="G535" t="n">
        <v>12.99</v>
      </c>
      <c r="J535" t="inlineStr">
        <is>
          <t>%</t>
        </is>
      </c>
      <c r="K535" t="inlineStr">
        <is>
          <t>Verified</t>
        </is>
      </c>
      <c r="M535" t="inlineStr">
        <is>
          <t>媒體轉述公告</t>
        </is>
      </c>
      <c r="N535" t="inlineStr">
        <is>
          <t>中國金融信息網</t>
        </is>
      </c>
      <c r="O535" t="inlineStr">
        <is>
          <t>https://www.cnfin.com/gs-lb/detail/20260709/4437824_1.html</t>
        </is>
      </c>
      <c r="P535" s="2" t="n">
        <v>46212</v>
      </c>
      <c r="Q535" t="inlineStr">
        <is>
          <t>較 7-08 收盤 1,825 港元折讓約 12.99%</t>
        </is>
      </c>
    </row>
    <row r="536">
      <c r="A536" t="inlineStr">
        <is>
          <t>SRC_ZP_535</t>
        </is>
      </c>
      <c r="B536" t="inlineStr">
        <is>
          <t>Z1-M</t>
        </is>
      </c>
      <c r="C536" t="inlineStr">
        <is>
          <t>F</t>
        </is>
      </c>
      <c r="D536" t="inlineStr">
        <is>
          <t>placing1_gross</t>
        </is>
      </c>
      <c r="E536" t="inlineStr">
        <is>
          <t>2026-07 配售所得款項總額</t>
        </is>
      </c>
      <c r="F536" s="2" t="n">
        <v>46216</v>
      </c>
      <c r="G536" t="n">
        <v>31411</v>
      </c>
      <c r="J536" t="inlineStr">
        <is>
          <t>HKD 百萬</t>
        </is>
      </c>
      <c r="K536" t="inlineStr">
        <is>
          <t>Verified</t>
        </is>
      </c>
      <c r="M536" t="inlineStr">
        <is>
          <t>媒體轉述公告</t>
        </is>
      </c>
      <c r="N536" t="inlineStr">
        <is>
          <t>觀點網（轉述完成公告）</t>
        </is>
      </c>
      <c r="O536" t="inlineStr">
        <is>
          <t>https://www.guandian.hk/article/20260713/573061.html</t>
        </is>
      </c>
      <c r="P536" s="2" t="n">
        <v>46216</v>
      </c>
      <c r="Q536" t="inlineStr">
        <is>
          <t>「約314.11億港元」；1,588×19,780,000＝31,410.6 吻合</t>
        </is>
      </c>
    </row>
    <row r="537">
      <c r="A537" t="inlineStr">
        <is>
          <t>SRC_ZP_536</t>
        </is>
      </c>
      <c r="B537" t="inlineStr">
        <is>
          <t>Z1-M</t>
        </is>
      </c>
      <c r="C537" t="inlineStr">
        <is>
          <t>F</t>
        </is>
      </c>
      <c r="D537" t="inlineStr">
        <is>
          <t>placing1_net</t>
        </is>
      </c>
      <c r="E537" t="inlineStr">
        <is>
          <t>2026-07 配售所得款項淨額</t>
        </is>
      </c>
      <c r="F537" s="2" t="n">
        <v>46216</v>
      </c>
      <c r="G537" t="n">
        <v>31374.95</v>
      </c>
      <c r="J537" t="inlineStr">
        <is>
          <t>HKD 百萬</t>
        </is>
      </c>
      <c r="K537" t="inlineStr">
        <is>
          <t>Verified</t>
        </is>
      </c>
      <c r="M537" t="inlineStr">
        <is>
          <t>公司公告</t>
        </is>
      </c>
      <c r="N537" t="inlineStr">
        <is>
          <t>智譜 2026-09-13 公告</t>
        </is>
      </c>
      <c r="O537" t="inlineStr">
        <is>
          <t>https://www1.hkexnews.hk/listedco/listconews/sehk/2026/0913/2026091300026_c.pdf</t>
        </is>
      </c>
      <c r="P537" s="2" t="n">
        <v>46278</v>
      </c>
      <c r="Q537" t="inlineStr">
        <is>
          <t>淨額約 31,374.95 百萬港元；觀點網「約313.75億港元」一致；幣別為港幣</t>
        </is>
      </c>
    </row>
    <row r="538">
      <c r="A538" t="inlineStr">
        <is>
          <t>SRC_ZP_537</t>
        </is>
      </c>
      <c r="B538" t="inlineStr">
        <is>
          <t>Z1-M</t>
        </is>
      </c>
      <c r="C538" t="inlineStr">
        <is>
          <t>F</t>
        </is>
      </c>
      <c r="D538" t="inlineStr">
        <is>
          <t>placing1_net_b</t>
        </is>
      </c>
      <c r="E538" t="inlineStr">
        <is>
          <t>2026-07 配售總額（線索：媒體稱人民幣 272.31 億）</t>
        </is>
      </c>
      <c r="F538" t="inlineStr">
        <is>
          <t>2026-07</t>
        </is>
      </c>
      <c r="J538" t="inlineStr">
        <is>
          <t>RMB 億</t>
        </is>
      </c>
      <c r="K538" t="inlineStr">
        <is>
          <t>Verified</t>
        </is>
      </c>
      <c r="M538" t="inlineStr">
        <is>
          <t>公告只有港幣</t>
        </is>
      </c>
      <c r="N538" t="inlineStr">
        <is>
          <t>未核得（見 not_found）</t>
        </is>
      </c>
      <c r="O538" t="inlineStr">
        <is>
          <t>https://www1.hkexnews.hk/listedco/listconews/sehk/2026/0913/2026091300026_c.pdf</t>
        </is>
      </c>
      <c r="P538" s="2" t="n">
        <v>46278</v>
      </c>
      <c r="Q538" t="inlineStr">
        <is>
          <t>公告總額 314.11 億、淨額 313.75 億，均為港幣；272.31 億無原文可核，不登錄數值</t>
        </is>
      </c>
    </row>
    <row r="539">
      <c r="A539" t="inlineStr">
        <is>
          <t>SRC_ZP_538</t>
        </is>
      </c>
      <c r="B539" t="inlineStr">
        <is>
          <t>Z1-M</t>
        </is>
      </c>
      <c r="C539" t="inlineStr">
        <is>
          <t>F</t>
        </is>
      </c>
      <c r="D539" t="inlineStr">
        <is>
          <t>placing1_usd_media</t>
        </is>
      </c>
      <c r="E539" t="inlineStr">
        <is>
          <t>2026-07 配售規模（媒體美元口徑）</t>
        </is>
      </c>
      <c r="F539" s="2" t="n">
        <v>46211</v>
      </c>
      <c r="G539" t="n">
        <v>4</v>
      </c>
      <c r="J539" t="inlineStr">
        <is>
          <t>USD 十億</t>
        </is>
      </c>
      <c r="K539" t="inlineStr">
        <is>
          <t>Interested-party</t>
        </is>
      </c>
      <c r="L539" t="inlineStr">
        <is>
          <t>媒體引述 term sheet（承銷方資料）</t>
        </is>
      </c>
      <c r="M539" t="inlineStr">
        <is>
          <t>媒體</t>
        </is>
      </c>
      <c r="N539" t="inlineStr">
        <is>
          <t>The Standard（term sheet）</t>
        </is>
      </c>
      <c r="O539" t="inlineStr">
        <is>
          <t>https://www.thestandard.com.hk/finance/article/336723/Chinas-Zhipu-AI-launches-US4-billion-Hong-Kong-shares-offering-term-sheet-shows</t>
        </is>
      </c>
      <c r="P539" s="2" t="n">
        <v>46211</v>
      </c>
      <c r="Q539" t="inlineStr">
        <is>
          <t>「around US$4 billion(HK$31.2 billion)」；價格區間 1,588–1,698</t>
        </is>
      </c>
    </row>
    <row r="540">
      <c r="A540" t="inlineStr">
        <is>
          <t>SRC_ZP_539</t>
        </is>
      </c>
      <c r="B540" t="inlineStr">
        <is>
          <t>Z1-M</t>
        </is>
      </c>
      <c r="C540" t="inlineStr">
        <is>
          <t>F</t>
        </is>
      </c>
      <c r="D540" t="inlineStr">
        <is>
          <t>placing1_use_rd</t>
        </is>
      </c>
      <c r="E540" t="inlineStr">
        <is>
          <t>2026-07 配售用途：AI 研發（含模型、人才、算力）</t>
        </is>
      </c>
      <c r="F540" t="inlineStr">
        <is>
          <t>2026-07</t>
        </is>
      </c>
      <c r="G540" t="n">
        <v>55</v>
      </c>
      <c r="J540" t="inlineStr">
        <is>
          <t>%</t>
        </is>
      </c>
      <c r="K540" t="inlineStr">
        <is>
          <t>Verified</t>
        </is>
      </c>
      <c r="M540" t="inlineStr">
        <is>
          <t>媒體轉述公告</t>
        </is>
      </c>
      <c r="N540" t="inlineStr">
        <is>
          <t>觀點網（轉述完成公告）</t>
        </is>
      </c>
      <c r="O540" t="inlineStr">
        <is>
          <t>https://www.guandian.hk/article/20260713/573061.html</t>
        </is>
      </c>
      <c r="P540" s="2" t="n">
        <v>46216</v>
      </c>
      <c r="Q540" t="inlineStr">
        <is>
          <t>研發 55%、業務擴張／戰投／併購 15%、資本結構與營運資金 30%；預計 2027 年底前用畢</t>
        </is>
      </c>
    </row>
    <row r="541">
      <c r="A541" t="inlineStr">
        <is>
          <t>SRC_ZP_540</t>
        </is>
      </c>
      <c r="B541" t="inlineStr">
        <is>
          <t>Z1-M</t>
        </is>
      </c>
      <c r="C541" t="inlineStr">
        <is>
          <t>F</t>
        </is>
      </c>
      <c r="D541" t="inlineStr">
        <is>
          <t>placing1_utilised_0831</t>
        </is>
      </c>
      <c r="E541" t="inlineStr">
        <is>
          <t>2026-07 配售款截至 2026-08-31 已動用</t>
        </is>
      </c>
      <c r="F541" s="2" t="n">
        <v>46265</v>
      </c>
      <c r="G541" t="n">
        <v>10954.8</v>
      </c>
      <c r="J541" t="inlineStr">
        <is>
          <t>HKD 百萬</t>
        </is>
      </c>
      <c r="K541" t="inlineStr">
        <is>
          <t>Verified</t>
        </is>
      </c>
      <c r="M541" t="inlineStr">
        <is>
          <t>公司公告</t>
        </is>
      </c>
      <c r="N541" t="inlineStr">
        <is>
          <t>智譜 2026-09-13 公告</t>
        </is>
      </c>
      <c r="O541" t="inlineStr">
        <is>
          <t>https://www1.hkexnews.hk/listedco/listconews/sehk/2026/0913/2026091300026_c.pdf</t>
        </is>
      </c>
      <c r="P541" s="2" t="n">
        <v>46278</v>
      </c>
      <c r="Q541" t="inlineStr">
        <is>
          <t>已動用約 10,954.80 百萬港元（34.92%），未動用約 20,420.15 百萬港元</t>
        </is>
      </c>
    </row>
    <row r="542">
      <c r="A542" t="inlineStr">
        <is>
          <t>SRC_ZP_541</t>
        </is>
      </c>
      <c r="B542" t="inlineStr">
        <is>
          <t>Z1-M</t>
        </is>
      </c>
      <c r="C542" t="inlineStr">
        <is>
          <t>F</t>
        </is>
      </c>
      <c r="D542" t="inlineStr">
        <is>
          <t>placing2_price</t>
        </is>
      </c>
      <c r="E542" t="inlineStr">
        <is>
          <t>2026-09 配售價</t>
        </is>
      </c>
      <c r="F542" s="2" t="n">
        <v>46277</v>
      </c>
      <c r="G542" t="n">
        <v>714</v>
      </c>
      <c r="J542" t="inlineStr">
        <is>
          <t>HKD／股</t>
        </is>
      </c>
      <c r="K542" t="inlineStr">
        <is>
          <t>Verified</t>
        </is>
      </c>
      <c r="M542" t="inlineStr">
        <is>
          <t>公司公告</t>
        </is>
      </c>
      <c r="N542" t="inlineStr">
        <is>
          <t>智譜 2026-09-13 公告</t>
        </is>
      </c>
      <c r="O542" t="inlineStr">
        <is>
          <t>https://www1.hkexnews.hk/listedco/listconews/sehk/2026/0913/2026091300026_c.pdf</t>
        </is>
      </c>
      <c r="P542" s="2" t="n">
        <v>46278</v>
      </c>
      <c r="Q542" t="inlineStr">
        <is>
          <t>較 9-11 收盤 793.00 港元折讓約 9.96%；較 5 日均價 891.90 折讓 19.95%</t>
        </is>
      </c>
    </row>
    <row r="543">
      <c r="A543" t="inlineStr">
        <is>
          <t>SRC_ZP_542</t>
        </is>
      </c>
      <c r="B543" t="inlineStr">
        <is>
          <t>Z1-M</t>
        </is>
      </c>
      <c r="C543" t="inlineStr">
        <is>
          <t>F</t>
        </is>
      </c>
      <c r="D543" t="inlineStr">
        <is>
          <t>placing2_shares</t>
        </is>
      </c>
      <c r="E543" t="inlineStr">
        <is>
          <t>2026-09 配售股數</t>
        </is>
      </c>
      <c r="F543" s="2" t="n">
        <v>46281</v>
      </c>
      <c r="G543" t="n">
        <v>21965000</v>
      </c>
      <c r="J543" t="inlineStr">
        <is>
          <t>股</t>
        </is>
      </c>
      <c r="K543" t="inlineStr">
        <is>
          <t>Verified</t>
        </is>
      </c>
      <c r="M543" t="inlineStr">
        <is>
          <t>公司公告（媒體轉述完成）</t>
        </is>
      </c>
      <c r="N543" t="inlineStr">
        <is>
          <t>智譜 2026-09-13 公告；騰訊新聞（完成公告轉述）</t>
        </is>
      </c>
      <c r="O543" t="inlineStr">
        <is>
          <t>https://news.qq.com/rain/a/20260918A09O8G00?id=20260918A09O8G00&amp;path=a&amp;app=news&amp;suid=&amp;redirect_pc=1</t>
        </is>
      </c>
      <c r="P543" s="2" t="n">
        <v>46283</v>
      </c>
      <c r="Q543" t="inlineStr">
        <is>
          <t>「2196.5萬股新H股」，2026-09-16 完成，占擴大後約 4.50%</t>
        </is>
      </c>
    </row>
    <row r="544">
      <c r="A544" t="inlineStr">
        <is>
          <t>SRC_ZP_543</t>
        </is>
      </c>
      <c r="B544" t="inlineStr">
        <is>
          <t>Z1-M</t>
        </is>
      </c>
      <c r="C544" t="inlineStr">
        <is>
          <t>F</t>
        </is>
      </c>
      <c r="D544" t="inlineStr">
        <is>
          <t>placing2_gross</t>
        </is>
      </c>
      <c r="E544" t="inlineStr">
        <is>
          <t>2026-09 配售所得款項總額</t>
        </is>
      </c>
      <c r="F544" s="2" t="n">
        <v>46281</v>
      </c>
      <c r="G544" t="n">
        <v>15683.01</v>
      </c>
      <c r="J544" t="inlineStr">
        <is>
          <t>HKD 百萬</t>
        </is>
      </c>
      <c r="K544" t="inlineStr">
        <is>
          <t>Verified</t>
        </is>
      </c>
      <c r="M544" t="inlineStr">
        <is>
          <t>公司公告</t>
        </is>
      </c>
      <c r="N544" t="inlineStr">
        <is>
          <t>智譜 2026-09-13 公告</t>
        </is>
      </c>
      <c r="O544" t="inlineStr">
        <is>
          <t>https://www1.hkexnews.hk/listedco/listconews/sehk/2026/0913/2026091300026_c.pdf</t>
        </is>
      </c>
      <c r="P544" s="2" t="n">
        <v>46278</v>
      </c>
      <c r="Q544" t="inlineStr">
        <is>
          <t>總額約 15,683.01 百萬港元；714×21,965,000 吻合</t>
        </is>
      </c>
    </row>
    <row r="545">
      <c r="A545" t="inlineStr">
        <is>
          <t>SRC_ZP_544</t>
        </is>
      </c>
      <c r="B545" t="inlineStr">
        <is>
          <t>Z1-M</t>
        </is>
      </c>
      <c r="C545" t="inlineStr">
        <is>
          <t>F</t>
        </is>
      </c>
      <c r="D545" t="inlineStr">
        <is>
          <t>placing2_net</t>
        </is>
      </c>
      <c r="E545" t="inlineStr">
        <is>
          <t>2026-09 配售所得款項淨額</t>
        </is>
      </c>
      <c r="F545" s="2" t="n">
        <v>46281</v>
      </c>
      <c r="G545" t="n">
        <v>15664.13</v>
      </c>
      <c r="J545" t="inlineStr">
        <is>
          <t>HKD 百萬</t>
        </is>
      </c>
      <c r="K545" t="inlineStr">
        <is>
          <t>Verified</t>
        </is>
      </c>
      <c r="M545" t="inlineStr">
        <is>
          <t>公司公告</t>
        </is>
      </c>
      <c r="N545" t="inlineStr">
        <is>
          <t>智譜 2026-09-13 公告</t>
        </is>
      </c>
      <c r="O545" t="inlineStr">
        <is>
          <t>https://www1.hkexnews.hk/listedco/listconews/sehk/2026/0913/2026091300026_c.pdf</t>
        </is>
      </c>
      <c r="P545" s="2" t="n">
        <v>46278</v>
      </c>
      <c r="Q545" t="inlineStr">
        <is>
          <t>淨額約 15,664.13 百萬港元；完成公告「約156.64億港元」一致</t>
        </is>
      </c>
    </row>
    <row r="546">
      <c r="A546" t="inlineStr">
        <is>
          <t>SRC_ZP_545</t>
        </is>
      </c>
      <c r="B546" t="inlineStr">
        <is>
          <t>Z1-M</t>
        </is>
      </c>
      <c r="C546" t="inlineStr">
        <is>
          <t>F</t>
        </is>
      </c>
      <c r="D546" t="inlineStr">
        <is>
          <t>cb_principal</t>
        </is>
      </c>
      <c r="E546" t="inlineStr">
        <is>
          <t>2027 年到期美元結算零息可換股債券本金</t>
        </is>
      </c>
      <c r="F546" t="inlineStr">
        <is>
          <t>2026-09-18 發行</t>
        </is>
      </c>
      <c r="G546" t="n">
        <v>201.4</v>
      </c>
      <c r="J546" t="inlineStr">
        <is>
          <t>RMB 億</t>
        </is>
      </c>
      <c r="K546" t="inlineStr">
        <is>
          <t>Verified</t>
        </is>
      </c>
      <c r="M546" t="inlineStr">
        <is>
          <t>公司公告</t>
        </is>
      </c>
      <c r="N546" t="inlineStr">
        <is>
          <t>智譜 2026-09-13 公告</t>
        </is>
      </c>
      <c r="O546" t="inlineStr">
        <is>
          <t>https://www1.hkexnews.hk/listedco/listconews/sehk/2026/0913/2026091300026_c.pdf</t>
        </is>
      </c>
      <c r="P546" s="2" t="n">
        <v>46278</v>
      </c>
      <c r="Q546" t="inlineStr">
        <is>
          <t>「本金總額為人民幣201.4億元的債券」；人民幣計價、美元結算；發行價 100.5%</t>
        </is>
      </c>
    </row>
    <row r="547">
      <c r="A547" t="inlineStr">
        <is>
          <t>SRC_ZP_546</t>
        </is>
      </c>
      <c r="B547" t="inlineStr">
        <is>
          <t>Z1-M</t>
        </is>
      </c>
      <c r="C547" t="inlineStr">
        <is>
          <t>F</t>
        </is>
      </c>
      <c r="D547" t="inlineStr">
        <is>
          <t>cb_gross_usd</t>
        </is>
      </c>
      <c r="E547" t="inlineStr">
        <is>
          <t>可換股債券所得款項總額</t>
        </is>
      </c>
      <c r="F547" s="2" t="n">
        <v>46283</v>
      </c>
      <c r="G547" t="n">
        <v>3015.64</v>
      </c>
      <c r="J547" t="inlineStr">
        <is>
          <t>USD 百萬</t>
        </is>
      </c>
      <c r="K547" t="inlineStr">
        <is>
          <t>Verified</t>
        </is>
      </c>
      <c r="M547" t="inlineStr">
        <is>
          <t>公司公告</t>
        </is>
      </c>
      <c r="N547" t="inlineStr">
        <is>
          <t>智譜 2026-09-13 公告</t>
        </is>
      </c>
      <c r="O547" t="inlineStr">
        <is>
          <t>https://www1.hkexnews.hk/listedco/listconews/sehk/2026/0913/2026091300026_c.pdf</t>
        </is>
      </c>
      <c r="P547" s="2" t="n">
        <v>46278</v>
      </c>
      <c r="Q547" t="inlineStr">
        <is>
          <t>約 3,015.64 百萬美元（約 23,648.44 百萬港元）</t>
        </is>
      </c>
    </row>
    <row r="548">
      <c r="A548" t="inlineStr">
        <is>
          <t>SRC_ZP_547</t>
        </is>
      </c>
      <c r="B548" t="inlineStr">
        <is>
          <t>Z1-M</t>
        </is>
      </c>
      <c r="C548" t="inlineStr">
        <is>
          <t>F</t>
        </is>
      </c>
      <c r="D548" t="inlineStr">
        <is>
          <t>cb_net_usd</t>
        </is>
      </c>
      <c r="E548" t="inlineStr">
        <is>
          <t>可換股債券所得款項淨額</t>
        </is>
      </c>
      <c r="F548" s="2" t="n">
        <v>46283</v>
      </c>
      <c r="G548" t="n">
        <v>3010.77</v>
      </c>
      <c r="J548" t="inlineStr">
        <is>
          <t>USD 百萬</t>
        </is>
      </c>
      <c r="K548" t="inlineStr">
        <is>
          <t>Verified</t>
        </is>
      </c>
      <c r="M548" t="inlineStr">
        <is>
          <t>公司公告</t>
        </is>
      </c>
      <c r="N548" t="inlineStr">
        <is>
          <t>智譜 2026-09-13 公告</t>
        </is>
      </c>
      <c r="O548" t="inlineStr">
        <is>
          <t>https://www1.hkexnews.hk/listedco/listconews/sehk/2026/0913/2026091300026_c.pdf</t>
        </is>
      </c>
      <c r="P548" s="2" t="n">
        <v>46278</v>
      </c>
      <c r="Q548" t="inlineStr">
        <is>
          <t>約 3,010.77 百萬美元（約 23,610.24 百萬港元）</t>
        </is>
      </c>
    </row>
    <row r="549">
      <c r="A549" t="inlineStr">
        <is>
          <t>SRC_ZP_548</t>
        </is>
      </c>
      <c r="B549" t="inlineStr">
        <is>
          <t>Z1-M</t>
        </is>
      </c>
      <c r="C549" t="inlineStr">
        <is>
          <t>F</t>
        </is>
      </c>
      <c r="D549" t="inlineStr">
        <is>
          <t>cb_conv_price</t>
        </is>
      </c>
      <c r="E549" t="inlineStr">
        <is>
          <t>可換股債券初始換股價</t>
        </is>
      </c>
      <c r="F549" s="2" t="n">
        <v>46277</v>
      </c>
      <c r="G549" t="n">
        <v>892.5</v>
      </c>
      <c r="J549" t="inlineStr">
        <is>
          <t>HKD／股</t>
        </is>
      </c>
      <c r="K549" t="inlineStr">
        <is>
          <t>Verified</t>
        </is>
      </c>
      <c r="M549" t="inlineStr">
        <is>
          <t>公司公告</t>
        </is>
      </c>
      <c r="N549" t="inlineStr">
        <is>
          <t>智譜 2026-09-13 公告</t>
        </is>
      </c>
      <c r="O549" t="inlineStr">
        <is>
          <t>https://www1.hkexnews.hk/listedco/listconews/sehk/2026/0913/2026091300026_c.pdf</t>
        </is>
      </c>
      <c r="P549" s="2" t="n">
        <v>46278</v>
      </c>
      <c r="Q549" t="inlineStr">
        <is>
          <t>較 793 溢價 12.55%；換股期自 2027-07-01；到期 2027-09-16；票息 0</t>
        </is>
      </c>
    </row>
    <row r="550">
      <c r="A550" t="inlineStr">
        <is>
          <t>SRC_ZP_549</t>
        </is>
      </c>
      <c r="B550" t="inlineStr">
        <is>
          <t>Z1-M</t>
        </is>
      </c>
      <c r="C550" t="inlineStr">
        <is>
          <t>F</t>
        </is>
      </c>
      <c r="D550" t="inlineStr">
        <is>
          <t>cb_conv_shares</t>
        </is>
      </c>
      <c r="E550" t="inlineStr">
        <is>
          <t>可換股債券初始換股股數</t>
        </is>
      </c>
      <c r="F550" t="inlineStr">
        <is>
          <t>2026-09</t>
        </is>
      </c>
      <c r="G550" t="n">
        <v>26365026</v>
      </c>
      <c r="J550" t="inlineStr">
        <is>
          <t>股</t>
        </is>
      </c>
      <c r="K550" t="inlineStr">
        <is>
          <t>Verified</t>
        </is>
      </c>
      <c r="M550" t="inlineStr">
        <is>
          <t>公司公告</t>
        </is>
      </c>
      <c r="N550" t="inlineStr">
        <is>
          <t>智譜 2026-09-13 公告</t>
        </is>
      </c>
      <c r="O550" t="inlineStr">
        <is>
          <t>https://www1.hkexnews.hk/listedco/listconews/sehk/2026/0913/2026091300026_c.pdf</t>
        </is>
      </c>
      <c r="P550" s="2" t="n">
        <v>46278</v>
      </c>
      <c r="Q550" t="inlineStr">
        <is>
          <t>約占配售及轉換後 5.36%；全面攤薄總股數 513,953,116</t>
        </is>
      </c>
    </row>
    <row r="551">
      <c r="A551" t="inlineStr">
        <is>
          <t>SRC_ZP_550</t>
        </is>
      </c>
      <c r="B551" t="inlineStr">
        <is>
          <t>Z1-M</t>
        </is>
      </c>
      <c r="C551" t="inlineStr">
        <is>
          <t>F</t>
        </is>
      </c>
      <c r="D551" t="inlineStr">
        <is>
          <t>placing2_cb_use_rd</t>
        </is>
      </c>
      <c r="E551" t="inlineStr">
        <is>
          <t>2026-09 配售＋可轉債用途：GLM 研發、訓練推論、算力基建、人才</t>
        </is>
      </c>
      <c r="F551" t="inlineStr">
        <is>
          <t>2026-09</t>
        </is>
      </c>
      <c r="G551" t="n">
        <v>60</v>
      </c>
      <c r="J551" t="inlineStr">
        <is>
          <t>%</t>
        </is>
      </c>
      <c r="K551" t="inlineStr">
        <is>
          <t>Verified</t>
        </is>
      </c>
      <c r="M551" t="inlineStr">
        <is>
          <t>公司公告</t>
        </is>
      </c>
      <c r="N551" t="inlineStr">
        <is>
          <t>智譜 2026-09-13 公告</t>
        </is>
      </c>
      <c r="O551" t="inlineStr">
        <is>
          <t>https://www1.hkexnews.hk/listedco/listconews/sehk/2026/0913/2026091300026_c.pdf</t>
        </is>
      </c>
      <c r="P551" s="2" t="n">
        <v>46278</v>
      </c>
      <c r="Q551" t="inlineStr">
        <is>
          <t>60% 研發與算力、15% 擴張／戰投／併購、25% 資本結構與營運資金；2028-06-30 前用畢</t>
        </is>
      </c>
    </row>
    <row r="552">
      <c r="A552" t="inlineStr">
        <is>
          <t>SRC_ZP_551</t>
        </is>
      </c>
      <c r="B552" t="inlineStr">
        <is>
          <t>Z1-M</t>
        </is>
      </c>
      <c r="C552" t="inlineStr">
        <is>
          <t>F</t>
        </is>
      </c>
      <c r="D552" t="inlineStr">
        <is>
          <t>placing2_cb_total_hkd</t>
        </is>
      </c>
      <c r="E552" t="inlineStr">
        <is>
          <t>2026-09 配售＋可轉債合計集資</t>
        </is>
      </c>
      <c r="F552" t="inlineStr">
        <is>
          <t>2026-09</t>
        </is>
      </c>
      <c r="G552" t="n">
        <v>393.31</v>
      </c>
      <c r="J552" t="inlineStr">
        <is>
          <t>HKD 億</t>
        </is>
      </c>
      <c r="K552" t="inlineStr">
        <is>
          <t>Derived</t>
        </is>
      </c>
      <c r="M552" t="inlineStr">
        <is>
          <t>媒體加總（總額口徑）</t>
        </is>
      </c>
      <c r="N552" t="inlineStr">
        <is>
          <t>香港01</t>
        </is>
      </c>
      <c r="O552" t="inlineStr">
        <is>
          <t>https://global.hk01.com/财经快讯/60389638/7月解禁抽水逾310亿后-智谱火速再配股兼发债-合共筹393亿</t>
        </is>
      </c>
      <c r="P552" s="2" t="n">
        <v>46279</v>
      </c>
      <c r="Q552" t="inlineStr">
        <is>
          <t>「約393.31億港元」＝156.83＋236.48；公司電話會稱「約50億美元」</t>
        </is>
      </c>
    </row>
    <row r="553">
      <c r="A553" t="inlineStr">
        <is>
          <t>SRC_ZP_552</t>
        </is>
      </c>
      <c r="B553" t="inlineStr">
        <is>
          <t>Z1-M</t>
        </is>
      </c>
      <c r="C553" t="inlineStr">
        <is>
          <t>F</t>
        </is>
      </c>
      <c r="D553" t="inlineStr">
        <is>
          <t>bank_loans_1h26_cm</t>
        </is>
      </c>
      <c r="E553" t="inlineStr">
        <is>
          <t>銀行貸款總額</t>
        </is>
      </c>
      <c r="F553" s="2" t="n">
        <v>46203</v>
      </c>
      <c r="G553" t="n">
        <v>2224.8</v>
      </c>
      <c r="J553" t="inlineStr">
        <is>
          <t>RMB 百萬</t>
        </is>
      </c>
      <c r="K553" t="inlineStr">
        <is>
          <t>Verified</t>
        </is>
      </c>
      <c r="M553" t="inlineStr">
        <is>
          <t>未經審計（已審閱）</t>
        </is>
      </c>
      <c r="N553" t="inlineStr">
        <is>
          <t>智譜 2026 中期業績公告</t>
        </is>
      </c>
      <c r="O553" t="inlineStr">
        <is>
          <t>https://www.hkexnews.hk/listedco/listconews/sehk/2026/0831/2026083101540_c.pdf</t>
        </is>
      </c>
      <c r="P553" s="2" t="n">
        <v>46265</v>
      </c>
      <c r="Q553" t="inlineStr">
        <is>
          <t>「銀行貸款總額為人民幣2,224.8百萬元」；帶息、主要人民幣、無擔保</t>
        </is>
      </c>
    </row>
    <row r="554">
      <c r="A554" t="inlineStr">
        <is>
          <t>SRC_ZP_553</t>
        </is>
      </c>
      <c r="B554" t="inlineStr">
        <is>
          <t>Z1-M</t>
        </is>
      </c>
      <c r="C554" t="inlineStr">
        <is>
          <t>F</t>
        </is>
      </c>
      <c r="D554" t="inlineStr">
        <is>
          <t>bank_loans_fy25_cm</t>
        </is>
      </c>
      <c r="E554" t="inlineStr">
        <is>
          <t>銀行貸款總額</t>
        </is>
      </c>
      <c r="F554" s="2" t="n">
        <v>46022</v>
      </c>
      <c r="G554" t="n">
        <v>689.5</v>
      </c>
      <c r="J554" t="inlineStr">
        <is>
          <t>RMB 百萬</t>
        </is>
      </c>
      <c r="K554" t="inlineStr">
        <is>
          <t>Verified</t>
        </is>
      </c>
      <c r="M554" t="inlineStr">
        <is>
          <t>經審計（比較數）</t>
        </is>
      </c>
      <c r="N554" t="inlineStr">
        <is>
          <t>智譜 2026 中期業績公告</t>
        </is>
      </c>
      <c r="O554" t="inlineStr">
        <is>
          <t>https://www.hkexnews.hk/listedco/listconews/sehk/2026/0831/2026083101540_c.pdf</t>
        </is>
      </c>
      <c r="P554" s="2" t="n">
        <v>46265</v>
      </c>
      <c r="Q554" t="inlineStr">
        <is>
          <t>2025-12-31 為人民幣 689.5 百萬元</t>
        </is>
      </c>
    </row>
    <row r="555">
      <c r="A555" t="inlineStr">
        <is>
          <t>SRC_ZP_554</t>
        </is>
      </c>
      <c r="B555" t="inlineStr">
        <is>
          <t>Z1-M</t>
        </is>
      </c>
      <c r="C555" t="inlineStr">
        <is>
          <t>F</t>
        </is>
      </c>
      <c r="D555" t="inlineStr">
        <is>
          <t>gearing_1h26</t>
        </is>
      </c>
      <c r="E555" t="inlineStr">
        <is>
          <t>資本負債比率（銀行貸款＋租賃負債）÷權益</t>
        </is>
      </c>
      <c r="F555" s="2" t="n">
        <v>46203</v>
      </c>
      <c r="G555" t="n">
        <v>58.8</v>
      </c>
      <c r="J555" t="inlineStr">
        <is>
          <t>%</t>
        </is>
      </c>
      <c r="K555" t="inlineStr">
        <is>
          <t>Verified</t>
        </is>
      </c>
      <c r="M555" t="inlineStr">
        <is>
          <t>未經審計（已審閱）</t>
        </is>
      </c>
      <c r="N555" t="inlineStr">
        <is>
          <t>智譜 2026 中期業績公告</t>
        </is>
      </c>
      <c r="O555" t="inlineStr">
        <is>
          <t>https://www.hkexnews.hk/listedco/listconews/sehk/2026/0831/2026083101540_c.pdf</t>
        </is>
      </c>
      <c r="P555" s="2" t="n">
        <v>46265</v>
      </c>
      <c r="Q555" t="inlineStr">
        <is>
          <t>權益 2026-06-30 人民幣 4,429.6 百萬元（2025 年末 -8,111.0）</t>
        </is>
      </c>
    </row>
    <row r="556">
      <c r="A556" t="inlineStr">
        <is>
          <t>SRC_ZP_555</t>
        </is>
      </c>
      <c r="B556" t="inlineStr">
        <is>
          <t>Z1-M</t>
        </is>
      </c>
      <c r="C556" t="inlineStr">
        <is>
          <t>F</t>
        </is>
      </c>
      <c r="D556" t="inlineStr">
        <is>
          <t>ma_hongzuan_consideration</t>
        </is>
      </c>
      <c r="E556" t="inlineStr">
        <is>
          <t>收購北京紅鑽 100% 總代價（上限）</t>
        </is>
      </c>
      <c r="F556" s="2" t="n">
        <v>46126</v>
      </c>
      <c r="G556" t="n">
        <v>360.52</v>
      </c>
      <c r="J556" t="inlineStr">
        <is>
          <t>RMB 百萬</t>
        </is>
      </c>
      <c r="K556" t="inlineStr">
        <is>
          <t>Verified</t>
        </is>
      </c>
      <c r="M556" t="inlineStr">
        <is>
          <t>公司公告</t>
        </is>
      </c>
      <c r="N556" t="inlineStr">
        <is>
          <t>智譜 2026 中期業績公告；投資界</t>
        </is>
      </c>
      <c r="O556" t="inlineStr">
        <is>
          <t>https://www.hkexnews.hk/listedco/listconews/sehk/2026/0831/2026083101540_c.pdf</t>
        </is>
      </c>
      <c r="P556" s="2" t="n">
        <v>46265</v>
      </c>
      <c r="Q556" t="inlineStr">
        <is>
          <t>「以不超過人民幣360.52百萬元的總代價收購北京紅鑽的100%股權」；現金</t>
        </is>
      </c>
    </row>
    <row r="557">
      <c r="A557" t="inlineStr">
        <is>
          <t>SRC_ZP_556</t>
        </is>
      </c>
      <c r="B557" t="inlineStr">
        <is>
          <t>Z1-M</t>
        </is>
      </c>
      <c r="C557" t="inlineStr">
        <is>
          <t>F</t>
        </is>
      </c>
      <c r="D557" t="inlineStr">
        <is>
          <t>ma_hongzuan_equity_cash</t>
        </is>
      </c>
      <c r="E557" t="inlineStr">
        <is>
          <t>北京紅鑽：股權現金對價（另承接債務約 2.789 億元）</t>
        </is>
      </c>
      <c r="F557" s="2" t="n">
        <v>46126</v>
      </c>
      <c r="G557" t="n">
        <v>81.62</v>
      </c>
      <c r="J557" t="inlineStr">
        <is>
          <t>RMB 百萬</t>
        </is>
      </c>
      <c r="K557" t="inlineStr">
        <is>
          <t>Verified</t>
        </is>
      </c>
      <c r="M557" t="inlineStr">
        <is>
          <t>媒體轉述公告</t>
        </is>
      </c>
      <c r="N557" t="inlineStr">
        <is>
          <t>投資界</t>
        </is>
      </c>
      <c r="O557" t="inlineStr">
        <is>
          <t>https://news.pedaily.cn/202604/562789.shtml</t>
        </is>
      </c>
      <c r="P557" s="2" t="n">
        <v>46126</v>
      </c>
      <c r="Q557" t="inlineStr">
        <is>
          <t>股權 8,162 萬元＋債務安排約 2.789 億元；標的為海淀鑽石大廈（約 2.27 萬平方米），自用辦公</t>
        </is>
      </c>
    </row>
    <row r="558">
      <c r="A558" t="inlineStr">
        <is>
          <t>SRC_ZP_557</t>
        </is>
      </c>
      <c r="B558" t="inlineStr">
        <is>
          <t>Z1-M</t>
        </is>
      </c>
      <c r="C558" t="inlineStr">
        <is>
          <t>F</t>
        </is>
      </c>
      <c r="D558" t="inlineStr">
        <is>
          <t>capex_1h26_hongzuan</t>
        </is>
      </c>
      <c r="E558" t="inlineStr">
        <is>
          <t>資本支出（含紅鑽物業）</t>
        </is>
      </c>
      <c r="F558" t="inlineStr">
        <is>
          <t>1H2026</t>
        </is>
      </c>
      <c r="G558" t="n">
        <v>390.6</v>
      </c>
      <c r="J558" t="inlineStr">
        <is>
          <t>RMB 百萬</t>
        </is>
      </c>
      <c r="K558" t="inlineStr">
        <is>
          <t>Verified</t>
        </is>
      </c>
      <c r="M558" t="inlineStr">
        <is>
          <t>未經審計（已審閱）</t>
        </is>
      </c>
      <c r="N558" t="inlineStr">
        <is>
          <t>智譜 2026 中期業績公告</t>
        </is>
      </c>
      <c r="O558" t="inlineStr">
        <is>
          <t>https://www.hkexnews.hk/listedco/listconews/sehk/2026/0831/2026083101540_c.pdf</t>
        </is>
      </c>
      <c r="P558" s="2" t="n">
        <v>46265</v>
      </c>
      <c r="Q558" t="inlineStr">
        <is>
          <t>1H25 53.7→1H26 390.6 百萬元，「主要由於…收購北京紅鑽」；即 D11 的 3.91 億主要非算力</t>
        </is>
      </c>
    </row>
    <row r="559">
      <c r="A559" t="inlineStr">
        <is>
          <t>SRC_ZP_558</t>
        </is>
      </c>
      <c r="B559" t="inlineStr">
        <is>
          <t>Z1-M</t>
        </is>
      </c>
      <c r="C559" t="inlineStr">
        <is>
          <t>F</t>
        </is>
      </c>
      <c r="D559" t="inlineStr">
        <is>
          <t>ma_zkjh_stake</t>
        </is>
      </c>
      <c r="E559" t="inlineStr">
        <is>
          <t>收購中科加禾持股比例</t>
        </is>
      </c>
      <c r="F559" s="2" t="n">
        <v>46224</v>
      </c>
      <c r="G559" t="n">
        <v>60</v>
      </c>
      <c r="J559" t="inlineStr">
        <is>
          <t>%</t>
        </is>
      </c>
      <c r="K559" t="inlineStr">
        <is>
          <t>Interested-party</t>
        </is>
      </c>
      <c r="L559" t="inlineStr">
        <is>
          <t>媒體引工商登記（非公司公告）</t>
        </is>
      </c>
      <c r="M559" t="inlineStr">
        <is>
          <t>工商登記</t>
        </is>
      </c>
      <c r="N559" t="inlineStr">
        <is>
          <t>投資界（引企查查）</t>
        </is>
      </c>
      <c r="O559" t="inlineStr">
        <is>
          <t>https://news.pedaily.cn/202607/566757.shtml</t>
        </is>
      </c>
      <c r="P559" s="2" t="n">
        <v>46226</v>
      </c>
      <c r="Q559" t="inlineStr">
        <is>
          <t>「持股約60%」；創始人崔慧敏降至 11%；交易金額「未獲得披露」</t>
        </is>
      </c>
    </row>
    <row r="560">
      <c r="A560" t="inlineStr">
        <is>
          <t>SRC_ZP_559</t>
        </is>
      </c>
      <c r="B560" t="inlineStr">
        <is>
          <t>Z1-M</t>
        </is>
      </c>
      <c r="C560" t="inlineStr">
        <is>
          <t>F</t>
        </is>
      </c>
      <c r="D560" t="inlineStr">
        <is>
          <t>ma_zkjh_consideration</t>
        </is>
      </c>
      <c r="E560" t="inlineStr">
        <is>
          <t>收購中科加禾對價</t>
        </is>
      </c>
      <c r="F560" s="2" t="n">
        <v>46224</v>
      </c>
      <c r="J560" t="inlineStr">
        <is>
          <t>RMB</t>
        </is>
      </c>
      <c r="K560" t="inlineStr">
        <is>
          <t>Interested-party</t>
        </is>
      </c>
      <c r="L560" t="inlineStr">
        <is>
          <t>媒體報導</t>
        </is>
      </c>
      <c r="M560" t="inlineStr">
        <is>
          <t>媒體</t>
        </is>
      </c>
      <c r="N560" t="inlineStr">
        <is>
          <t>21世紀經濟報道</t>
        </is>
      </c>
      <c r="O560" t="inlineStr">
        <is>
          <t>https://www.sfccn.com/2026/7-21/2OMDE1MjBfMjE4NjM2OQ.html</t>
        </is>
      </c>
      <c r="P560" s="2" t="n">
        <v>46224</v>
      </c>
      <c r="Q560" t="inlineStr">
        <is>
          <t>只稱「數億元人民幣」；2.92 億未核得（見 not_found）；標的為異構算力軟體棧／編譯</t>
        </is>
      </c>
    </row>
    <row r="561">
      <c r="A561" t="inlineStr">
        <is>
          <t>SRC_ZP_560</t>
        </is>
      </c>
      <c r="B561" t="inlineStr">
        <is>
          <t>Z1-M</t>
        </is>
      </c>
      <c r="C561" t="inlineStr">
        <is>
          <t>F</t>
        </is>
      </c>
      <c r="D561" t="inlineStr">
        <is>
          <t>shares_total_0630</t>
        </is>
      </c>
      <c r="E561" t="inlineStr">
        <is>
          <t>已發行股份總數</t>
        </is>
      </c>
      <c r="F561" s="2" t="n">
        <v>46203</v>
      </c>
      <c r="G561" t="n">
        <v>445843090</v>
      </c>
      <c r="J561" t="inlineStr">
        <is>
          <t>股</t>
        </is>
      </c>
      <c r="K561" t="inlineStr">
        <is>
          <t>Verified</t>
        </is>
      </c>
      <c r="M561" t="inlineStr">
        <is>
          <t>公司公告（東方財富鏡像）</t>
        </is>
      </c>
      <c r="N561" t="inlineStr">
        <is>
          <t>智譜 FF301 月報表（2026-06）</t>
        </is>
      </c>
      <c r="O561" t="inlineStr">
        <is>
          <t>https://pdf.dfcfw.com/pdf/H2_AN202607071826772191_1.pdf</t>
        </is>
      </c>
      <c r="P561" s="2" t="n">
        <v>46210</v>
      </c>
      <c r="Q561" t="inlineStr">
        <is>
          <t>H 股 221,314,605＋非上市股份 224,528,485；面值 RMB 0.1</t>
        </is>
      </c>
    </row>
    <row r="562">
      <c r="A562" t="inlineStr">
        <is>
          <t>SRC_ZP_561</t>
        </is>
      </c>
      <c r="B562" t="inlineStr">
        <is>
          <t>Z1-M</t>
        </is>
      </c>
      <c r="C562" t="inlineStr">
        <is>
          <t>F</t>
        </is>
      </c>
      <c r="D562" t="inlineStr">
        <is>
          <t>shares_h_0630</t>
        </is>
      </c>
      <c r="E562" t="inlineStr">
        <is>
          <t>H 股數</t>
        </is>
      </c>
      <c r="F562" s="2" t="n">
        <v>46203</v>
      </c>
      <c r="G562" t="n">
        <v>221314605</v>
      </c>
      <c r="J562" t="inlineStr">
        <is>
          <t>股</t>
        </is>
      </c>
      <c r="K562" t="inlineStr">
        <is>
          <t>Verified</t>
        </is>
      </c>
      <c r="M562" t="inlineStr">
        <is>
          <t>公司公告</t>
        </is>
      </c>
      <c r="N562" t="inlineStr">
        <is>
          <t>智譜 FF301 月報表（2026-06）</t>
        </is>
      </c>
      <c r="O562" t="inlineStr">
        <is>
          <t>https://pdf.dfcfw.com/pdf/H2_AN202607071826772191_1.pdf</t>
        </is>
      </c>
      <c r="P562" s="2" t="n">
        <v>46210</v>
      </c>
      <c r="Q562" t="inlineStr">
        <is>
          <t>含 IPO 新股 43,032,400 與全流通轉換股（推算 178,282,205，Derived）</t>
        </is>
      </c>
    </row>
    <row r="563">
      <c r="A563" t="inlineStr">
        <is>
          <t>SRC_ZP_562</t>
        </is>
      </c>
      <c r="B563" t="inlineStr">
        <is>
          <t>Z1-M</t>
        </is>
      </c>
      <c r="C563" t="inlineStr">
        <is>
          <t>F</t>
        </is>
      </c>
      <c r="D563" t="inlineStr">
        <is>
          <t>shares_unlisted</t>
        </is>
      </c>
      <c r="E563" t="inlineStr">
        <is>
          <t>非上市股份數</t>
        </is>
      </c>
      <c r="F563" s="2" t="n">
        <v>46278</v>
      </c>
      <c r="G563" t="n">
        <v>224528485</v>
      </c>
      <c r="J563" t="inlineStr">
        <is>
          <t>股</t>
        </is>
      </c>
      <c r="K563" t="inlineStr">
        <is>
          <t>Verified</t>
        </is>
      </c>
      <c r="M563" t="inlineStr">
        <is>
          <t>公司公告</t>
        </is>
      </c>
      <c r="N563" t="inlineStr">
        <is>
          <t>智譜 2026-09-13 公告</t>
        </is>
      </c>
      <c r="O563" t="inlineStr">
        <is>
          <t>https://www1.hkexnews.hk/listedco/listconews/sehk/2026/0913/2026091300026_c.pdf</t>
        </is>
      </c>
      <c r="P563" s="2" t="n">
        <v>46278</v>
      </c>
      <c r="Q563" t="inlineStr">
        <is>
          <t>占 465,623,090 股的 48.22%</t>
        </is>
      </c>
    </row>
    <row r="564">
      <c r="A564" t="inlineStr">
        <is>
          <t>SRC_ZP_563</t>
        </is>
      </c>
      <c r="B564" t="inlineStr">
        <is>
          <t>Z1-M</t>
        </is>
      </c>
      <c r="C564" t="inlineStr">
        <is>
          <t>F</t>
        </is>
      </c>
      <c r="D564" t="inlineStr">
        <is>
          <t>shares_total_post_placing2</t>
        </is>
      </c>
      <c r="E564" t="inlineStr">
        <is>
          <t>2026-09 配售完成後已發行股份總數</t>
        </is>
      </c>
      <c r="F564" s="2" t="n">
        <v>46281</v>
      </c>
      <c r="G564" t="n">
        <v>487588090</v>
      </c>
      <c r="J564" t="inlineStr">
        <is>
          <t>股</t>
        </is>
      </c>
      <c r="K564" t="inlineStr">
        <is>
          <t>Verified</t>
        </is>
      </c>
      <c r="M564" t="inlineStr">
        <is>
          <t>公司公告</t>
        </is>
      </c>
      <c r="N564" t="inlineStr">
        <is>
          <t>智譜 2026-09-13 公告（股權架構表「緊隨配售完成後」）</t>
        </is>
      </c>
      <c r="O564" t="inlineStr">
        <is>
          <t>https://www1.hkexnews.hk/listedco/listconews/sehk/2026/0913/2026091300026_c.pdf</t>
        </is>
      </c>
      <c r="P564" s="2" t="n">
        <v>46278</v>
      </c>
      <c r="Q564" t="inlineStr">
        <is>
          <t>H 股 263,059,605（Derived）＋非上市 224,528,485；全面攤薄（含可轉債）513,953,116</t>
        </is>
      </c>
    </row>
    <row r="565">
      <c r="A565" t="inlineStr">
        <is>
          <t>SRC_ZP_564</t>
        </is>
      </c>
      <c r="B565" t="inlineStr">
        <is>
          <t>Z1-M</t>
        </is>
      </c>
      <c r="C565" t="inlineStr">
        <is>
          <t>F</t>
        </is>
      </c>
      <c r="D565" t="inlineStr">
        <is>
          <t>holder_founder_group_pct</t>
        </is>
      </c>
      <c r="E565" t="inlineStr">
        <is>
          <t>最大股東集團（北京鏈湃、劉德兵、唐杰等）持股</t>
        </is>
      </c>
      <c r="F565" s="2" t="n">
        <v>46278</v>
      </c>
      <c r="G565" t="n">
        <v>28.57</v>
      </c>
      <c r="J565" t="inlineStr">
        <is>
          <t>%</t>
        </is>
      </c>
      <c r="K565" t="inlineStr">
        <is>
          <t>Verified</t>
        </is>
      </c>
      <c r="M565" t="inlineStr">
        <is>
          <t>公司公告</t>
        </is>
      </c>
      <c r="N565" t="inlineStr">
        <is>
          <t>智譜 2026-09-13 公告</t>
        </is>
      </c>
      <c r="O565" t="inlineStr">
        <is>
          <t>https://www1.hkexnews.hk/listedco/listconews/sehk/2026/0913/2026091300026_c.pdf</t>
        </is>
      </c>
      <c r="P565" s="2" t="n">
        <v>46278</v>
      </c>
      <c r="Q565" t="inlineStr">
        <is>
          <t>非上市 123,042,373（26.43%）＋H 股 10,001,857（2.15%）；配售後 27.28%</t>
        </is>
      </c>
    </row>
    <row r="566">
      <c r="A566" t="inlineStr">
        <is>
          <t>SRC_ZP_565</t>
        </is>
      </c>
      <c r="B566" t="inlineStr">
        <is>
          <t>Z1-M</t>
        </is>
      </c>
      <c r="C566" t="inlineStr">
        <is>
          <t>F</t>
        </is>
      </c>
      <c r="D566" t="inlineStr">
        <is>
          <t>holder_founder_group_preipo</t>
        </is>
      </c>
      <c r="E566" t="inlineStr">
        <is>
          <t>控股股東一致行動集團持股（上市前）</t>
        </is>
      </c>
      <c r="F566" t="inlineStr">
        <is>
          <t>2025-12</t>
        </is>
      </c>
      <c r="G566" t="n">
        <v>33.03</v>
      </c>
      <c r="J566" t="inlineStr">
        <is>
          <t>%</t>
        </is>
      </c>
      <c r="K566" t="inlineStr">
        <is>
          <t>Verified</t>
        </is>
      </c>
      <c r="M566" t="inlineStr">
        <is>
          <t>媒體轉述招股章程</t>
        </is>
      </c>
      <c r="N566" t="inlineStr">
        <is>
          <t>智東西（轉述招股章程）</t>
        </is>
      </c>
      <c r="O566" t="inlineStr">
        <is>
          <t>https://zhidx.com/p/522919.html</t>
        </is>
      </c>
      <c r="P566" t="inlineStr">
        <is>
          <t>2025-12</t>
        </is>
      </c>
      <c r="Q566" t="inlineStr">
        <is>
          <t>北京鏈湃、劉德兵、唐杰、李涓子、許斌、張海峰、慧惠、智登合計約 33.03%</t>
        </is>
      </c>
    </row>
    <row r="567">
      <c r="A567" t="inlineStr">
        <is>
          <t>SRC_ZP_566</t>
        </is>
      </c>
      <c r="B567" t="inlineStr">
        <is>
          <t>Z1-M</t>
        </is>
      </c>
      <c r="C567" t="inlineStr">
        <is>
          <t>F</t>
        </is>
      </c>
      <c r="D567" t="inlineStr">
        <is>
          <t>holder_junlian_preipo</t>
        </is>
      </c>
      <c r="E567" t="inlineStr">
        <is>
          <t>君聯資本持股（上市前）</t>
        </is>
      </c>
      <c r="F567" t="inlineStr">
        <is>
          <t>2025-12</t>
        </is>
      </c>
      <c r="G567" t="n">
        <v>6.73</v>
      </c>
      <c r="J567" t="inlineStr">
        <is>
          <t>%</t>
        </is>
      </c>
      <c r="K567" t="inlineStr">
        <is>
          <t>Verified</t>
        </is>
      </c>
      <c r="M567" t="inlineStr">
        <is>
          <t>媒體轉述招股章程</t>
        </is>
      </c>
      <c r="N567" t="inlineStr">
        <is>
          <t>財聯社</t>
        </is>
      </c>
      <c r="O567" t="inlineStr">
        <is>
          <t>https://m.cls.cn/detail/2235451</t>
        </is>
      </c>
      <c r="P567" t="inlineStr">
        <is>
          <t>2025-12</t>
        </is>
      </c>
      <c r="Q567" t="inlineStr">
        <is>
          <t>慧惠 9.8%、北京鏈湃 8.45%、智登 6.75%、君聯 6.73%、美團 4.27%、啟明 2.49%</t>
        </is>
      </c>
    </row>
    <row r="568">
      <c r="A568" t="inlineStr">
        <is>
          <t>SRC_ZP_567</t>
        </is>
      </c>
      <c r="B568" t="inlineStr">
        <is>
          <t>Z1-M</t>
        </is>
      </c>
      <c r="C568" t="inlineStr">
        <is>
          <t>F</t>
        </is>
      </c>
      <c r="D568" t="inlineStr">
        <is>
          <t>holder_meituan_preipo</t>
        </is>
      </c>
      <c r="E568" t="inlineStr">
        <is>
          <t>美團持股（上市前）</t>
        </is>
      </c>
      <c r="F568" t="inlineStr">
        <is>
          <t>2025-12</t>
        </is>
      </c>
      <c r="G568" t="n">
        <v>4.27</v>
      </c>
      <c r="J568" t="inlineStr">
        <is>
          <t>%</t>
        </is>
      </c>
      <c r="K568" t="inlineStr">
        <is>
          <t>Verified</t>
        </is>
      </c>
      <c r="M568" t="inlineStr">
        <is>
          <t>媒體轉述招股章程</t>
        </is>
      </c>
      <c r="N568" t="inlineStr">
        <is>
          <t>財聯社</t>
        </is>
      </c>
      <c r="O568" t="inlineStr">
        <is>
          <t>https://m.cls.cn/detail/2235451</t>
        </is>
      </c>
      <c r="P568" t="inlineStr">
        <is>
          <t>2025-12</t>
        </is>
      </c>
      <c r="Q568" t="inlineStr">
        <is>
          <t>美團 4.27%；阿里、騰訊、小米持股比例未取得</t>
        </is>
      </c>
    </row>
    <row r="569">
      <c r="A569" t="inlineStr">
        <is>
          <t>SRC_ZP_568</t>
        </is>
      </c>
      <c r="B569" t="inlineStr">
        <is>
          <t>Z1-M</t>
        </is>
      </c>
      <c r="C569" t="inlineStr">
        <is>
          <t>F</t>
        </is>
      </c>
      <c r="D569" t="inlineStr">
        <is>
          <t>lockup_2027_01</t>
        </is>
      </c>
      <c r="E569" t="inlineStr">
        <is>
          <t>2027-01-08 解禁（創辦人、早期投資人）占總股本</t>
        </is>
      </c>
      <c r="F569" s="2" t="n">
        <v>46395</v>
      </c>
      <c r="H569" t="n">
        <v>40</v>
      </c>
      <c r="J569" t="inlineStr">
        <is>
          <t>%</t>
        </is>
      </c>
      <c r="K569" t="inlineStr">
        <is>
          <t>Interested-party</t>
        </is>
      </c>
      <c r="L569" t="inlineStr">
        <is>
          <t>媒體估算</t>
        </is>
      </c>
      <c r="M569" t="inlineStr">
        <is>
          <t>媒體</t>
        </is>
      </c>
      <c r="N569" t="inlineStr">
        <is>
          <t>每日經濟新聞</t>
        </is>
      </c>
      <c r="O569" t="inlineStr">
        <is>
          <t>https://www.mrjjxw.com/articles/2026-06-22/4432957.html</t>
        </is>
      </c>
      <c r="P569" s="2" t="n">
        <v>46195</v>
      </c>
      <c r="Q569" t="inlineStr">
        <is>
          <t>「接近總股本40%」；2026-07-08 解禁約 2,568 萬股（基石 1,199 萬＋部分上市前股）</t>
        </is>
      </c>
    </row>
    <row r="570">
      <c r="A570" t="inlineStr">
        <is>
          <t>SRC_ZP_569</t>
        </is>
      </c>
      <c r="B570" t="inlineStr">
        <is>
          <t>Z1-M</t>
        </is>
      </c>
      <c r="C570" t="inlineStr">
        <is>
          <t>F</t>
        </is>
      </c>
      <c r="D570" t="inlineStr">
        <is>
          <t>price_20261007</t>
        </is>
      </c>
      <c r="E570" t="inlineStr">
        <is>
          <t>收盤價</t>
        </is>
      </c>
      <c r="F570" s="2" t="n">
        <v>46302</v>
      </c>
      <c r="G570" t="n">
        <v>696</v>
      </c>
      <c r="J570" t="inlineStr">
        <is>
          <t>HKD／股</t>
        </is>
      </c>
      <c r="K570" t="inlineStr">
        <is>
          <t>Verified</t>
        </is>
      </c>
      <c r="M570" t="inlineStr">
        <is>
          <t>市場數據</t>
        </is>
      </c>
      <c r="N570" t="inlineStr">
        <is>
          <t>老虎證券行情頁</t>
        </is>
      </c>
      <c r="O570" t="inlineStr">
        <is>
          <t>https://www.itiger.com/hans/stock/02513/news</t>
        </is>
      </c>
      <c r="P570" s="2" t="n">
        <v>46302</v>
      </c>
      <c r="Q570" t="inlineStr">
        <is>
          <t>696.00，跌 2.73%；前收 715.50（10-06）</t>
        </is>
      </c>
    </row>
    <row r="571">
      <c r="A571" t="inlineStr">
        <is>
          <t>SRC_ZP_570</t>
        </is>
      </c>
      <c r="B571" t="inlineStr">
        <is>
          <t>Z1-M</t>
        </is>
      </c>
      <c r="C571" t="inlineStr">
        <is>
          <t>F</t>
        </is>
      </c>
      <c r="D571" t="inlineStr">
        <is>
          <t>price_20261002</t>
        </is>
      </c>
      <c r="E571" t="inlineStr">
        <is>
          <t>收盤價（Investing 頁）</t>
        </is>
      </c>
      <c r="F571" t="inlineStr">
        <is>
          <t>2026-10-02/03</t>
        </is>
      </c>
      <c r="G571" t="n">
        <v>626.5</v>
      </c>
      <c r="J571" t="inlineStr">
        <is>
          <t>HKD／股</t>
        </is>
      </c>
      <c r="K571" t="inlineStr">
        <is>
          <t>Verified</t>
        </is>
      </c>
      <c r="M571" t="inlineStr">
        <is>
          <t>市場數據</t>
        </is>
      </c>
      <c r="N571" t="inlineStr">
        <is>
          <t>Investing.com</t>
        </is>
      </c>
      <c r="O571" t="inlineStr">
        <is>
          <t>https://www.investing.com/equities/knowledge-atlas-tech-joint-stock</t>
        </is>
      </c>
      <c r="P571" s="2" t="n">
        <v>46298</v>
      </c>
      <c r="Q571" t="inlineStr">
        <is>
          <t>頁面寫 626.50；市值 291.71B 以過時股數 465.62M 計算</t>
        </is>
      </c>
    </row>
    <row r="572">
      <c r="A572" t="inlineStr">
        <is>
          <t>SRC_ZP_571</t>
        </is>
      </c>
      <c r="B572" t="inlineStr">
        <is>
          <t>Z1-M</t>
        </is>
      </c>
      <c r="C572" t="inlineStr">
        <is>
          <t>F</t>
        </is>
      </c>
      <c r="D572" t="inlineStr">
        <is>
          <t>mktcap_20261007</t>
        </is>
      </c>
      <c r="E572" t="inlineStr">
        <is>
          <t>總市值</t>
        </is>
      </c>
      <c r="F572" s="2" t="n">
        <v>46302</v>
      </c>
      <c r="G572" t="n">
        <v>3396.48</v>
      </c>
      <c r="J572" t="inlineStr">
        <is>
          <t>HKD 億</t>
        </is>
      </c>
      <c r="K572" t="inlineStr">
        <is>
          <t>Verified</t>
        </is>
      </c>
      <c r="M572" t="inlineStr">
        <is>
          <t>市場數據</t>
        </is>
      </c>
      <c r="N572" t="inlineStr">
        <is>
          <t>老虎證券行情頁</t>
        </is>
      </c>
      <c r="O572" t="inlineStr">
        <is>
          <t>https://www.itiger.com/hans/stock/02513/news</t>
        </is>
      </c>
      <c r="P572" s="2" t="n">
        <v>46302</v>
      </c>
      <c r="Q572" t="inlineStr">
        <is>
          <t>頁面「3,396.48億」，未註幣別（港股報價，推定港幣）</t>
        </is>
      </c>
    </row>
    <row r="573">
      <c r="A573" t="inlineStr">
        <is>
          <t>SRC_ZP_572</t>
        </is>
      </c>
      <c r="B573" t="inlineStr">
        <is>
          <t>Z1-M</t>
        </is>
      </c>
      <c r="C573" t="inlineStr">
        <is>
          <t>F</t>
        </is>
      </c>
      <c r="D573" t="inlineStr">
        <is>
          <t>mktcap_20261007_b</t>
        </is>
      </c>
      <c r="E573" t="inlineStr">
        <is>
          <t>總市值（按公告股數計算）</t>
        </is>
      </c>
      <c r="F573" s="2" t="n">
        <v>46302</v>
      </c>
      <c r="G573" t="n">
        <v>3393.61</v>
      </c>
      <c r="J573" t="inlineStr">
        <is>
          <t>HKD 億</t>
        </is>
      </c>
      <c r="K573" t="inlineStr">
        <is>
          <t>Derived</t>
        </is>
      </c>
      <c r="M573" t="inlineStr">
        <is>
          <t>計算（含非上市股份，H 股＋非上市同價）</t>
        </is>
      </c>
      <c r="N573" t="inlineStr">
        <is>
          <t>Derived＝696.00×487,588,090</t>
        </is>
      </c>
      <c r="O573" t="inlineStr">
        <is>
          <t>https://www1.hkexnews.hk/listedco/listconews/sehk/2026/0913/2026091300026_c.pdf</t>
        </is>
      </c>
      <c r="P573" s="2" t="n">
        <v>46302</v>
      </c>
      <c r="Q573" t="inlineStr">
        <is>
          <t>與老虎差 2.9 億，可能老虎股數口徑不同；H 股市值＝696×263,059,605</t>
        </is>
      </c>
    </row>
    <row r="574">
      <c r="A574" t="inlineStr">
        <is>
          <t>SRC_ZP_573</t>
        </is>
      </c>
      <c r="B574" t="inlineStr">
        <is>
          <t>Z1-M</t>
        </is>
      </c>
      <c r="C574" t="inlineStr">
        <is>
          <t>F</t>
        </is>
      </c>
      <c r="D574" t="inlineStr">
        <is>
          <t>hi_52w</t>
        </is>
      </c>
      <c r="E574" t="inlineStr">
        <is>
          <t>52 週最高（盤中）</t>
        </is>
      </c>
      <c r="F574" s="2" t="n">
        <v>46195</v>
      </c>
      <c r="G574" t="n">
        <v>2980</v>
      </c>
      <c r="J574" t="inlineStr">
        <is>
          <t>HKD／股</t>
        </is>
      </c>
      <c r="K574" t="inlineStr">
        <is>
          <t>Verified</t>
        </is>
      </c>
      <c r="M574" t="inlineStr">
        <is>
          <t>市場數據</t>
        </is>
      </c>
      <c r="N574" t="inlineStr">
        <is>
          <t>老虎證券行情頁；每日經濟新聞</t>
        </is>
      </c>
      <c r="O574" t="inlineStr">
        <is>
          <t>https://www.mrjjxw.com/articles/2026-06-22/4432957.html</t>
        </is>
      </c>
      <c r="P574" s="2" t="n">
        <v>46195</v>
      </c>
      <c r="Q574" t="inlineStr">
        <is>
          <t>6-22 盤中 2,980，市值約 1.3 萬億港元；6-11 低點 1,061</t>
        </is>
      </c>
    </row>
    <row r="575">
      <c r="A575" t="inlineStr">
        <is>
          <t>SRC_ZP_574</t>
        </is>
      </c>
      <c r="B575" t="inlineStr">
        <is>
          <t>Z1-M</t>
        </is>
      </c>
      <c r="C575" t="inlineStr">
        <is>
          <t>F</t>
        </is>
      </c>
      <c r="D575" t="inlineStr">
        <is>
          <t>lo_52w</t>
        </is>
      </c>
      <c r="E575" t="inlineStr">
        <is>
          <t>52 週最低（上市首日盤中）</t>
        </is>
      </c>
      <c r="F575" s="2" t="n">
        <v>46030</v>
      </c>
      <c r="G575" t="n">
        <v>116.1</v>
      </c>
      <c r="J575" t="inlineStr">
        <is>
          <t>HKD／股</t>
        </is>
      </c>
      <c r="K575" t="inlineStr">
        <is>
          <t>Verified</t>
        </is>
      </c>
      <c r="M575" t="inlineStr">
        <is>
          <t>市場數據</t>
        </is>
      </c>
      <c r="N575" t="inlineStr">
        <is>
          <t>老虎證券行情頁；Investing.com</t>
        </is>
      </c>
      <c r="O575" t="inlineStr">
        <is>
          <t>https://www.investing.com/equities/knowledge-atlas-tech-joint-stock</t>
        </is>
      </c>
      <c r="P575" s="2" t="n">
        <v>46298</v>
      </c>
      <c r="Q575" t="inlineStr">
        <is>
          <t>52 週區間 116.10–2,980.00</t>
        </is>
      </c>
    </row>
    <row r="576">
      <c r="A576" t="inlineStr">
        <is>
          <t>SRC_ZP_575</t>
        </is>
      </c>
      <c r="B576" t="inlineStr">
        <is>
          <t>Z1-M</t>
        </is>
      </c>
      <c r="C576" t="inlineStr">
        <is>
          <t>F</t>
        </is>
      </c>
      <c r="D576" t="inlineStr">
        <is>
          <t>price_20260721</t>
        </is>
      </c>
      <c r="E576" t="inlineStr">
        <is>
          <t>收購中科加禾當日股價</t>
        </is>
      </c>
      <c r="F576" s="2" t="n">
        <v>46224</v>
      </c>
      <c r="G576" t="n">
        <v>1232</v>
      </c>
      <c r="J576" t="inlineStr">
        <is>
          <t>HKD／股</t>
        </is>
      </c>
      <c r="K576" t="inlineStr">
        <is>
          <t>Verified</t>
        </is>
      </c>
      <c r="M576" t="inlineStr">
        <is>
          <t>市場數據（午後報價）</t>
        </is>
      </c>
      <c r="N576" t="inlineStr">
        <is>
          <t>華爾街見聞</t>
        </is>
      </c>
      <c r="O576" t="inlineStr">
        <is>
          <t>https://wallstreetcn.com/articles/3777553</t>
        </is>
      </c>
      <c r="P576" s="2" t="n">
        <v>46224</v>
      </c>
      <c r="Q576" t="inlineStr">
        <is>
          <t>「報1232港元/股」，單日漲 38.35%；7-17 跌 28.49%、7-20 跌 19.56%</t>
        </is>
      </c>
    </row>
    <row r="577">
      <c r="A577" t="inlineStr">
        <is>
          <t>SRC_ZP_576</t>
        </is>
      </c>
      <c r="B577" t="inlineStr">
        <is>
          <t>Z1-M</t>
        </is>
      </c>
      <c r="C577" t="inlineStr">
        <is>
          <t>G</t>
        </is>
      </c>
      <c r="D577" t="inlineStr">
        <is>
          <t>mgmt_arr_guidance_ye26</t>
        </is>
      </c>
      <c r="E577" t="inlineStr">
        <is>
          <t>管理層年末 ARR 指引</t>
        </is>
      </c>
      <c r="F577" t="inlineStr">
        <is>
          <t>2026-12</t>
        </is>
      </c>
      <c r="G577" t="n">
        <v>3</v>
      </c>
      <c r="J577" t="inlineStr">
        <is>
          <t>USD 十億</t>
        </is>
      </c>
      <c r="K577" t="inlineStr">
        <is>
          <t>Interested-party</t>
        </is>
      </c>
      <c r="L577" t="inlineStr">
        <is>
          <t>智譜（剛完成配售與可轉債；上市後股價、2027-07 起換股）</t>
        </is>
      </c>
      <c r="M577" t="inlineStr">
        <is>
          <t>管理層口徑</t>
        </is>
      </c>
      <c r="N577" t="inlineStr">
        <is>
          <t>證券日報（同花順轉載）—投資人電話會</t>
        </is>
      </c>
      <c r="O577" t="inlineStr">
        <is>
          <t>https://stock.10jqka.com.cn/20260916/c679973930.shtml</t>
        </is>
      </c>
      <c r="P577" s="2" t="n">
        <v>46281</v>
      </c>
      <c r="Q577" t="inlineStr">
        <is>
          <t>「年末ARR指引由24億美元上調至30億美元」；當時 ARR 18 億美元</t>
        </is>
      </c>
    </row>
    <row r="578">
      <c r="A578" t="inlineStr">
        <is>
          <t>SRC_ZP_577</t>
        </is>
      </c>
      <c r="B578" t="inlineStr">
        <is>
          <t>Z1-M</t>
        </is>
      </c>
      <c r="C578" t="inlineStr">
        <is>
          <t>G</t>
        </is>
      </c>
      <c r="D578" t="inlineStr">
        <is>
          <t>mgmt_arr_guidance_prior</t>
        </is>
      </c>
      <c r="E578" t="inlineStr">
        <is>
          <t>管理層年末 ARR 指引（上調前）</t>
        </is>
      </c>
      <c r="F578" t="inlineStr">
        <is>
          <t>2026-12</t>
        </is>
      </c>
      <c r="G578" t="n">
        <v>2.4</v>
      </c>
      <c r="J578" t="inlineStr">
        <is>
          <t>USD 十億</t>
        </is>
      </c>
      <c r="K578" t="inlineStr">
        <is>
          <t>Interested-party</t>
        </is>
      </c>
      <c r="L578" t="inlineStr">
        <is>
          <t>智譜</t>
        </is>
      </c>
      <c r="M578" t="inlineStr">
        <is>
          <t>管理層口徑</t>
        </is>
      </c>
      <c r="N578" t="inlineStr">
        <is>
          <t>證券日報（同花順轉載）</t>
        </is>
      </c>
      <c r="O578" t="inlineStr">
        <is>
          <t>https://stock.10jqka.com.cn/20260916/c679973930.shtml</t>
        </is>
      </c>
      <c r="P578" s="2" t="n">
        <v>46281</v>
      </c>
      <c r="Q578" t="inlineStr">
        <is>
          <t>先前指引 24 億美元（招商證券國際亦稱「預期年底年化收入24億美元」）</t>
        </is>
      </c>
    </row>
    <row r="579">
      <c r="A579" t="inlineStr">
        <is>
          <t>SRC_ZP_578</t>
        </is>
      </c>
      <c r="B579" t="inlineStr">
        <is>
          <t>Z1-M</t>
        </is>
      </c>
      <c r="C579" t="inlineStr">
        <is>
          <t>G</t>
        </is>
      </c>
      <c r="D579" t="inlineStr">
        <is>
          <t>mgmt_arr_current_0916</t>
        </is>
      </c>
      <c r="E579" t="inlineStr">
        <is>
          <t>全公司 ARR（管理層）</t>
        </is>
      </c>
      <c r="F579" t="inlineStr">
        <is>
          <t>2026-09</t>
        </is>
      </c>
      <c r="G579" t="n">
        <v>1.8</v>
      </c>
      <c r="J579" t="inlineStr">
        <is>
          <t>USD 十億</t>
        </is>
      </c>
      <c r="K579" t="inlineStr">
        <is>
          <t>Interested-party</t>
        </is>
      </c>
      <c r="L579" t="inlineStr">
        <is>
          <t>智譜</t>
        </is>
      </c>
      <c r="M579" t="inlineStr">
        <is>
          <t>管理層口徑（ARR 定義未揭露）</t>
        </is>
      </c>
      <c r="N579" t="inlineStr">
        <is>
          <t>證券日報（同花順轉載）</t>
        </is>
      </c>
      <c r="O579" t="inlineStr">
        <is>
          <t>https://stock.10jqka.com.cn/20260916/c679973930.shtml</t>
        </is>
      </c>
      <c r="P579" s="2" t="n">
        <v>46281</v>
      </c>
      <c r="Q579" t="inlineStr">
        <is>
          <t>全公司 ARR 18 億美元；8 月 API 月收入年化約 16 億美元（財聯社）</t>
        </is>
      </c>
    </row>
    <row r="580">
      <c r="A580" t="inlineStr">
        <is>
          <t>SRC_ZP_579</t>
        </is>
      </c>
      <c r="B580" t="inlineStr">
        <is>
          <t>Z1-M</t>
        </is>
      </c>
      <c r="C580" t="inlineStr">
        <is>
          <t>G</t>
        </is>
      </c>
      <c r="D580" t="inlineStr">
        <is>
          <t>mgmt_arr_aug_api</t>
        </is>
      </c>
      <c r="E580" t="inlineStr">
        <is>
          <t>8 月收入年化 ARR（管理層）</t>
        </is>
      </c>
      <c r="F580" t="inlineStr">
        <is>
          <t>2026-08</t>
        </is>
      </c>
      <c r="G580" t="n">
        <v>1.6</v>
      </c>
      <c r="I580" t="n">
        <v>2</v>
      </c>
      <c r="J580" t="inlineStr">
        <is>
          <t>USD 十億</t>
        </is>
      </c>
      <c r="K580" t="inlineStr">
        <is>
          <t>Interested-party</t>
        </is>
      </c>
      <c r="L580" t="inlineStr">
        <is>
          <t>智譜</t>
        </is>
      </c>
      <c r="M580" t="inlineStr">
        <is>
          <t>管理層口徑</t>
        </is>
      </c>
      <c r="N580" t="inlineStr">
        <is>
          <t>財聯社（中期業績會）</t>
        </is>
      </c>
      <c r="O580" t="inlineStr">
        <is>
          <t>https://m.cls.cn/detail/2470120</t>
        </is>
      </c>
      <c r="P580" s="2" t="n">
        <v>46265</v>
      </c>
      <c r="Q580" t="inlineStr">
        <is>
          <t>8 月月收入年化約 16 億美元；週收入×52 激進口徑超 20 億美元</t>
        </is>
      </c>
    </row>
    <row r="581">
      <c r="A581" t="inlineStr">
        <is>
          <t>SRC_ZP_580</t>
        </is>
      </c>
      <c r="B581" t="inlineStr">
        <is>
          <t>Z1-M</t>
        </is>
      </c>
      <c r="C581" t="inlineStr">
        <is>
          <t>G</t>
        </is>
      </c>
      <c r="D581" t="inlineStr">
        <is>
          <t>mgmt_inference_cost_cut</t>
        </is>
      </c>
      <c r="E581" t="inlineStr">
        <is>
          <t>年初至今每 token 推論成本降幅（管理層）</t>
        </is>
      </c>
      <c r="F581" t="inlineStr">
        <is>
          <t>2026-01～08</t>
        </is>
      </c>
      <c r="G581" t="n">
        <v>80</v>
      </c>
      <c r="J581" t="inlineStr">
        <is>
          <t>%</t>
        </is>
      </c>
      <c r="K581" t="inlineStr">
        <is>
          <t>Interested-party</t>
        </is>
      </c>
      <c r="L581" t="inlineStr">
        <is>
          <t>智譜</t>
        </is>
      </c>
      <c r="M581" t="inlineStr">
        <is>
          <t>管理層口徑</t>
        </is>
      </c>
      <c r="N581" t="inlineStr">
        <is>
          <t>財聯社（中期業績會）</t>
        </is>
      </c>
      <c r="O581" t="inlineStr">
        <is>
          <t>https://m.cls.cn/detail/2470120</t>
        </is>
      </c>
      <c r="P581" s="2" t="n">
        <v>46265</v>
      </c>
      <c r="Q581" t="inlineStr">
        <is>
          <t>「10萬級國產晶片」部署使單 token 推論成本下降約 80%（轉述）</t>
        </is>
      </c>
    </row>
    <row r="582">
      <c r="A582" t="inlineStr">
        <is>
          <t>SRC_ZP_581</t>
        </is>
      </c>
      <c r="B582" t="inlineStr">
        <is>
          <t>Z1-M</t>
        </is>
      </c>
      <c r="C582" t="inlineStr">
        <is>
          <t>G</t>
        </is>
      </c>
      <c r="D582" t="inlineStr">
        <is>
          <t>mgmt_profit_target</t>
        </is>
      </c>
      <c r="E582" t="inlineStr">
        <is>
          <t>管理層獲利時點量化目標</t>
        </is>
      </c>
      <c r="J582" t="inlineStr">
        <is>
          <t>年</t>
        </is>
      </c>
      <c r="K582" t="inlineStr">
        <is>
          <t>Interested-party</t>
        </is>
      </c>
      <c r="L582" t="inlineStr">
        <is>
          <t>智譜</t>
        </is>
      </c>
      <c r="M582" t="inlineStr">
        <is>
          <t>質化</t>
        </is>
      </c>
      <c r="N582" t="inlineStr">
        <is>
          <t>智譜 2026 中期業績公告「未來展望」</t>
        </is>
      </c>
      <c r="O582" t="inlineStr">
        <is>
          <t>https://www.hkexnews.hk/listedco/listconews/sehk/2026/0831/2026083101540_c.pdf</t>
        </is>
      </c>
      <c r="P582" s="2" t="n">
        <v>46265</v>
      </c>
      <c r="Q582" t="inlineStr">
        <is>
          <t>展望無獲利或毛利目標；僅稱「毛利率有望企穩回升」（企業智能體分部）</t>
        </is>
      </c>
    </row>
    <row r="583">
      <c r="A583" t="inlineStr">
        <is>
          <t>SRC_ZP_582</t>
        </is>
      </c>
      <c r="B583" t="inlineStr">
        <is>
          <t>Z1-M</t>
        </is>
      </c>
      <c r="C583" t="inlineStr">
        <is>
          <t>G</t>
        </is>
      </c>
      <c r="D583" t="inlineStr">
        <is>
          <t>cons_rev_fy26</t>
        </is>
      </c>
      <c r="E583" t="inlineStr">
        <is>
          <t>共識營收 FY2026</t>
        </is>
      </c>
      <c r="F583" t="inlineStr">
        <is>
          <t>FY2026</t>
        </is>
      </c>
      <c r="G583" t="n">
        <v>6048</v>
      </c>
      <c r="J583" t="inlineStr">
        <is>
          <t>RMB 百萬</t>
        </is>
      </c>
      <c r="K583" t="inlineStr">
        <is>
          <t>Interested-party</t>
        </is>
      </c>
      <c r="L583" t="inlineStr">
        <is>
          <t>券商（承銷、交易誘因；中金、國泰君安為 2026-09 配售承銷）</t>
        </is>
      </c>
      <c r="M583" t="inlineStr">
        <is>
          <t>共識</t>
        </is>
      </c>
      <c r="N583" t="inlineStr">
        <is>
          <t>Simply Wall St（共識，23 位分析師）</t>
        </is>
      </c>
      <c r="O583" t="inlineStr">
        <is>
          <t>https://simplywall.st/stocks/hk/software/shsc-2513/zai-shares/future</t>
        </is>
      </c>
      <c r="P583" s="2" t="n">
        <v>46301</v>
      </c>
      <c r="Q583" t="inlineStr">
        <is>
          <t>FY2026 營收 6,048 百萬元；淨利 -4,594</t>
        </is>
      </c>
    </row>
    <row r="584">
      <c r="A584" t="inlineStr">
        <is>
          <t>SRC_ZP_583</t>
        </is>
      </c>
      <c r="B584" t="inlineStr">
        <is>
          <t>Z1-M</t>
        </is>
      </c>
      <c r="C584" t="inlineStr">
        <is>
          <t>G</t>
        </is>
      </c>
      <c r="D584" t="inlineStr">
        <is>
          <t>cons_rev_fy27</t>
        </is>
      </c>
      <c r="E584" t="inlineStr">
        <is>
          <t>共識營收 FY2027</t>
        </is>
      </c>
      <c r="F584" t="inlineStr">
        <is>
          <t>FY2027</t>
        </is>
      </c>
      <c r="G584" t="n">
        <v>18013</v>
      </c>
      <c r="J584" t="inlineStr">
        <is>
          <t>RMB 百萬</t>
        </is>
      </c>
      <c r="K584" t="inlineStr">
        <is>
          <t>Interested-party</t>
        </is>
      </c>
      <c r="L584" t="inlineStr">
        <is>
          <t>券商（承銷、交易誘因）</t>
        </is>
      </c>
      <c r="M584" t="inlineStr">
        <is>
          <t>共識</t>
        </is>
      </c>
      <c r="N584" t="inlineStr">
        <is>
          <t>Simply Wall St（共識，23 位）</t>
        </is>
      </c>
      <c r="O584" t="inlineStr">
        <is>
          <t>https://simplywall.st/stocks/hk/software/shsc-2513/zai-shares/future</t>
        </is>
      </c>
      <c r="P584" s="2" t="n">
        <v>46301</v>
      </c>
      <c r="Q584" t="inlineStr">
        <is>
          <t>FY2027 營收 18,013；淨利 -4,072</t>
        </is>
      </c>
    </row>
    <row r="585">
      <c r="A585" t="inlineStr">
        <is>
          <t>SRC_ZP_584</t>
        </is>
      </c>
      <c r="B585" t="inlineStr">
        <is>
          <t>Z1-M</t>
        </is>
      </c>
      <c r="C585" t="inlineStr">
        <is>
          <t>G</t>
        </is>
      </c>
      <c r="D585" t="inlineStr">
        <is>
          <t>cons_rev_fy28</t>
        </is>
      </c>
      <c r="E585" t="inlineStr">
        <is>
          <t>共識營收 FY2028</t>
        </is>
      </c>
      <c r="F585" t="inlineStr">
        <is>
          <t>FY2028</t>
        </is>
      </c>
      <c r="G585" t="n">
        <v>37900</v>
      </c>
      <c r="J585" t="inlineStr">
        <is>
          <t>RMB 百萬</t>
        </is>
      </c>
      <c r="K585" t="inlineStr">
        <is>
          <t>Interested-party</t>
        </is>
      </c>
      <c r="L585" t="inlineStr">
        <is>
          <t>券商（承銷、交易誘因）</t>
        </is>
      </c>
      <c r="M585" t="inlineStr">
        <is>
          <t>共識</t>
        </is>
      </c>
      <c r="N585" t="inlineStr">
        <is>
          <t>Simply Wall St（共識，21 位）</t>
        </is>
      </c>
      <c r="O585" t="inlineStr">
        <is>
          <t>https://simplywall.st/stocks/hk/software/shsc-2513/zai-shares/future</t>
        </is>
      </c>
      <c r="P585" s="2" t="n">
        <v>46301</v>
      </c>
      <c r="Q585" t="inlineStr">
        <is>
          <t>FY2028 營收 37,900；淨利 -882</t>
        </is>
      </c>
    </row>
    <row r="586">
      <c r="A586" t="inlineStr">
        <is>
          <t>SRC_ZP_585</t>
        </is>
      </c>
      <c r="B586" t="inlineStr">
        <is>
          <t>Z1-M</t>
        </is>
      </c>
      <c r="C586" t="inlineStr">
        <is>
          <t>G</t>
        </is>
      </c>
      <c r="D586" t="inlineStr">
        <is>
          <t>cons_ni_fy26</t>
        </is>
      </c>
      <c r="E586" t="inlineStr">
        <is>
          <t>共識淨利 FY2026</t>
        </is>
      </c>
      <c r="F586" t="inlineStr">
        <is>
          <t>FY2026</t>
        </is>
      </c>
      <c r="G586" t="n">
        <v>-4594</v>
      </c>
      <c r="J586" t="inlineStr">
        <is>
          <t>RMB 百萬</t>
        </is>
      </c>
      <c r="K586" t="inlineStr">
        <is>
          <t>Interested-party</t>
        </is>
      </c>
      <c r="L586" t="inlineStr">
        <is>
          <t>券商（承銷、交易誘因）</t>
        </is>
      </c>
      <c r="M586" t="inlineStr">
        <is>
          <t>共識</t>
        </is>
      </c>
      <c r="N586" t="inlineStr">
        <is>
          <t>Simply Wall St</t>
        </is>
      </c>
      <c r="O586" t="inlineStr">
        <is>
          <t>https://simplywall.st/stocks/hk/software/shsc-2513/zai-shares/future</t>
        </is>
      </c>
      <c r="P586" s="2" t="n">
        <v>46301</v>
      </c>
      <c r="Q586" t="inlineStr">
        <is>
          <t>FY2027 -4,072、FY2028 -882</t>
        </is>
      </c>
    </row>
    <row r="587">
      <c r="A587" t="inlineStr">
        <is>
          <t>SRC_ZP_586</t>
        </is>
      </c>
      <c r="B587" t="inlineStr">
        <is>
          <t>Z1-M</t>
        </is>
      </c>
      <c r="C587" t="inlineStr">
        <is>
          <t>G</t>
        </is>
      </c>
      <c r="D587" t="inlineStr">
        <is>
          <t>cons_rev_fy26_b</t>
        </is>
      </c>
      <c r="E587" t="inlineStr">
        <is>
          <t>共識營收 FY2026（2026-09 初）</t>
        </is>
      </c>
      <c r="F587" t="inlineStr">
        <is>
          <t>FY2026</t>
        </is>
      </c>
      <c r="G587" t="n">
        <v>6.1</v>
      </c>
      <c r="J587" t="inlineStr">
        <is>
          <t>RMB 十億</t>
        </is>
      </c>
      <c r="K587" t="inlineStr">
        <is>
          <t>Interested-party</t>
        </is>
      </c>
      <c r="L587" t="inlineStr">
        <is>
          <t>券商（承銷、交易誘因）</t>
        </is>
      </c>
      <c r="M587" t="inlineStr">
        <is>
          <t>共識</t>
        </is>
      </c>
      <c r="N587" t="inlineStr">
        <is>
          <t>Simply Wall St（Webull 轉載，20 位）</t>
        </is>
      </c>
      <c r="O587" t="inlineStr">
        <is>
          <t>https://www.webull.com/news/15528566565184512</t>
        </is>
      </c>
      <c r="P587" s="2" t="n">
        <v>46271</v>
      </c>
      <c r="Q587" t="inlineStr">
        <is>
          <t>「CN¥6.1b」，前值 CN¥4.0b</t>
        </is>
      </c>
    </row>
    <row r="588">
      <c r="A588" t="inlineStr">
        <is>
          <t>SRC_ZP_587</t>
        </is>
      </c>
      <c r="B588" t="inlineStr">
        <is>
          <t>Z1-M</t>
        </is>
      </c>
      <c r="C588" t="inlineStr">
        <is>
          <t>G</t>
        </is>
      </c>
      <c r="D588" t="inlineStr">
        <is>
          <t>cons_tp_avg</t>
        </is>
      </c>
      <c r="E588" t="inlineStr">
        <is>
          <t>共識平均目標價</t>
        </is>
      </c>
      <c r="F588" s="2" t="n">
        <v>46298</v>
      </c>
      <c r="G588" t="n">
        <v>1567.3</v>
      </c>
      <c r="J588" t="inlineStr">
        <is>
          <t>HKD／股</t>
        </is>
      </c>
      <c r="K588" t="inlineStr">
        <is>
          <t>Interested-party</t>
        </is>
      </c>
      <c r="L588" t="inlineStr">
        <is>
          <t>券商（承銷、交易誘因）</t>
        </is>
      </c>
      <c r="M588" t="inlineStr">
        <is>
          <t>共識</t>
        </is>
      </c>
      <c r="N588" t="inlineStr">
        <is>
          <t>Investing.com（24 位：19 買入、4 持有、1 賣出）</t>
        </is>
      </c>
      <c r="O588" t="inlineStr">
        <is>
          <t>https://www.investing.com/equities/knowledge-atlas-tech-joint-stock</t>
        </is>
      </c>
      <c r="P588" s="2" t="n">
        <v>46298</v>
      </c>
      <c r="Q588" t="inlineStr">
        <is>
          <t>平均 12 個月目標價 1,567.30 港元，評級共識「買入」</t>
        </is>
      </c>
    </row>
    <row r="589">
      <c r="A589" t="inlineStr">
        <is>
          <t>SRC_ZP_588</t>
        </is>
      </c>
      <c r="B589" t="inlineStr">
        <is>
          <t>Z1-M</t>
        </is>
      </c>
      <c r="C589" t="inlineStr">
        <is>
          <t>G</t>
        </is>
      </c>
      <c r="D589" t="inlineStr">
        <is>
          <t>cons_tp_avg_b</t>
        </is>
      </c>
      <c r="E589" t="inlineStr">
        <is>
          <t>共識目標價（Simply Wall St，以 CN¥ 標示）</t>
        </is>
      </c>
      <c r="F589" s="2" t="n">
        <v>46271</v>
      </c>
      <c r="G589" t="n">
        <v>1427</v>
      </c>
      <c r="H589" t="n">
        <v>549</v>
      </c>
      <c r="I589" t="n">
        <v>1928</v>
      </c>
      <c r="J589" t="inlineStr">
        <is>
          <t>CNY／股（頁面標示）</t>
        </is>
      </c>
      <c r="K589" t="inlineStr">
        <is>
          <t>Interested-party</t>
        </is>
      </c>
      <c r="L589" t="inlineStr">
        <is>
          <t>券商</t>
        </is>
      </c>
      <c r="M589" t="inlineStr">
        <is>
          <t>共識</t>
        </is>
      </c>
      <c r="N589" t="inlineStr">
        <is>
          <t>Simply Wall St（Webull 轉載）</t>
        </is>
      </c>
      <c r="O589" t="inlineStr">
        <is>
          <t>https://www.webull.com/news/15528566565184512</t>
        </is>
      </c>
      <c r="P589" s="2" t="n">
        <v>46271</v>
      </c>
      <c r="Q589" t="inlineStr">
        <is>
          <t>頁面以「CN¥1,427」標示（區間 549–1,928）；幣別疑為平台換算，與 Investing 港幣口徑不可直比</t>
        </is>
      </c>
    </row>
    <row r="590">
      <c r="A590" t="inlineStr">
        <is>
          <t>SRC_ZP_589</t>
        </is>
      </c>
      <c r="B590" t="inlineStr">
        <is>
          <t>Z1-M</t>
        </is>
      </c>
      <c r="C590" t="inlineStr">
        <is>
          <t>G</t>
        </is>
      </c>
      <c r="D590" t="inlineStr">
        <is>
          <t>broker_gs_tp</t>
        </is>
      </c>
      <c r="E590" t="inlineStr">
        <is>
          <t>高盛目標價（中性→買入）</t>
        </is>
      </c>
      <c r="F590" s="2" t="n">
        <v>46300</v>
      </c>
      <c r="G590" t="n">
        <v>1560</v>
      </c>
      <c r="J590" t="inlineStr">
        <is>
          <t>HKD／股</t>
        </is>
      </c>
      <c r="K590" t="inlineStr">
        <is>
          <t>Interested-party</t>
        </is>
      </c>
      <c r="L590" t="inlineStr">
        <is>
          <t>高盛（交易誘因）</t>
        </is>
      </c>
      <c r="M590" t="inlineStr">
        <is>
          <t>券商</t>
        </is>
      </c>
      <c r="N590" t="inlineStr">
        <is>
          <t>財聯社（東方財富轉載）</t>
        </is>
      </c>
      <c r="O590" t="inlineStr">
        <is>
          <t>https://finance.eastmoney.com/a/202610053888577065.html</t>
        </is>
      </c>
      <c r="P590" s="2" t="n">
        <v>46300</v>
      </c>
      <c r="Q590" t="inlineStr">
        <is>
          <t>「從中性上調至買入 目標價為1560港元」；上漲空間 149%</t>
        </is>
      </c>
    </row>
    <row r="591">
      <c r="A591" t="inlineStr">
        <is>
          <t>SRC_ZP_590</t>
        </is>
      </c>
      <c r="B591" t="inlineStr">
        <is>
          <t>Z1-M</t>
        </is>
      </c>
      <c r="C591" t="inlineStr">
        <is>
          <t>G</t>
        </is>
      </c>
      <c r="D591" t="inlineStr">
        <is>
          <t>broker_cmsi_tp</t>
        </is>
      </c>
      <c r="E591" t="inlineStr">
        <is>
          <t>招商證券國際目標價（增持）</t>
        </is>
      </c>
      <c r="F591" s="2" t="n">
        <v>46267</v>
      </c>
      <c r="G591" t="n">
        <v>1600</v>
      </c>
      <c r="J591" t="inlineStr">
        <is>
          <t>HKD／股</t>
        </is>
      </c>
      <c r="K591" t="inlineStr">
        <is>
          <t>Interested-party</t>
        </is>
      </c>
      <c r="L591" t="inlineStr">
        <is>
          <t>招商證券國際（交易誘因）</t>
        </is>
      </c>
      <c r="M591" t="inlineStr">
        <is>
          <t>券商</t>
        </is>
      </c>
      <c r="N591" t="inlineStr">
        <is>
          <t>同花順（轉財聞，AI 生成稿）</t>
        </is>
      </c>
      <c r="O591" t="inlineStr">
        <is>
          <t>https://stock.10jqka.com.cn/20260902/c679525880.shtml</t>
        </is>
      </c>
      <c r="P591" s="2" t="n">
        <v>46267</v>
      </c>
      <c r="Q591" t="inlineStr">
        <is>
          <t>由 1,282 升至 1,600；稱最快 2028 年盈虧平衡</t>
        </is>
      </c>
    </row>
    <row r="592">
      <c r="A592" t="inlineStr">
        <is>
          <t>SRC_ZP_591</t>
        </is>
      </c>
      <c r="B592" t="inlineStr">
        <is>
          <t>Z1-M</t>
        </is>
      </c>
      <c r="C592" t="inlineStr">
        <is>
          <t>G</t>
        </is>
      </c>
      <c r="D592" t="inlineStr">
        <is>
          <t>broker_guosen_rev</t>
        </is>
      </c>
      <c r="E592" t="inlineStr">
        <is>
          <t>國信證券營收預測 FY2026／27／28</t>
        </is>
      </c>
      <c r="F592" t="inlineStr">
        <is>
          <t>FY2026–FY2028</t>
        </is>
      </c>
      <c r="G592" t="n">
        <v>62</v>
      </c>
      <c r="J592" t="inlineStr">
        <is>
          <t>RMB 億（FY2026）</t>
        </is>
      </c>
      <c r="K592" t="inlineStr">
        <is>
          <t>Interested-party</t>
        </is>
      </c>
      <c r="L592" t="inlineStr">
        <is>
          <t>國信證券（交易誘因）</t>
        </is>
      </c>
      <c r="M592" t="inlineStr">
        <is>
          <t>券商</t>
        </is>
      </c>
      <c r="N592" t="inlineStr">
        <is>
          <t>格隆匯（國信證券 26H1 點評）</t>
        </is>
      </c>
      <c r="O592" t="inlineStr">
        <is>
          <t>https://m.gelonghui.com/news/5306647</t>
        </is>
      </c>
      <c r="P592" s="2" t="n">
        <v>46269</v>
      </c>
      <c r="Q592" t="inlineStr">
        <is>
          <t>營收 62／155／344 億元；歸母淨利 -36／-30／5 億元；優於大市；2026 PS 約 82 倍</t>
        </is>
      </c>
    </row>
    <row r="593">
      <c r="A593" t="inlineStr">
        <is>
          <t>SRC_ZP_592</t>
        </is>
      </c>
      <c r="B593" t="inlineStr">
        <is>
          <t>Z1-M</t>
        </is>
      </c>
      <c r="C593" t="inlineStr">
        <is>
          <t>G</t>
        </is>
      </c>
      <c r="D593" t="inlineStr">
        <is>
          <t>broker_guozheng_rev</t>
        </is>
      </c>
      <c r="E593" t="inlineStr">
        <is>
          <t>國證國際營收預測 FY2026／27／28</t>
        </is>
      </c>
      <c r="F593" t="inlineStr">
        <is>
          <t>FY2026–FY2028</t>
        </is>
      </c>
      <c r="G593" t="n">
        <v>42</v>
      </c>
      <c r="J593" t="inlineStr">
        <is>
          <t>RMB 億（FY2026）</t>
        </is>
      </c>
      <c r="K593" t="inlineStr">
        <is>
          <t>Interested-party</t>
        </is>
      </c>
      <c r="L593" t="inlineStr">
        <is>
          <t>國證國際（交易誘因）</t>
        </is>
      </c>
      <c r="M593" t="inlineStr">
        <is>
          <t>券商</t>
        </is>
      </c>
      <c r="N593" t="inlineStr">
        <is>
          <t>格隆匯（國證國際首次覆蓋）</t>
        </is>
      </c>
      <c r="O593" t="inlineStr">
        <is>
          <t>https://m.gelonghui.com/news/5270015</t>
        </is>
      </c>
      <c r="P593" s="2" t="n">
        <v>46218</v>
      </c>
      <c r="Q593" t="inlineStr">
        <is>
          <t>42／114／251 億元；經調整淨虧 37／29／2 億；目標價 2,043 港元；SOTP（API 2027 年 80 倍 PS）</t>
        </is>
      </c>
    </row>
    <row r="594">
      <c r="A594" t="inlineStr">
        <is>
          <t>SRC_ZP_593</t>
        </is>
      </c>
      <c r="B594" t="inlineStr">
        <is>
          <t>Z1-M</t>
        </is>
      </c>
      <c r="C594" t="inlineStr">
        <is>
          <t>G</t>
        </is>
      </c>
      <c r="D594" t="inlineStr">
        <is>
          <t>broker_daiwa_tp</t>
        </is>
      </c>
      <c r="E594" t="inlineStr">
        <is>
          <t>大和目標價（首次買入）</t>
        </is>
      </c>
      <c r="F594" s="2" t="n">
        <v>46246</v>
      </c>
      <c r="G594" t="n">
        <v>1500</v>
      </c>
      <c r="J594" t="inlineStr">
        <is>
          <t>HKD／股</t>
        </is>
      </c>
      <c r="K594" t="inlineStr">
        <is>
          <t>Interested-party</t>
        </is>
      </c>
      <c r="L594" t="inlineStr">
        <is>
          <t>大和（交易誘因）</t>
        </is>
      </c>
      <c r="M594" t="inlineStr">
        <is>
          <t>券商</t>
        </is>
      </c>
      <c r="N594" t="inlineStr">
        <is>
          <t>同花順</t>
        </is>
      </c>
      <c r="O594" t="inlineStr">
        <is>
          <t>https://stock.10jqka.com.cn/20260812/c678896247.shtml</t>
        </is>
      </c>
      <c r="P594" s="2" t="n">
        <v>46246</v>
      </c>
      <c r="Q594" t="inlineStr">
        <is>
          <t>營收由 2025 年 7.24 億升至 2029 年 475 億元人民幣（CAGR 185%）</t>
        </is>
      </c>
    </row>
    <row r="595">
      <c r="A595" t="inlineStr">
        <is>
          <t>SRC_ZP_594</t>
        </is>
      </c>
      <c r="B595" t="inlineStr">
        <is>
          <t>Z1-M</t>
        </is>
      </c>
      <c r="C595" t="inlineStr">
        <is>
          <t>G</t>
        </is>
      </c>
      <c r="D595" t="inlineStr">
        <is>
          <t>broker_jpm_tp</t>
        </is>
      </c>
      <c r="E595" t="inlineStr">
        <is>
          <t>摩根大通目標價（增持）</t>
        </is>
      </c>
      <c r="F595" s="2" t="n">
        <v>46211</v>
      </c>
      <c r="G595" t="n">
        <v>2000</v>
      </c>
      <c r="J595" t="inlineStr">
        <is>
          <t>HKD／股</t>
        </is>
      </c>
      <c r="K595" t="inlineStr">
        <is>
          <t>Interested-party</t>
        </is>
      </c>
      <c r="L595" t="inlineStr">
        <is>
          <t>摩根大通（交易誘因）</t>
        </is>
      </c>
      <c r="M595" t="inlineStr">
        <is>
          <t>券商</t>
        </is>
      </c>
      <c r="N595" t="inlineStr">
        <is>
          <t>格隆匯</t>
        </is>
      </c>
      <c r="O595" t="inlineStr">
        <is>
          <t>https://m.gelonghui.com/news/5264523</t>
        </is>
      </c>
      <c r="P595" s="2" t="n">
        <v>46211</v>
      </c>
      <c r="Q595" t="inlineStr">
        <is>
          <t>由 1,800 升至 2,000；文中年份由上下文推定 2026</t>
        </is>
      </c>
    </row>
    <row r="596">
      <c r="A596" t="inlineStr">
        <is>
          <t>SRC_ZP_595</t>
        </is>
      </c>
      <c r="B596" t="inlineStr">
        <is>
          <t>Z1-M</t>
        </is>
      </c>
      <c r="C596" t="inlineStr">
        <is>
          <t>G</t>
        </is>
      </c>
      <c r="D596" t="inlineStr">
        <is>
          <t>peer_mmx_price_20261007</t>
        </is>
      </c>
      <c r="E596" t="inlineStr">
        <is>
          <t>MiniMax 股價</t>
        </is>
      </c>
      <c r="F596" t="inlineStr">
        <is>
          <t>2026-10-07 13:56</t>
        </is>
      </c>
      <c r="G596" t="n">
        <v>236</v>
      </c>
      <c r="J596" t="inlineStr">
        <is>
          <t>HKD／股</t>
        </is>
      </c>
      <c r="K596" t="inlineStr">
        <is>
          <t>Verified</t>
        </is>
      </c>
      <c r="M596" t="inlineStr">
        <is>
          <t>市場數據（盤中，非收盤）</t>
        </is>
      </c>
      <c r="N596" t="inlineStr">
        <is>
          <t>老虎證券行情頁</t>
        </is>
      </c>
      <c r="O596" t="inlineStr">
        <is>
          <t>https://www.itiger.com/hant/stock/00100/news</t>
        </is>
      </c>
      <c r="P596" s="2" t="n">
        <v>46302</v>
      </c>
      <c r="Q596" t="inlineStr">
        <is>
          <t>52 週高 1,330、低 186.20</t>
        </is>
      </c>
    </row>
    <row r="597">
      <c r="A597" t="inlineStr">
        <is>
          <t>SRC_ZP_596</t>
        </is>
      </c>
      <c r="B597" t="inlineStr">
        <is>
          <t>Z1-M</t>
        </is>
      </c>
      <c r="C597" t="inlineStr">
        <is>
          <t>G</t>
        </is>
      </c>
      <c r="D597" t="inlineStr">
        <is>
          <t>peer_mmx_mktcap</t>
        </is>
      </c>
      <c r="E597" t="inlineStr">
        <is>
          <t>MiniMax 總市值</t>
        </is>
      </c>
      <c r="F597" s="2" t="n">
        <v>46302</v>
      </c>
      <c r="G597" t="n">
        <v>830.72</v>
      </c>
      <c r="J597" t="inlineStr">
        <is>
          <t>HKD 億</t>
        </is>
      </c>
      <c r="K597" t="inlineStr">
        <is>
          <t>Verified</t>
        </is>
      </c>
      <c r="M597" t="inlineStr">
        <is>
          <t>市場數據</t>
        </is>
      </c>
      <c r="N597" t="inlineStr">
        <is>
          <t>老虎證券行情頁</t>
        </is>
      </c>
      <c r="O597" t="inlineStr">
        <is>
          <t>https://www.itiger.com/hant/stock/00100/news</t>
        </is>
      </c>
      <c r="P597" s="2" t="n">
        <v>46302</v>
      </c>
      <c r="Q597" t="inlineStr">
        <is>
          <t>236×352,480,183（A＋B 類）＝831.9 億，Derived 勾稽相符</t>
        </is>
      </c>
    </row>
    <row r="598">
      <c r="A598" t="inlineStr">
        <is>
          <t>SRC_ZP_597</t>
        </is>
      </c>
      <c r="B598" t="inlineStr">
        <is>
          <t>Z1-M</t>
        </is>
      </c>
      <c r="C598" t="inlineStr">
        <is>
          <t>G</t>
        </is>
      </c>
      <c r="D598" t="inlineStr">
        <is>
          <t>peer_mmx_shares</t>
        </is>
      </c>
      <c r="E598" t="inlineStr">
        <is>
          <t>MiniMax 已發行股份（A 類 271,377,649＋B 類 81,102,534）</t>
        </is>
      </c>
      <c r="F598" s="2" t="n">
        <v>46295</v>
      </c>
      <c r="G598" t="n">
        <v>352480183</v>
      </c>
      <c r="J598" t="inlineStr">
        <is>
          <t>股</t>
        </is>
      </c>
      <c r="K598" t="inlineStr">
        <is>
          <t>Verified</t>
        </is>
      </c>
      <c r="M598" t="inlineStr">
        <is>
          <t>公司公告</t>
        </is>
      </c>
      <c r="N598" t="inlineStr">
        <is>
          <t>MiniMax FF301 月報表</t>
        </is>
      </c>
      <c r="O598" t="inlineStr">
        <is>
          <t>https://pdf.dfcfw.com/pdf/H2_AN202610021830089929_1.pdf</t>
        </is>
      </c>
      <c r="P598" s="2" t="n">
        <v>46297</v>
      </c>
      <c r="Q598" t="inlineStr">
        <is>
          <t>合計為 Derived（A＋B）；B 類不上市</t>
        </is>
      </c>
    </row>
    <row r="599">
      <c r="A599" t="inlineStr">
        <is>
          <t>SRC_ZP_598</t>
        </is>
      </c>
      <c r="B599" t="inlineStr">
        <is>
          <t>Z1-M</t>
        </is>
      </c>
      <c r="C599" t="inlineStr">
        <is>
          <t>G</t>
        </is>
      </c>
      <c r="D599" t="inlineStr">
        <is>
          <t>peer_mmx_rev_fy25</t>
        </is>
      </c>
      <c r="E599" t="inlineStr">
        <is>
          <t>MiniMax 營收 FY2025</t>
        </is>
      </c>
      <c r="F599" t="inlineStr">
        <is>
          <t>FY2025</t>
        </is>
      </c>
      <c r="G599" t="n">
        <v>79</v>
      </c>
      <c r="J599" t="inlineStr">
        <is>
          <t>USD 百萬</t>
        </is>
      </c>
      <c r="K599" t="inlineStr">
        <is>
          <t>Verified</t>
        </is>
      </c>
      <c r="M599" t="inlineStr">
        <is>
          <t>經審計（業績公告）</t>
        </is>
      </c>
      <c r="N599" t="inlineStr">
        <is>
          <t>MiniMax 2025 全年業績新聞稿</t>
        </is>
      </c>
      <c r="O599" t="inlineStr">
        <is>
          <t>https://www.minimax.io/news/minimax-global-announces-full-year-2025-financial-results</t>
        </is>
      </c>
      <c r="P599" s="2" t="n">
        <v>46083</v>
      </c>
      <c r="Q599" t="inlineStr">
        <is>
          <t>「Total revenue increased by 158.9%…to US$79.0 million」；毛利率 25.4%</t>
        </is>
      </c>
    </row>
    <row r="600">
      <c r="A600" t="inlineStr">
        <is>
          <t>SRC_ZP_599</t>
        </is>
      </c>
      <c r="B600" t="inlineStr">
        <is>
          <t>Z1-M</t>
        </is>
      </c>
      <c r="C600" t="inlineStr">
        <is>
          <t>G</t>
        </is>
      </c>
      <c r="D600" t="inlineStr">
        <is>
          <t>peer_mmx_nl_fy25</t>
        </is>
      </c>
      <c r="E600" t="inlineStr">
        <is>
          <t>MiniMax 年度虧損 FY2025（IFRS）</t>
        </is>
      </c>
      <c r="F600" t="inlineStr">
        <is>
          <t>FY2025</t>
        </is>
      </c>
      <c r="G600" t="n">
        <v>-1871.6</v>
      </c>
      <c r="J600" t="inlineStr">
        <is>
          <t>USD 百萬</t>
        </is>
      </c>
      <c r="K600" t="inlineStr">
        <is>
          <t>Verified</t>
        </is>
      </c>
      <c r="M600" t="inlineStr">
        <is>
          <t>經審計（業績公告）</t>
        </is>
      </c>
      <c r="N600" t="inlineStr">
        <is>
          <t>MiniMax 2025 全年業績新聞稿</t>
        </is>
      </c>
      <c r="O600" t="inlineStr">
        <is>
          <t>https://www.minimax.io/news/minimax-global-announces-full-year-2025-financial-results</t>
        </is>
      </c>
      <c r="P600" s="2" t="n">
        <v>46083</v>
      </c>
      <c r="Q600" t="inlineStr">
        <is>
          <t>年度虧損 1,871.6 百萬美元（含優先股公允值變動）；經調整淨虧 250.9</t>
        </is>
      </c>
    </row>
    <row r="601">
      <c r="A601" t="inlineStr">
        <is>
          <t>SRC_ZP_600</t>
        </is>
      </c>
      <c r="B601" t="inlineStr">
        <is>
          <t>Z1-M</t>
        </is>
      </c>
      <c r="C601" t="inlineStr">
        <is>
          <t>G</t>
        </is>
      </c>
      <c r="D601" t="inlineStr">
        <is>
          <t>peer_mmx_adjnl_fy25</t>
        </is>
      </c>
      <c r="E601" t="inlineStr">
        <is>
          <t>MiniMax 經調整淨虧損 FY2025</t>
        </is>
      </c>
      <c r="F601" t="inlineStr">
        <is>
          <t>FY2025</t>
        </is>
      </c>
      <c r="G601" t="n">
        <v>-250.9</v>
      </c>
      <c r="J601" t="inlineStr">
        <is>
          <t>USD 百萬</t>
        </is>
      </c>
      <c r="K601" t="inlineStr">
        <is>
          <t>Verified</t>
        </is>
      </c>
      <c r="M601" t="inlineStr">
        <is>
          <t>非 IFRS</t>
        </is>
      </c>
      <c r="N601" t="inlineStr">
        <is>
          <t>MiniMax 2025 全年業績新聞稿</t>
        </is>
      </c>
      <c r="O601" t="inlineStr">
        <is>
          <t>https://www.minimax.io/news/minimax-global-announces-full-year-2025-financial-results</t>
        </is>
      </c>
      <c r="P601" s="2" t="n">
        <v>46083</v>
      </c>
      <c r="Q601" t="inlineStr">
        <is>
          <t>「Adjusted net loss was US$250.9 million」；年末現金類 1,050.3 百萬美元</t>
        </is>
      </c>
    </row>
    <row r="602">
      <c r="A602" t="inlineStr">
        <is>
          <t>SRC_ZP_601</t>
        </is>
      </c>
      <c r="B602" t="inlineStr">
        <is>
          <t>Z1-M</t>
        </is>
      </c>
      <c r="C602" t="inlineStr">
        <is>
          <t>G</t>
        </is>
      </c>
      <c r="D602" t="inlineStr">
        <is>
          <t>peer_mmx_rev_1h26</t>
        </is>
      </c>
      <c r="E602" t="inlineStr">
        <is>
          <t>MiniMax 營收 1H2026</t>
        </is>
      </c>
      <c r="F602" t="inlineStr">
        <is>
          <t>1H2026</t>
        </is>
      </c>
      <c r="G602" t="n">
        <v>116.57</v>
      </c>
      <c r="J602" t="inlineStr">
        <is>
          <t>USD 百萬</t>
        </is>
      </c>
      <c r="K602" t="inlineStr">
        <is>
          <t>Verified</t>
        </is>
      </c>
      <c r="M602" t="inlineStr">
        <is>
          <t>未經審計（媒體轉述）</t>
        </is>
      </c>
      <c r="N602" t="inlineStr">
        <is>
          <t>老虎（轉 MiniMax 中期業績）</t>
        </is>
      </c>
      <c r="O602" t="inlineStr">
        <is>
          <t>https://www.itiger.com/news/1169167557</t>
        </is>
      </c>
      <c r="P602" s="2" t="n">
        <v>46260</v>
      </c>
      <c r="Q602" t="inlineStr">
        <is>
          <t>「revenue climbing 283.10%…to US$116.57 million」</t>
        </is>
      </c>
    </row>
    <row r="603">
      <c r="A603" t="inlineStr">
        <is>
          <t>SRC_ZP_602</t>
        </is>
      </c>
      <c r="B603" t="inlineStr">
        <is>
          <t>Z1-M</t>
        </is>
      </c>
      <c r="C603" t="inlineStr">
        <is>
          <t>G</t>
        </is>
      </c>
      <c r="D603" t="inlineStr">
        <is>
          <t>peer_mmx_nl_1h26</t>
        </is>
      </c>
      <c r="E603" t="inlineStr">
        <is>
          <t>MiniMax 期間虧損 1H2026</t>
        </is>
      </c>
      <c r="F603" t="inlineStr">
        <is>
          <t>1H2026</t>
        </is>
      </c>
      <c r="G603" t="n">
        <v>-357.99</v>
      </c>
      <c r="J603" t="inlineStr">
        <is>
          <t>USD 百萬</t>
        </is>
      </c>
      <c r="K603" t="inlineStr">
        <is>
          <t>Verified</t>
        </is>
      </c>
      <c r="M603" t="inlineStr">
        <is>
          <t>未經審計</t>
        </is>
      </c>
      <c r="N603" t="inlineStr">
        <is>
          <t>老虎（轉 MiniMax 中期業績）</t>
        </is>
      </c>
      <c r="O603" t="inlineStr">
        <is>
          <t>https://www.itiger.com/news/1169167557</t>
        </is>
      </c>
      <c r="P603" s="2" t="n">
        <v>46260</v>
      </c>
      <c r="Q603" t="inlineStr">
        <is>
          <t>期間虧損 357.99 百萬美元；經調整淨虧 293.03</t>
        </is>
      </c>
    </row>
    <row r="604">
      <c r="A604" t="inlineStr">
        <is>
          <t>SRC_ZP_603</t>
        </is>
      </c>
      <c r="B604" t="inlineStr">
        <is>
          <t>Z1-M</t>
        </is>
      </c>
      <c r="C604" t="inlineStr">
        <is>
          <t>G</t>
        </is>
      </c>
      <c r="D604" t="inlineStr">
        <is>
          <t>peer_mmx_cash_1h26</t>
        </is>
      </c>
      <c r="E604" t="inlineStr">
        <is>
          <t>MiniMax 現金、等價物及短期投資</t>
        </is>
      </c>
      <c r="F604" s="2" t="n">
        <v>46203</v>
      </c>
      <c r="G604" t="n">
        <v>1320</v>
      </c>
      <c r="J604" t="inlineStr">
        <is>
          <t>USD 百萬</t>
        </is>
      </c>
      <c r="K604" t="inlineStr">
        <is>
          <t>Verified</t>
        </is>
      </c>
      <c r="M604" t="inlineStr">
        <is>
          <t>未經審計</t>
        </is>
      </c>
      <c r="N604" t="inlineStr">
        <is>
          <t>老虎（轉 MiniMax 中期業績）</t>
        </is>
      </c>
      <c r="O604" t="inlineStr">
        <is>
          <t>https://www.itiger.com/news/1169167557</t>
        </is>
      </c>
      <c r="P604" s="2" t="n">
        <v>46260</v>
      </c>
      <c r="Q604" t="inlineStr">
        <is>
          <t>「US$1.32 billion as of 30 June 2026」；EV 計算需匯率（模型 Inputs）</t>
        </is>
      </c>
    </row>
    <row r="605">
      <c r="A605" t="inlineStr">
        <is>
          <t>SRC_ZP_604</t>
        </is>
      </c>
      <c r="B605" t="inlineStr">
        <is>
          <t>Z1-M</t>
        </is>
      </c>
      <c r="C605" t="inlineStr">
        <is>
          <t>G</t>
        </is>
      </c>
      <c r="D605" t="inlineStr">
        <is>
          <t>peer_mmx_ev_rev</t>
        </is>
      </c>
      <c r="E605" t="inlineStr">
        <is>
          <t>MiniMax EV／營收（TTM）</t>
        </is>
      </c>
      <c r="F605" s="2" t="n">
        <v>46302</v>
      </c>
      <c r="J605" t="inlineStr">
        <is>
          <t>倍</t>
        </is>
      </c>
      <c r="K605" t="inlineStr">
        <is>
          <t>Derived</t>
        </is>
      </c>
      <c r="M605" t="inlineStr">
        <is>
          <t>計算</t>
        </is>
      </c>
      <c r="N605" t="inlineStr">
        <is>
          <t>Derived（待模型以 INP 匯率計算）</t>
        </is>
      </c>
      <c r="O605" t="inlineStr">
        <is>
          <t>https://www.itiger.com/hant/stock/00100/news</t>
        </is>
      </c>
      <c r="P605" s="2" t="n">
        <v>46302</v>
      </c>
      <c r="Q605" t="inlineStr">
        <is>
          <t>規則禁自行換匯；公式＝(830.72億HKD÷HKD/USD−13.2億USD)÷TTM營收（2H25＋1H26，2H25 需推算）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3" t="inlineStr">
        <is>
          <t>項目</t>
        </is>
      </c>
      <c r="B1" s="3" t="inlineStr">
        <is>
          <t>FY2024</t>
        </is>
      </c>
      <c r="C1" s="3" t="inlineStr">
        <is>
          <t>FY2025</t>
        </is>
      </c>
      <c r="D1" s="3" t="inlineStr">
        <is>
          <t>1H2026</t>
        </is>
      </c>
      <c r="E1" s="3" t="inlineStr">
        <is>
          <t>單位</t>
        </is>
      </c>
    </row>
    <row r="2">
      <c r="A2" t="inlineStr">
        <is>
          <t>營收總額</t>
        </is>
      </c>
      <c r="B2">
        <f>B3+B4</f>
        <v/>
      </c>
      <c r="C2">
        <f>C3+C4</f>
        <v/>
      </c>
      <c r="D2">
        <f>D3+D4</f>
        <v/>
      </c>
      <c r="E2" t="inlineStr">
        <is>
          <t>RMB 億</t>
        </is>
      </c>
    </row>
    <row r="3">
      <c r="A3" t="inlineStr">
        <is>
          <t>開放平台及 API</t>
        </is>
      </c>
      <c r="B3" t="n">
        <v>0.4848</v>
      </c>
      <c r="C3" t="n">
        <v>1.9038</v>
      </c>
      <c r="D3" t="n">
        <v>8.251799999999999</v>
      </c>
      <c r="E3" t="inlineStr">
        <is>
          <t>RMB 億</t>
        </is>
      </c>
    </row>
    <row r="4">
      <c r="A4" t="inlineStr">
        <is>
          <t>本地化部署（分部）</t>
        </is>
      </c>
      <c r="B4" t="n">
        <v>2.6393</v>
      </c>
      <c r="C4" t="n">
        <v>5.3396</v>
      </c>
      <c r="D4" t="n">
        <v>1.2872</v>
      </c>
      <c r="E4" t="inlineStr">
        <is>
          <t>RMB 億</t>
        </is>
      </c>
    </row>
    <row r="5">
      <c r="A5" t="inlineStr">
        <is>
          <t>銷售成本</t>
        </is>
      </c>
      <c r="B5" t="n">
        <v>1.3653</v>
      </c>
      <c r="C5" t="n">
        <v>4.2768</v>
      </c>
      <c r="D5" t="n">
        <v>7.0228</v>
      </c>
      <c r="E5" t="inlineStr">
        <is>
          <t>RMB 億</t>
        </is>
      </c>
    </row>
    <row r="6">
      <c r="A6" t="inlineStr">
        <is>
          <t>毛利</t>
        </is>
      </c>
      <c r="B6" t="n">
        <v>1.7589</v>
      </c>
      <c r="C6" t="n">
        <v>2.9666</v>
      </c>
      <c r="D6" t="n">
        <v>2.5161</v>
      </c>
      <c r="E6" t="inlineStr">
        <is>
          <t>RMB 億</t>
        </is>
      </c>
    </row>
    <row r="7">
      <c r="A7" t="inlineStr">
        <is>
          <t>API 毛利</t>
        </is>
      </c>
      <c r="B7" t="n">
        <v>0.016</v>
      </c>
      <c r="C7" t="n">
        <v>0.36</v>
      </c>
      <c r="D7" t="n">
        <v>2.0287</v>
      </c>
      <c r="E7" t="inlineStr">
        <is>
          <t>RMB 億</t>
        </is>
      </c>
    </row>
    <row r="8">
      <c r="A8" t="inlineStr">
        <is>
          <t>研發開支</t>
        </is>
      </c>
      <c r="B8" t="n">
        <v>21.9544</v>
      </c>
      <c r="C8" t="n">
        <v>31.8044</v>
      </c>
      <c r="D8" t="n">
        <v>21.3117</v>
      </c>
      <c r="E8" t="inlineStr">
        <is>
          <t>RMB 億</t>
        </is>
      </c>
    </row>
    <row r="9">
      <c r="A9" t="inlineStr">
        <is>
          <t>銷售及營銷</t>
        </is>
      </c>
      <c r="B9" t="n">
        <v>3.8748</v>
      </c>
      <c r="C9" t="n">
        <v>3.9087</v>
      </c>
      <c r="D9" t="n">
        <v>1.7767</v>
      </c>
      <c r="E9" t="inlineStr">
        <is>
          <t>RMB 億</t>
        </is>
      </c>
    </row>
    <row r="10">
      <c r="A10" t="inlineStr">
        <is>
          <t>一般及行政</t>
        </is>
      </c>
      <c r="B10" t="n">
        <v>1.336</v>
      </c>
      <c r="C10" t="n">
        <v>5.0536</v>
      </c>
      <c r="D10" t="n">
        <v>1.0335</v>
      </c>
      <c r="E10" t="inlineStr">
        <is>
          <t>RMB 億</t>
        </is>
      </c>
    </row>
    <row r="11">
      <c r="A11" t="inlineStr">
        <is>
          <t>財務成本</t>
        </is>
      </c>
      <c r="B11" t="n">
        <v>0.3832</v>
      </c>
      <c r="C11" t="n">
        <v>0.7431</v>
      </c>
      <c r="D11" t="n">
        <v>0.9593</v>
      </c>
      <c r="E11" t="inlineStr">
        <is>
          <t>RMB 億</t>
        </is>
      </c>
    </row>
    <row r="12">
      <c r="A12" t="inlineStr">
        <is>
          <t>資本開支</t>
        </is>
      </c>
      <c r="B12" t="n">
        <v>4.623</v>
      </c>
      <c r="C12" t="n">
        <v>0.747</v>
      </c>
      <c r="D12" t="n">
        <v>3.906</v>
      </c>
      <c r="E12" t="inlineStr">
        <is>
          <t>RMB 億</t>
        </is>
      </c>
    </row>
    <row r="13">
      <c r="A13" t="inlineStr">
        <is>
          <t>期末現金</t>
        </is>
      </c>
      <c r="B13" t="n">
        <v>22.6816</v>
      </c>
      <c r="C13" t="n">
        <v>22.5915</v>
      </c>
      <c r="E13" t="inlineStr">
        <is>
          <t>RMB 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workbookViewId="0">
      <selection activeCell="A1" sqref="A1"/>
    </sheetView>
  </sheetViews>
  <sheetFormatPr baseColWidth="8" defaultRowHeight="15"/>
  <cols>
    <col width="150" customWidth="1" min="2" max="2"/>
  </cols>
  <sheetData>
    <row r="1">
      <c r="A1" t="inlineStr">
        <is>
          <t>組</t>
        </is>
      </c>
      <c r="B1" t="inlineStr">
        <is>
          <t>內容</t>
        </is>
      </c>
    </row>
    <row r="2">
      <c r="A2" t="inlineStr">
        <is>
          <t>Z1-F</t>
        </is>
      </c>
      <c r="B2" t="inlineStr">
        <is>
          <t>item:研發開支組成（算力服務費、人工、股權報酬）FY2023、FY2025、1H2026 金額；tried:招股章程中文／英文版（WebFetch 僅讀到概要至第 25 頁）、PHIP 會計師報告（已下架 404）、2025 年度業績公告、2026 中期業績公告；查詢詞「智谱 研发 算力服务费 2023」「computing service fees research and development」；judgment:FY2023 可能在招股章程財務資料節（未能讀取）；FY2025、1H2026 公告未揭露，年報／中期報告全文未找到</t>
        </is>
      </c>
    </row>
    <row r="3">
      <c r="A3" t="inlineStr">
        <is>
          <t>Z1-F</t>
        </is>
      </c>
      <c r="B3" t="inlineStr">
        <is>
          <t>item:FY2025、1H2026 經營活動現金流；tried:年度業績公告、中期業績公告（無現金流量表）；搜尋 2025 年報、2026 中期報告 PDF；judgment:找不到（年報／中期報告全文未定位；公告未揭露）</t>
        </is>
      </c>
    </row>
    <row r="4">
      <c r="A4" t="inlineStr">
        <is>
          <t>Z1-F</t>
        </is>
      </c>
      <c r="B4" t="inlineStr">
        <is>
          <t>item:政府補助金額（各期）；tried:招股章程概要、年度及中期業績公告；查詢「智谱 政府补助」；judgment:可能未在公告揭露；其他收入未拆。1H2026 非流動遞延收益 1.73 億性質未說明</t>
        </is>
      </c>
    </row>
    <row r="5">
      <c r="A5" t="inlineStr">
        <is>
          <t>Z1-F</t>
        </is>
      </c>
      <c r="B5" t="inlineStr">
        <is>
          <t>item:銀行借款利率與到期明細；tried:年度、中期公告（僅流動／非流動拆分）、招股章程概要；judgment:可能在年報附註／會計師報告；公告未揭露</t>
        </is>
      </c>
    </row>
    <row r="6">
      <c r="A6" t="inlineStr">
        <is>
          <t>Z1-F</t>
        </is>
      </c>
      <c r="B6" t="inlineStr">
        <is>
          <t>item:FY2022–FY2023 資本開支（購置物業廠房設備）；tried:招股章程概要（僅投資活動淨額）；judgment:在招股章程財務資料節，未能讀取</t>
        </is>
      </c>
    </row>
    <row r="7">
      <c r="A7" t="inlineStr">
        <is>
          <t>Z1-F</t>
        </is>
      </c>
      <c r="B7" t="inlineStr">
        <is>
          <t>item:FY2022–FY2024 員工總數、研發人數時間序列；tried:招股章程概要、媒體；judgment:可能在招股章程業務／僱員節，未能讀取；僅得 2025-06-30（883／657）、2025-12-31（1,094）、2026-06-30（981）</t>
        </is>
      </c>
    </row>
    <row r="8">
      <c r="A8" t="inlineStr">
        <is>
          <t>Z1-F</t>
        </is>
      </c>
      <c r="B8" t="inlineStr">
        <is>
          <t>item:GLM Coding Plan 單列收入；tried:年度、中期公告；媒體；judgment:未揭露（公司未單列）；只能判定歸屬開放平台及 API</t>
        </is>
      </c>
    </row>
    <row r="9">
      <c r="A9" t="inlineStr">
        <is>
          <t>Z1-F</t>
        </is>
      </c>
      <c r="B9" t="inlineStr">
        <is>
          <t>item:受限制現金；tried:年度、中期公告；judgment:公告未提及，可能不存在或未重大</t>
        </is>
      </c>
    </row>
    <row r="10">
      <c r="A10" t="inlineStr">
        <is>
          <t>Z1-F</t>
        </is>
      </c>
      <c r="B10" t="inlineStr">
        <is>
          <t>item:FY2022–FY2023 新分類（四條業務線）收入；tried:招股章程（只有本地化／雲端兩分部）；judgment:新分類自 2025 年度起，2024 為最早比較期；FY22–23 可能不存在</t>
        </is>
      </c>
    </row>
    <row r="11">
      <c r="A11" t="inlineStr">
        <is>
          <t>Z1-F</t>
        </is>
      </c>
      <c r="B11" t="inlineStr">
        <is>
          <t>item:股權激勵計畫條款（授予量、行權價）；tried:年度、中期公告；judgment:可能在招股章程法定及一般資料附錄（未能讀取）</t>
        </is>
      </c>
    </row>
    <row r="12">
      <c r="A12" t="inlineStr">
        <is>
          <t>Z1-R</t>
        </is>
      </c>
      <c r="B12" t="inlineStr">
        <is>
          <t>item:bigmodel.cn 官方定價頁直讀；tried:WebFetch open.bigmodel.cn/pricing、bigmodel.cn/pricing（需 JS，回傳空殼；curl 被代理拒絕）；改用奇連 AI 轉錄＋華為雲／17173／CodePick 交叉核對；verdict:找不到（技術限制，非未揭露）</t>
        </is>
      </c>
    </row>
    <row r="13">
      <c r="A13" t="inlineStr">
        <is>
          <t>Z1-R</t>
        </is>
      </c>
      <c r="B13" t="inlineStr">
        <is>
          <t>item:z.ai 官方 Coding Plan 訂閱頁（z.ai/subscribe）與 docs.z.ai release notes；tried:WebFetch 需使用者授權逾時；改用 Digital Applied、UsagePricing、aipricing.guru（2026-10-07 核對）；verdict:找不到（技術限制）</t>
        </is>
      </c>
    </row>
    <row r="14">
      <c r="A14" t="inlineStr">
        <is>
          <t>Z1-R</t>
        </is>
      </c>
      <c r="B14" t="inlineStr">
        <is>
          <t>item:GLM-4.6、GLM-4.7、GLM-5 上市當日的人民幣牌價（官方公告原文）；tried:搜尋「GLM-4.6 發布 價格 元」「GLM-5 4元 18元」「GLM-4.7 2元 8元」；僅得現行價轉錄與 TypingMind 美元價；verdict:找不到（現行價可得，歷史 RMB 公告原文未查得）</t>
        </is>
      </c>
    </row>
    <row r="15">
      <c r="A15" t="inlineStr">
        <is>
          <t>Z1-R</t>
        </is>
      </c>
      <c r="B15" t="inlineStr">
        <is>
          <t>item:開放平台離峰（閒時／錯峰）折扣；tried:奇連 AI 價目文、docs.z.ai pricing.md、搜尋「智譜 錯峰 折扣」；verdict:可能不存在（官方表與轉錄均未列）</t>
        </is>
      </c>
    </row>
    <row r="16">
      <c r="A16" t="inlineStr">
        <is>
          <t>Z1-R</t>
        </is>
      </c>
      <c r="B16" t="inlineStr">
        <is>
          <t>item:新用戶免費額度（贈送 token 數）；tried:docs.z.ai pricing、奇連 AI（明言未核實）；verdict:找不到</t>
        </is>
      </c>
    </row>
    <row r="17">
      <c r="A17" t="inlineStr">
        <is>
          <t>Z1-R</t>
        </is>
      </c>
      <c r="B17" t="inlineStr">
        <is>
          <t>item:Coding Plan 訂閱收入金額、訂閱者絕對數（中期）；tried:中期業績公告全文（僅「Coding Plan subscription prices also went up」與 23 倍）、年度業績公告（24.2 萬付費開發者，2026-03）；verdict:可能未揭露</t>
        </is>
      </c>
    </row>
    <row r="18">
      <c r="A18" t="inlineStr">
        <is>
          <t>Z1-R</t>
        </is>
      </c>
      <c r="B18" t="inlineStr">
        <is>
          <t>item:付費用戶絕對數、付費日活絕對數；tried:中期公告（僅 +603%）、年度公告、招股章程；verdict:可能未揭露</t>
        </is>
      </c>
    </row>
    <row r="19">
      <c r="A19" t="inlineStr">
        <is>
          <t>Z1-R</t>
        </is>
      </c>
      <c r="B19" t="inlineStr">
        <is>
          <t>item:企業客戶數（2026）；tried:中期公告（只有「enterprise and developer users」合計 740 萬）、年度公告；verdict:可能未揭露（最新為招股章程 9M25 &gt;12,000 機構客戶）</t>
        </is>
      </c>
    </row>
    <row r="20">
      <c r="A20" t="inlineStr">
        <is>
          <t>Z1-R</t>
        </is>
      </c>
      <c r="B20" t="inlineStr">
        <is>
          <t>item:2026 年日均 token 絕對值；tried:中期公告（只有倍數；唯一絕對值為 Ox-Alpha 6 日 62T）、業績會轉述、搜尋「智譜 日均 token 萬億 2026」；verdict:可能未揭露；可由 2025-11 4.2T × 倍數推估（Derived，需注意基期為年初而非 2025-11）</t>
        </is>
      </c>
    </row>
    <row r="21">
      <c r="A21" t="inlineStr">
        <is>
          <t>Z1-R</t>
        </is>
      </c>
      <c r="B21" t="inlineStr">
        <is>
          <t>item:智譜清言月活絕對值；tried:QuestMobile（每經 2026Q1 榜：未進 TOP20）、QuestMobile 2026H1（IT之家）、新京報×Xsignal 4 月榜、第一財經 AI 產品榜；verdict:找不到（第三方榜單未列，僅知未進前 20）</t>
        </is>
      </c>
    </row>
    <row r="22">
      <c r="A22" t="inlineStr">
        <is>
          <t>Z1-R</t>
        </is>
      </c>
      <c r="B22" t="inlineStr">
        <is>
          <t>item:前五大供應商名稱、算力採購金額（FY2025、1H26）；tried:年度業績公告（未列供應商）、中期公告（未列）、招股章程（只有占比）；年報全文 PDF 未在搜尋結果中出現；verdict:可能未揭露名稱；FY2025 年報占比可能有但本次未取得</t>
        </is>
      </c>
    </row>
    <row r="23">
      <c r="A23" t="inlineStr">
        <is>
          <t>Z1-R</t>
        </is>
      </c>
      <c r="B23" t="inlineStr">
        <is>
          <t>item:10 萬級國產晶片的廠牌、型號、自有或租用比例；tried:中期公告第 4、11–12 頁（只稱 domestic chips）、媒體（同花順、財聞、虎嗅）、搜尋「智譜 10萬 國產芯片 昇騰 寒武紀」；verdict:可能未揭露（僅知多平台 Day-0 適配：昇騰、寒武紀、海光、崑崙芯、壁仞、摩爾線程）</t>
        </is>
      </c>
    </row>
    <row r="24">
      <c r="A24" t="inlineStr">
        <is>
          <t>Z1-R</t>
        </is>
      </c>
      <c r="B24" t="inlineStr">
        <is>
          <t>item:1GW 國產算力資料中心的地點、夥伴、IT／設施口徑、持有方式；tried:財聞、華爾街見聞、虎嗅、北京日報（搜尋結果）；verdict:可能未揭露</t>
        </is>
      </c>
    </row>
    <row r="25">
      <c r="A25" t="inlineStr">
        <is>
          <t>Z1-R</t>
        </is>
      </c>
      <c r="B25" t="inlineStr">
        <is>
          <t>item:自有伺服器／GPU 數量與型號；tried:招股章程（只稱 procurement and lease of computing hardware）、年度與中期公告（僅資本支出金額）；verdict:可能未揭露</t>
        </is>
      </c>
    </row>
    <row r="26">
      <c r="A26" t="inlineStr">
        <is>
          <t>Z1-R</t>
        </is>
      </c>
      <c r="B26" t="inlineStr">
        <is>
          <t>item:昇騰 910C 卡時租價；tried:SMM 算力日報（只有 910B2／B3／B4）、CSDN／AtomGit、搜尋「910C 租賃 價格」；verdict:找不到</t>
        </is>
      </c>
    </row>
    <row r="27">
      <c r="A27" t="inlineStr">
        <is>
          <t>Z1-R</t>
        </is>
      </c>
      <c r="B27" t="inlineStr">
        <is>
          <t>item:昇騰 910B 租價的 unit 定義（單卡或 8 卡整機）；tried:SMM 多篇（皆未定義）；verdict:找不到；以 H20 卡時價與整機價吻合推定 SMM 整機＝8 卡</t>
        </is>
      </c>
    </row>
    <row r="28">
      <c r="A28" t="inlineStr">
        <is>
          <t>Z1-R</t>
        </is>
      </c>
      <c r="B28" t="inlineStr">
        <is>
          <t>item:CloudMatrix 384 系統功耗的非 SemiAnalysis 獨立來源；tried:Tom's Hardware、The Register、少數派、DIGITIMES（付費牆）、HuaweiCentral、aiwiki（皆引 SemiAnalysis 或未註源）；verdict:找不到（華為未公布官方功耗）；依規則不可單獨引用</t>
        </is>
      </c>
    </row>
    <row r="29">
      <c r="A29" t="inlineStr">
        <is>
          <t>Z1-R</t>
        </is>
      </c>
      <c r="B29" t="inlineStr">
        <is>
          <t>item:H20 對 H100 推論效能比的獨立量測（MLPerf 官方）；tried:DatabaseMart（工程估計）、Asia Times（SemiAnalysis）、flopper.io 規格比較；verdict:可能不存在（NVIDIA 未提交 H20 MLPerf）</t>
        </is>
      </c>
    </row>
    <row r="30">
      <c r="A30" t="inlineStr">
        <is>
          <t>Z1-R</t>
        </is>
      </c>
      <c r="B30" t="inlineStr">
        <is>
          <t>item:開放平台企業客戶前十大集中度（2026）；tried:中期公告（僅前十大日均呼叫 98 倍）；verdict:可能未揭露</t>
        </is>
      </c>
    </row>
    <row r="31">
      <c r="A31" t="inlineStr">
        <is>
          <t>Z1-M</t>
        </is>
      </c>
      <c r="B31" t="inlineStr">
        <is>
          <t>item:2026-07 配售「人民幣 272.31 億」說法；tried:WebSearch「智谱 配售 272.31亿」「"272.31" 智谱 人民币」；HKEX 2026-09-13 公告；觀點網、同花順、香港01；judgment:找不到。公告與媒體一致為港幣：總額 314.11 億、淨額 313.75 億。272.31 億可能是港幣淨額換算人民幣，或其他口徑，原文未見</t>
        </is>
      </c>
    </row>
    <row r="32">
      <c r="A32" t="inlineStr">
        <is>
          <t>Z1-M</t>
        </is>
      </c>
      <c r="B32" t="inlineStr">
        <is>
          <t>item:中科加禾收購對價「約 2.92 億」；tried:WebSearch「智谱 中科加禾 60%股权 2.92亿」「"中科加禾" 智谱 "2.92亿"」；澎湃、21世紀、川觀、華爾街見聞、投資界、鉅亨；中期業績公告（WebFetch 讀取到的部分）；judgment:找不到。媒體只寫「數億元」，投資界稱「未獲得披露」；未達須予公佈交易門檻，可能未發公告。中期公告後段被截斷，期後事項附註未讀到</t>
        </is>
      </c>
    </row>
    <row r="33">
      <c r="A33" t="inlineStr">
        <is>
          <t>Z1-M</t>
        </is>
      </c>
      <c r="B33" t="inlineStr">
        <is>
          <t>item:2026-07 第一次配售原始公告 PDF（HKEXnews 2026-07-09）；tried:WebSearch HKEX 標題；用 FF305（東方財富鏡像）與 2026-09-13 公告的追溯段落代替；judgment:找不到直接網址；數字已由 09-13 公告與 FF305 交叉核對</t>
        </is>
      </c>
    </row>
    <row r="34">
      <c r="A34" t="inlineStr">
        <is>
          <t>Z1-M</t>
        </is>
      </c>
      <c r="B34" t="inlineStr">
        <is>
          <t>item:IPO 招股章程原文（上市前各輪每股成本、投後估值表、基石個別金額）；tried:WebSearch「智谱 招股书 首次公开发售前投资 每股成本 投后估值」；新浪、智東西、量子位、財聯社轉述；judgment:找不到原文網址（HKEX 搜尋頁需 JS，curl 被 proxy 擋）；各輪只有媒體轉述，B3、B5、B6 金額與多數輪次投後估值缺</t>
        </is>
      </c>
    </row>
    <row r="35">
      <c r="A35" t="inlineStr">
        <is>
          <t>Z1-M</t>
        </is>
      </c>
      <c r="B35" t="inlineStr">
        <is>
          <t>item:阿里、騰訊、小米、紅杉、高瓴、Prosperity7 上市前與上市後持股比例；tried:財聯社、智東西、新浪（招股章程轉述）；HKEX 權益披露未查；judgment:找不到（媒體只列美團 4.27%、君聯 6.73% 等）；需讀招股章程「主要股東」或 DI 披露</t>
        </is>
      </c>
    </row>
    <row r="36">
      <c r="A36" t="inlineStr">
        <is>
          <t>Z1-M</t>
        </is>
      </c>
      <c r="B36" t="inlineStr">
        <is>
          <t>item:Prosperity7 個別投資金額；tried:Gulf News／Bloomberg、Verdict、EqualOcean；judgment:可能不存在（未揭露）；只知其參與約 4 億美元的一輪</t>
        </is>
      </c>
    </row>
    <row r="37">
      <c r="A37" t="inlineStr">
        <is>
          <t>Z1-M</t>
        </is>
      </c>
      <c r="B37" t="inlineStr">
        <is>
          <t>item:銀行借款利率、到期、未動用授信額度；tried:2026 中期業績公告（兩次 WebFetch 定向詢問）；judgment:找不到（公告正文未列）；可能在中期報告全文附註，或未揭露</t>
        </is>
      </c>
    </row>
    <row r="38">
      <c r="A38" t="inlineStr">
        <is>
          <t>Z1-M</t>
        </is>
      </c>
      <c r="B38" t="inlineStr">
        <is>
          <t>item:全流通（H 股全流通）轉換股數的原文；tried:WebSearch「智譜 全流通 轉換為H股」；judgment:找不到原文；由 FF301 H 股 221,314,605 減 IPO 新股 43,032,400 推算 178,282,205（Derived，未登錄為 item）</t>
        </is>
      </c>
    </row>
    <row r="39">
      <c r="A39" t="inlineStr">
        <is>
          <t>Z1-M</t>
        </is>
      </c>
      <c r="B39" t="inlineStr">
        <is>
          <t>item:管理層營收、毛利率、獲利時點、算力投入的量化目標；tried:2026 中期業績公告未來展望；財聯社業績會報導；證券日報 9-16 電話會；judgment:量化目標可能不存在。只有 ARR 指引（年末 30 億美元）；獲利時點、毛利率、算力投入無量化說法</t>
        </is>
      </c>
    </row>
    <row r="40">
      <c r="A40" t="inlineStr">
        <is>
          <t>Z1-M</t>
        </is>
      </c>
      <c r="B40" t="inlineStr">
        <is>
          <t>item:分析師共識的來源券商名單與 FY2026–28 共識的機構版（Bloomberg／LSEG）；tried:Investing、Simply Wall St、MarketScreener（無結果）、Futu（需 JS）；judgment:找不到機構版；聚合平台未列券商名單</t>
        </is>
      </c>
    </row>
    <row r="41">
      <c r="A41" t="inlineStr">
        <is>
          <t>Z1-M</t>
        </is>
      </c>
      <c r="B41" t="inlineStr">
        <is>
          <t>item:MiniMax EV／營收倍數；tried:老虎、Investing（未嘗試）、媒體；judgment:找不到現成值；需在模型以匯率自行計算（Derived）</t>
        </is>
      </c>
    </row>
    <row r="42">
      <c r="A42" t="inlineStr">
        <is>
          <t>Z1-M</t>
        </is>
      </c>
      <c r="B42" t="inlineStr">
        <is>
          <t>item:海外對照（OpenAI、Anthropic 估值倍數）；tried:未嘗試（選做；OpenAI 已有 OAI_Link）；judgment:未查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2026-10-08T01:09:15Z</dcterms:created>
  <dcterms:modified xmlns:dcterms="http://purl.org/dc/terms/" xmlns:xsi="http://www.w3.org/2001/XMLSchema-instance" xsi:type="dcterms:W3CDTF">2026-10-08T01:09:15Z</dcterms:modified>
</cp:coreProperties>
</file>