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本輪新增或變動的列" sheetId="1" state="visible" r:id="rId1"/>
    <sheet xmlns:r="http://schemas.openxmlformats.org/officeDocument/2006/relationships" name="②關鍵輸出（P1 前後＝最終）" sheetId="2" state="visible" r:id="rId2"/>
    <sheet xmlns:r="http://schemas.openxmlformats.org/officeDocument/2006/relationships" name="③已套用的預設（r2）" sheetId="3" state="visible" r:id="rId3"/>
    <sheet xmlns:r="http://schemas.openxmlformats.org/officeDocument/2006/relationships" name="④敏感度與翻轉點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50" customWidth="1" min="4" max="4"/>
    <col width="12" customWidth="1" min="5" max="5"/>
    <col width="12" customWidth="1" min="6" max="6"/>
    <col width="12" customWidth="1" min="7" max="7"/>
    <col width="40" customWidth="1" min="8" max="8"/>
    <col width="60" customWidth="1" min="9" max="9"/>
  </cols>
  <sheetData>
    <row r="1">
      <c r="A1" s="1" t="inlineStr">
        <is>
          <t>項</t>
        </is>
      </c>
      <c r="B1" s="1" t="inlineStr">
        <is>
          <t>頁</t>
        </is>
      </c>
      <c r="C1" s="1" t="inlineStr">
        <is>
          <t>列 ID</t>
        </is>
      </c>
      <c r="D1" s="1" t="inlineStr">
        <is>
          <t>項目</t>
        </is>
      </c>
      <c r="E1" s="1" t="inlineStr">
        <is>
          <t>2025／D</t>
        </is>
      </c>
      <c r="F1" s="1" t="inlineStr">
        <is>
          <t>1H26／K</t>
        </is>
      </c>
      <c r="G1" s="1" t="inlineStr">
        <is>
          <t>2030／I</t>
        </is>
      </c>
      <c r="H1" s="1" t="inlineStr">
        <is>
          <t>公式（D 或 K 欄）</t>
        </is>
      </c>
      <c r="I1" s="1" t="inlineStr">
        <is>
          <t>來源／標記</t>
        </is>
      </c>
    </row>
    <row r="2">
      <c r="A2" t="inlineStr">
        <is>
          <t>P1</t>
        </is>
      </c>
      <c r="B2" t="inlineStr">
        <is>
          <t>Compute</t>
        </is>
      </c>
      <c r="C2" t="inlineStr">
        <is>
          <t>G68</t>
        </is>
      </c>
      <c r="D2" t="inlineStr">
        <is>
          <t>營業成本中的計算服務費（推估）＝API 銷售成本 × 算力費占比</t>
        </is>
      </c>
      <c r="E2" t="n">
        <v>1.5438</v>
      </c>
      <c r="F2" t="n">
        <v>6.223</v>
      </c>
      <c r="H2">
        <f>D79*INP_102</f>
        <v/>
      </c>
      <c r="I2" t="inlineStr">
        <is>
          <t>Inputs（基準 1＝上限；下限 0.22＝FY2024 銷售成本中算力費占比）。r2 P1：只是總算力費的一部分（招股章程期間占 2–3%），不再等於推論支出；舊法（D8r）以本列為推論支出，見第七節對照與第十五節</t>
        </is>
      </c>
    </row>
    <row r="3">
      <c r="A3" t="inlineStr">
        <is>
          <t>P1</t>
        </is>
      </c>
      <c r="B3" t="inlineStr">
        <is>
          <t>Compute</t>
        </is>
      </c>
      <c r="C3" t="inlineStr">
        <is>
          <t>G72</t>
        </is>
      </c>
      <c r="D3" t="inlineStr">
        <is>
          <t>研發項下算力服務費（基準：P1）＝研發開支 × 1H25 占比</t>
        </is>
      </c>
      <c r="E3" t="n">
        <v>22.8355592</v>
      </c>
      <c r="F3" t="n">
        <v>15.3018006</v>
      </c>
      <c r="H3">
        <f>D81*INP_137</f>
        <v/>
      </c>
      <c r="I3" t="inlineStr">
        <is>
          <t>r2 P1：占比 Inputs（招股章程 1H25 71.8%，SRC_ZP_640；Analogy 60–80%）；分母為研發開支總額（同招股章程）</t>
        </is>
      </c>
    </row>
    <row r="4">
      <c r="A4" t="inlineStr">
        <is>
          <t>P1</t>
        </is>
      </c>
      <c r="B4" t="inlineStr">
        <is>
          <t>Compute</t>
        </is>
      </c>
      <c r="C4" t="inlineStr">
        <is>
          <t>G75</t>
        </is>
      </c>
      <c r="D4" t="inlineStr">
        <is>
          <t>總算力費＝營業成本計算服務費＋研發項下算力費</t>
        </is>
      </c>
      <c r="E4" t="n">
        <v>24.3793592</v>
      </c>
      <c r="F4" t="n">
        <v>21.5248006</v>
      </c>
      <c r="H4">
        <f>D80+D84</f>
        <v/>
      </c>
      <c r="I4" t="inlineStr">
        <is>
          <t>r2 P1；銷售及營銷項下算力費未揭露（招股章程期間占總算力費 0–1.7%），不另估（見報告）</t>
        </is>
      </c>
    </row>
    <row r="5">
      <c r="A5" t="inlineStr">
        <is>
          <t>P1</t>
        </is>
      </c>
      <c r="B5" t="inlineStr">
        <is>
          <t>Compute</t>
        </is>
      </c>
      <c r="C5" t="inlineStr">
        <is>
          <t>G76</t>
        </is>
      </c>
      <c r="D5" t="inlineStr">
        <is>
          <t>研發科目占總算力費（會計科目；只列）</t>
        </is>
      </c>
      <c r="E5" t="n">
        <v>0.936675940194523</v>
      </c>
      <c r="F5" t="n">
        <v>0.710891630745234</v>
      </c>
      <c r="H5">
        <f>D84/D87</f>
        <v/>
      </c>
      <c r="I5" t="inlineStr">
        <is>
          <t>Z3–Z5b 以本列為研發占比起點；r2 P1 起改用研發 GW 殘差占比（第八節）</t>
        </is>
      </c>
    </row>
    <row r="6">
      <c r="A6" t="inlineStr">
        <is>
          <t>P1</t>
        </is>
      </c>
      <c r="B6" t="inlineStr">
        <is>
          <t>Compute</t>
        </is>
      </c>
      <c r="C6" t="inlineStr">
        <is>
          <t>G91</t>
        </is>
      </c>
      <c r="D6" t="inlineStr">
        <is>
          <t>對照（舊法 D8r）：API 銷售成本換算推論 GW＝營業成本計算服務費 ÷（每 GW 價格 × 期間比例）</t>
        </is>
      </c>
      <c r="E6" t="n">
        <v>0.00227527969917954</v>
      </c>
      <c r="F6" t="n">
        <v>0.0217557979461005</v>
      </c>
      <c r="H6">
        <f>D80/D102</f>
        <v/>
      </c>
      <c r="I6" t="inlineStr">
        <is>
          <t>Z3–Z5b 的推論支出口徑；r2 P1 起只用於舊法 η 與 R4 對照</t>
        </is>
      </c>
    </row>
    <row r="7">
      <c r="A7" t="inlineStr">
        <is>
          <t>P1</t>
        </is>
      </c>
      <c r="B7" t="inlineStr">
        <is>
          <t>Compute</t>
        </is>
      </c>
      <c r="C7" t="inlineStr">
        <is>
          <t>G92</t>
        </is>
      </c>
      <c r="D7" t="inlineStr">
        <is>
          <t>η（校準值）</t>
        </is>
      </c>
      <c r="E7" t="n">
        <v>1.12579356408912</v>
      </c>
      <c r="F7" t="n">
        <v>3.90762953447915</v>
      </c>
      <c r="H7">
        <f>IF(INP_139,D65/D105,MAX(INP_138,D65/(D119*(1-INP_109))))</f>
        <v/>
      </c>
      <c r="I7" t="inlineStr">
        <is>
          <t>r2 P1：＝MAX（基準 1, token 換算 GW ÷［供給 ×（1−訓練最低占比）］）；開關＝1 時為舊法（token GW ÷ API 銷售成本換算 GW）。D 欄＝2025、K 欄＝1H26</t>
        </is>
      </c>
    </row>
    <row r="8">
      <c r="A8" t="inlineStr">
        <is>
          <t>P1</t>
        </is>
      </c>
      <c r="B8" t="inlineStr">
        <is>
          <t>Compute</t>
        </is>
      </c>
      <c r="C8" t="inlineStr">
        <is>
          <t>G95</t>
        </is>
      </c>
      <c r="D8" t="inlineStr">
        <is>
          <t>對照：Z3 舊法 η（參考組合 token GW ÷ API 銷售成本換算 GW）</t>
        </is>
      </c>
      <c r="E8" t="n">
        <v>49.0454601789442</v>
      </c>
      <c r="F8" t="n">
        <v>38.3464262908572</v>
      </c>
      <c r="H8">
        <f>D76/D105</f>
        <v/>
      </c>
      <c r="I8" t="inlineStr">
        <is>
          <t>Z3b F3：只列</t>
        </is>
      </c>
    </row>
    <row r="9">
      <c r="A9" t="inlineStr">
        <is>
          <t>P1</t>
        </is>
      </c>
      <c r="B9" t="inlineStr">
        <is>
          <t>Compute</t>
        </is>
      </c>
      <c r="C9" t="inlineStr">
        <is>
          <t>G96</t>
        </is>
      </c>
      <c r="D9" t="inlineStr">
        <is>
          <t>η（逐年）</t>
        </is>
      </c>
      <c r="E9" t="n">
        <v>1.12579356408912</v>
      </c>
      <c r="F9" t="n">
        <v>3.90762953447915</v>
      </c>
      <c r="G9" t="n">
        <v>3.90762953447915</v>
      </c>
      <c r="H9">
        <f>D106</f>
        <v/>
      </c>
      <c r="I9" t="inlineStr">
        <is>
          <t>Z3b F2：2H26 起＝η₁H₂₆＋開關 ×（目標 1 − η₁H₂₆）× 進度；開關＝η₁H₂₆≤1 時 INP（回升，同 OpenAI），&gt;1 時 INP（基準 0＝沿用 1H26；1＝收斂至 1）；E 欄＝token GW ÷ 有效 GW</t>
        </is>
      </c>
    </row>
    <row r="10">
      <c r="A10" t="inlineStr">
        <is>
          <t>P1</t>
        </is>
      </c>
      <c r="B10" t="inlineStr">
        <is>
          <t>Compute</t>
        </is>
      </c>
      <c r="C10" t="inlineStr">
        <is>
          <t>G97</t>
        </is>
      </c>
      <c r="D10" t="inlineStr">
        <is>
          <t>有效推論 GW（未截頂）＝token 換算 GW ÷ η</t>
        </is>
      </c>
      <c r="E10" t="n">
        <v>0.0251515110420626</v>
      </c>
      <c r="F10" t="n">
        <v>0.052675951932925</v>
      </c>
      <c r="G10" t="n">
        <v>0.539404798319152</v>
      </c>
      <c r="H10">
        <f>D65/D110</f>
        <v/>
      </c>
      <c r="I10" t="inlineStr">
        <is>
          <t>2025、1H26＝支出換算 GW（校準恆等式）</t>
        </is>
      </c>
    </row>
    <row r="11">
      <c r="A11" t="inlineStr">
        <is>
          <t>P1</t>
        </is>
      </c>
      <c r="B11" t="inlineStr">
        <is>
          <t>Compute</t>
        </is>
      </c>
      <c r="C11" t="inlineStr">
        <is>
          <t>G98</t>
        </is>
      </c>
      <c r="D11" t="inlineStr">
        <is>
          <t>研發占非閒置供給比例（路徑）</t>
        </is>
      </c>
      <c r="E11" t="n">
        <v>0.3</v>
      </c>
      <c r="F11" t="n">
        <v>0.3</v>
      </c>
      <c r="G11" t="n">
        <v>0.3</v>
      </c>
      <c r="H11">
        <f>IF(D219,INP_109,D127/D119)</f>
        <v/>
      </c>
      <c r="I11" t="inlineStr">
        <is>
          <t>2025、1H26＝研發 GW 殘差 ÷ 供給（r2 P1；η 上調時＝訓練最低占比；Z3–Z5b 為會計科目占比）；2H26 起＝1H26 值＋開關 ×（2030 目標 − 1H26）× 進度；開關 0（基準）＝沿用 1H26</t>
        </is>
      </c>
    </row>
    <row r="12">
      <c r="A12" t="inlineStr">
        <is>
          <t>P1</t>
        </is>
      </c>
      <c r="B12" t="inlineStr">
        <is>
          <t>Compute</t>
        </is>
      </c>
      <c r="C12" t="inlineStr">
        <is>
          <t>G108</t>
        </is>
      </c>
      <c r="D12" t="inlineStr">
        <is>
          <t>推論 GW（截頂後）</t>
        </is>
      </c>
      <c r="E12" t="n">
        <v>0.0251515110420626</v>
      </c>
      <c r="F12" t="n">
        <v>0.052675951932925</v>
      </c>
      <c r="G12" t="n">
        <v>0.539404798319152</v>
      </c>
      <c r="H12">
        <f>D111</f>
        <v/>
      </c>
      <c r="I12" t="inlineStr">
        <is>
          <t>校準期＝有效推論（營收＝實際）；之後＝MIN（可用, 有效）；研發占比 ≥ 訓練最低占比時供給依需求配置、必然足夠，直接取有效推論（r2：避免浮點誤差翻轉缺口旗標）</t>
        </is>
      </c>
    </row>
    <row r="13">
      <c r="A13" t="inlineStr">
        <is>
          <t>P1</t>
        </is>
      </c>
      <c r="B13" t="inlineStr">
        <is>
          <t>Compute</t>
        </is>
      </c>
      <c r="C13" t="inlineStr">
        <is>
          <t>G111</t>
        </is>
      </c>
      <c r="D13" t="inlineStr">
        <is>
          <t>研發 GW（殘差）</t>
        </is>
      </c>
      <c r="E13" t="n">
        <v>0.0107792190180268</v>
      </c>
      <c r="F13" t="n">
        <v>0.0225754079712536</v>
      </c>
      <c r="G13" t="n">
        <v>0.231173484993922</v>
      </c>
      <c r="H13">
        <f>D119-D124</f>
        <v/>
      </c>
      <c r="I13" t="inlineStr">
        <is>
          <t>校準期＝供給 − 推論（r2 P1：殘差，同 OpenAI；不再等於研發算力費 ÷ 每 GW 價格）；之後＝供給 ×（1−閒置）− 推論（截頂後）</t>
        </is>
      </c>
    </row>
    <row r="14">
      <c r="A14" t="inlineStr">
        <is>
          <t>P1</t>
        </is>
      </c>
      <c r="B14" t="inlineStr">
        <is>
          <t>Compute</t>
        </is>
      </c>
      <c r="C14" t="inlineStr">
        <is>
          <t>G140</t>
        </is>
      </c>
      <c r="D14" t="inlineStr">
        <is>
          <t>A η 1H26（低端）</t>
        </is>
      </c>
      <c r="F14" t="n">
        <v>3.29748926187723</v>
      </c>
      <c r="H14">
        <f>IF(INP_139,K65/(K80/(K158*INP_008/INP_007)),MAX(INP_138,K65/(K159*(1-INP_109))))</f>
        <v/>
      </c>
      <c r="I14" t="inlineStr">
        <is>
          <t>同第七節（r2 P1）</t>
        </is>
      </c>
    </row>
    <row r="15">
      <c r="A15" t="inlineStr">
        <is>
          <t>P1</t>
        </is>
      </c>
      <c r="B15" t="inlineStr">
        <is>
          <t>Compute</t>
        </is>
      </c>
      <c r="C15" t="inlineStr">
        <is>
          <t>G141</t>
        </is>
      </c>
      <c r="D15" t="inlineStr">
        <is>
          <t>A 研發占比 1H26→2030（低端）</t>
        </is>
      </c>
      <c r="F15" t="n">
        <v>0.3</v>
      </c>
      <c r="G15" t="n">
        <v>0.3</v>
      </c>
      <c r="H15">
        <f>(1-K65/K160/K159)</f>
        <v/>
      </c>
      <c r="I15" t="inlineStr">
        <is>
          <t>1H26＝研發殘差 ÷ 供給；2030＝同第八節路徑</t>
        </is>
      </c>
    </row>
    <row r="16">
      <c r="A16" t="inlineStr">
        <is>
          <t>P1</t>
        </is>
      </c>
      <c r="B16" t="inlineStr">
        <is>
          <t>Compute</t>
        </is>
      </c>
      <c r="C16" t="inlineStr">
        <is>
          <t>G142</t>
        </is>
      </c>
      <c r="D16" t="inlineStr">
        <is>
          <t>A 2030 供給 GW（低端）</t>
        </is>
      </c>
      <c r="G16" t="n">
        <v>1.01462194056908</v>
      </c>
      <c r="H16" t="inlineStr"/>
      <c r="I16" t="inlineStr">
        <is>
          <t>有效推論 ÷［(1−閒置)(1−研發占比)］（η 沿用）</t>
        </is>
      </c>
    </row>
    <row r="17">
      <c r="A17" t="inlineStr">
        <is>
          <t>P1</t>
        </is>
      </c>
      <c r="B17" t="inlineStr">
        <is>
          <t>Compute</t>
        </is>
      </c>
      <c r="C17" t="inlineStr">
        <is>
          <t>G143</t>
        </is>
      </c>
      <c r="D17" t="inlineStr">
        <is>
          <t>A 供給 VR 等值 GW（低端）</t>
        </is>
      </c>
      <c r="F17" t="n">
        <v>0.0053384642533244</v>
      </c>
      <c r="G17" t="n">
        <v>0.0569726567972202</v>
      </c>
      <c r="H17">
        <f>K159*K136</f>
        <v/>
      </c>
    </row>
    <row r="18">
      <c r="A18" t="inlineStr">
        <is>
          <t>P1</t>
        </is>
      </c>
      <c r="B18" t="inlineStr">
        <is>
          <t>Compute</t>
        </is>
      </c>
      <c r="C18" t="inlineStr">
        <is>
          <t>G146</t>
        </is>
      </c>
      <c r="D18" t="inlineStr">
        <is>
          <t>A η 1H26（高端）</t>
        </is>
      </c>
      <c r="F18" t="n">
        <v>4.94929315085483</v>
      </c>
      <c r="H18">
        <f>IF(INP_139,K65/(K80/(K164*INP_008/INP_007)),MAX(INP_138,K65/(K165*(1-INP_109))))</f>
        <v/>
      </c>
      <c r="I18" t="inlineStr">
        <is>
          <t>同第七節（r2 P1）</t>
        </is>
      </c>
    </row>
    <row r="19">
      <c r="A19" t="inlineStr">
        <is>
          <t>P1</t>
        </is>
      </c>
      <c r="B19" t="inlineStr">
        <is>
          <t>Compute</t>
        </is>
      </c>
      <c r="C19" t="inlineStr">
        <is>
          <t>G147</t>
        </is>
      </c>
      <c r="D19" t="inlineStr">
        <is>
          <t>A 研發占比 1H26→2030（高端）</t>
        </is>
      </c>
      <c r="F19" t="n">
        <v>0.3</v>
      </c>
      <c r="G19" t="n">
        <v>0.3</v>
      </c>
      <c r="H19">
        <f>(1-K65/K166/K165)</f>
        <v/>
      </c>
      <c r="I19" t="inlineStr">
        <is>
          <t>1H26＝研發殘差 ÷ 供給；2030＝同第八節路徑</t>
        </is>
      </c>
    </row>
    <row r="20">
      <c r="A20" t="inlineStr">
        <is>
          <t>P1</t>
        </is>
      </c>
      <c r="B20" t="inlineStr">
        <is>
          <t>Compute</t>
        </is>
      </c>
      <c r="C20" t="inlineStr">
        <is>
          <t>G148</t>
        </is>
      </c>
      <c r="D20" t="inlineStr">
        <is>
          <t>A 2030 供給 GW（高端）</t>
        </is>
      </c>
      <c r="G20" t="n">
        <v>0.6759965215060471</v>
      </c>
      <c r="H20" t="inlineStr"/>
      <c r="I20" t="inlineStr">
        <is>
          <t>有效推論 ÷［(1−閒置)(1−研發占比)］（η 沿用）</t>
        </is>
      </c>
    </row>
    <row r="21">
      <c r="A21" t="inlineStr">
        <is>
          <t>P1</t>
        </is>
      </c>
      <c r="B21" t="inlineStr">
        <is>
          <t>Compute</t>
        </is>
      </c>
      <c r="C21" t="inlineStr">
        <is>
          <t>G149</t>
        </is>
      </c>
      <c r="D21" t="inlineStr">
        <is>
          <t>A 供給 VR 等值 GW（高端）</t>
        </is>
      </c>
      <c r="F21" t="n">
        <v>0.00355677629384556</v>
      </c>
      <c r="G21" t="n">
        <v>0.0379582938983928</v>
      </c>
      <c r="H21">
        <f>K165*K136</f>
        <v/>
      </c>
    </row>
    <row r="22">
      <c r="A22" t="inlineStr">
        <is>
          <t>P1</t>
        </is>
      </c>
      <c r="B22" t="inlineStr">
        <is>
          <t>Compute</t>
        </is>
      </c>
      <c r="C22" t="inlineStr">
        <is>
          <t>G156</t>
        </is>
      </c>
      <c r="D22" t="inlineStr">
        <is>
          <t>C η 1H26（低端）</t>
        </is>
      </c>
      <c r="F22" t="n">
        <v>4.77438654767231</v>
      </c>
      <c r="H22">
        <f>IF(INP_139,K175/K105,MAX(INP_138,K175/(K119*(1-INP_109))))</f>
        <v/>
      </c>
      <c r="I22" t="inlineStr">
        <is>
          <t>同第七節（r2 P1）</t>
        </is>
      </c>
    </row>
    <row r="23">
      <c r="A23" t="inlineStr">
        <is>
          <t>P1</t>
        </is>
      </c>
      <c r="B23" t="inlineStr">
        <is>
          <t>Compute</t>
        </is>
      </c>
      <c r="C23" t="inlineStr">
        <is>
          <t>G157</t>
        </is>
      </c>
      <c r="D23" t="inlineStr">
        <is>
          <t>C 研發占比 1H26→2030（低端）</t>
        </is>
      </c>
      <c r="F23" t="n">
        <v>0.3</v>
      </c>
      <c r="G23" t="n">
        <v>0.3</v>
      </c>
      <c r="H23">
        <f>(1-K175/K176/K119)</f>
        <v/>
      </c>
    </row>
    <row r="24">
      <c r="A24" t="inlineStr">
        <is>
          <t>P1</t>
        </is>
      </c>
      <c r="B24" t="inlineStr">
        <is>
          <t>Compute</t>
        </is>
      </c>
      <c r="C24" t="inlineStr">
        <is>
          <t>G158</t>
        </is>
      </c>
      <c r="D24" t="inlineStr">
        <is>
          <t>C 2030 供給 GW（低端）</t>
        </is>
      </c>
      <c r="G24" t="n">
        <v>1.01039990222657</v>
      </c>
      <c r="H24" t="inlineStr"/>
    </row>
    <row r="25">
      <c r="A25" t="inlineStr">
        <is>
          <t>P1</t>
        </is>
      </c>
      <c r="B25" t="inlineStr">
        <is>
          <t>Compute</t>
        </is>
      </c>
      <c r="C25" t="inlineStr">
        <is>
          <t>G163</t>
        </is>
      </c>
      <c r="D25" t="inlineStr">
        <is>
          <t>C η 1H26（高端）</t>
        </is>
      </c>
      <c r="F25" t="n">
        <v>3.07127600748005</v>
      </c>
      <c r="H25">
        <f>IF(INP_139,K182/K105,MAX(INP_138,K182/(K119*(1-INP_109))))</f>
        <v/>
      </c>
      <c r="I25" t="inlineStr">
        <is>
          <t>同第七節（r2 P1）</t>
        </is>
      </c>
    </row>
    <row r="26">
      <c r="A26" t="inlineStr">
        <is>
          <t>P1</t>
        </is>
      </c>
      <c r="B26" t="inlineStr">
        <is>
          <t>Compute</t>
        </is>
      </c>
      <c r="C26" t="inlineStr">
        <is>
          <t>G164</t>
        </is>
      </c>
      <c r="D26" t="inlineStr">
        <is>
          <t>C 研發占比 1H26→2030（高端）</t>
        </is>
      </c>
      <c r="F26" t="n">
        <v>0.3</v>
      </c>
      <c r="G26" t="n">
        <v>0.3</v>
      </c>
      <c r="H26">
        <f>(1-K182/K183/K119)</f>
        <v/>
      </c>
    </row>
    <row r="27">
      <c r="A27" t="inlineStr">
        <is>
          <t>P1</t>
        </is>
      </c>
      <c r="B27" t="inlineStr">
        <is>
          <t>Compute</t>
        </is>
      </c>
      <c r="C27" t="inlineStr">
        <is>
          <t>G165</t>
        </is>
      </c>
      <c r="D27" t="inlineStr">
        <is>
          <t>C 2030 供給 GW（高端）</t>
        </is>
      </c>
      <c r="G27" t="n">
        <v>0.746297355301096</v>
      </c>
      <c r="H27" t="inlineStr"/>
    </row>
    <row r="28">
      <c r="A28" t="inlineStr">
        <is>
          <t>P1</t>
        </is>
      </c>
      <c r="B28" t="inlineStr">
        <is>
          <t>Compute</t>
        </is>
      </c>
      <c r="C28" t="inlineStr">
        <is>
          <t>G182</t>
        </is>
      </c>
      <c r="D28" t="inlineStr">
        <is>
          <t>招股章程 FY2024：研發項下算力服務費</t>
        </is>
      </c>
      <c r="E28" t="n">
        <v>15.5283</v>
      </c>
      <c r="H28">
        <f>SRC_ZP_613</f>
        <v/>
      </c>
      <c r="I28" t="inlineStr">
        <is>
          <t>SRC_ZP（Verified；第 267 頁）</t>
        </is>
      </c>
    </row>
    <row r="29">
      <c r="A29" t="inlineStr">
        <is>
          <t>P1</t>
        </is>
      </c>
      <c r="B29" t="inlineStr">
        <is>
          <t>Compute</t>
        </is>
      </c>
      <c r="C29" t="inlineStr">
        <is>
          <t>G183</t>
        </is>
      </c>
      <c r="D29" t="inlineStr">
        <is>
          <t>招股章程 FY2024：營業成本中的計算服務費</t>
        </is>
      </c>
      <c r="E29" t="n">
        <v>0.3017</v>
      </c>
      <c r="H29">
        <f>SRC_ZP_669</f>
        <v/>
      </c>
      <c r="I29" t="inlineStr">
        <is>
          <t>SRC_ZP（Verified；第 264 頁：本地化交付前訓練微調＋雲端推論）</t>
        </is>
      </c>
    </row>
    <row r="30">
      <c r="A30" t="inlineStr">
        <is>
          <t>P1</t>
        </is>
      </c>
      <c r="B30" t="inlineStr">
        <is>
          <t>Compute</t>
        </is>
      </c>
      <c r="C30" t="inlineStr">
        <is>
          <t>G184</t>
        </is>
      </c>
      <c r="D30" t="inlineStr">
        <is>
          <t>招股章程 FY2024：銷售及營銷項下算力服務費</t>
        </is>
      </c>
      <c r="E30" t="n">
        <v>0.1284</v>
      </c>
      <c r="H30">
        <f>SRC_ZP_720</f>
        <v/>
      </c>
      <c r="I30" t="inlineStr">
        <is>
          <t>SRC_ZP（Verified；第 267 頁）</t>
        </is>
      </c>
    </row>
    <row r="31">
      <c r="A31" t="inlineStr">
        <is>
          <t>P1</t>
        </is>
      </c>
      <c r="B31" t="inlineStr">
        <is>
          <t>Compute</t>
        </is>
      </c>
      <c r="C31" t="inlineStr">
        <is>
          <t>G185</t>
        </is>
      </c>
      <c r="D31" t="inlineStr">
        <is>
          <t>招股章程 FY2024：算力服務費合計</t>
        </is>
      </c>
      <c r="E31" t="n">
        <v>15.9584</v>
      </c>
      <c r="H31">
        <f>SRC_ZP_740</f>
        <v/>
      </c>
      <c r="I31" t="inlineStr">
        <is>
          <t>SRC_ZP（Derived：三科目加總）</t>
        </is>
      </c>
    </row>
    <row r="32">
      <c r="A32" t="inlineStr">
        <is>
          <t>P1</t>
        </is>
      </c>
      <c r="B32" t="inlineStr">
        <is>
          <t>Compute</t>
        </is>
      </c>
      <c r="C32" t="inlineStr">
        <is>
          <t>G186</t>
        </is>
      </c>
      <c r="D32" t="inlineStr">
        <is>
          <t>招股章程 FY2024：營業成本計算服務費占合計</t>
        </is>
      </c>
      <c r="E32" t="n">
        <v>0.0189054040505314</v>
      </c>
      <c r="H32">
        <f>D205/D207</f>
        <v/>
      </c>
      <c r="I32" t="inlineStr">
        <is>
          <t>P1 理由：只占 2–3%</t>
        </is>
      </c>
    </row>
    <row r="33">
      <c r="A33" t="inlineStr">
        <is>
          <t>P1</t>
        </is>
      </c>
      <c r="B33" t="inlineStr">
        <is>
          <t>Compute</t>
        </is>
      </c>
      <c r="C33" t="inlineStr">
        <is>
          <t>G187</t>
        </is>
      </c>
      <c r="D33" t="inlineStr">
        <is>
          <t>招股章程 FY2024：研發項下算力費 ÷ 研發開支</t>
        </is>
      </c>
      <c r="E33" t="n">
        <v>0.707</v>
      </c>
      <c r="H33">
        <f>SRC_ZP_638/INP_014</f>
        <v/>
      </c>
      <c r="I33" t="inlineStr">
        <is>
          <t>SRC_ZP_638／640；1H25 值為 Inputs 研發占比基準</t>
        </is>
      </c>
    </row>
    <row r="34">
      <c r="A34" t="inlineStr">
        <is>
          <t>P1</t>
        </is>
      </c>
      <c r="B34" t="inlineStr">
        <is>
          <t>Compute</t>
        </is>
      </c>
      <c r="C34" t="inlineStr">
        <is>
          <t>G188</t>
        </is>
      </c>
      <c r="D34" t="inlineStr">
        <is>
          <t>招股章程 1H2025：研發項下算力服務費</t>
        </is>
      </c>
      <c r="E34" t="n">
        <v>11.4512</v>
      </c>
      <c r="H34">
        <f>SRC_ZP_615</f>
        <v/>
      </c>
      <c r="I34" t="inlineStr">
        <is>
          <t>SRC_ZP（Verified；第 267 頁）</t>
        </is>
      </c>
    </row>
    <row r="35">
      <c r="A35" t="inlineStr">
        <is>
          <t>P1</t>
        </is>
      </c>
      <c r="B35" t="inlineStr">
        <is>
          <t>Compute</t>
        </is>
      </c>
      <c r="C35" t="inlineStr">
        <is>
          <t>G189</t>
        </is>
      </c>
      <c r="D35" t="inlineStr">
        <is>
          <t>招股章程 1H2025：營業成本中的計算服務費</t>
        </is>
      </c>
      <c r="E35" t="n">
        <v>0.3584</v>
      </c>
      <c r="H35">
        <f>SRC_ZP_671</f>
        <v/>
      </c>
      <c r="I35" t="inlineStr">
        <is>
          <t>SRC_ZP（Verified；第 264 頁：本地化交付前訓練微調＋雲端推論）</t>
        </is>
      </c>
    </row>
    <row r="36">
      <c r="A36" t="inlineStr">
        <is>
          <t>P1</t>
        </is>
      </c>
      <c r="B36" t="inlineStr">
        <is>
          <t>Compute</t>
        </is>
      </c>
      <c r="C36" t="inlineStr">
        <is>
          <t>G190</t>
        </is>
      </c>
      <c r="D36" t="inlineStr">
        <is>
          <t>招股章程 1H2025：銷售及營銷項下算力服務費</t>
        </is>
      </c>
      <c r="E36" t="n">
        <v>0.2056</v>
      </c>
      <c r="H36">
        <f>SRC_ZP_722</f>
        <v/>
      </c>
      <c r="I36" t="inlineStr">
        <is>
          <t>SRC_ZP（Verified；第 267 頁）</t>
        </is>
      </c>
    </row>
    <row r="37">
      <c r="A37" t="inlineStr">
        <is>
          <t>P1</t>
        </is>
      </c>
      <c r="B37" t="inlineStr">
        <is>
          <t>Compute</t>
        </is>
      </c>
      <c r="C37" t="inlineStr">
        <is>
          <t>G191</t>
        </is>
      </c>
      <c r="D37" t="inlineStr">
        <is>
          <t>招股章程 1H2025：算力服務費合計</t>
        </is>
      </c>
      <c r="E37" t="n">
        <v>12.0153</v>
      </c>
      <c r="H37">
        <f>SRC_ZP_742</f>
        <v/>
      </c>
      <c r="I37" t="inlineStr">
        <is>
          <t>SRC_ZP（Derived：三科目加總）</t>
        </is>
      </c>
    </row>
    <row r="38">
      <c r="A38" t="inlineStr">
        <is>
          <t>P1</t>
        </is>
      </c>
      <c r="B38" t="inlineStr">
        <is>
          <t>Compute</t>
        </is>
      </c>
      <c r="C38" t="inlineStr">
        <is>
          <t>G192</t>
        </is>
      </c>
      <c r="D38" t="inlineStr">
        <is>
          <t>招股章程 1H2025：營業成本計算服務費占合計</t>
        </is>
      </c>
      <c r="E38" t="n">
        <v>0.0298286351568417</v>
      </c>
      <c r="H38">
        <f>D211/D213</f>
        <v/>
      </c>
      <c r="I38" t="inlineStr">
        <is>
          <t>P1 理由：只占 2–3%</t>
        </is>
      </c>
    </row>
    <row r="39">
      <c r="A39" t="inlineStr">
        <is>
          <t>P1</t>
        </is>
      </c>
      <c r="B39" t="inlineStr">
        <is>
          <t>Compute</t>
        </is>
      </c>
      <c r="C39" t="inlineStr">
        <is>
          <t>G193</t>
        </is>
      </c>
      <c r="D39" t="inlineStr">
        <is>
          <t>招股章程 1H2025：研發項下算力費 ÷ 研發開支</t>
        </is>
      </c>
      <c r="E39" t="n">
        <v>0.718</v>
      </c>
      <c r="H39">
        <f>SRC_ZP_640/INP_014</f>
        <v/>
      </c>
      <c r="I39" t="inlineStr">
        <is>
          <t>SRC_ZP_638／640；1H25 值為 Inputs 研發占比基準</t>
        </is>
      </c>
    </row>
    <row r="40">
      <c r="A40" t="inlineStr">
        <is>
          <t>P1</t>
        </is>
      </c>
      <c r="B40" t="inlineStr">
        <is>
          <t>Compute</t>
        </is>
      </c>
      <c r="C40" t="inlineStr">
        <is>
          <t>G194</t>
        </is>
      </c>
      <c r="D40" t="inlineStr">
        <is>
          <t>對照：Z3 占比法（研發算力費）＝研發（扣股權報酬）× 0.707（D10r）</t>
        </is>
      </c>
      <c r="E40" t="n">
        <v>19.5491659384</v>
      </c>
      <c r="F40" t="n">
        <v>14.6162674392</v>
      </c>
      <c r="H40">
        <f>D83*INP_103</f>
        <v/>
      </c>
      <c r="I40" t="inlineStr">
        <is>
          <t>Z3–Z5b 基準（D10r；FY2024 70.7%）；r2 P1 起只列</t>
        </is>
      </c>
    </row>
    <row r="41">
      <c r="A41" t="inlineStr">
        <is>
          <t>P1</t>
        </is>
      </c>
      <c r="B41" t="inlineStr">
        <is>
          <t>Compute</t>
        </is>
      </c>
      <c r="C41" t="inlineStr">
        <is>
          <t>G195</t>
        </is>
      </c>
      <c r="D41" t="inlineStr">
        <is>
          <t>η 上調前研發殘差＝供給 − token 換算 GW ÷ η 基準</t>
        </is>
      </c>
      <c r="E41" t="n">
        <v>0.0076153208018188</v>
      </c>
      <c r="F41" t="n">
        <v>-0.130586745625723</v>
      </c>
      <c r="H41">
        <f>D119-D65/INP_138</f>
        <v/>
      </c>
      <c r="I41" t="inlineStr">
        <is>
          <t>負＝以 TK 物理計，token 已超過全部供給</t>
        </is>
      </c>
    </row>
    <row r="42">
      <c r="A42" t="inlineStr">
        <is>
          <t>P1</t>
        </is>
      </c>
      <c r="B42" t="inlineStr">
        <is>
          <t>Compute</t>
        </is>
      </c>
      <c r="C42" t="inlineStr">
        <is>
          <t>G196</t>
        </is>
      </c>
      <c r="D42" t="inlineStr">
        <is>
          <t>η 上調前研發殘差占供給</t>
        </is>
      </c>
      <c r="E42" t="n">
        <v>0.211944505137613</v>
      </c>
      <c r="F42" t="n">
        <v>-1.73534067413541</v>
      </c>
      <c r="H42">
        <f>D217/D119</f>
        <v/>
      </c>
      <c r="I42" t="inlineStr">
        <is>
          <t>&lt; 訓練最低占比 → η 上調（WARN）</t>
        </is>
      </c>
    </row>
    <row r="43">
      <c r="A43" t="inlineStr">
        <is>
          <t>P1</t>
        </is>
      </c>
      <c r="B43" t="inlineStr">
        <is>
          <t>Compute</t>
        </is>
      </c>
      <c r="C43" t="inlineStr">
        <is>
          <t>G197</t>
        </is>
      </c>
      <c r="D43" t="inlineStr">
        <is>
          <t>η 上調旗標（1＝殘差觸及訓練最低占比、η 高於基準）</t>
        </is>
      </c>
      <c r="E43" t="n">
        <v>1</v>
      </c>
      <c r="F43" t="n">
        <v>1</v>
      </c>
      <c r="H43">
        <f>(1-INP_139)*(D106&gt;INP_138)</f>
        <v/>
      </c>
      <c r="I43" t="inlineStr">
        <is>
          <t>Checks WARN；舊法開關＝1 時為 0</t>
        </is>
      </c>
    </row>
    <row r="44">
      <c r="A44" t="inlineStr">
        <is>
          <t>P1</t>
        </is>
      </c>
      <c r="B44" t="inlineStr">
        <is>
          <t>Compute</t>
        </is>
      </c>
      <c r="C44" t="inlineStr">
        <is>
          <t>G198</t>
        </is>
      </c>
      <c r="D44" t="inlineStr">
        <is>
          <t>舊法（D8r）：η＝token 換算 GW ÷ API 銷售成本換算 GW</t>
        </is>
      </c>
      <c r="E44" t="n">
        <v>12.4448037173105</v>
      </c>
      <c r="F44" t="n">
        <v>9.4612988243346</v>
      </c>
      <c r="H44">
        <f>D65/D105</f>
        <v/>
      </c>
      <c r="I44" t="inlineStr">
        <is>
          <t>Z3b–Z5b 基準 η（η 開關＝1 時第七節採用）</t>
        </is>
      </c>
    </row>
    <row r="45">
      <c r="A45" t="inlineStr">
        <is>
          <t>P1</t>
        </is>
      </c>
      <c r="B45" t="inlineStr">
        <is>
          <t>Compute</t>
        </is>
      </c>
      <c r="C45" t="inlineStr">
        <is>
          <t>G199</t>
        </is>
      </c>
      <c r="D45" t="inlineStr">
        <is>
          <t>舊法（D8r）：推論 GW＝API 銷售成本換算 GW</t>
        </is>
      </c>
      <c r="E45" t="n">
        <v>0.00227527969917954</v>
      </c>
      <c r="F45" t="n">
        <v>0.0217557979461005</v>
      </c>
      <c r="H45">
        <f>D105</f>
        <v/>
      </c>
    </row>
    <row r="46">
      <c r="A46" t="inlineStr">
        <is>
          <t>P1</t>
        </is>
      </c>
      <c r="B46" t="inlineStr">
        <is>
          <t>Compute</t>
        </is>
      </c>
      <c r="C46" t="inlineStr">
        <is>
          <t>G200</t>
        </is>
      </c>
      <c r="D46" t="inlineStr">
        <is>
          <t>舊法（D8r）：研發 GW＝供給 − 推論</t>
        </is>
      </c>
      <c r="E46" t="n">
        <v>0.0336554503609098</v>
      </c>
      <c r="F46" t="n">
        <v>0.053495561958078</v>
      </c>
      <c r="H46">
        <f>D119-D105</f>
        <v/>
      </c>
      <c r="I46" t="inlineStr">
        <is>
          <t>供給同第八節（r2 P1 總算力費 ÷ 價格）</t>
        </is>
      </c>
    </row>
    <row r="47">
      <c r="A47" t="inlineStr">
        <is>
          <t>P1</t>
        </is>
      </c>
      <c r="B47" t="inlineStr">
        <is>
          <t>Compute</t>
        </is>
      </c>
      <c r="C47" t="inlineStr">
        <is>
          <t>G201</t>
        </is>
      </c>
      <c r="D47" t="inlineStr">
        <is>
          <t>舊法（D8r）：研發占供給</t>
        </is>
      </c>
      <c r="E47" t="n">
        <v>0.936675940194523</v>
      </c>
      <c r="F47" t="n">
        <v>0.710891630745234</v>
      </c>
      <c r="H47">
        <f>D222/D119</f>
        <v/>
      </c>
      <c r="I47" t="inlineStr">
        <is>
          <t>Z3–Z5b 的研發占比起點（會計科目）</t>
        </is>
      </c>
    </row>
    <row r="48">
      <c r="A48" t="inlineStr">
        <is>
          <t>P1</t>
        </is>
      </c>
      <c r="B48" t="inlineStr">
        <is>
          <t>Cost</t>
        </is>
      </c>
      <c r="C48" t="inlineStr">
        <is>
          <t>K01</t>
        </is>
      </c>
      <c r="D48" t="inlineStr">
        <is>
          <t>營業成本中的計算服務費（實付推估）</t>
        </is>
      </c>
      <c r="E48" t="n">
        <v>1.5438</v>
      </c>
      <c r="F48" t="n">
        <v>6.223</v>
      </c>
      <c r="H48">
        <f>Compute!D80</f>
        <v/>
      </c>
      <c r="I48" t="inlineStr">
        <is>
          <t>r2 P1：不再等於推論支出</t>
        </is>
      </c>
    </row>
    <row r="49">
      <c r="A49" t="inlineStr">
        <is>
          <t>P1</t>
        </is>
      </c>
      <c r="B49" t="inlineStr">
        <is>
          <t>Cost</t>
        </is>
      </c>
      <c r="C49" t="inlineStr">
        <is>
          <t>K02</t>
        </is>
      </c>
      <c r="D49" t="inlineStr">
        <is>
          <t>研發項下算力服務費（實付推估）</t>
        </is>
      </c>
      <c r="E49" t="n">
        <v>22.8355592</v>
      </c>
      <c r="F49" t="n">
        <v>15.3018006</v>
      </c>
      <c r="H49">
        <f>Compute!D84</f>
        <v/>
      </c>
      <c r="I49" t="inlineStr">
        <is>
          <t>r2 P1：研發開支 × 71.8%；含推理</t>
        </is>
      </c>
    </row>
    <row r="50">
      <c r="A50" t="inlineStr">
        <is>
          <t>P1</t>
        </is>
      </c>
      <c r="B50" t="inlineStr">
        <is>
          <t>Cost</t>
        </is>
      </c>
      <c r="C50" t="inlineStr">
        <is>
          <t>K06</t>
        </is>
      </c>
      <c r="D50" t="inlineStr">
        <is>
          <t>算力成本拆分：推論</t>
        </is>
      </c>
      <c r="E50" t="n">
        <v>17.06555144</v>
      </c>
      <c r="F50" t="n">
        <v>15.06736042</v>
      </c>
      <c r="G50" t="n">
        <v>227.5623887927</v>
      </c>
      <c r="H50">
        <f>IF(Compute!D119,D12*Compute!D124/Compute!D119,Compute!D119)</f>
        <v/>
      </c>
      <c r="I50" t="inlineStr">
        <is>
          <t>依 GW 占比拆分（r2 P1：校準期也依 GW 占比，不再等於會計科目）；供給為 0 時顯示 0</t>
        </is>
      </c>
    </row>
    <row r="51">
      <c r="A51" t="inlineStr">
        <is>
          <t>P1</t>
        </is>
      </c>
      <c r="B51" t="inlineStr">
        <is>
          <t>Inputs</t>
        </is>
      </c>
      <c r="C51" t="inlineStr">
        <is>
          <t>INP_120</t>
        </is>
      </c>
      <c r="D51" t="inlineStr">
        <is>
          <t>研發占比路徑開關（0＝沿用 1H26 實際值；1＝線性移至 2030 目標）</t>
        </is>
      </c>
      <c r="E51" t="n">
        <v>0</v>
      </c>
      <c r="F51" t="n">
        <v>0</v>
      </c>
      <c r="G51" t="n">
        <v>1</v>
      </c>
      <c r="H51" t="inlineStr">
        <is>
          <t>值／低／高（E–G 欄）</t>
        </is>
      </c>
      <c r="I51" t="inlineStr">
        <is>
          <t>Decision；2H26 起供給依需求配置（規格未定；見報告已套用的預設）：供給＝有效推論 GW ÷（(1−閒置)×(1−研發占比)）；基準沿用最新實際值（r2 P1 起：1H26 研發 GW 殘差 ÷ 供給；Z3 原為研發算力費 ÷ 算力費合計），與 η 沿用 1H26 同一原則</t>
        </is>
      </c>
    </row>
    <row r="52">
      <c r="A52" t="inlineStr">
        <is>
          <t>P1</t>
        </is>
      </c>
      <c r="B52" t="inlineStr">
        <is>
          <t>Inputs</t>
        </is>
      </c>
      <c r="C52" t="inlineStr">
        <is>
          <t>INP_110</t>
        </is>
      </c>
      <c r="D52" t="inlineStr">
        <is>
          <t>研發 GW 占非閒置供給比例：2030 目標（開關＝1 時自 1H26 實際值線性移動）</t>
        </is>
      </c>
      <c r="E52" t="n">
        <v>0.5</v>
      </c>
      <c r="F52" t="n">
        <v>0.3</v>
      </c>
      <c r="G52" t="n">
        <v>0.7</v>
      </c>
      <c r="H52" t="inlineStr">
        <is>
          <t>值／低／高（E–G 欄）</t>
        </is>
      </c>
      <c r="I52" t="inlineStr">
        <is>
          <t>Analogy；OpenAI v0.6 2030 研發 GW 6.11 ÷（供給 13.01 ×（1−0.1））＝0.52；只在開關＝1 時使用；r2 P1 後 1H26 起點為研發殘差占比（η 上調使其＝訓練最低占比 0.3），不再是會計科目占比 0.70</t>
        </is>
      </c>
    </row>
    <row r="53">
      <c r="A53" t="inlineStr">
        <is>
          <t>P4</t>
        </is>
      </c>
      <c r="B53" t="inlineStr">
        <is>
          <t>Inputs</t>
        </is>
      </c>
      <c r="C53" t="inlineStr">
        <is>
          <t>INP_125</t>
        </is>
      </c>
      <c r="D53" t="inlineStr">
        <is>
          <t>其他收益（政府補助、利息收入等）：2H26 起每年</t>
        </is>
      </c>
      <c r="E53" t="n">
        <v>0</v>
      </c>
      <c r="F53" t="n">
        <v>0</v>
      </c>
      <c r="G53" t="n">
        <v>0.83</v>
      </c>
      <c r="H53" t="inlineStr">
        <is>
          <t>值／低／高（E–G 欄）</t>
        </is>
      </c>
      <c r="I53" t="inlineStr">
        <is>
          <t>Decision；規格 D20：未來補助＝0（Decision）；r2 P4：招股章程顯示政府補助沖減相關開支（已含在費用淨額），其他收入主要是利息收入；1H26 其他收入 0.41 億主要為上市後存款利息（SRC_ZP_203），保守不外推；高端＝1H26 年化（只作情境）</t>
        </is>
      </c>
    </row>
    <row r="54">
      <c r="A54" t="inlineStr">
        <is>
          <t>P2</t>
        </is>
      </c>
      <c r="B54" t="inlineStr">
        <is>
          <t>Inputs</t>
        </is>
      </c>
      <c r="C54" t="inlineStr">
        <is>
          <t>INP_131</t>
        </is>
      </c>
      <c r="D54" t="inlineStr">
        <is>
          <t>非算力資本支出（辦公設備等）：2H26 起每年</t>
        </is>
      </c>
      <c r="E54" t="n">
        <v>0.75</v>
      </c>
      <c r="F54" t="n">
        <v>0</v>
      </c>
      <c r="G54" t="n">
        <v>1.5</v>
      </c>
      <c r="H54" t="inlineStr">
        <is>
          <t>值／低／高（E–G 欄）</t>
        </is>
      </c>
      <c r="I54" t="inlineStr">
        <is>
          <t>Assumed；FY2025 資本開支 0.747 億（SRC_ZP_149；公告稱算力由租賃轉為採購服務，故非算力）延續；r2 P2：公告口徑含使用權資產添置，招股章程現金口徑 FY2024 1.33、1H25 0.24 億（年化 0.48，SRC_ZP_889、891），落在區間內；1H26 3.906 億主要為北京紅鑽物業（一次性，D11r）；自有算力資本支出在 Cost 算力成本內（D11r 基準 0）</t>
        </is>
      </c>
    </row>
    <row r="55">
      <c r="A55" t="inlineStr">
        <is>
          <t>P1</t>
        </is>
      </c>
      <c r="B55" t="inlineStr">
        <is>
          <t>Inputs</t>
        </is>
      </c>
      <c r="C55" t="inlineStr">
        <is>
          <t>INP_137</t>
        </is>
      </c>
      <c r="D55" t="inlineStr">
        <is>
          <t>研發開支中的算力服務費占比（P1：研發 × 本值＝研發項下算力費；FY2025、1H26 未揭露者用）</t>
        </is>
      </c>
      <c r="E55" t="n">
        <v>0.718</v>
      </c>
      <c r="F55" t="n">
        <v>0.6</v>
      </c>
      <c r="G55" t="n">
        <v>0.8</v>
      </c>
      <c r="H55" t="inlineStr">
        <is>
          <t>值／低／高（E–G 欄）</t>
        </is>
      </c>
      <c r="I55" t="inlineStr">
        <is>
          <t>Analogy；工作單 P1：招股章程 1H25 研發算力服務費 11.45 億 ÷ 研發開支 15.95 億＝71.8%（SRC_ZP_640；FY2024 70.7% SRC_ZP_638、1H24 70.2% SRC_ZP_639）；占比以研發開支總額（含股權報酬）為分母，故乘研發開支總額</t>
        </is>
      </c>
    </row>
    <row r="56">
      <c r="A56" t="inlineStr">
        <is>
          <t>P1</t>
        </is>
      </c>
      <c r="B56" t="inlineStr">
        <is>
          <t>Inputs</t>
        </is>
      </c>
      <c r="C56" t="inlineStr">
        <is>
          <t>INP_138</t>
        </is>
      </c>
      <c r="D56" t="inlineStr">
        <is>
          <t>η 基準值（P1：信任 Tokenomics 物理；校準期殘差不足時才上調）</t>
        </is>
      </c>
      <c r="E56" t="n">
        <v>1</v>
      </c>
      <c r="F56" t="n">
        <v>1</v>
      </c>
      <c r="G56" t="n">
        <v>1</v>
      </c>
      <c r="H56" t="inlineStr">
        <is>
          <t>值／低／高（E–G 欄）</t>
        </is>
      </c>
      <c r="I56" t="inlineStr">
        <is>
          <t>Decision；工作單 P1：η 基準＝1（Decision）；若研發殘差 &lt; 訓練最低占比 × 供給，η 校準為使殘差＝最低占比的值並 WARN（Checks）</t>
        </is>
      </c>
    </row>
    <row r="57">
      <c r="A57" t="inlineStr">
        <is>
          <t>P1</t>
        </is>
      </c>
      <c r="B57" t="inlineStr">
        <is>
          <t>Inputs</t>
        </is>
      </c>
      <c r="C57" t="inlineStr">
        <is>
          <t>INP_139</t>
        </is>
      </c>
      <c r="D57" t="inlineStr">
        <is>
          <t>η 校準方法開關（0＝P1：基準 1、殘差觸及訓練最低占比時上調；1＝舊法 D8r：token GW ÷ API 銷售成本換算 GW）</t>
        </is>
      </c>
      <c r="E57" t="n">
        <v>0</v>
      </c>
      <c r="F57" t="n">
        <v>0</v>
      </c>
      <c r="G57" t="n">
        <v>1</v>
      </c>
      <c r="H57" t="inlineStr">
        <is>
          <t>值／低／高（E–G 欄）</t>
        </is>
      </c>
      <c r="I57" t="inlineStr">
        <is>
          <t>Decision；工作單 P1：舊法（API 營業成本＝推論支出）保留為對照；開關＝1 只供情境與 parity</t>
        </is>
      </c>
    </row>
    <row r="58">
      <c r="A58" t="inlineStr">
        <is>
          <t>P1</t>
        </is>
      </c>
      <c r="B58" t="inlineStr">
        <is>
          <t>Inputs</t>
        </is>
      </c>
      <c r="C58" t="inlineStr">
        <is>
          <t>INP_140</t>
        </is>
      </c>
      <c r="D58" t="inlineStr">
        <is>
          <t>η 上調期數 WARN 門檻（P1）</t>
        </is>
      </c>
      <c r="E58" t="n">
        <v>0</v>
      </c>
      <c r="F58" t="n">
        <v>0</v>
      </c>
      <c r="G58" t="n">
        <v>0</v>
      </c>
      <c r="H58" t="inlineStr">
        <is>
          <t>值／低／高（E–G 欄）</t>
        </is>
      </c>
      <c r="I58" t="inlineStr">
        <is>
          <t>Decision；工作單 P1：η 被上調（殘差觸及訓練最低占比）時 WARN</t>
        </is>
      </c>
    </row>
    <row r="59">
      <c r="A59" t="inlineStr">
        <is>
          <t>r2 共用</t>
        </is>
      </c>
      <c r="B59" t="inlineStr">
        <is>
          <t>Checks</t>
        </is>
      </c>
      <c r="C59" t="inlineStr">
        <is>
          <t>C01</t>
        </is>
      </c>
      <c r="D59" t="inlineStr">
        <is>
          <t>SRC_ZP 列數</t>
        </is>
      </c>
      <c r="E59" t="n">
        <v>1054</v>
      </c>
      <c r="F59" t="n">
        <v>1054</v>
      </c>
      <c r="G59" t="inlineStr">
        <is>
          <t>OK</t>
        </is>
      </c>
      <c r="H59" t="inlineStr">
        <is>
          <t>值／期望／結果</t>
        </is>
      </c>
      <c r="I59" t="inlineStr">
        <is>
          <t>Z1 604 筆（SRC_ZP_001–604）＋ Z4 補 6 筆＋招股章程 Z1-P 444 筆（SRC_ZP_611–1054）</t>
        </is>
      </c>
    </row>
    <row r="60">
      <c r="A60" t="inlineStr">
        <is>
          <t>r2 共用</t>
        </is>
      </c>
      <c r="B60" t="inlineStr">
        <is>
          <t>Checks</t>
        </is>
      </c>
      <c r="C60" t="inlineStr">
        <is>
          <t>C02</t>
        </is>
      </c>
      <c r="D60" t="inlineStr">
        <is>
          <t>SRC_ZP 無數值列數（日期、事件、找不到數值的說明列）</t>
        </is>
      </c>
      <c r="E60" t="n">
        <v>29</v>
      </c>
      <c r="F60" t="n">
        <v>29</v>
      </c>
      <c r="G60" t="inlineStr">
        <is>
          <t>OK</t>
        </is>
      </c>
      <c r="H60" t="inlineStr">
        <is>
          <t>值／期望／結果</t>
        </is>
      </c>
      <c r="I60" t="inlineStr">
        <is>
          <t>值、低、高皆空的列數；與 yaml 一致（列被誤刪或誤填時轉 ERR）</t>
        </is>
      </c>
    </row>
    <row r="61">
      <c r="A61" t="inlineStr">
        <is>
          <t>r2 共用</t>
        </is>
      </c>
      <c r="B61" t="inlineStr">
        <is>
          <t>Checks</t>
        </is>
      </c>
      <c r="C61" t="inlineStr">
        <is>
          <t>C54</t>
        </is>
      </c>
      <c r="D61" t="inlineStr">
        <is>
          <t>η 2025 ∉［下限, 上限］</t>
        </is>
      </c>
      <c r="E61" t="n">
        <v>1.12579356408912</v>
      </c>
      <c r="F61" t="inlineStr">
        <is>
          <t>INP_079～INP_080</t>
        </is>
      </c>
      <c r="G61" t="inlineStr">
        <is>
          <t>WARN</t>
        </is>
      </c>
      <c r="H61" t="inlineStr">
        <is>
          <t>值／期望／結果</t>
        </is>
      </c>
      <c r="I61" t="inlineStr">
        <is>
          <t>η 合理範圍 WARN（Inputs 0.1–1）；&gt;1＝模型 token 量超過推論算力支出以 TK 產能買得到的量（見報告 R4）</t>
        </is>
      </c>
    </row>
    <row r="62">
      <c r="A62" t="inlineStr">
        <is>
          <t>r2 共用</t>
        </is>
      </c>
      <c r="B62" t="inlineStr">
        <is>
          <t>Checks</t>
        </is>
      </c>
      <c r="C62" t="inlineStr">
        <is>
          <t>C55</t>
        </is>
      </c>
      <c r="D62" t="inlineStr">
        <is>
          <t>η 1H26 ∉［下限, 上限］</t>
        </is>
      </c>
      <c r="E62" t="n">
        <v>3.90762953447915</v>
      </c>
      <c r="F62" t="inlineStr">
        <is>
          <t>INP_079～INP_080</t>
        </is>
      </c>
      <c r="G62" t="inlineStr">
        <is>
          <t>WARN</t>
        </is>
      </c>
      <c r="H62" t="inlineStr">
        <is>
          <t>值／期望／結果</t>
        </is>
      </c>
      <c r="I62" t="inlineStr">
        <is>
          <t>同上</t>
        </is>
      </c>
    </row>
    <row r="63">
      <c r="A63" t="inlineStr">
        <is>
          <t>V1</t>
        </is>
      </c>
      <c r="B63" t="inlineStr">
        <is>
          <t>Checks</t>
        </is>
      </c>
      <c r="C63" t="inlineStr">
        <is>
          <t>C93</t>
        </is>
      </c>
      <c r="D63" t="inlineStr">
        <is>
          <t>Cost：2H26 起供應商推算毛利 &lt; 0 的期數（Z5b V1：租價下限）</t>
        </is>
      </c>
      <c r="E63" t="n">
        <v>0</v>
      </c>
      <c r="F63" t="n">
        <v>0</v>
      </c>
      <c r="G63" t="inlineStr">
        <is>
          <t>OK</t>
        </is>
      </c>
      <c r="H63" t="inlineStr">
        <is>
          <t>值／期望／結果</t>
        </is>
      </c>
      <c r="I63" t="inlineStr">
        <is>
          <t>每 GW 租價 ≥ 供應商持有成本 ×（1＋最低毛利）</t>
        </is>
      </c>
    </row>
    <row r="64">
      <c r="A64" t="inlineStr">
        <is>
          <t>P1</t>
        </is>
      </c>
      <c r="B64" t="inlineStr">
        <is>
          <t>Checks</t>
        </is>
      </c>
      <c r="C64" t="inlineStr">
        <is>
          <t>C94</t>
        </is>
      </c>
      <c r="D64" t="inlineStr">
        <is>
          <t>r2 P1：η 上調（研發殘差觸及訓練最低占比）的校準期數</t>
        </is>
      </c>
      <c r="E64" t="n">
        <v>2</v>
      </c>
      <c r="F64" t="n">
        <v>0</v>
      </c>
      <c r="G64" t="inlineStr">
        <is>
          <t>WARN</t>
        </is>
      </c>
      <c r="H64" t="inlineStr">
        <is>
          <t>值／期望／結果</t>
        </is>
      </c>
      <c r="I64" t="inlineStr">
        <is>
          <t>工作單 P1：η 基準 1；&gt;0＝以 TK 物理計，token 換算 GW 超過供給 ×（1−訓練最低占比），η 上調使殘差＝最低占比（見報告）</t>
        </is>
      </c>
    </row>
    <row r="65">
      <c r="A65" t="inlineStr">
        <is>
          <t>P1</t>
        </is>
      </c>
      <c r="B65" t="inlineStr">
        <is>
          <t>Checks</t>
        </is>
      </c>
      <c r="C65" t="inlineStr">
        <is>
          <t>C95</t>
        </is>
      </c>
      <c r="D65" t="inlineStr">
        <is>
          <t>對照：研發 GW 1H26（殘差）÷ 研發項下算力費換算 GW</t>
        </is>
      </c>
      <c r="E65" t="n">
        <v>0.422005249499853</v>
      </c>
      <c r="G65" t="inlineStr">
        <is>
          <t>INFO</t>
        </is>
      </c>
      <c r="H65" t="inlineStr">
        <is>
          <t>值／期望／結果</t>
        </is>
      </c>
      <c r="I65" t="inlineStr">
        <is>
          <t>r2 P1：研發科目算力費含推論，比值 &lt;1</t>
        </is>
      </c>
    </row>
    <row r="66">
      <c r="A66" t="inlineStr">
        <is>
          <t>P2</t>
        </is>
      </c>
      <c r="B66" t="inlineStr">
        <is>
          <t>Funding</t>
        </is>
      </c>
      <c r="C66" t="inlineStr">
        <is>
          <t>F58</t>
        </is>
      </c>
      <c r="D66" t="inlineStr">
        <is>
          <t>最大客戶 A：智譜對其銷售（FY2024＋1H25）</t>
        </is>
      </c>
      <c r="E66" t="n">
        <v>0.242</v>
      </c>
      <c r="H66">
        <f>SRC_ZP_785</f>
        <v/>
      </c>
      <c r="I66" t="inlineStr">
        <is>
          <t>SRC_ZP_785（招股章程會計師報告，Verified；r2 P2：媒體 SRC_ZP_433 的 2.42 億差 10 倍）</t>
        </is>
      </c>
    </row>
    <row r="67">
      <c r="A67" t="inlineStr">
        <is>
          <t>P2</t>
        </is>
      </c>
      <c r="B67" t="inlineStr">
        <is>
          <t>Funding</t>
        </is>
      </c>
      <c r="C67" t="inlineStr">
        <is>
          <t>F59</t>
        </is>
      </c>
      <c r="D67" t="inlineStr">
        <is>
          <t>最大客戶 A：智譜向其採購（同期）</t>
        </is>
      </c>
      <c r="E67" t="n">
        <v>0.247</v>
      </c>
      <c r="H67">
        <f>SRC_ZP_786</f>
        <v/>
      </c>
      <c r="I67" t="inlineStr">
        <is>
          <t>SRC_ZP_786（Verified；採購內容為數據庫及知識產權授權）；客戶兼供應商</t>
        </is>
      </c>
    </row>
    <row r="68">
      <c r="A68" t="inlineStr">
        <is>
          <t>P2</t>
        </is>
      </c>
      <c r="B68" t="inlineStr">
        <is>
          <t>Funding</t>
        </is>
      </c>
      <c r="C68" t="inlineStr">
        <is>
          <t>F60</t>
        </is>
      </c>
      <c r="D68" t="inlineStr">
        <is>
          <t>採購 ÷ 銷售</t>
        </is>
      </c>
      <c r="E68" t="n">
        <v>1.02066115702479</v>
      </c>
      <c r="H68">
        <f>D73/D72</f>
        <v/>
      </c>
      <c r="I68" t="inlineStr">
        <is>
          <t>≈1：營收與採購互相抵銷</t>
        </is>
      </c>
    </row>
    <row r="69">
      <c r="A69" t="inlineStr">
        <is>
          <t>P2</t>
        </is>
      </c>
      <c r="B69" t="inlineStr">
        <is>
          <t>Funding</t>
        </is>
      </c>
      <c r="C69" t="inlineStr">
        <is>
          <t>F75</t>
        </is>
      </c>
      <c r="D69" t="inlineStr">
        <is>
          <t>P2 公告資本開支（權責口徑；含使用權資產添置）：FY2024</t>
        </is>
      </c>
      <c r="E69" t="n">
        <v>4.623</v>
      </c>
      <c r="H69">
        <f>SRC_ZP_150</f>
        <v/>
      </c>
      <c r="I69" t="inlineStr">
        <is>
          <t>SRC_ZP_150（年度公告比較數）</t>
        </is>
      </c>
    </row>
    <row r="70">
      <c r="A70" t="inlineStr">
        <is>
          <t>P2</t>
        </is>
      </c>
      <c r="B70" t="inlineStr">
        <is>
          <t>Funding</t>
        </is>
      </c>
      <c r="C70" t="inlineStr">
        <is>
          <t>F76</t>
        </is>
      </c>
      <c r="D70" t="inlineStr">
        <is>
          <t>P2 公告資本開支（權責口徑）：1H2025</t>
        </is>
      </c>
      <c r="E70" t="n">
        <v>0.537</v>
      </c>
      <c r="H70">
        <f>SRC_ZP_210</f>
        <v/>
      </c>
      <c r="I70" t="inlineStr">
        <is>
          <t>SRC_ZP_210（中期公告比較數）</t>
        </is>
      </c>
    </row>
    <row r="71">
      <c r="A71" t="inlineStr">
        <is>
          <t>P2</t>
        </is>
      </c>
      <c r="B71" t="inlineStr">
        <is>
          <t>Funding</t>
        </is>
      </c>
      <c r="C71" t="inlineStr">
        <is>
          <t>F77</t>
        </is>
      </c>
      <c r="D71" t="inlineStr">
        <is>
          <t>P2 現金資本開支（購買物業及設備＋無形資產）：FY2024</t>
        </is>
      </c>
      <c r="E71" t="n">
        <v>1.3276</v>
      </c>
      <c r="H71">
        <f>SRC_ZP_889</f>
        <v/>
      </c>
      <c r="I71" t="inlineStr">
        <is>
          <t>SRC_ZP_889／891（招股章程現金流量表）</t>
        </is>
      </c>
    </row>
    <row r="72">
      <c r="A72" t="inlineStr">
        <is>
          <t>P2</t>
        </is>
      </c>
      <c r="B72" t="inlineStr">
        <is>
          <t>Funding</t>
        </is>
      </c>
      <c r="C72" t="inlineStr">
        <is>
          <t>F78</t>
        </is>
      </c>
      <c r="D72" t="inlineStr">
        <is>
          <t>P2 其中使用權資產添置（不是現金資本開支）：FY2024</t>
        </is>
      </c>
      <c r="E72" t="n">
        <v>3.3709</v>
      </c>
      <c r="H72">
        <f>SRC_ZP_898</f>
        <v/>
      </c>
      <c r="I72" t="inlineStr">
        <is>
          <t>SRC_ZP_898／899</t>
        </is>
      </c>
    </row>
    <row r="73">
      <c r="A73" t="inlineStr">
        <is>
          <t>P2</t>
        </is>
      </c>
      <c r="B73" t="inlineStr">
        <is>
          <t>Funding</t>
        </is>
      </c>
      <c r="C73" t="inlineStr">
        <is>
          <t>F79</t>
        </is>
      </c>
      <c r="D73" t="inlineStr">
        <is>
          <t>P2 權責 − 現金：FY2024</t>
        </is>
      </c>
      <c r="E73" t="n">
        <v>3.2954</v>
      </c>
      <c r="H73">
        <f>D92-D94</f>
        <v/>
      </c>
      <c r="I73" t="inlineStr">
        <is>
          <t>差額主要是使用權資產（租賃算力硬件與辦公室）</t>
        </is>
      </c>
    </row>
    <row r="74">
      <c r="A74" t="inlineStr">
        <is>
          <t>P2</t>
        </is>
      </c>
      <c r="B74" t="inlineStr">
        <is>
          <t>Funding</t>
        </is>
      </c>
      <c r="C74" t="inlineStr">
        <is>
          <t>F80</t>
        </is>
      </c>
      <c r="D74" t="inlineStr">
        <is>
          <t>P2 現金資本開支（購買物業及設備＋無形資產）：1H2025</t>
        </is>
      </c>
      <c r="E74" t="n">
        <v>0.2391</v>
      </c>
      <c r="H74">
        <f>SRC_ZP_891</f>
        <v/>
      </c>
      <c r="I74" t="inlineStr">
        <is>
          <t>SRC_ZP_889／891（招股章程現金流量表）</t>
        </is>
      </c>
    </row>
    <row r="75">
      <c r="A75" t="inlineStr">
        <is>
          <t>P2</t>
        </is>
      </c>
      <c r="B75" t="inlineStr">
        <is>
          <t>Funding</t>
        </is>
      </c>
      <c r="C75" t="inlineStr">
        <is>
          <t>F81</t>
        </is>
      </c>
      <c r="D75" t="inlineStr">
        <is>
          <t>P2 其中使用權資產添置（不是現金資本開支）：1H2025</t>
        </is>
      </c>
      <c r="E75" t="n">
        <v>0.344</v>
      </c>
      <c r="H75">
        <f>SRC_ZP_899</f>
        <v/>
      </c>
      <c r="I75" t="inlineStr">
        <is>
          <t>SRC_ZP_898／899</t>
        </is>
      </c>
    </row>
    <row r="76">
      <c r="A76" t="inlineStr">
        <is>
          <t>P2</t>
        </is>
      </c>
      <c r="B76" t="inlineStr">
        <is>
          <t>Funding</t>
        </is>
      </c>
      <c r="C76" t="inlineStr">
        <is>
          <t>F82</t>
        </is>
      </c>
      <c r="D76" t="inlineStr">
        <is>
          <t>P2 權責 − 現金：1H2025</t>
        </is>
      </c>
      <c r="E76" t="n">
        <v>0.2979</v>
      </c>
      <c r="H76">
        <f>D93-D97</f>
        <v/>
      </c>
      <c r="I76" t="inlineStr">
        <is>
          <t>差額主要是使用權資產（租賃算力硬件與辦公室）</t>
        </is>
      </c>
    </row>
    <row r="77">
      <c r="A77" t="inlineStr">
        <is>
          <t>P3</t>
        </is>
      </c>
      <c r="B77" t="inlineStr">
        <is>
          <t>Funding</t>
        </is>
      </c>
      <c r="C77" t="inlineStr">
        <is>
          <t>F83</t>
        </is>
      </c>
      <c r="D77" t="inlineStr">
        <is>
          <t>P3 使用權資產：電子設備（租賃算力硬件）賬面值 2025-06-30</t>
        </is>
      </c>
      <c r="E77" t="n">
        <v>4.0377</v>
      </c>
      <c r="H77">
        <f>SRC_ZP_925</f>
        <v/>
      </c>
      <c r="I77" t="inlineStr">
        <is>
          <t>SRC_ZP_925；FY2024 4.84（SRC_ZP_924）</t>
        </is>
      </c>
    </row>
    <row r="78">
      <c r="A78" t="inlineStr">
        <is>
          <t>P3</t>
        </is>
      </c>
      <c r="B78" t="inlineStr">
        <is>
          <t>Funding</t>
        </is>
      </c>
      <c r="C78" t="inlineStr">
        <is>
          <t>F84</t>
        </is>
      </c>
      <c r="D78" t="inlineStr">
        <is>
          <t>P3 租賃負債合計（債務；2025-12-31）</t>
        </is>
      </c>
      <c r="E78" t="n">
        <v>5.4514</v>
      </c>
      <c r="H78">
        <f>SRC_ZP_157</f>
        <v/>
      </c>
      <c r="I78" t="inlineStr">
        <is>
          <t>D＝2025-12-31（SRC_ZP_157）；2024-12-31 6.71（SRC_ZP_813）、2025-06-30 6.00（SRC_ZP_814）、2025-10-31 5.65（SRC_ZP_815）</t>
        </is>
      </c>
    </row>
    <row r="79">
      <c r="A79" t="inlineStr">
        <is>
          <t>P3</t>
        </is>
      </c>
      <c r="B79" t="inlineStr">
        <is>
          <t>Funding</t>
        </is>
      </c>
      <c r="C79" t="inlineStr">
        <is>
          <t>F85</t>
        </is>
      </c>
      <c r="D79" t="inlineStr">
        <is>
          <t>P3 租賃負債到期（2025-06-30）：1 年內</t>
        </is>
      </c>
      <c r="E79" t="n">
        <v>2.1346</v>
      </c>
      <c r="H79">
        <f>SRC_ZP_819</f>
        <v/>
      </c>
      <c r="I79" t="inlineStr">
        <is>
          <t>SRC_ZP_819</t>
        </is>
      </c>
    </row>
    <row r="80">
      <c r="A80" t="inlineStr">
        <is>
          <t>P3</t>
        </is>
      </c>
      <c r="B80" t="inlineStr">
        <is>
          <t>Funding</t>
        </is>
      </c>
      <c r="C80" t="inlineStr">
        <is>
          <t>F86</t>
        </is>
      </c>
      <c r="D80" t="inlineStr">
        <is>
          <t>P3 租賃負債到期（2025-06-30）：1–2 年</t>
        </is>
      </c>
      <c r="E80" t="n">
        <v>1.7484</v>
      </c>
      <c r="H80">
        <f>SRC_ZP_823</f>
        <v/>
      </c>
      <c r="I80" t="inlineStr">
        <is>
          <t>SRC_ZP_823</t>
        </is>
      </c>
    </row>
    <row r="81">
      <c r="A81" t="inlineStr">
        <is>
          <t>P3</t>
        </is>
      </c>
      <c r="B81" t="inlineStr">
        <is>
          <t>Funding</t>
        </is>
      </c>
      <c r="C81" t="inlineStr">
        <is>
          <t>F87</t>
        </is>
      </c>
      <c r="D81" t="inlineStr">
        <is>
          <t>P3 租賃負債到期（2025-06-30）：2–5 年</t>
        </is>
      </c>
      <c r="E81" t="n">
        <v>2.113</v>
      </c>
      <c r="H81">
        <f>SRC_ZP_827</f>
        <v/>
      </c>
      <c r="I81" t="inlineStr">
        <is>
          <t>SRC_ZP_827</t>
        </is>
      </c>
    </row>
    <row r="82">
      <c r="A82" t="inlineStr">
        <is>
          <t>P3</t>
        </is>
      </c>
      <c r="B82" t="inlineStr">
        <is>
          <t>Funding</t>
        </is>
      </c>
      <c r="C82" t="inlineStr">
        <is>
          <t>F88</t>
        </is>
      </c>
      <c r="D82" t="inlineStr">
        <is>
          <t>P3 租賃負債實際利率</t>
        </is>
      </c>
      <c r="E82" t="n">
        <v>0.0475</v>
      </c>
      <c r="H82">
        <f>SRC_ZP_828/INP_014</f>
        <v/>
      </c>
      <c r="I82" t="inlineStr">
        <is>
          <t>SRC_ZP_828（4.75%）</t>
        </is>
      </c>
    </row>
    <row r="83">
      <c r="A83" t="inlineStr">
        <is>
          <t>P3</t>
        </is>
      </c>
      <c r="B83" t="inlineStr">
        <is>
          <t>Funding</t>
        </is>
      </c>
      <c r="C83" t="inlineStr">
        <is>
          <t>F89</t>
        </is>
      </c>
      <c r="D83" t="inlineStr">
        <is>
          <t>P3 售後租回（FY2024）：電子設備轉出原值（或有：租期 4 年、融資性質）</t>
        </is>
      </c>
      <c r="E83" t="n">
        <v>2.2464</v>
      </c>
      <c r="H83">
        <f>SRC_ZP_904</f>
        <v/>
      </c>
      <c r="I83" t="inlineStr">
        <is>
          <t>SRC_ZP_904；第 279 頁「將部分電子設備從自有轉向租賃」；已含於租賃負債</t>
        </is>
      </c>
    </row>
    <row r="84">
      <c r="A84" t="inlineStr">
        <is>
          <t>P3</t>
        </is>
      </c>
      <c r="B84" t="inlineStr">
        <is>
          <t>Funding</t>
        </is>
      </c>
      <c r="C84" t="inlineStr">
        <is>
          <t>F90</t>
        </is>
      </c>
      <c r="D84" t="inlineStr">
        <is>
          <t>P3 租賃現金流出（經營＋融資）：FY2024</t>
        </is>
      </c>
      <c r="E84" t="n">
        <v>1.8739</v>
      </c>
      <c r="H84">
        <f>SRC_ZP_831</f>
        <v/>
      </c>
      <c r="I84" t="inlineStr">
        <is>
          <t>SRC_ZP_831／833</t>
        </is>
      </c>
    </row>
    <row r="85">
      <c r="A85" t="inlineStr">
        <is>
          <t>P3</t>
        </is>
      </c>
      <c r="B85" t="inlineStr">
        <is>
          <t>Funding</t>
        </is>
      </c>
      <c r="C85" t="inlineStr">
        <is>
          <t>F91</t>
        </is>
      </c>
      <c r="D85" t="inlineStr">
        <is>
          <t>P3 使用權資產（電子設備）折舊：FY2024</t>
        </is>
      </c>
      <c r="E85" t="n">
        <v>1.3344</v>
      </c>
      <c r="H85">
        <f>SRC_ZP_937</f>
        <v/>
      </c>
      <c r="I85" t="inlineStr">
        <is>
          <t>SRC_ZP_937／939；計入研發折舊攤銷（非算力服務費）</t>
        </is>
      </c>
    </row>
    <row r="86">
      <c r="A86" t="inlineStr">
        <is>
          <t>P3</t>
        </is>
      </c>
      <c r="B86" t="inlineStr">
        <is>
          <t>Funding</t>
        </is>
      </c>
      <c r="C86" t="inlineStr">
        <is>
          <t>F92</t>
        </is>
      </c>
      <c r="D86" t="inlineStr">
        <is>
          <t>P3 租賃現金流出（經營＋融資）：1H2025</t>
        </is>
      </c>
      <c r="E86" t="n">
        <v>1.2997</v>
      </c>
      <c r="H86">
        <f>SRC_ZP_833</f>
        <v/>
      </c>
      <c r="I86" t="inlineStr">
        <is>
          <t>SRC_ZP_831／833</t>
        </is>
      </c>
    </row>
    <row r="87">
      <c r="A87" t="inlineStr">
        <is>
          <t>P3</t>
        </is>
      </c>
      <c r="B87" t="inlineStr">
        <is>
          <t>Funding</t>
        </is>
      </c>
      <c r="C87" t="inlineStr">
        <is>
          <t>F93</t>
        </is>
      </c>
      <c r="D87" t="inlineStr">
        <is>
          <t>P3 使用權資產（電子設備）折舊：1H2025</t>
        </is>
      </c>
      <c r="E87" t="n">
        <v>0.7997</v>
      </c>
      <c r="H87">
        <f>SRC_ZP_939</f>
        <v/>
      </c>
      <c r="I87" t="inlineStr">
        <is>
          <t>SRC_ZP_937／939；計入研發折舊攤銷（非算力服務費）</t>
        </is>
      </c>
    </row>
    <row r="88">
      <c r="A88" t="inlineStr">
        <is>
          <t>P3</t>
        </is>
      </c>
      <c r="B88" t="inlineStr">
        <is>
          <t>Funding</t>
        </is>
      </c>
      <c r="C88" t="inlineStr">
        <is>
          <t>F94</t>
        </is>
      </c>
      <c r="D88" t="inlineStr">
        <is>
          <t>P3 判斷：租賃付款是否已在模型現金流中</t>
        </is>
      </c>
      <c r="H88" t="inlineStr"/>
      <c r="I88" t="inlineStr">
        <is>
          <t>否，不在算力服務費內（IFRS 16：使用權資產折舊入研發折舊攤銷、利息入財務成本）；但校準期非算力成本＝財報費用殘差，已含使用權資產折舊（≈本金償還），利息在財務成本（Funding 利息列 2025、1H26 實付），2H26 起非算力成本依人數外推亦含此部分 → 不另加付款，避免重複；租賃負債只列債務與或有（見報告）</t>
        </is>
      </c>
    </row>
    <row r="89">
      <c r="A89" t="inlineStr">
        <is>
          <t>P4</t>
        </is>
      </c>
      <c r="B89" t="inlineStr">
        <is>
          <t>Funding</t>
        </is>
      </c>
      <c r="C89" t="inlineStr">
        <is>
          <t>F07</t>
        </is>
      </c>
      <c r="D89" t="inlineStr">
        <is>
          <t>其他收益（其他收入：利息收入等；政府補助沖減開支，不在本列）</t>
        </is>
      </c>
      <c r="E89" t="n">
        <v>0.1484</v>
      </c>
      <c r="F89" t="n">
        <v>0.4144</v>
      </c>
      <c r="G89" t="n">
        <v>0</v>
      </c>
      <c r="H89">
        <f>SRC_ZP_143</f>
        <v/>
      </c>
      <c r="I89" t="inlineStr">
        <is>
          <t>D20（r2 P4 改寫）：其他收入主要是利息收入；政府補助依招股章程沖減相關開支（主要研發），已含在費用淨額，不在本列、模型不另加（第十一節對照）。2025（SRC_ZP_143）、1H26（SRC_ZP_203）實際；2H26 起 Inputs（基準 0，Decision）</t>
        </is>
      </c>
    </row>
    <row r="90">
      <c r="A90" t="inlineStr">
        <is>
          <t>P4</t>
        </is>
      </c>
      <c r="B90" t="inlineStr">
        <is>
          <t>Funding</t>
        </is>
      </c>
      <c r="C90" t="inlineStr">
        <is>
          <t>F95</t>
        </is>
      </c>
      <c r="D90" t="inlineStr">
        <is>
          <t>P4 政府補助撥入損益（沖減開支，不在其他收入）：FY2024</t>
        </is>
      </c>
      <c r="E90" t="n">
        <v>0.363</v>
      </c>
      <c r="H90">
        <f>SRC_ZP_1035</f>
        <v/>
      </c>
      <c r="I90" t="inlineStr">
        <is>
          <t>SRC_ZP_1035／1036；已含在費用淨額，模型不另加</t>
        </is>
      </c>
    </row>
    <row r="91">
      <c r="A91" t="inlineStr">
        <is>
          <t>P4</t>
        </is>
      </c>
      <c r="B91" t="inlineStr">
        <is>
          <t>Funding</t>
        </is>
      </c>
      <c r="C91" t="inlineStr">
        <is>
          <t>F96</t>
        </is>
      </c>
      <c r="D91" t="inlineStr">
        <is>
          <t>P4 政府補助收取額（推算）：FY2024</t>
        </is>
      </c>
      <c r="E91" t="n">
        <v>0.413</v>
      </c>
      <c r="H91">
        <f>SRC_ZP_1043</f>
        <v/>
      </c>
      <c r="I91" t="inlineStr">
        <is>
          <t>SRC_ZP_1043／1044（Derived）</t>
        </is>
      </c>
    </row>
    <row r="92">
      <c r="A92" t="inlineStr">
        <is>
          <t>P4</t>
        </is>
      </c>
      <c r="B92" t="inlineStr">
        <is>
          <t>Funding</t>
        </is>
      </c>
      <c r="C92" t="inlineStr">
        <is>
          <t>F97</t>
        </is>
      </c>
      <c r="D92" t="inlineStr">
        <is>
          <t>P4 政府補助撥入損益（沖減開支，不在其他收入）：1H2025</t>
        </is>
      </c>
      <c r="E92" t="n">
        <v>0.057</v>
      </c>
      <c r="H92">
        <f>SRC_ZP_1036</f>
        <v/>
      </c>
      <c r="I92" t="inlineStr">
        <is>
          <t>SRC_ZP_1035／1036；已含在費用淨額，模型不另加</t>
        </is>
      </c>
    </row>
    <row r="93">
      <c r="A93" t="inlineStr">
        <is>
          <t>P4</t>
        </is>
      </c>
      <c r="B93" t="inlineStr">
        <is>
          <t>Funding</t>
        </is>
      </c>
      <c r="C93" t="inlineStr">
        <is>
          <t>F98</t>
        </is>
      </c>
      <c r="D93" t="inlineStr">
        <is>
          <t>P4 政府補助收取額（推算）：1H2025</t>
        </is>
      </c>
      <c r="E93" t="n">
        <v>0.07199999999999999</v>
      </c>
      <c r="H93">
        <f>SRC_ZP_1044</f>
        <v/>
      </c>
      <c r="I93" t="inlineStr">
        <is>
          <t>SRC_ZP_1043／1044（Derived）</t>
        </is>
      </c>
    </row>
    <row r="94">
      <c r="A94" t="inlineStr">
        <is>
          <t>P4</t>
        </is>
      </c>
      <c r="B94" t="inlineStr">
        <is>
          <t>Funding</t>
        </is>
      </c>
      <c r="C94" t="inlineStr">
        <is>
          <t>F99</t>
        </is>
      </c>
      <c r="D94" t="inlineStr">
        <is>
          <t>P4 補助占研發開支（FY2024）</t>
        </is>
      </c>
      <c r="E94" t="n">
        <v>0.0165342710345079</v>
      </c>
      <c r="H94">
        <f>D112/SRC_ZP_048</f>
        <v/>
      </c>
      <c r="I94" t="inlineStr">
        <is>
          <t>SRC_ZP_1035 ÷ SRC_ZP_048；不到 2%</t>
        </is>
      </c>
    </row>
    <row r="95">
      <c r="A95" t="inlineStr">
        <is>
          <t>P1–P2</t>
        </is>
      </c>
      <c r="B95" t="inlineStr">
        <is>
          <t>SRC_ZP</t>
        </is>
      </c>
      <c r="C95" t="inlineStr">
        <is>
          <t>SRC_ZP_611–1054</t>
        </is>
      </c>
      <c r="D95" t="inlineStr">
        <is>
          <t>招股章程擷取 444 列（Verified 415、Derived 18、Interested-party 11；65 列帶 supersedes）</t>
        </is>
      </c>
      <c r="E95" t="inlineStr"/>
      <c r="F95" t="inlineStr"/>
      <c r="G95" t="inlineStr"/>
      <c r="H95" t="inlineStr">
        <is>
          <t>data/zhipu_src.yaml</t>
        </is>
      </c>
      <c r="I95" t="inlineStr">
        <is>
          <t>data/z1_raw/prospectus_notes.md</t>
        </is>
      </c>
    </row>
    <row r="96">
      <c r="A96" t="inlineStr">
        <is>
          <t>P2</t>
        </is>
      </c>
      <c r="B96" t="inlineStr">
        <is>
          <t>SRC_ZP</t>
        </is>
      </c>
      <c r="C96" t="inlineStr">
        <is>
          <t>SRC_ZP_230</t>
        </is>
      </c>
      <c r="D96" t="inlineStr">
        <is>
          <t>研發開支中算力服務費（含模型訓練及雲端部署服務）</t>
        </is>
      </c>
      <c r="E96" t="n">
        <v>0.15</v>
      </c>
      <c r="F96" t="inlineStr"/>
      <c r="G96" t="inlineStr"/>
      <c r="H96" t="inlineStr">
        <is>
          <t>note 加口徑更正</t>
        </is>
      </c>
      <c r="I96" t="inlineStr">
        <is>
          <t>原文「从2022年的0.15亿元」；原始招股章程財務資料節未能讀取；【r2 P2 口徑更正】原文「含雲端部署」不正確：研發項下算力費（招股章程第 255、267 頁，SRC_ZP_611）不含營業成本中的雲端部署算力</t>
        </is>
      </c>
    </row>
    <row r="97">
      <c r="A97" t="inlineStr">
        <is>
          <t>P2</t>
        </is>
      </c>
      <c r="B97" t="inlineStr">
        <is>
          <t>SRC_ZP</t>
        </is>
      </c>
      <c r="C97" t="inlineStr">
        <is>
          <t>SRC_ZP_231</t>
        </is>
      </c>
      <c r="D97" t="inlineStr">
        <is>
          <t>研發開支中算力服務費（含模型訓練及雲端部署服務）</t>
        </is>
      </c>
      <c r="E97" t="n">
        <v>11.45</v>
      </c>
      <c r="F97" t="inlineStr"/>
      <c r="G97" t="inlineStr"/>
      <c r="H97" t="inlineStr">
        <is>
          <t>note 加口徑更正</t>
        </is>
      </c>
      <c r="I97" t="inlineStr">
        <is>
          <t>原文「到2025年上半年的11.45亿」；原始招股章程財務資料節未能讀取；【r2 P2 口徑更正】同 SRC_ZP_230；一手值見 SRC_ZP_615，三科目合計見 SRC_ZP_742</t>
        </is>
      </c>
    </row>
    <row r="98">
      <c r="A98" t="inlineStr">
        <is>
          <t>P2</t>
        </is>
      </c>
      <c r="B98" t="inlineStr">
        <is>
          <t>SRC_ZP</t>
        </is>
      </c>
      <c r="C98" t="inlineStr">
        <is>
          <t>SRC_ZP_448</t>
        </is>
      </c>
      <c r="D98" t="inlineStr">
        <is>
          <t>算力服務費（研發＋銷售成本合計）</t>
        </is>
      </c>
      <c r="E98" t="n">
        <v>15.52</v>
      </c>
      <c r="F98" t="inlineStr"/>
      <c r="G98" t="inlineStr"/>
      <c r="H98" t="inlineStr">
        <is>
          <t>note 加口徑更正</t>
        </is>
      </c>
      <c r="I98" t="inlineStr">
        <is>
          <t>原文「2024年，智譜的算力服務費達到15.52億元，這已然是同期收入的5倍左右」；轉述 PHIP；【r2 P2 口徑更正】15.52 億實為研發項下算力費（SRC_ZP_613）；三科目合計 15.96 億見 SRC_ZP_740</t>
        </is>
      </c>
    </row>
    <row r="99">
      <c r="A99" t="inlineStr">
        <is>
          <t>P2</t>
        </is>
      </c>
      <c r="B99" t="inlineStr">
        <is>
          <t>SRC_ZP</t>
        </is>
      </c>
      <c r="C99" t="inlineStr">
        <is>
          <t>SRC_ZP_449</t>
        </is>
      </c>
      <c r="D99" t="inlineStr">
        <is>
          <t>算力服務費（媒體 b）</t>
        </is>
      </c>
      <c r="E99" t="n">
        <v>15.53</v>
      </c>
      <c r="F99" t="inlineStr"/>
      <c r="G99" t="inlineStr"/>
      <c r="H99" t="inlineStr">
        <is>
          <t>note 加口徑更正</t>
        </is>
      </c>
      <c r="I99" t="inlineStr">
        <is>
          <t>原文「2024年，智譜算力服務費用為15.53億元，佔研發開支的比重超過70%」；與 15.52 差 0.01（四捨五入）；【r2 P2 口徑更正】同 SRC_ZP_448；研發項下見 SRC_ZP_613、三科目合計見 SRC_ZP_740</t>
        </is>
      </c>
    </row>
    <row r="100">
      <c r="A100" t="inlineStr">
        <is>
          <t>P2</t>
        </is>
      </c>
      <c r="B100" t="inlineStr">
        <is>
          <t>SRC_ZP</t>
        </is>
      </c>
      <c r="C100" t="inlineStr">
        <is>
          <t>SRC_ZP_450</t>
        </is>
      </c>
      <c r="D100" t="inlineStr">
        <is>
          <t>算力服務費（含訓練與雲端部署）</t>
        </is>
      </c>
      <c r="E100" t="n">
        <v>11.45</v>
      </c>
      <c r="F100" t="inlineStr"/>
      <c r="G100" t="inlineStr"/>
      <c r="H100" t="inlineStr">
        <is>
          <t>note 加口徑更正</t>
        </is>
      </c>
      <c r="I100" t="inlineStr">
        <is>
          <t>原文「算力服務費（包括模型訓練以及通過雲端部署為客戶提供服務）從2022年的0.15億元到2025年上半年的11.45億」；【r2 P2 口徑更正】11.45 億為研發項下算力費（SRC_ZP_615），不含營業成本；三科目合計 12.02 億見 SRC_ZP_742</t>
        </is>
      </c>
    </row>
    <row r="101">
      <c r="A101" t="inlineStr">
        <is>
          <t>P2</t>
        </is>
      </c>
      <c r="B101" t="inlineStr">
        <is>
          <t>SRC_ZP</t>
        </is>
      </c>
      <c r="C101" t="inlineStr">
        <is>
          <t>SRC_ZP_451</t>
        </is>
      </c>
      <c r="D101" t="inlineStr">
        <is>
          <t>算力服務費（含訓練與雲端部署）</t>
        </is>
      </c>
      <c r="E101" t="n">
        <v>0.15</v>
      </c>
      <c r="F101" t="inlineStr"/>
      <c r="G101" t="inlineStr"/>
      <c r="H101" t="inlineStr">
        <is>
          <t>note 加口徑更正</t>
        </is>
      </c>
      <c r="I101" t="inlineStr">
        <is>
          <t>同上「2022年的0.15億元」；【r2 P2 口徑更正】0.15 億為研發項下（SRC_ZP_611）；三科目合計見 SRC_ZP_738</t>
        </is>
      </c>
    </row>
    <row r="102">
      <c r="A102" t="inlineStr">
        <is>
          <t>P2</t>
        </is>
      </c>
      <c r="B102" t="inlineStr">
        <is>
          <t>SRC_ZP</t>
        </is>
      </c>
      <c r="C102" t="inlineStr">
        <is>
          <t>SRC_ZP_150</t>
        </is>
      </c>
      <c r="D102" t="inlineStr">
        <is>
          <t>資本開支</t>
        </is>
      </c>
      <c r="E102" t="n">
        <v>4.623</v>
      </c>
      <c r="F102" t="inlineStr"/>
      <c r="G102" t="inlineStr"/>
      <c r="H102" t="inlineStr">
        <is>
          <t>note 加口徑更正</t>
        </is>
      </c>
      <c r="I102" t="inlineStr">
        <is>
          <t>年度業績公告比較數 RMB462.3 million；百萬÷100；【r2 P2 口徑差異】公告「資本開支」＝物業及設備添置（含使用權資產 3.37 億）＋無形資產添置，屬權責口徑；現金資本開支 1.33 億見 SRC_ZP_889</t>
        </is>
      </c>
    </row>
    <row r="103">
      <c r="A103" t="inlineStr">
        <is>
          <t>P2</t>
        </is>
      </c>
      <c r="B103" t="inlineStr">
        <is>
          <t>SRC_ZP</t>
        </is>
      </c>
      <c r="C103" t="inlineStr">
        <is>
          <t>SRC_ZP_210</t>
        </is>
      </c>
      <c r="D103" t="inlineStr">
        <is>
          <t>資本開支</t>
        </is>
      </c>
      <c r="E103" t="n">
        <v>0.537</v>
      </c>
      <c r="F103" t="inlineStr"/>
      <c r="G103" t="inlineStr"/>
      <c r="H103" t="inlineStr">
        <is>
          <t>note 加口徑更正</t>
        </is>
      </c>
      <c r="I103" t="inlineStr">
        <is>
          <t>中期公告比較數 RMB53.7 million；百萬÷100；【r2 P2 口徑差異】公告「資本開支」含使用權資產添置 0.34 億；現金資本開支 0.24 億見 SRC_ZP_891</t>
        </is>
      </c>
    </row>
    <row r="104">
      <c r="A104" t="inlineStr">
        <is>
          <t>P2</t>
        </is>
      </c>
      <c r="B104" t="inlineStr">
        <is>
          <t>SRC_ZP</t>
        </is>
      </c>
      <c r="C104" t="inlineStr">
        <is>
          <t>SRC_ZP_433</t>
        </is>
      </c>
      <c r="D104" t="inlineStr">
        <is>
          <t>最大客戶 A：銷售 vs 向其採購（2022–1H25 累計）</t>
        </is>
      </c>
      <c r="E104" t="n">
        <v>2.42</v>
      </c>
      <c r="F104" t="inlineStr"/>
      <c r="G104" t="inlineStr"/>
      <c r="H104" t="inlineStr">
        <is>
          <t>note 加口徑更正</t>
        </is>
      </c>
      <c r="I104" t="inlineStr">
        <is>
          <t>原文「向最大客戶A銷售了2.42億元，但卻向客戶採購了2.47億元」；客戶兼供應商（D19 回流對照）；【r2 P2 引用更正】招股章程會計師報告：銷售 24.2 百萬元、採購 24.7 百萬元（僅 FY2024＋1H25），媒體值差 10 倍；模型改引用 SRC_ZP_785、786</t>
        </is>
      </c>
    </row>
    <row r="105">
      <c r="A105" t="inlineStr">
        <is>
          <t>P2</t>
        </is>
      </c>
      <c r="B105" t="inlineStr">
        <is>
          <t>SRC_ZP</t>
        </is>
      </c>
      <c r="C105" t="inlineStr">
        <is>
          <t>SRC_ZP_605</t>
        </is>
      </c>
      <c r="D105" t="inlineStr">
        <is>
          <t>最大客戶 A：智譜向其採購（2022–1H25 累計）</t>
        </is>
      </c>
      <c r="E105" t="n">
        <v>2.47</v>
      </c>
      <c r="F105" t="inlineStr"/>
      <c r="G105" t="inlineStr"/>
      <c r="H105" t="inlineStr">
        <is>
          <t>note 加口徑更正</t>
        </is>
      </c>
      <c r="I105" t="inlineStr">
        <is>
          <t>Z4 由 SRC_ZP_433 的 note 拆出數值列（同一原文「向客戶採購了2.47億元」）；D19 回流對照；【r2 P2 引用更正】同 SRC_ZP_433；模型改引用 SRC_ZP_786（採購 0.247 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具名範圍</t>
        </is>
      </c>
      <c r="C1" s="1" t="inlineStr">
        <is>
          <t>版本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</row>
    <row r="2">
      <c r="A2" t="inlineStr">
        <is>
          <t>η</t>
        </is>
      </c>
      <c r="B2" t="inlineStr">
        <is>
          <t>CMP_Eta</t>
        </is>
      </c>
      <c r="C2" t="inlineStr">
        <is>
          <t>P1 前（Z5b）</t>
        </is>
      </c>
      <c r="D2" t="n">
        <v>12.44480371731046</v>
      </c>
      <c r="E2" t="n">
        <v>9.461298824334596</v>
      </c>
      <c r="F2" t="n">
        <v>9.461298824334595</v>
      </c>
      <c r="G2" t="n">
        <v>9.461298824334595</v>
      </c>
      <c r="H2" t="n">
        <v>9.461298824334595</v>
      </c>
      <c r="I2" t="n">
        <v>9.461298824334595</v>
      </c>
    </row>
    <row r="3">
      <c r="A3" t="inlineStr">
        <is>
          <t>η</t>
        </is>
      </c>
      <c r="B3" t="inlineStr">
        <is>
          <t>CMP_Eta</t>
        </is>
      </c>
      <c r="C3" t="inlineStr">
        <is>
          <t>P1 後＝最終</t>
        </is>
      </c>
      <c r="D3" t="n">
        <v>1.125793564089124</v>
      </c>
      <c r="E3" t="n">
        <v>3.907629534479151</v>
      </c>
      <c r="F3" t="n">
        <v>3.907629534479151</v>
      </c>
      <c r="G3" t="n">
        <v>3.907629534479151</v>
      </c>
      <c r="H3" t="n">
        <v>3.907629534479151</v>
      </c>
      <c r="I3" t="n">
        <v>3.907629534479151</v>
      </c>
    </row>
    <row r="4">
      <c r="A4" t="inlineStr">
        <is>
          <t>供給 GW</t>
        </is>
      </c>
      <c r="B4" t="inlineStr">
        <is>
          <t>CMP_SupplyGW</t>
        </is>
      </c>
      <c r="C4" t="inlineStr">
        <is>
          <t>P1 前（Z5b）</t>
        </is>
      </c>
      <c r="D4" t="n">
        <v>0.03108718564265257</v>
      </c>
      <c r="E4" t="n">
        <v>0.106905454966685</v>
      </c>
      <c r="F4" t="n">
        <v>0.2055814728670843</v>
      </c>
      <c r="G4" t="n">
        <v>0.3370131821282906</v>
      </c>
      <c r="H4" t="n">
        <v>0.5464721339126519</v>
      </c>
      <c r="I4" t="n">
        <v>0.8289294457854754</v>
      </c>
    </row>
    <row r="5">
      <c r="A5" t="inlineStr">
        <is>
          <t>供給 GW</t>
        </is>
      </c>
      <c r="B5" t="inlineStr">
        <is>
          <t>CMP_SupplyGW</t>
        </is>
      </c>
      <c r="C5" t="inlineStr">
        <is>
          <t>P1 後＝最終</t>
        </is>
      </c>
      <c r="D5" t="n">
        <v>0.03593073006008936</v>
      </c>
      <c r="E5" t="n">
        <v>0.1104222405093579</v>
      </c>
      <c r="F5" t="n">
        <v>0.2123443265666049</v>
      </c>
      <c r="G5" t="n">
        <v>0.3480996424681145</v>
      </c>
      <c r="H5" t="n">
        <v>0.5644490023579203</v>
      </c>
      <c r="I5" t="n">
        <v>0.8561980925700825</v>
      </c>
    </row>
    <row r="6">
      <c r="A6" t="inlineStr">
        <is>
          <t>推論 GW</t>
        </is>
      </c>
      <c r="B6" t="inlineStr">
        <is>
          <t>CMP_InfGW</t>
        </is>
      </c>
      <c r="C6" t="inlineStr">
        <is>
          <t>P1 前（Z5b）</t>
        </is>
      </c>
      <c r="D6" t="n">
        <v>0.00227527969917954</v>
      </c>
      <c r="E6" t="n">
        <v>0.02981044365322925</v>
      </c>
      <c r="F6" t="n">
        <v>0.05525146977675528</v>
      </c>
      <c r="G6" t="n">
        <v>0.09057466797491118</v>
      </c>
      <c r="H6" t="n">
        <v>0.1468682375392599</v>
      </c>
      <c r="I6" t="n">
        <v>0.2227806308717797</v>
      </c>
    </row>
    <row r="7">
      <c r="A7" t="inlineStr">
        <is>
          <t>推論 GW</t>
        </is>
      </c>
      <c r="B7" t="inlineStr">
        <is>
          <t>CMP_InfGW</t>
        </is>
      </c>
      <c r="C7" t="inlineStr">
        <is>
          <t>P1 後＝最終</t>
        </is>
      </c>
      <c r="D7" t="n">
        <v>0.02515151104206255</v>
      </c>
      <c r="E7" t="n">
        <v>0.07217816146606247</v>
      </c>
      <c r="F7" t="n">
        <v>0.1337769257369611</v>
      </c>
      <c r="G7" t="n">
        <v>0.2193027747549121</v>
      </c>
      <c r="H7" t="n">
        <v>0.3556028714854897</v>
      </c>
      <c r="I7" t="n">
        <v>0.539404798319152</v>
      </c>
    </row>
    <row r="8">
      <c r="A8" t="inlineStr">
        <is>
          <t>研發 GW</t>
        </is>
      </c>
      <c r="B8" t="inlineStr">
        <is>
          <t>CMP_RDGW</t>
        </is>
      </c>
      <c r="C8" t="inlineStr">
        <is>
          <t>P1 前（Z5b）</t>
        </is>
      </c>
      <c r="D8" t="n">
        <v>0.02881190594347303</v>
      </c>
      <c r="E8" t="n">
        <v>0.07001726127539788</v>
      </c>
      <c r="F8" t="n">
        <v>0.1297718558036206</v>
      </c>
      <c r="G8" t="n">
        <v>0.2127371959405504</v>
      </c>
      <c r="H8" t="n">
        <v>0.3449566829821269</v>
      </c>
      <c r="I8" t="n">
        <v>0.5232558703351482</v>
      </c>
    </row>
    <row r="9">
      <c r="A9" t="inlineStr">
        <is>
          <t>研發 GW</t>
        </is>
      </c>
      <c r="B9" t="inlineStr">
        <is>
          <t>CMP_RDGW</t>
        </is>
      </c>
      <c r="C9" t="inlineStr">
        <is>
          <t>P1 後＝最終</t>
        </is>
      </c>
      <c r="D9" t="n">
        <v>0.01077921901802681</v>
      </c>
      <c r="E9" t="n">
        <v>0.03093349777116963</v>
      </c>
      <c r="F9" t="n">
        <v>0.05733296817298333</v>
      </c>
      <c r="G9" t="n">
        <v>0.09398690346639094</v>
      </c>
      <c r="H9" t="n">
        <v>0.1524012306366386</v>
      </c>
      <c r="I9" t="n">
        <v>0.2311734849939223</v>
      </c>
    </row>
    <row r="10">
      <c r="A10" t="inlineStr">
        <is>
          <t>研發占比</t>
        </is>
      </c>
      <c r="B10" t="inlineStr">
        <is>
          <t>CMP_RDShare</t>
        </is>
      </c>
      <c r="C10" t="inlineStr">
        <is>
          <t>P1 前（Z5b）</t>
        </is>
      </c>
      <c r="D10" t="n">
        <v>0.9268097239378984</v>
      </c>
      <c r="F10" t="n">
        <v>0.7013810577480215</v>
      </c>
      <c r="G10" t="n">
        <v>0.7013810577480215</v>
      </c>
      <c r="H10" t="n">
        <v>0.7013810577480215</v>
      </c>
      <c r="I10" t="n">
        <v>0.7013810577480215</v>
      </c>
    </row>
    <row r="11">
      <c r="A11" t="inlineStr">
        <is>
          <t>研發占比</t>
        </is>
      </c>
      <c r="B11" t="inlineStr">
        <is>
          <t>CMP_RDShare</t>
        </is>
      </c>
      <c r="C11" t="inlineStr">
        <is>
          <t>P1 後＝最終</t>
        </is>
      </c>
      <c r="D11" t="n">
        <v>0.3</v>
      </c>
      <c r="F11" t="n">
        <v>0.3</v>
      </c>
      <c r="G11" t="n">
        <v>0.3</v>
      </c>
      <c r="H11" t="n">
        <v>0.3</v>
      </c>
      <c r="I11" t="n">
        <v>0.3</v>
      </c>
    </row>
    <row r="12">
      <c r="A12" t="inlineStr">
        <is>
          <t>供給 VR 等值 GW</t>
        </is>
      </c>
      <c r="B12" t="inlineStr">
        <is>
          <t>CMP_Supply_VReq</t>
        </is>
      </c>
      <c r="C12" t="inlineStr">
        <is>
          <t>P1 前（Z5b）</t>
        </is>
      </c>
      <c r="D12" t="n">
        <v>0.002105976583445563</v>
      </c>
      <c r="E12" t="n">
        <v>0.006399880414208748</v>
      </c>
      <c r="F12" t="n">
        <v>0.01180439584204354</v>
      </c>
      <c r="G12" t="n">
        <v>0.01913748937844432</v>
      </c>
      <c r="H12" t="n">
        <v>0.03004188957624717</v>
      </c>
      <c r="I12" t="n">
        <v>0.04654572401357464</v>
      </c>
    </row>
    <row r="13">
      <c r="A13" t="inlineStr">
        <is>
          <t>供給 VR 等值 GW</t>
        </is>
      </c>
      <c r="B13" t="inlineStr">
        <is>
          <t>CMP_Supply_VReq</t>
        </is>
      </c>
      <c r="C13" t="inlineStr">
        <is>
          <t>P1 後＝最終</t>
        </is>
      </c>
      <c r="D13" t="n">
        <v>0.002434098634803121</v>
      </c>
      <c r="E13" t="n">
        <v>0.006610412298877672</v>
      </c>
      <c r="F13" t="n">
        <v>0.01219271586416237</v>
      </c>
      <c r="G13" t="n">
        <v>0.01976704047095072</v>
      </c>
      <c r="H13" t="n">
        <v>0.03103015423467127</v>
      </c>
      <c r="I13" t="n">
        <v>0.04807690246780034</v>
      </c>
    </row>
    <row r="14">
      <c r="A14" t="inlineStr">
        <is>
          <t>推論 VR 等值 GW</t>
        </is>
      </c>
      <c r="B14" t="inlineStr">
        <is>
          <t>CMP_InfGW_VReq</t>
        </is>
      </c>
      <c r="C14" t="inlineStr">
        <is>
          <t>P1 前（Z5b）</t>
        </is>
      </c>
      <c r="D14" t="n">
        <v>0.0001541370075227022</v>
      </c>
      <c r="E14" t="n">
        <v>0.001784598124900449</v>
      </c>
      <c r="F14" t="n">
        <v>0.003172514580247224</v>
      </c>
      <c r="G14" t="n">
        <v>0.005143335151994564</v>
      </c>
      <c r="H14" t="n">
        <v>0.008073969559658702</v>
      </c>
      <c r="I14" t="n">
        <v>0.01250949138415756</v>
      </c>
    </row>
    <row r="15">
      <c r="A15" t="inlineStr">
        <is>
          <t>推論 VR 等值 GW</t>
        </is>
      </c>
      <c r="B15" t="inlineStr">
        <is>
          <t>CMP_InfGW_VReq</t>
        </is>
      </c>
      <c r="C15" t="inlineStr">
        <is>
          <t>P1 後＝最終</t>
        </is>
      </c>
      <c r="D15" t="n">
        <v>0.001703869044362184</v>
      </c>
      <c r="E15" t="n">
        <v>0.004320935746863448</v>
      </c>
      <c r="F15" t="n">
        <v>0.007681410994422295</v>
      </c>
      <c r="G15" t="n">
        <v>0.01245323549669895</v>
      </c>
      <c r="H15" t="n">
        <v>0.0195489971678429</v>
      </c>
      <c r="I15" t="n">
        <v>0.03028844855471421</v>
      </c>
    </row>
    <row r="16">
      <c r="A16" t="inlineStr">
        <is>
          <t>研發 VR 等值 GW</t>
        </is>
      </c>
      <c r="B16" t="inlineStr">
        <is>
          <t>CMP_RDGW_VReq</t>
        </is>
      </c>
      <c r="C16" t="inlineStr">
        <is>
          <t>P1 前（Z5b）</t>
        </is>
      </c>
      <c r="D16" t="n">
        <v>0.001951839575922861</v>
      </c>
      <c r="E16" t="n">
        <v>0.004191573753019412</v>
      </c>
      <c r="F16" t="n">
        <v>0.007451441677591959</v>
      </c>
      <c r="G16" t="n">
        <v>0.01208040528860532</v>
      </c>
      <c r="H16" t="n">
        <v>0.01896373105896376</v>
      </c>
      <c r="I16" t="n">
        <v>0.02938166022805962</v>
      </c>
    </row>
    <row r="17">
      <c r="A17" t="inlineStr">
        <is>
          <t>研發 VR 等值 GW</t>
        </is>
      </c>
      <c r="B17" t="inlineStr">
        <is>
          <t>CMP_RDGW_VReq</t>
        </is>
      </c>
      <c r="C17" t="inlineStr">
        <is>
          <t>P1 後＝最終</t>
        </is>
      </c>
      <c r="D17" t="n">
        <v>0.0007302295904409364</v>
      </c>
      <c r="E17" t="n">
        <v>0.001851829605798621</v>
      </c>
      <c r="F17" t="n">
        <v>0.003292033283323842</v>
      </c>
      <c r="G17" t="n">
        <v>0.005337100927156695</v>
      </c>
      <c r="H17" t="n">
        <v>0.008378141643361248</v>
      </c>
      <c r="I17" t="n">
        <v>0.01298076366630609</v>
      </c>
    </row>
    <row r="18">
      <c r="A18" t="inlineStr">
        <is>
          <t>每 GW 價格（組合）</t>
        </is>
      </c>
      <c r="B18" t="inlineStr">
        <is>
          <t>CMP_PricePerGW</t>
        </is>
      </c>
      <c r="C18" t="inlineStr">
        <is>
          <t>P1 前（Z5b）</t>
        </is>
      </c>
      <c r="D18" t="n">
        <v>678.5099873904252</v>
      </c>
      <c r="E18" t="n">
        <v>562.2793746473916</v>
      </c>
      <c r="F18" t="n">
        <v>469.4318779573417</v>
      </c>
      <c r="G18" t="n">
        <v>438.7733498382817</v>
      </c>
      <c r="H18" t="n">
        <v>422.7943216475845</v>
      </c>
      <c r="I18" t="n">
        <v>421.8768344327128</v>
      </c>
    </row>
    <row r="19">
      <c r="A19" t="inlineStr">
        <is>
          <t>每 GW 價格（組合）</t>
        </is>
      </c>
      <c r="B19" t="inlineStr">
        <is>
          <t>CMP_PricePerGW</t>
        </is>
      </c>
      <c r="C19" t="inlineStr">
        <is>
          <t>P1 後＝最終</t>
        </is>
      </c>
      <c r="D19" t="n">
        <v>678.5099873904252</v>
      </c>
      <c r="E19" t="n">
        <v>562.2793746473916</v>
      </c>
      <c r="F19" t="n">
        <v>469.4318779573417</v>
      </c>
      <c r="G19" t="n">
        <v>438.7733498382817</v>
      </c>
      <c r="H19" t="n">
        <v>422.7943216475845</v>
      </c>
      <c r="I19" t="n">
        <v>421.8768344327128</v>
      </c>
    </row>
    <row r="20">
      <c r="A20" t="inlineStr">
        <is>
          <t>營收淨額（RMB 億）</t>
        </is>
      </c>
      <c r="B20" t="inlineStr">
        <is>
          <t>REV_NetCapped</t>
        </is>
      </c>
      <c r="C20" t="inlineStr">
        <is>
          <t>P1 前（Z5b）</t>
        </is>
      </c>
      <c r="D20" t="n">
        <v>7.2433</v>
      </c>
      <c r="E20" t="n">
        <v>40.41937471581056</v>
      </c>
      <c r="F20" t="n">
        <v>80.27643843710439</v>
      </c>
      <c r="G20" t="n">
        <v>131.465536042481</v>
      </c>
      <c r="H20" t="n">
        <v>197.6885576680851</v>
      </c>
      <c r="I20" t="n">
        <v>278.4191860895346</v>
      </c>
    </row>
    <row r="21">
      <c r="A21" t="inlineStr">
        <is>
          <t>營收淨額（RMB 億）</t>
        </is>
      </c>
      <c r="B21" t="inlineStr">
        <is>
          <t>REV_NetCapped</t>
        </is>
      </c>
      <c r="C21" t="inlineStr">
        <is>
          <t>P1 後＝最終</t>
        </is>
      </c>
      <c r="D21" t="n">
        <v>7.2433</v>
      </c>
      <c r="E21" t="n">
        <v>40.41937471581056</v>
      </c>
      <c r="F21" t="n">
        <v>80.27643843710439</v>
      </c>
      <c r="G21" t="n">
        <v>131.465536042481</v>
      </c>
      <c r="H21" t="n">
        <v>197.6885576680851</v>
      </c>
      <c r="I21" t="n">
        <v>278.4191860895346</v>
      </c>
    </row>
    <row r="22">
      <c r="A22" t="inlineStr">
        <is>
          <t>全成本（RMB 億）</t>
        </is>
      </c>
      <c r="B22" t="inlineStr">
        <is>
          <t>COST_FullCash</t>
        </is>
      </c>
      <c r="C22" t="inlineStr">
        <is>
          <t>P1 前（Z5b）</t>
        </is>
      </c>
      <c r="D22" t="n">
        <v>45.04350000000001</v>
      </c>
      <c r="E22" t="n">
        <v>82.03676395979603</v>
      </c>
      <c r="F22" t="n">
        <v>121.4294407082927</v>
      </c>
      <c r="G22" t="n">
        <v>175.6333798609576</v>
      </c>
      <c r="H22" t="n">
        <v>262.0155059652905</v>
      </c>
      <c r="I22" t="n">
        <v>384.305455059044</v>
      </c>
    </row>
    <row r="23">
      <c r="A23" t="inlineStr">
        <is>
          <t>全成本（RMB 億）</t>
        </is>
      </c>
      <c r="B23" t="inlineStr">
        <is>
          <t>COST_FullCash</t>
        </is>
      </c>
      <c r="C23" t="inlineStr">
        <is>
          <t>P1 後＝最終</t>
        </is>
      </c>
      <c r="D23" t="n">
        <v>45.04350000000001</v>
      </c>
      <c r="E23" t="n">
        <v>82.60527757309524</v>
      </c>
      <c r="F23" t="n">
        <v>123.0260043068895</v>
      </c>
      <c r="G23" t="n">
        <v>178.70979566484</v>
      </c>
      <c r="H23" t="n">
        <v>267.5901886652272</v>
      </c>
      <c r="I23" t="n">
        <v>393.5141941625055</v>
      </c>
    </row>
    <row r="24">
      <c r="A24" t="inlineStr">
        <is>
          <t>差額（RMB 億）</t>
        </is>
      </c>
      <c r="B24" t="inlineStr">
        <is>
          <t>COST_GapCash</t>
        </is>
      </c>
      <c r="C24" t="inlineStr">
        <is>
          <t>P1 前（Z5b）</t>
        </is>
      </c>
      <c r="D24" t="n">
        <v>-37.80020000000001</v>
      </c>
      <c r="E24" t="n">
        <v>-41.61738924398548</v>
      </c>
      <c r="F24" t="n">
        <v>-41.15300227118836</v>
      </c>
      <c r="G24" t="n">
        <v>-44.16784381847657</v>
      </c>
      <c r="H24" t="n">
        <v>-64.32694829720538</v>
      </c>
      <c r="I24" t="n">
        <v>-105.8862689695094</v>
      </c>
    </row>
    <row r="25">
      <c r="A25" t="inlineStr">
        <is>
          <t>差額（RMB 億）</t>
        </is>
      </c>
      <c r="B25" t="inlineStr">
        <is>
          <t>COST_GapCash</t>
        </is>
      </c>
      <c r="C25" t="inlineStr">
        <is>
          <t>P1 後＝最終</t>
        </is>
      </c>
      <c r="D25" t="n">
        <v>-37.80020000000001</v>
      </c>
      <c r="E25" t="n">
        <v>-42.18590285728468</v>
      </c>
      <c r="F25" t="n">
        <v>-42.74956586978509</v>
      </c>
      <c r="G25" t="n">
        <v>-47.24425962235901</v>
      </c>
      <c r="H25" t="n">
        <v>-69.90163099714209</v>
      </c>
      <c r="I25" t="n">
        <v>-115.0950080729709</v>
      </c>
    </row>
    <row r="26">
      <c r="A26" t="inlineStr">
        <is>
          <t>每 VR 等值 GW 營收（RMB 億）</t>
        </is>
      </c>
      <c r="B26" t="inlineStr">
        <is>
          <t>COST_PropRev_VR</t>
        </is>
      </c>
      <c r="C26" t="inlineStr">
        <is>
          <t>P1 前（Z5b）</t>
        </is>
      </c>
      <c r="D26" t="n">
        <v>3439.401965310232</v>
      </c>
      <c r="E26" t="n">
        <v>6315.645308945639</v>
      </c>
      <c r="F26" t="n">
        <v>6800.55459943024</v>
      </c>
      <c r="G26" t="n">
        <v>6869.528883478228</v>
      </c>
      <c r="H26" t="n">
        <v>6580.430207838487</v>
      </c>
      <c r="I26" t="n">
        <v>5981.627571381985</v>
      </c>
    </row>
    <row r="27">
      <c r="A27" t="inlineStr">
        <is>
          <t>每 VR 等值 GW 營收（RMB 億）</t>
        </is>
      </c>
      <c r="B27" t="inlineStr">
        <is>
          <t>COST_PropRev_VR</t>
        </is>
      </c>
      <c r="C27" t="inlineStr">
        <is>
          <t>P1 後＝最終</t>
        </is>
      </c>
      <c r="D27" t="n">
        <v>2975.762730578856</v>
      </c>
      <c r="E27" t="n">
        <v>6114.50131827224</v>
      </c>
      <c r="F27" t="n">
        <v>6583.966962853464</v>
      </c>
      <c r="G27" t="n">
        <v>6650.744517657077</v>
      </c>
      <c r="H27" t="n">
        <v>6370.853208560578</v>
      </c>
      <c r="I27" t="n">
        <v>5791.121553140965</v>
      </c>
    </row>
    <row r="28">
      <c r="A28" t="inlineStr">
        <is>
          <t>每 VR 等值 GW 全成本（RMB 億）</t>
        </is>
      </c>
      <c r="B28" t="inlineStr">
        <is>
          <t>COST_PropFull_VR</t>
        </is>
      </c>
      <c r="C28" t="inlineStr">
        <is>
          <t>P1 前（Z5b）</t>
        </is>
      </c>
      <c r="D28" t="n">
        <v>21388.41445535205</v>
      </c>
      <c r="E28" t="n">
        <v>12818.48388567721</v>
      </c>
      <c r="F28" t="n">
        <v>10286.79843790051</v>
      </c>
      <c r="G28" t="n">
        <v>9177.451461255092</v>
      </c>
      <c r="H28" t="n">
        <v>8721.67196075625</v>
      </c>
      <c r="I28" t="n">
        <v>8256.514711146501</v>
      </c>
    </row>
    <row r="29">
      <c r="A29" t="inlineStr">
        <is>
          <t>每 VR 等值 GW 全成本（RMB 億）</t>
        </is>
      </c>
      <c r="B29" t="inlineStr">
        <is>
          <t>COST_PropFull_VR</t>
        </is>
      </c>
      <c r="C29" t="inlineStr">
        <is>
          <t>P1 後＝最終</t>
        </is>
      </c>
      <c r="D29" t="n">
        <v>18505.20737161635</v>
      </c>
      <c r="E29" t="n">
        <v>12496.23682128271</v>
      </c>
      <c r="F29" t="n">
        <v>10090.12312576688</v>
      </c>
      <c r="G29" t="n">
        <v>9040.7967711438</v>
      </c>
      <c r="H29" t="n">
        <v>8623.553290825659</v>
      </c>
      <c r="I29" t="n">
        <v>8185.098747284372</v>
      </c>
    </row>
    <row r="30">
      <c r="A30" t="inlineStr">
        <is>
          <t>每 VR 等值 GW 差額（RMB 億）</t>
        </is>
      </c>
      <c r="B30" t="inlineStr">
        <is>
          <t>COST_PropGap_VR</t>
        </is>
      </c>
      <c r="C30" t="inlineStr">
        <is>
          <t>P1 前（Z5b）</t>
        </is>
      </c>
      <c r="D30" t="n">
        <v>-17949.01249004182</v>
      </c>
      <c r="E30" t="n">
        <v>-6502.838576731572</v>
      </c>
      <c r="F30" t="n">
        <v>-3486.24383847027</v>
      </c>
      <c r="G30" t="n">
        <v>-2307.922577776864</v>
      </c>
      <c r="H30" t="n">
        <v>-2141.241752917763</v>
      </c>
      <c r="I30" t="n">
        <v>-2274.887139764516</v>
      </c>
    </row>
    <row r="31">
      <c r="A31" t="inlineStr">
        <is>
          <t>每 VR 等值 GW 差額（RMB 億）</t>
        </is>
      </c>
      <c r="B31" t="inlineStr">
        <is>
          <t>COST_PropGap_VR</t>
        </is>
      </c>
      <c r="C31" t="inlineStr">
        <is>
          <t>P1 後＝最終</t>
        </is>
      </c>
      <c r="D31" t="n">
        <v>-15529.44464103749</v>
      </c>
      <c r="E31" t="n">
        <v>-6381.735503010468</v>
      </c>
      <c r="F31" t="n">
        <v>-3506.156162913417</v>
      </c>
      <c r="G31" t="n">
        <v>-2390.052253486722</v>
      </c>
      <c r="H31" t="n">
        <v>-2252.700082265081</v>
      </c>
      <c r="I31" t="n">
        <v>-2393.977194143406</v>
      </c>
    </row>
    <row r="32">
      <c r="A32" t="inlineStr">
        <is>
          <t>覆蓋率</t>
        </is>
      </c>
      <c r="B32" t="inlineStr">
        <is>
          <t>COST_Coverage</t>
        </is>
      </c>
      <c r="C32" t="inlineStr">
        <is>
          <t>P1 前（Z5b）</t>
        </is>
      </c>
      <c r="D32" t="n">
        <v>0.1608067756724055</v>
      </c>
      <c r="E32" t="n">
        <v>0.4926983070129263</v>
      </c>
      <c r="F32" t="n">
        <v>0.6610953486144328</v>
      </c>
      <c r="G32" t="n">
        <v>0.748522496956771</v>
      </c>
      <c r="H32" t="n">
        <v>0.7544918265038603</v>
      </c>
      <c r="I32" t="n">
        <v>0.7244736769264927</v>
      </c>
    </row>
    <row r="33">
      <c r="A33" t="inlineStr">
        <is>
          <t>覆蓋率</t>
        </is>
      </c>
      <c r="B33" t="inlineStr">
        <is>
          <t>COST_Coverage</t>
        </is>
      </c>
      <c r="C33" t="inlineStr">
        <is>
          <t>P1 後＝最終</t>
        </is>
      </c>
      <c r="D33" t="n">
        <v>0.1608067756724055</v>
      </c>
      <c r="E33" t="n">
        <v>0.4893074135613734</v>
      </c>
      <c r="F33" t="n">
        <v>0.6525160179701041</v>
      </c>
      <c r="G33" t="n">
        <v>0.7356369893066024</v>
      </c>
      <c r="H33" t="n">
        <v>0.7387735651078239</v>
      </c>
      <c r="I33" t="n">
        <v>0.7075200595548498</v>
      </c>
    </row>
    <row r="34">
      <c r="A34" t="inlineStr">
        <is>
          <t>每 VR 等值 GW 營收（$B）</t>
        </is>
      </c>
      <c r="B34" t="inlineStr">
        <is>
          <t>COST_PropRev_VR_USD</t>
        </is>
      </c>
      <c r="C34" t="inlineStr">
        <is>
          <t>P1 前（Z5b）</t>
        </is>
      </c>
      <c r="D34" t="n">
        <v>51.03045987789481</v>
      </c>
      <c r="E34" t="n">
        <v>93.70532662125017</v>
      </c>
      <c r="F34" t="n">
        <v>100.8999332249772</v>
      </c>
      <c r="G34" t="n">
        <v>101.9233057386345</v>
      </c>
      <c r="H34" t="n">
        <v>97.63394424009982</v>
      </c>
      <c r="I34" t="n">
        <v>88.74950030982635</v>
      </c>
    </row>
    <row r="35">
      <c r="A35" t="inlineStr">
        <is>
          <t>每 VR 等值 GW 營收（$B）</t>
        </is>
      </c>
      <c r="B35" t="inlineStr">
        <is>
          <t>COST_PropRev_VR_USD</t>
        </is>
      </c>
      <c r="C35" t="inlineStr">
        <is>
          <t>P1 後＝最終</t>
        </is>
      </c>
      <c r="D35" t="n">
        <v>44.15143741863908</v>
      </c>
      <c r="E35" t="n">
        <v>90.72095013683051</v>
      </c>
      <c r="F35" t="n">
        <v>97.68641912867348</v>
      </c>
      <c r="G35" t="n">
        <v>98.67719873673315</v>
      </c>
      <c r="H35" t="n">
        <v>94.52444707726492</v>
      </c>
      <c r="I35" t="n">
        <v>85.92295958606159</v>
      </c>
    </row>
    <row r="36">
      <c r="A36" t="inlineStr">
        <is>
          <t>每 VR 等值 GW 全成本（$B）</t>
        </is>
      </c>
      <c r="B36" t="inlineStr">
        <is>
          <t>COST_PropFull_VR_USD</t>
        </is>
      </c>
      <c r="C36" t="inlineStr">
        <is>
          <t>P1 前（Z5b）</t>
        </is>
      </c>
      <c r="D36" t="n">
        <v>317.3402343558814</v>
      </c>
      <c r="E36" t="n">
        <v>190.188042636793</v>
      </c>
      <c r="F36" t="n">
        <v>152.6253866956559</v>
      </c>
      <c r="G36" t="n">
        <v>136.1659885347719</v>
      </c>
      <c r="H36" t="n">
        <v>129.4035810732541</v>
      </c>
      <c r="I36" t="n">
        <v>122.5020358038918</v>
      </c>
    </row>
    <row r="37">
      <c r="A37" t="inlineStr">
        <is>
          <t>每 VR 等值 GW 全成本（$B）</t>
        </is>
      </c>
      <c r="B37" t="inlineStr">
        <is>
          <t>COST_PropFull_VR_USD</t>
        </is>
      </c>
      <c r="C37" t="inlineStr">
        <is>
          <t>P1 後＝最終</t>
        </is>
      </c>
      <c r="D37" t="n">
        <v>274.562046493514</v>
      </c>
      <c r="E37" t="n">
        <v>185.4068579842833</v>
      </c>
      <c r="F37" t="n">
        <v>149.7073120634858</v>
      </c>
      <c r="G37" t="n">
        <v>134.1384407950237</v>
      </c>
      <c r="H37" t="n">
        <v>127.9477928578415</v>
      </c>
      <c r="I37" t="n">
        <v>121.4424360492644</v>
      </c>
    </row>
    <row r="38">
      <c r="A38" t="inlineStr">
        <is>
          <t>每 VR 等值 GW 差額（$B）</t>
        </is>
      </c>
      <c r="B38" t="inlineStr">
        <is>
          <t>COST_PropGap_VR_USD</t>
        </is>
      </c>
      <c r="C38" t="inlineStr">
        <is>
          <t>P1 前（Z5b）</t>
        </is>
      </c>
      <c r="D38" t="n">
        <v>-266.3097744779866</v>
      </c>
      <c r="E38" t="n">
        <v>-96.48271601554285</v>
      </c>
      <c r="F38" t="n">
        <v>-51.72545347067864</v>
      </c>
      <c r="G38" t="n">
        <v>-34.2426827961374</v>
      </c>
      <c r="H38" t="n">
        <v>-31.76963683315424</v>
      </c>
      <c r="I38" t="n">
        <v>-33.75253549406544</v>
      </c>
    </row>
    <row r="39">
      <c r="A39" t="inlineStr">
        <is>
          <t>每 VR 等值 GW 差額（$B）</t>
        </is>
      </c>
      <c r="B39" t="inlineStr">
        <is>
          <t>COST_PropGap_VR_USD</t>
        </is>
      </c>
      <c r="C39" t="inlineStr">
        <is>
          <t>P1 後＝最終</t>
        </is>
      </c>
      <c r="D39" t="n">
        <v>-230.4106090748749</v>
      </c>
      <c r="E39" t="n">
        <v>-94.68590784745275</v>
      </c>
      <c r="F39" t="n">
        <v>-52.02089293481234</v>
      </c>
      <c r="G39" t="n">
        <v>-35.46124205829052</v>
      </c>
      <c r="H39" t="n">
        <v>-33.42334578057658</v>
      </c>
      <c r="I39" t="n">
        <v>-35.51947646320282</v>
      </c>
    </row>
    <row r="40">
      <c r="A40" t="inlineStr">
        <is>
          <t>每實體 GW 差額（RMB 億）</t>
        </is>
      </c>
      <c r="B40" t="inlineStr">
        <is>
          <t>COST_PropGap_Phys</t>
        </is>
      </c>
      <c r="C40" t="inlineStr">
        <is>
          <t>P1 前（Z5b）</t>
        </is>
      </c>
      <c r="D40" t="n">
        <v>-1215.941527628573</v>
      </c>
      <c r="E40" t="n">
        <v>-389.2915404265828</v>
      </c>
      <c r="F40" t="n">
        <v>-200.178555476131</v>
      </c>
      <c r="G40" t="n">
        <v>-131.0567246644472</v>
      </c>
      <c r="H40" t="n">
        <v>-117.7131354102813</v>
      </c>
      <c r="I40" t="n">
        <v>-127.7385783649824</v>
      </c>
    </row>
    <row r="41">
      <c r="A41" t="inlineStr">
        <is>
          <t>每實體 GW 差額（RMB 億）</t>
        </is>
      </c>
      <c r="B41" t="inlineStr">
        <is>
          <t>COST_PropGap_Phys</t>
        </is>
      </c>
      <c r="C41" t="inlineStr">
        <is>
          <t>P1 後＝最終</t>
        </is>
      </c>
      <c r="D41" t="n">
        <v>-1052.029834539521</v>
      </c>
      <c r="E41" t="n">
        <v>-382.0417215108903</v>
      </c>
      <c r="F41" t="n">
        <v>-201.3219122027076</v>
      </c>
      <c r="G41" t="n">
        <v>-135.7205060234629</v>
      </c>
      <c r="H41" t="n">
        <v>-123.8404722218236</v>
      </c>
      <c r="I41" t="n">
        <v>-134.4256768051022</v>
      </c>
    </row>
    <row r="42">
      <c r="A42" t="inlineStr">
        <is>
          <t>每實體 GW 差額（$B）</t>
        </is>
      </c>
      <c r="B42" t="inlineStr">
        <is>
          <t>COST_PropGap_Phys_USD</t>
        </is>
      </c>
      <c r="C42" t="inlineStr">
        <is>
          <t>P1 前（Z5b）</t>
        </is>
      </c>
      <c r="D42" t="n">
        <v>-18.04094315388319</v>
      </c>
      <c r="E42" t="n">
        <v>-5.775924574942993</v>
      </c>
      <c r="F42" t="n">
        <v>-2.970052307543599</v>
      </c>
      <c r="G42" t="n">
        <v>-1.944490640283197</v>
      </c>
      <c r="H42" t="n">
        <v>-1.746511601214874</v>
      </c>
      <c r="I42" t="n">
        <v>-1.895259252585089</v>
      </c>
    </row>
    <row r="43">
      <c r="A43" t="inlineStr">
        <is>
          <t>每實體 GW 差額（$B）</t>
        </is>
      </c>
      <c r="B43" t="inlineStr">
        <is>
          <t>COST_PropGap_Phys_USD</t>
        </is>
      </c>
      <c r="C43" t="inlineStr">
        <is>
          <t>P1 後＝最終</t>
        </is>
      </c>
      <c r="D43" t="n">
        <v>-15.60898284157809</v>
      </c>
      <c r="E43" t="n">
        <v>-5.668358900145259</v>
      </c>
      <c r="F43" t="n">
        <v>-2.987016308887485</v>
      </c>
      <c r="G43" t="n">
        <v>-2.013687236063783</v>
      </c>
      <c r="H43" t="n">
        <v>-1.83742299176284</v>
      </c>
      <c r="I43" t="n">
        <v>-1.994475835028742</v>
      </c>
    </row>
    <row r="44">
      <c r="A44" t="inlineStr">
        <is>
          <t>供應商推算毛利率</t>
        </is>
      </c>
      <c r="B44" t="inlineStr">
        <is>
          <t>COST_CloudGMPct</t>
        </is>
      </c>
      <c r="C44" t="inlineStr">
        <is>
          <t>P1 前（Z5b）</t>
        </is>
      </c>
      <c r="D44" t="n">
        <v>0.1977167383884098</v>
      </c>
      <c r="E44" t="n">
        <v>0.145970889732332</v>
      </c>
      <c r="F44" t="n">
        <v>0.04332297015520446</v>
      </c>
      <c r="G44" t="n">
        <v>0.007492673070936994</v>
      </c>
      <c r="H44" t="n">
        <v>0.002170055669849944</v>
      </c>
      <c r="I44" t="n">
        <v>0</v>
      </c>
    </row>
    <row r="45">
      <c r="A45" t="inlineStr">
        <is>
          <t>供應商推算毛利率</t>
        </is>
      </c>
      <c r="B45" t="inlineStr">
        <is>
          <t>COST_CloudGMPct</t>
        </is>
      </c>
      <c r="C45" t="inlineStr">
        <is>
          <t>P1 後＝最終</t>
        </is>
      </c>
      <c r="D45" t="n">
        <v>0.1977167383884097</v>
      </c>
      <c r="E45" t="n">
        <v>0.1459708897323321</v>
      </c>
      <c r="F45" t="n">
        <v>0.04332297015520437</v>
      </c>
      <c r="G45" t="n">
        <v>0.007492673070936972</v>
      </c>
      <c r="H45" t="n">
        <v>0.0021700556698499</v>
      </c>
      <c r="I45" t="n">
        <v>0</v>
      </c>
    </row>
    <row r="46">
      <c r="A46" t="inlineStr">
        <is>
          <t>當年外部資金需求</t>
        </is>
      </c>
      <c r="B46" t="inlineStr">
        <is>
          <t>FND_ExtNeed</t>
        </is>
      </c>
      <c r="C46" t="inlineStr">
        <is>
          <t>P1 前（Z5b）</t>
        </is>
      </c>
      <c r="E46" t="n">
        <v>-0</v>
      </c>
      <c r="F46" t="n">
        <v>-0</v>
      </c>
      <c r="G46" t="n">
        <v>-0</v>
      </c>
      <c r="H46" t="n">
        <v>-0</v>
      </c>
      <c r="I46" t="n">
        <v>18.92596424784162</v>
      </c>
    </row>
    <row r="47">
      <c r="A47" t="inlineStr">
        <is>
          <t>當年外部資金需求</t>
        </is>
      </c>
      <c r="B47" t="inlineStr">
        <is>
          <t>FND_ExtNeed</t>
        </is>
      </c>
      <c r="C47" t="inlineStr">
        <is>
          <t>P1 後＝最終</t>
        </is>
      </c>
      <c r="E47" t="n">
        <v>-0</v>
      </c>
      <c r="F47" t="n">
        <v>-0</v>
      </c>
      <c r="G47" t="n">
        <v>-0</v>
      </c>
      <c r="H47" t="n">
        <v>-0</v>
      </c>
      <c r="I47" t="n">
        <v>43.55524861874883</v>
      </c>
    </row>
    <row r="48">
      <c r="A48" t="inlineStr">
        <is>
          <t>累計外部資金需求</t>
        </is>
      </c>
      <c r="B48" t="inlineStr">
        <is>
          <t>FND_ExtNeedCum</t>
        </is>
      </c>
      <c r="C48" t="inlineStr">
        <is>
          <t>P1 前（Z5b）</t>
        </is>
      </c>
      <c r="E48" t="n">
        <v>-0</v>
      </c>
      <c r="F48" t="n">
        <v>0</v>
      </c>
      <c r="G48" t="n">
        <v>0</v>
      </c>
      <c r="H48" t="n">
        <v>0</v>
      </c>
      <c r="I48" t="n">
        <v>18.92596424784162</v>
      </c>
    </row>
    <row r="49">
      <c r="A49" t="inlineStr">
        <is>
          <t>累計外部資金需求</t>
        </is>
      </c>
      <c r="B49" t="inlineStr">
        <is>
          <t>FND_ExtNeedCum</t>
        </is>
      </c>
      <c r="C49" t="inlineStr">
        <is>
          <t>P1 後＝最終</t>
        </is>
      </c>
      <c r="E49" t="n">
        <v>-0</v>
      </c>
      <c r="F49" t="n">
        <v>0</v>
      </c>
      <c r="G49" t="n">
        <v>0</v>
      </c>
      <c r="H49" t="n">
        <v>0</v>
      </c>
      <c r="I49" t="n">
        <v>43.55524861874883</v>
      </c>
    </row>
    <row r="50">
      <c r="A50" t="inlineStr">
        <is>
          <t>累計外部資金需求（轉股）</t>
        </is>
      </c>
      <c r="B50" t="inlineStr">
        <is>
          <t>FND_ExtNeedCumConv</t>
        </is>
      </c>
      <c r="C50" t="inlineStr">
        <is>
          <t>P1 前（Z5b）</t>
        </is>
      </c>
      <c r="E50" t="n">
        <v>-0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累計外部資金需求（轉股）</t>
        </is>
      </c>
      <c r="B51" t="inlineStr">
        <is>
          <t>FND_ExtNeedCumConv</t>
        </is>
      </c>
      <c r="C51" t="inlineStr">
        <is>
          <t>P1 後＝最終</t>
        </is>
      </c>
      <c r="E51" t="n">
        <v>-0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年底現金</t>
        </is>
      </c>
      <c r="B52" t="inlineStr">
        <is>
          <t>FND_CashEnd</t>
        </is>
      </c>
      <c r="C52" t="inlineStr">
        <is>
          <t>P1 前（Z5b）</t>
        </is>
      </c>
      <c r="D52" t="n">
        <v>22.5915</v>
      </c>
      <c r="E52" t="n">
        <v>624.1795558510938</v>
      </c>
      <c r="F52" t="n">
        <v>382.1114723810105</v>
      </c>
      <c r="G52" t="n">
        <v>338.6187829437494</v>
      </c>
      <c r="H52" t="n">
        <v>275.176248165881</v>
      </c>
      <c r="I52" t="n">
        <v>189.3305420154839</v>
      </c>
    </row>
    <row r="53">
      <c r="A53" t="inlineStr">
        <is>
          <t>年底現金</t>
        </is>
      </c>
      <c r="B53" t="inlineStr">
        <is>
          <t>FND_CashEnd</t>
        </is>
      </c>
      <c r="C53" t="inlineStr">
        <is>
          <t>P1 後＝最終</t>
        </is>
      </c>
      <c r="D53" t="n">
        <v>22.5915</v>
      </c>
      <c r="E53" t="n">
        <v>623.6110422377947</v>
      </c>
      <c r="F53" t="n">
        <v>379.9463951691146</v>
      </c>
      <c r="G53" t="n">
        <v>333.377289927971</v>
      </c>
      <c r="H53" t="n">
        <v>264.3600724501659</v>
      </c>
      <c r="I53" t="n">
        <v>193.9349115672146</v>
      </c>
    </row>
    <row r="54">
      <c r="A54" t="inlineStr">
        <is>
          <t>1 GW：每 VR 等值 GW 差額</t>
        </is>
      </c>
      <c r="B54" t="inlineStr">
        <is>
          <t>COST_PropGap_VR</t>
        </is>
      </c>
      <c r="C54" t="inlineStr">
        <is>
          <t>P1 前（Z5b）</t>
        </is>
      </c>
      <c r="D54" t="n">
        <v>-17949.01249004182</v>
      </c>
      <c r="E54" t="n">
        <v>-6502.838576731572</v>
      </c>
      <c r="F54" t="n">
        <v>-109370.1201486279</v>
      </c>
      <c r="G54" t="n">
        <v>752.3076730859448</v>
      </c>
      <c r="H54" t="n">
        <v>2267.21062980859</v>
      </c>
      <c r="I54" t="n">
        <v>3175.190226777569</v>
      </c>
    </row>
    <row r="55">
      <c r="A55" t="inlineStr">
        <is>
          <t>1 GW：每 VR 等值 GW 差額</t>
        </is>
      </c>
      <c r="B55" t="inlineStr">
        <is>
          <t>COST_PropGap_VR</t>
        </is>
      </c>
      <c r="C55" t="inlineStr">
        <is>
          <t>最終</t>
        </is>
      </c>
      <c r="D55" t="n">
        <v>-15529.44464103749</v>
      </c>
      <c r="E55" t="n">
        <v>-6381.735503010468</v>
      </c>
      <c r="F55" t="n">
        <v>-106017.7871383264</v>
      </c>
      <c r="G55" t="n">
        <v>793.2412297086757</v>
      </c>
      <c r="H55" t="n">
        <v>2315.116445661602</v>
      </c>
      <c r="I55" t="n">
        <v>2882.523244411241</v>
      </c>
    </row>
    <row r="56">
      <c r="A56" t="inlineStr">
        <is>
          <t>1 GW：攤提口徑差額</t>
        </is>
      </c>
      <c r="B56" t="inlineStr">
        <is>
          <t>COST_PropGap_VR_Amort</t>
        </is>
      </c>
      <c r="C56" t="inlineStr">
        <is>
          <t>P1 前（Z5b）</t>
        </is>
      </c>
      <c r="D56" t="n">
        <v>-17949.01249004182</v>
      </c>
      <c r="E56" t="n">
        <v>-6502.838576731572</v>
      </c>
      <c r="F56" t="n">
        <v>-3486.243838470272</v>
      </c>
      <c r="G56" t="n">
        <v>-4016.69564065592</v>
      </c>
      <c r="H56" t="n">
        <v>-2658.926236280617</v>
      </c>
      <c r="I56" t="n">
        <v>-1300.320022350637</v>
      </c>
    </row>
    <row r="57">
      <c r="A57" t="inlineStr">
        <is>
          <t>1 GW：攤提口徑差額</t>
        </is>
      </c>
      <c r="B57" t="inlineStr">
        <is>
          <t>COST_PropGap_VR_Amort</t>
        </is>
      </c>
      <c r="C57" t="inlineStr">
        <is>
          <t>最終</t>
        </is>
      </c>
      <c r="D57" t="n">
        <v>-15529.44464103749</v>
      </c>
      <c r="E57" t="n">
        <v>-6381.735503010467</v>
      </c>
      <c r="F57" t="n">
        <v>-3506.156162913418</v>
      </c>
      <c r="G57" t="n">
        <v>-3975.762084033189</v>
      </c>
      <c r="H57" t="n">
        <v>-2611.020420427606</v>
      </c>
      <c r="I57" t="n">
        <v>-1450.448602420328</v>
      </c>
    </row>
    <row r="58">
      <c r="A58" t="inlineStr">
        <is>
          <t>1 GW：當年外部資金需求</t>
        </is>
      </c>
      <c r="B58" t="inlineStr">
        <is>
          <t>FND_ExtNeed</t>
        </is>
      </c>
      <c r="C58" t="inlineStr">
        <is>
          <t>P1 前（Z5b）</t>
        </is>
      </c>
      <c r="D58" t="inlineStr"/>
      <c r="E58" t="n">
        <v>58.97541350163567</v>
      </c>
      <c r="F58" t="n">
        <v>855.5077509106645</v>
      </c>
      <c r="G58" t="n">
        <v>-0</v>
      </c>
      <c r="H58" t="n">
        <v>-0</v>
      </c>
      <c r="I58" t="n">
        <v>-0</v>
      </c>
    </row>
    <row r="59">
      <c r="A59" t="inlineStr">
        <is>
          <t>1 GW：當年外部資金需求</t>
        </is>
      </c>
      <c r="B59" t="inlineStr">
        <is>
          <t>FND_ExtNeed</t>
        </is>
      </c>
      <c r="C59" t="inlineStr">
        <is>
          <t>最終</t>
        </is>
      </c>
      <c r="D59" t="inlineStr"/>
      <c r="E59" t="n">
        <v>60.3422089142332</v>
      </c>
      <c r="F59" t="n">
        <v>855.4120189413272</v>
      </c>
      <c r="G59" t="n">
        <v>-0</v>
      </c>
      <c r="H59" t="n">
        <v>-0</v>
      </c>
      <c r="I59" t="n">
        <v>-0</v>
      </c>
    </row>
    <row r="60">
      <c r="A60" t="inlineStr">
        <is>
          <t>1 GW：累計外部資金需求</t>
        </is>
      </c>
      <c r="B60" t="inlineStr">
        <is>
          <t>FND_ExtNeedCum</t>
        </is>
      </c>
      <c r="C60" t="inlineStr">
        <is>
          <t>P1 前（Z5b）</t>
        </is>
      </c>
      <c r="D60" t="inlineStr"/>
      <c r="E60" t="n">
        <v>58.97541350163567</v>
      </c>
      <c r="F60" t="n">
        <v>914.4831644123002</v>
      </c>
      <c r="G60" t="n">
        <v>914.4831644123002</v>
      </c>
      <c r="H60" t="n">
        <v>914.4831644123002</v>
      </c>
      <c r="I60" t="n">
        <v>914.4831644123002</v>
      </c>
    </row>
    <row r="61">
      <c r="A61" t="inlineStr">
        <is>
          <t>1 GW：累計外部資金需求</t>
        </is>
      </c>
      <c r="B61" t="inlineStr">
        <is>
          <t>FND_ExtNeedCum</t>
        </is>
      </c>
      <c r="C61" t="inlineStr">
        <is>
          <t>最終</t>
        </is>
      </c>
      <c r="D61" t="inlineStr"/>
      <c r="E61" t="n">
        <v>60.3422089142332</v>
      </c>
      <c r="F61" t="n">
        <v>915.7542278555604</v>
      </c>
      <c r="G61" t="n">
        <v>915.7542278555604</v>
      </c>
      <c r="H61" t="n">
        <v>915.7542278555604</v>
      </c>
      <c r="I61" t="n">
        <v>915.7542278555604</v>
      </c>
    </row>
    <row r="62">
      <c r="A62" t="inlineStr">
        <is>
          <t>1 GW：累計（轉股）</t>
        </is>
      </c>
      <c r="B62" t="inlineStr">
        <is>
          <t>FND_ExtNeedCumConv</t>
        </is>
      </c>
      <c r="C62" t="inlineStr">
        <is>
          <t>P1 前（Z5b）</t>
        </is>
      </c>
      <c r="D62" t="inlineStr"/>
      <c r="E62" t="n">
        <v>58.97541350163567</v>
      </c>
      <c r="F62" t="n">
        <v>713.0831644123002</v>
      </c>
      <c r="G62" t="n">
        <v>713.0831644123002</v>
      </c>
      <c r="H62" t="n">
        <v>713.0831644123002</v>
      </c>
      <c r="I62" t="n">
        <v>713.0831644123002</v>
      </c>
    </row>
    <row r="63">
      <c r="A63" t="inlineStr">
        <is>
          <t>1 GW：累計（轉股）</t>
        </is>
      </c>
      <c r="B63" t="inlineStr">
        <is>
          <t>FND_ExtNeedCumConv</t>
        </is>
      </c>
      <c r="C63" t="inlineStr">
        <is>
          <t>最終</t>
        </is>
      </c>
      <c r="D63" t="inlineStr"/>
      <c r="E63" t="n">
        <v>60.3422089142332</v>
      </c>
      <c r="F63" t="n">
        <v>714.3542278555605</v>
      </c>
      <c r="G63" t="n">
        <v>714.3542278555605</v>
      </c>
      <c r="H63" t="n">
        <v>714.3542278555605</v>
      </c>
      <c r="I63" t="n">
        <v>714.3542278555605</v>
      </c>
    </row>
    <row r="64">
      <c r="A64" t="inlineStr">
        <is>
          <t>1 GW：年底現金</t>
        </is>
      </c>
      <c r="B64" t="inlineStr">
        <is>
          <t>FND_CashEnd</t>
        </is>
      </c>
      <c r="C64" t="inlineStr">
        <is>
          <t>P1 前（Z5b）</t>
        </is>
      </c>
      <c r="D64" t="n">
        <v>22.5915</v>
      </c>
      <c r="E64" t="n">
        <v>683.1549693527295</v>
      </c>
      <c r="F64" t="n">
        <v>46.69944753823381</v>
      </c>
      <c r="G64" t="n">
        <v>80.23631604744175</v>
      </c>
      <c r="H64" t="n">
        <v>176.996251510861</v>
      </c>
      <c r="I64" t="n">
        <v>325.9023780683199</v>
      </c>
    </row>
    <row r="65">
      <c r="A65" t="inlineStr">
        <is>
          <t>1 GW：年底現金</t>
        </is>
      </c>
      <c r="B65" t="inlineStr">
        <is>
          <t>FND_CashEnd</t>
        </is>
      </c>
      <c r="C65" t="inlineStr">
        <is>
          <t>最終</t>
        </is>
      </c>
      <c r="D65" t="n">
        <v>22.5915</v>
      </c>
      <c r="E65" t="n">
        <v>683.9532511520279</v>
      </c>
      <c r="F65" t="n">
        <v>45.80543376959815</v>
      </c>
      <c r="G65" t="n">
        <v>81.13032981607739</v>
      </c>
      <c r="H65" t="n">
        <v>179.916100479225</v>
      </c>
      <c r="I65" t="n">
        <v>319.6134879332224</v>
      </c>
    </row>
    <row r="66">
      <c r="A66" t="inlineStr">
        <is>
          <t>首次缺口年</t>
        </is>
      </c>
      <c r="B66" t="inlineStr">
        <is>
          <t>FND_FirstGapYear</t>
        </is>
      </c>
      <c r="C66" t="inlineStr">
        <is>
          <t>P1 前（Z5b）</t>
        </is>
      </c>
      <c r="D66" t="n">
        <v>2030</v>
      </c>
    </row>
    <row r="67">
      <c r="A67" t="inlineStr">
        <is>
          <t>首次缺口年</t>
        </is>
      </c>
      <c r="B67" t="inlineStr">
        <is>
          <t>FND_FirstGapYear</t>
        </is>
      </c>
      <c r="C67" t="inlineStr">
        <is>
          <t>最終</t>
        </is>
      </c>
      <c r="D67" t="n">
        <v>2030</v>
      </c>
    </row>
    <row r="68">
      <c r="A68" t="inlineStr">
        <is>
          <t>首次缺口年</t>
        </is>
      </c>
      <c r="B68" t="inlineStr">
        <is>
          <t>FND_FirstGapYear</t>
        </is>
      </c>
      <c r="C68" t="inlineStr">
        <is>
          <t>1 GW 最終</t>
        </is>
      </c>
      <c r="D68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60" customWidth="1" min="3" max="3"/>
    <col width="30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</t>
        </is>
      </c>
    </row>
    <row r="2">
      <c r="A2" t="inlineStr">
        <is>
          <t>1</t>
        </is>
      </c>
      <c r="B2" t="inlineStr">
        <is>
          <t>FY2025、1H26 研發項下算力費（未揭露）</t>
        </is>
      </c>
      <c r="C2" t="inlineStr">
        <is>
          <t>研發開支總額 × 71.8%（INP_137，招股章程 1H25；Analogy 0.6–0.8）</t>
        </is>
      </c>
      <c r="D2" t="inlineStr">
        <is>
          <t>扣股權報酬後 × 70.7%（Z3 法）</t>
        </is>
      </c>
      <c r="E2" t="inlineStr">
        <is>
          <t>Z3 法：2025 研發算力費 22.8→19.9 億；0.6：2030 差額 −1,915、累計 0；0.8：−2,666、106.3</t>
        </is>
      </c>
    </row>
    <row r="3">
      <c r="A3" t="inlineStr">
        <is>
          <t>2</t>
        </is>
      </c>
      <c r="B3" t="inlineStr">
        <is>
          <t>FY2025、1H26 營業成本中的計算服務費（未揭露）</t>
        </is>
      </c>
      <c r="C3" t="inlineStr">
        <is>
          <t>＝開放平台及 API 銷售成本 × INP_102（基準 1，上限；工作單「營業成本推估」）</t>
        </is>
      </c>
      <c r="D3" t="inlineStr">
        <is>
          <t>0.22（FY2024 銷售成本中計算服務費占比）</t>
        </is>
      </c>
      <c r="E3" t="inlineStr">
        <is>
          <t>0.22：2030 差額 −1,340、累計 0</t>
        </is>
      </c>
    </row>
    <row r="4">
      <c r="A4" t="inlineStr">
        <is>
          <t>3</t>
        </is>
      </c>
      <c r="B4" t="inlineStr">
        <is>
          <t>銷售及營銷項下算力費（FY2025、1H26 未揭露）</t>
        </is>
      </c>
      <c r="C4" t="inlineStr">
        <is>
          <t>不估（招股章程期間占總算力費 0–1.7%）</t>
        </is>
      </c>
      <c r="D4" t="inlineStr">
        <is>
          <t>以 1H25 占比估</t>
        </is>
      </c>
      <c r="E4" t="inlineStr">
        <is>
          <t>估入：供給與未來算力成本約 +1.7%，差額略差</t>
        </is>
      </c>
    </row>
    <row r="5">
      <c r="A5" t="inlineStr">
        <is>
          <t>4</t>
        </is>
      </c>
      <c r="B5" t="inlineStr">
        <is>
          <t>η 基準</t>
        </is>
      </c>
      <c r="C5" t="inlineStr">
        <is>
          <t>1（INP_138，工作單 Decision）；校準期研發殘差 &lt; 訓練最低占比 × 供給時，上調為使殘差＝最低占比（2025、1H26 都上調，C94 WARN）</t>
        </is>
      </c>
      <c r="D5" t="inlineStr">
        <is>
          <t>舊法 D8r（INP_139＝1）</t>
        </is>
      </c>
      <c r="E5" t="inlineStr">
        <is>
          <t>命題結果相同（未來供給只依 1H26 供給 ÷ token 比例外推）</t>
        </is>
      </c>
    </row>
    <row r="6">
      <c r="A6" t="inlineStr">
        <is>
          <t>5</t>
        </is>
      </c>
      <c r="B6" t="inlineStr">
        <is>
          <t>2H26 起 η</t>
        </is>
      </c>
      <c r="C6" t="inlineStr">
        <is>
          <t>沿用 1H26 上調值 3.91（Z3b F2 規則：η&gt;1 時不收斂）</t>
        </is>
      </c>
      <c r="D6" t="inlineStr">
        <is>
          <t>收斂至 1（INP_105）</t>
        </is>
      </c>
      <c r="E6" t="inlineStr">
        <is>
          <t>收斂：累計外部資金需求 2,034（2028 起缺口）</t>
        </is>
      </c>
    </row>
    <row r="7">
      <c r="A7" t="inlineStr">
        <is>
          <t>6</t>
        </is>
      </c>
      <c r="B7" t="inlineStr">
        <is>
          <t>2H26 起研發占比起點</t>
        </is>
      </c>
      <c r="C7" t="inlineStr">
        <is>
          <t>1H26 研發殘差 ÷ 供給（上調時＝訓練最低占比 0.30）</t>
        </is>
      </c>
      <c r="D7" t="inlineStr">
        <is>
          <t>會計科目占比 0.71（舊法）</t>
        </is>
      </c>
      <c r="E7" t="inlineStr">
        <is>
          <t>0（同 #4）</t>
        </is>
      </c>
    </row>
    <row r="8">
      <c r="A8" t="inlineStr">
        <is>
          <t>7</t>
        </is>
      </c>
      <c r="B8" t="inlineStr">
        <is>
          <t>推論 GW 截頂的實作</t>
        </is>
      </c>
      <c r="C8" t="inlineStr">
        <is>
          <t>研發占比 ≥ 訓練最低占比時直接取有效推論（數學上同 MIN）</t>
        </is>
      </c>
      <c r="D8" t="inlineStr">
        <is>
          <t>MIN（可用, 有效）</t>
        </is>
      </c>
      <c r="E8" t="inlineStr">
        <is>
          <t>0（避免浮點誤差使缺口旗標在 engine 與 LibreOffice 間不一致）</t>
        </is>
      </c>
    </row>
    <row r="9">
      <c r="A9" t="inlineStr">
        <is>
          <t>8</t>
        </is>
      </c>
      <c r="B9" t="inlineStr">
        <is>
          <t>資本開支口徑（P2）</t>
        </is>
      </c>
      <c r="C9" t="inlineStr">
        <is>
          <t>2025、1H26 仍用公告值（現金口徑未揭露）；FY2024、1H25 權責 vs 現金只列對照</t>
        </is>
      </c>
      <c r="D9" t="inlineStr">
        <is>
          <t>以 1H25 現金／權責比例折算</t>
        </is>
      </c>
      <c r="E9" t="inlineStr">
        <is>
          <t>2025 實際不進命題；2H26 起 INP_131（0.75 億）落在現金口徑年化 0.48 與 FY2024 1.33 之間</t>
        </is>
      </c>
    </row>
    <row r="10">
      <c r="A10" t="inlineStr">
        <is>
          <t>9</t>
        </is>
      </c>
      <c r="B10" t="inlineStr">
        <is>
          <t>租賃付款（P3）</t>
        </is>
      </c>
      <c r="C10" t="inlineStr">
        <is>
          <t>不另加：不在算力服務費內；校準期非算力成本為財報殘差，已含使用權資產折舊（≈本金），利息在財務成本（2025、1H26 實付）；2H26 起隨人數外推</t>
        </is>
      </c>
      <c r="D10" t="inlineStr">
        <is>
          <t>另列租賃付款現金流</t>
        </is>
      </c>
      <c r="E10" t="inlineStr">
        <is>
          <t>另列且不扣折舊會重複計約 1.3–2.6 億／年</t>
        </is>
      </c>
    </row>
    <row r="11">
      <c r="A11" t="inlineStr">
        <is>
          <t>10</t>
        </is>
      </c>
      <c r="B11" t="inlineStr">
        <is>
          <t>租賃負債是否進淨現金／EV（P3）</t>
        </is>
      </c>
      <c r="C11" t="inlineStr">
        <is>
          <t>不進（D21／V3 口徑不變，只列債務）</t>
        </is>
      </c>
      <c r="D11" t="inlineStr">
        <is>
          <t>扣租賃負債 5.45 億</t>
        </is>
      </c>
      <c r="E11" t="inlineStr">
        <is>
          <t>EV +5.45、市值隱含營收 +0.14 億（列建議後續）</t>
        </is>
      </c>
    </row>
    <row r="12">
      <c r="A12" t="inlineStr">
        <is>
          <t>11</t>
        </is>
      </c>
      <c r="B12" t="inlineStr">
        <is>
          <t>政府補助（P4）</t>
        </is>
      </c>
      <c r="C12" t="inlineStr">
        <is>
          <t>已含在費用淨額，不另加；未來補助 0（D20）</t>
        </is>
      </c>
      <c r="D12" t="inlineStr">
        <is>
          <t>外推 FY2024 0.36 億／年</t>
        </is>
      </c>
      <c r="E12" t="inlineStr">
        <is>
          <t>小於研發 2%</t>
        </is>
      </c>
    </row>
    <row r="13">
      <c r="A13" t="inlineStr">
        <is>
          <t>12</t>
        </is>
      </c>
      <c r="B13" t="inlineStr">
        <is>
          <t>翻轉點搜尋範圍</t>
        </is>
      </c>
      <c r="C13" t="inlineStr">
        <is>
          <t>INP_137 0.05–0.718；INP_102 0–1；價格 −50%～0；最低毛利 −90%～0；任務成長 +224%～+2,000%</t>
        </is>
      </c>
      <c r="D13" t="inlineStr">
        <is>
          <t>更寬</t>
        </is>
      </c>
      <c r="E13" t="inlineStr">
        <is>
          <t>「不存在」指在此範圍內不存在</t>
        </is>
      </c>
    </row>
    <row r="14">
      <c r="A14" t="inlineStr">
        <is>
          <t>13</t>
        </is>
      </c>
      <c r="B14" t="inlineStr">
        <is>
          <t>命題 2 最低毛利翻轉值為負（−4.8%）</t>
        </is>
      </c>
      <c r="C14" t="inlineStr">
        <is>
          <t>照實呈現（超出 Inputs 區間，只作說明，不改基準）</t>
        </is>
      </c>
      <c r="D14" t="inlineStr">
        <is>
          <t>—</t>
        </is>
      </c>
      <c r="E14" t="inlineStr">
        <is>
          <t>0</t>
        </is>
      </c>
    </row>
    <row r="15">
      <c r="A15" t="inlineStr">
        <is>
          <t>14</t>
        </is>
      </c>
      <c r="B15" t="inlineStr">
        <is>
          <t>招股章程 1H25 basis（經審計 vs 經審閱）</t>
        </is>
      </c>
      <c r="C15" t="inlineStr">
        <is>
          <t>照 Z1-P 擷取（1H25 經審計；畢馬威把 1H25 列入往績記錄期）</t>
        </is>
      </c>
      <c r="D15" t="inlineStr">
        <is>
          <t>改標經審閱</t>
        </is>
      </c>
      <c r="E15" t="inlineStr">
        <is>
          <t>0（只影響標記）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情境</t>
        </is>
      </c>
      <c r="B1" s="1" t="inlineStr">
        <is>
          <t>輸入</t>
        </is>
      </c>
      <c r="C1" s="1" t="inlineStr">
        <is>
          <t>2030 差額</t>
        </is>
      </c>
      <c r="D1" s="1" t="inlineStr">
        <is>
          <t>首次轉正年</t>
        </is>
      </c>
      <c r="E1" s="1" t="inlineStr">
        <is>
          <t>2030 覆蓋率</t>
        </is>
      </c>
      <c r="F1" s="1" t="inlineStr">
        <is>
          <t>累計外部資金需求 2030</t>
        </is>
      </c>
      <c r="G1" s="1" t="inlineStr">
        <is>
          <t>首次缺口年</t>
        </is>
      </c>
      <c r="H1" s="1" t="inlineStr">
        <is>
          <t>2030 年底現金</t>
        </is>
      </c>
    </row>
    <row r="2">
      <c r="A2" t="inlineStr">
        <is>
          <t>基準</t>
        </is>
      </c>
      <c r="B2" t="inlineStr">
        <is>
          <t>{}</t>
        </is>
      </c>
      <c r="C2" t="n">
        <v>-2393.977194143406</v>
      </c>
      <c r="D2" t="inlineStr">
        <is>
          <t>無</t>
        </is>
      </c>
      <c r="E2" t="n">
        <v>0.7075200595548498</v>
      </c>
      <c r="F2" t="n">
        <v>43.55524861874883</v>
      </c>
      <c r="G2" t="inlineStr">
        <is>
          <t>2030</t>
        </is>
      </c>
      <c r="H2" t="n">
        <v>193.9349115672146</v>
      </c>
    </row>
    <row r="3">
      <c r="A3" t="inlineStr">
        <is>
          <t>研發項下算力費占研發開支 0.6（INP_137 下緣；P1）</t>
        </is>
      </c>
      <c r="B3" t="inlineStr">
        <is>
          <t>{"INP_137": 0.6}</t>
        </is>
      </c>
      <c r="C3" t="n">
        <v>-1915.074806931215</v>
      </c>
      <c r="D3" t="inlineStr">
        <is>
          <t>無</t>
        </is>
      </c>
      <c r="E3" t="n">
        <v>0.7739601141751286</v>
      </c>
      <c r="F3" t="n">
        <v>0</v>
      </c>
      <c r="G3" t="inlineStr">
        <is>
          <t>期間內無</t>
        </is>
      </c>
      <c r="H3" t="n">
        <v>223.8382061430083</v>
      </c>
    </row>
    <row r="4">
      <c r="A4" t="inlineStr">
        <is>
          <t>研發項下算力費占研發開支 0.8（INP_137 上緣；P1）</t>
        </is>
      </c>
      <c r="B4" t="inlineStr">
        <is>
          <t>{"INP_137": 0.8}</t>
        </is>
      </c>
      <c r="C4" t="n">
        <v>-2665.821971845231</v>
      </c>
      <c r="D4" t="inlineStr">
        <is>
          <t>無</t>
        </is>
      </c>
      <c r="E4" t="n">
        <v>0.6676893801347644</v>
      </c>
      <c r="F4" t="n">
        <v>106.3401580568634</v>
      </c>
      <c r="G4" t="inlineStr">
        <is>
          <t>2030</t>
        </is>
      </c>
      <c r="H4" t="n">
        <v>205.672358785393</v>
      </c>
    </row>
    <row r="5">
      <c r="A5" t="inlineStr">
        <is>
          <t>營業成本計算服務費占 API 銷售成本 0.22（INP_102 下緣）</t>
        </is>
      </c>
      <c r="B5" t="inlineStr">
        <is>
          <t>{"INP_102": 0.22}</t>
        </is>
      </c>
      <c r="C5" t="n">
        <v>-1339.91591953492</v>
      </c>
      <c r="D5" t="inlineStr">
        <is>
          <t>無</t>
        </is>
      </c>
      <c r="E5" t="n">
        <v>0.8480338273702233</v>
      </c>
      <c r="F5" t="n">
        <v>0</v>
      </c>
      <c r="G5" t="inlineStr">
        <is>
          <t>期間內無</t>
        </is>
      </c>
      <c r="H5" t="n">
        <v>292.1667282509884</v>
      </c>
    </row>
    <row r="6">
      <c r="A6" t="inlineStr">
        <is>
          <t>每 GW 價格每年 −25%（INP_100 下緣）</t>
        </is>
      </c>
      <c r="B6" t="inlineStr">
        <is>
          <t>{"INP_100": -0.25}</t>
        </is>
      </c>
      <c r="C6" t="n">
        <v>-2393.977194143406</v>
      </c>
      <c r="D6" t="inlineStr">
        <is>
          <t>無</t>
        </is>
      </c>
      <c r="E6" t="n">
        <v>0.7075200595548498</v>
      </c>
      <c r="F6" t="n">
        <v>34.90735249142401</v>
      </c>
      <c r="G6" t="inlineStr">
        <is>
          <t>2030</t>
        </is>
      </c>
      <c r="H6" t="n">
        <v>193.9349115672146</v>
      </c>
    </row>
    <row r="7">
      <c r="A7" t="inlineStr">
        <is>
          <t>每 GW 價格不變（INP_100 上緣 0）</t>
        </is>
      </c>
      <c r="B7" t="inlineStr">
        <is>
          <t>{"INP_100": 0}</t>
        </is>
      </c>
      <c r="C7" t="n">
        <v>-3431.95664469789</v>
      </c>
      <c r="D7" t="inlineStr">
        <is>
          <t>無</t>
        </is>
      </c>
      <c r="E7" t="n">
        <v>0.6278946604288725</v>
      </c>
      <c r="F7" t="n">
        <v>193.5282315602842</v>
      </c>
      <c r="G7" t="inlineStr">
        <is>
          <t>2029</t>
        </is>
      </c>
      <c r="H7" t="n">
        <v>218.8863299711591</v>
      </c>
    </row>
    <row r="8">
      <c r="A8" t="inlineStr">
        <is>
          <t>供應商最低毛利 0.2（INP_136 上緣；Z5b V1）</t>
        </is>
      </c>
      <c r="B8" t="inlineStr">
        <is>
          <t>{"INP_136": 0.2}</t>
        </is>
      </c>
      <c r="C8" t="n">
        <v>-3896.612024591208</v>
      </c>
      <c r="D8" t="inlineStr">
        <is>
          <t>無</t>
        </is>
      </c>
      <c r="E8" t="n">
        <v>0.5977787793888345</v>
      </c>
      <c r="F8" t="n">
        <v>246.3416804454575</v>
      </c>
      <c r="G8" t="inlineStr">
        <is>
          <t>2029</t>
        </is>
      </c>
      <c r="H8" t="n">
        <v>230.055925661294</v>
      </c>
    </row>
    <row r="9">
      <c r="A9" t="inlineStr">
        <is>
          <t>η 線性收斂至 2030＝1（INP_105＝1）</t>
        </is>
      </c>
      <c r="B9" t="inlineStr">
        <is>
          <t>{"INP_105": 1}</t>
        </is>
      </c>
      <c r="C9" t="n">
        <v>-6203.122389929881</v>
      </c>
      <c r="D9" t="inlineStr">
        <is>
          <t>無</t>
        </is>
      </c>
      <c r="E9" t="n">
        <v>0.1928405218651397</v>
      </c>
      <c r="F9" t="n">
        <v>2033.585707457535</v>
      </c>
      <c r="G9" t="inlineStr">
        <is>
          <t>2028</t>
        </is>
      </c>
      <c r="H9" t="n">
        <v>719.0675485436282</v>
      </c>
    </row>
    <row r="10">
      <c r="A10" t="inlineStr">
        <is>
          <t>η 舊法（D8r：token GW ÷ API 銷售成本換算 GW；INP_139＝1）</t>
        </is>
      </c>
      <c r="B10" t="inlineStr">
        <is>
          <t>{"INP_139": 1}</t>
        </is>
      </c>
      <c r="C10" t="n">
        <v>-2393.977194143407</v>
      </c>
      <c r="D10" t="inlineStr">
        <is>
          <t>無</t>
        </is>
      </c>
      <c r="E10" t="n">
        <v>0.7075200595548498</v>
      </c>
      <c r="F10" t="n">
        <v>43.55524861874895</v>
      </c>
      <c r="G10" t="inlineStr">
        <is>
          <t>2030</t>
        </is>
      </c>
      <c r="H10" t="n">
        <v>193.9349115672147</v>
      </c>
    </row>
    <row r="11">
      <c r="A11" t="inlineStr">
        <is>
          <t>研發占比 2030 線性升至 0.5（INP_120＝1；P1 後起點 0.30）</t>
        </is>
      </c>
      <c r="B11" t="inlineStr">
        <is>
          <t>{"INP_120": 1}</t>
        </is>
      </c>
      <c r="C11" t="n">
        <v>-3856.604896456434</v>
      </c>
      <c r="D11" t="inlineStr">
        <is>
          <t>無</t>
        </is>
      </c>
      <c r="E11" t="n">
        <v>0.5175094636658925</v>
      </c>
      <c r="F11" t="n">
        <v>358.490485721557</v>
      </c>
      <c r="G11" t="inlineStr">
        <is>
          <t>2029</t>
        </is>
      </c>
      <c r="H11" t="n">
        <v>266.1769397553733</v>
      </c>
    </row>
    <row r="12">
      <c r="A12" t="inlineStr">
        <is>
          <t>研發占比路徑開關＝1、2030 目標 0.3（＝起點，INP_110 下緣）</t>
        </is>
      </c>
      <c r="B12" t="inlineStr">
        <is>
          <t>{"INP_120": 1, "INP_110": 0.3}</t>
        </is>
      </c>
      <c r="C12" t="n">
        <v>-2393.977194143406</v>
      </c>
      <c r="D12" t="inlineStr">
        <is>
          <t>無</t>
        </is>
      </c>
      <c r="E12" t="n">
        <v>0.7075200595548498</v>
      </c>
      <c r="F12" t="n">
        <v>43.55524861874883</v>
      </c>
      <c r="G12" t="inlineStr">
        <is>
          <t>2030</t>
        </is>
      </c>
      <c r="H12" t="n">
        <v>193.9349115672146</v>
      </c>
    </row>
    <row r="13">
      <c r="A13" t="inlineStr">
        <is>
          <t>Coding Plan 額度使用率 0.4（INP_060 上緣；η 同步重校準）</t>
        </is>
      </c>
      <c r="B13" t="inlineStr">
        <is>
          <t>{"INP_060": 0.4}</t>
        </is>
      </c>
      <c r="C13" t="n">
        <v>653.0994392703997</v>
      </c>
      <c r="D13" t="inlineStr">
        <is>
          <t>2029</t>
        </is>
      </c>
      <c r="E13" t="n">
        <v>1.076074080936337</v>
      </c>
      <c r="F13" t="n">
        <v>0</v>
      </c>
      <c r="G13" t="inlineStr">
        <is>
          <t>期間內無</t>
        </is>
      </c>
      <c r="H13" t="n">
        <v>407.397904107823</v>
      </c>
    </row>
    <row r="14">
      <c r="A14" t="inlineStr">
        <is>
          <t>Coding Plan 額度使用率 0.05（INP_060 下緣；η 同步重校準）</t>
        </is>
      </c>
      <c r="B14" t="inlineStr">
        <is>
          <t>{"INP_060": 0.05}</t>
        </is>
      </c>
      <c r="C14" t="n">
        <v>-4606.520247488827</v>
      </c>
      <c r="D14" t="inlineStr">
        <is>
          <t>無</t>
        </is>
      </c>
      <c r="E14" t="n">
        <v>0.4165039368665291</v>
      </c>
      <c r="F14" t="n">
        <v>705.3595325589714</v>
      </c>
      <c r="G14" t="inlineStr">
        <is>
          <t>2029</t>
        </is>
      </c>
      <c r="H14" t="n">
        <v>331.4113732179115</v>
      </c>
    </row>
    <row r="15">
      <c r="A15" t="inlineStr">
        <is>
          <t>訓練最低占比 0.2（INP_109 下緣）</t>
        </is>
      </c>
      <c r="B15" t="inlineStr">
        <is>
          <t>{"INP_109": 0.2}</t>
        </is>
      </c>
      <c r="C15" t="n">
        <v>-2393.977194143406</v>
      </c>
      <c r="D15" t="inlineStr">
        <is>
          <t>無</t>
        </is>
      </c>
      <c r="E15" t="n">
        <v>0.7075200595548498</v>
      </c>
      <c r="F15" t="n">
        <v>43.55524861874878</v>
      </c>
      <c r="G15" t="inlineStr">
        <is>
          <t>2030</t>
        </is>
      </c>
      <c r="H15" t="n">
        <v>193.9349115672146</v>
      </c>
    </row>
    <row r="16">
      <c r="A16" t="inlineStr">
        <is>
          <t>訓練最低占比 0.4（INP_109 上緣）</t>
        </is>
      </c>
      <c r="B16" t="inlineStr">
        <is>
          <t>{"INP_109": 0.4}</t>
        </is>
      </c>
      <c r="C16" t="n">
        <v>-2393.977194143406</v>
      </c>
      <c r="D16" t="inlineStr">
        <is>
          <t>無</t>
        </is>
      </c>
      <c r="E16" t="n">
        <v>0.7075200595548498</v>
      </c>
      <c r="F16" t="n">
        <v>43.55524861874878</v>
      </c>
      <c r="G16" t="inlineStr">
        <is>
          <t>2030</t>
        </is>
      </c>
      <c r="H16" t="n">
        <v>193.9349115672146</v>
      </c>
    </row>
    <row r="17">
      <c r="A17" t="inlineStr">
        <is>
          <t>Coding Plan 輸出占比 0.08</t>
        </is>
      </c>
      <c r="B17" t="inlineStr">
        <is>
          <t>{"INP_123": 0.08}</t>
        </is>
      </c>
      <c r="C17" t="n">
        <v>203.5751879639374</v>
      </c>
      <c r="D17" t="inlineStr">
        <is>
          <t>2030</t>
        </is>
      </c>
      <c r="E17" t="n">
        <v>1.023876866997034</v>
      </c>
      <c r="F17" t="n">
        <v>0</v>
      </c>
      <c r="G17" t="inlineStr">
        <is>
          <t>期間內無</t>
        </is>
      </c>
      <c r="H17" t="n">
        <v>382.2442466453367</v>
      </c>
    </row>
    <row r="18">
      <c r="A18" t="inlineStr">
        <is>
          <t>API 輸出占比 0.3</t>
        </is>
      </c>
      <c r="B18" t="inlineStr">
        <is>
          <t>{"INP_029": 0.3}</t>
        </is>
      </c>
      <c r="C18" t="n">
        <v>-3032.216839770585</v>
      </c>
      <c r="D18" t="inlineStr">
        <is>
          <t>無</t>
        </is>
      </c>
      <c r="E18" t="n">
        <v>0.6259288437171358</v>
      </c>
      <c r="F18" t="n">
        <v>165.1503281203453</v>
      </c>
      <c r="G18" t="inlineStr">
        <is>
          <t>2029</t>
        </is>
      </c>
      <c r="H18" t="n">
        <v>218.0360841935157</v>
      </c>
    </row>
    <row r="19">
      <c r="A19" t="inlineStr">
        <is>
          <t>2H26 任務數成長 +130%（INP_038 下緣）</t>
        </is>
      </c>
      <c r="B19" t="inlineStr">
        <is>
          <t>{"INP_038": 1.3}</t>
        </is>
      </c>
      <c r="C19" t="n">
        <v>-2829.612101477659</v>
      </c>
      <c r="D19" t="inlineStr">
        <is>
          <t>無</t>
        </is>
      </c>
      <c r="E19" t="n">
        <v>0.6593554365703007</v>
      </c>
      <c r="F19" t="n">
        <v>41.4452795695462</v>
      </c>
      <c r="G19" t="inlineStr">
        <is>
          <t>2030</t>
        </is>
      </c>
      <c r="H19" t="n">
        <v>166.2700517389427</v>
      </c>
    </row>
    <row r="20">
      <c r="A20" t="inlineStr">
        <is>
          <t>2H26 任務數成長 +300%（INP_038 上緣）</t>
        </is>
      </c>
      <c r="B20" t="inlineStr">
        <is>
          <t>{"INP_038": 3.0}</t>
        </is>
      </c>
      <c r="C20" t="n">
        <v>-2128.581972250735</v>
      </c>
      <c r="D20" t="inlineStr">
        <is>
          <t>無</t>
        </is>
      </c>
      <c r="E20" t="n">
        <v>0.7375702185106565</v>
      </c>
      <c r="F20" t="n">
        <v>45.26118104150825</v>
      </c>
      <c r="G20" t="inlineStr">
        <is>
          <t>2030</t>
        </is>
      </c>
      <c r="H20" t="n">
        <v>216.3022450453918</v>
      </c>
    </row>
    <row r="21">
      <c r="A21" t="inlineStr">
        <is>
          <t>員工人數年增 30%（INP_117 上緣）</t>
        </is>
      </c>
      <c r="B21" t="inlineStr">
        <is>
          <t>{"INP_117": 0.3}</t>
        </is>
      </c>
      <c r="C21" t="n">
        <v>-2971.264047358431</v>
      </c>
      <c r="D21" t="inlineStr">
        <is>
          <t>無</t>
        </is>
      </c>
      <c r="E21" t="n">
        <v>0.6609069512771626</v>
      </c>
      <c r="F21" t="n">
        <v>108.4564170581441</v>
      </c>
      <c r="G21" t="inlineStr">
        <is>
          <t>2030</t>
        </is>
      </c>
      <c r="H21" t="n">
        <v>206.6083210384056</v>
      </c>
    </row>
    <row r="22">
      <c r="A22" t="inlineStr">
        <is>
          <t>1 GW 國產資料中心（INP_112＝1，2028 投產）</t>
        </is>
      </c>
      <c r="B22" t="inlineStr">
        <is>
          <t>{"INP_112": 1}</t>
        </is>
      </c>
      <c r="C22" t="n">
        <v>2882.523244411241</v>
      </c>
      <c r="D22" t="inlineStr">
        <is>
          <t>2028</t>
        </is>
      </c>
      <c r="E22" t="n">
        <v>1.991035178614997</v>
      </c>
      <c r="F22" t="n">
        <v>915.7542278555604</v>
      </c>
      <c r="G22" t="inlineStr">
        <is>
          <t>2026</t>
        </is>
      </c>
      <c r="H22" t="n">
        <v>319.6134879332224</v>
      </c>
    </row>
    <row r="23">
      <c r="A23" t="inlineStr">
        <is>
          <t>其他自有算力資本支出 50 億／年（INP_111 上緣）</t>
        </is>
      </c>
      <c r="B23" t="inlineStr">
        <is>
          <t>{"INP_111": 50}</t>
        </is>
      </c>
      <c r="C23" t="n">
        <v>-2800.744491623194</v>
      </c>
      <c r="D23" t="inlineStr">
        <is>
          <t>無</t>
        </is>
      </c>
      <c r="E23" t="n">
        <v>0.6740237246447814</v>
      </c>
      <c r="F23" t="n">
        <v>191.8691259749338</v>
      </c>
      <c r="G23" t="inlineStr">
        <is>
          <t>2029</t>
        </is>
      </c>
      <c r="H23" t="n">
        <v>203.7129674112279</v>
      </c>
    </row>
    <row r="24">
      <c r="A24" t="inlineStr">
        <is>
          <t>1 GW 資料中心＋最低毛利 0.2</t>
        </is>
      </c>
      <c r="B24" t="inlineStr">
        <is>
          <t>{"INP_112": 1, "INP_136": 0.2}</t>
        </is>
      </c>
      <c r="C24" t="n">
        <v>2729.894862855052</v>
      </c>
      <c r="D24" t="inlineStr">
        <is>
          <t>2028</t>
        </is>
      </c>
      <c r="E24" t="n">
        <v>1.891765014174787</v>
      </c>
      <c r="F24" t="n">
        <v>933.8958199451848</v>
      </c>
      <c r="G24" t="inlineStr">
        <is>
          <t>2026</t>
        </is>
      </c>
      <c r="H24" t="n">
        <v>312.2755881193272</v>
      </c>
    </row>
    <row r="25">
      <c r="A25" t="inlineStr">
        <is>
          <t>壓力組合：η 收斂＋1 GW 資料中心＋每 GW 價格不變＋員工年增 30%</t>
        </is>
      </c>
      <c r="B25" t="inlineStr">
        <is>
          <t>{"INP_105": 1, "INP_112": 1, "INP_100": 0, "INP_117": 0.3}</t>
        </is>
      </c>
      <c r="C25" t="n">
        <v>-5799.879883977307</v>
      </c>
      <c r="D25" t="inlineStr">
        <is>
          <t>2028</t>
        </is>
      </c>
      <c r="E25" t="n">
        <v>0.2035192829368098</v>
      </c>
      <c r="F25" t="n">
        <v>2817.445730161814</v>
      </c>
      <c r="G25" t="inlineStr">
        <is>
          <t>2026</t>
        </is>
      </c>
      <c r="H25" t="n">
        <v>679.9859518585025</v>
      </c>
    </row>
    <row r="26">
      <c r="A26" t="inlineStr">
        <is>
          <t>可換股債券轉股（INP_128＝1）</t>
        </is>
      </c>
      <c r="B26" t="inlineStr">
        <is>
          <t>{"INP_128": 1}</t>
        </is>
      </c>
      <c r="C26" t="n">
        <v>-2393.977194143406</v>
      </c>
      <c r="D26" t="inlineStr">
        <is>
          <t>無</t>
        </is>
      </c>
      <c r="E26" t="n">
        <v>0.7075200595548498</v>
      </c>
      <c r="F26" t="n">
        <v>0</v>
      </c>
      <c r="G26" t="inlineStr">
        <is>
          <t>期間內無</t>
        </is>
      </c>
      <c r="H26" t="n">
        <v>351.7796629484657</v>
      </c>
    </row>
    <row r="27">
      <c r="A27" t="inlineStr">
        <is>
          <t>銀行借款到期償還（INP_127＝1）</t>
        </is>
      </c>
      <c r="B27" t="inlineStr">
        <is>
          <t>{"INP_127": 1}</t>
        </is>
      </c>
      <c r="C27" t="n">
        <v>-2393.977194143406</v>
      </c>
      <c r="D27" t="inlineStr">
        <is>
          <t>無</t>
        </is>
      </c>
      <c r="E27" t="n">
        <v>0.7075200595548498</v>
      </c>
      <c r="F27" t="n">
        <v>64.2313256187488</v>
      </c>
      <c r="G27" t="inlineStr">
        <is>
          <t>2030</t>
        </is>
      </c>
      <c r="H27" t="n">
        <v>193.9349115672146</v>
      </c>
    </row>
    <row r="28">
      <c r="A28" t="inlineStr">
        <is>
          <t>最低現金 12 個月（INP_124 上緣）</t>
        </is>
      </c>
      <c r="B28" t="inlineStr">
        <is>
          <t>{"INP_124": 12}</t>
        </is>
      </c>
      <c r="C28" t="n">
        <v>-2393.977194143406</v>
      </c>
      <c r="D28" t="inlineStr">
        <is>
          <t>無</t>
        </is>
      </c>
      <c r="E28" t="n">
        <v>0.7075200595548498</v>
      </c>
      <c r="F28" t="n">
        <v>237.4901601859635</v>
      </c>
      <c r="G28" t="inlineStr">
        <is>
          <t>2029</t>
        </is>
      </c>
      <c r="H28" t="n">
        <v>387.8698231344293</v>
      </c>
    </row>
    <row r="29">
      <c r="A29" t="inlineStr">
        <is>
          <t>其他收益延續 1H26 年化 0.83 億（INP_125 上緣）</t>
        </is>
      </c>
      <c r="B29" t="inlineStr">
        <is>
          <t>{"INP_125": 0.83}</t>
        </is>
      </c>
      <c r="C29" t="n">
        <v>-2393.977194143406</v>
      </c>
      <c r="D29" t="inlineStr">
        <is>
          <t>無</t>
        </is>
      </c>
      <c r="E29" t="n">
        <v>0.7075200595548498</v>
      </c>
      <c r="F29" t="n">
        <v>39.81683765984471</v>
      </c>
      <c r="G29" t="inlineStr">
        <is>
          <t>2030</t>
        </is>
      </c>
      <c r="H29" t="n">
        <v>193.9349115672146</v>
      </c>
    </row>
    <row r="30">
      <c r="A30" t="inlineStr">
        <is>
          <t>只計 IPO＋2026-07 配售（不含 2026-09 配售與可換股債券）</t>
        </is>
      </c>
      <c r="B30" t="inlineStr">
        <is>
          <t>{"SRC_ZP_544": 0, "SRC_ZP_547": 0, "SRC_ZP_545": 0}</t>
        </is>
      </c>
      <c r="C30" t="n">
        <v>-2393.977194143406</v>
      </c>
      <c r="D30" t="inlineStr">
        <is>
          <t>無</t>
        </is>
      </c>
      <c r="E30" t="n">
        <v>0.7075200595548498</v>
      </c>
      <c r="F30" t="n">
        <v>179.669040047749</v>
      </c>
      <c r="G30" t="inlineStr">
        <is>
          <t>2029</t>
        </is>
      </c>
      <c r="H30" t="n">
        <v>193.9349115672146</v>
      </c>
    </row>
    <row r="31">
      <c r="A31" t="inlineStr">
        <is>
          <t>只計 IPO（不含 2026-07、09 配售與可換股債券）</t>
        </is>
      </c>
      <c r="B31" t="inlineStr">
        <is>
          <t>{"SRC_ZP_536": 0, "SRC_ZP_544": 0, "SRC_ZP_547": 0, "SRC_ZP_545": 0}</t>
        </is>
      </c>
      <c r="C31" t="n">
        <v>-2393.977194143406</v>
      </c>
      <c r="D31" t="inlineStr">
        <is>
          <t>無</t>
        </is>
      </c>
      <c r="E31" t="n">
        <v>0.7075200595548498</v>
      </c>
      <c r="F31" t="n">
        <v>449.252022932749</v>
      </c>
      <c r="G31" t="inlineStr">
        <is>
          <t>2026</t>
        </is>
      </c>
      <c r="H31" t="n">
        <v>193.9349115672146</v>
      </c>
    </row>
    <row r="33">
      <c r="A33" t="inlineStr">
        <is>
          <t>翻轉點</t>
        </is>
      </c>
      <c r="B33" t="inlineStr">
        <is>
          <t>輸入</t>
        </is>
      </c>
      <c r="C33" t="inlineStr">
        <is>
          <t>翻轉值</t>
        </is>
      </c>
      <c r="D33" t="inlineStr">
        <is>
          <t>目標</t>
        </is>
      </c>
    </row>
    <row r="34">
      <c r="A34" t="inlineStr">
        <is>
          <t>2030 差額轉正所需研發項下算力費占比（P1；越低＝1H26 供給越小、外推算力越少）</t>
        </is>
      </c>
      <c r="B34" t="inlineStr">
        <is>
          <t>INP_137</t>
        </is>
      </c>
      <c r="C34" t="n">
        <v>0.315952392578125</v>
      </c>
      <c r="D34" t="inlineStr">
        <is>
          <t>gap30</t>
        </is>
      </c>
    </row>
    <row r="35">
      <c r="A35" t="inlineStr">
        <is>
          <t>2030 差額轉正所需營業成本計算服務費占 API 銷售成本（INP_102）</t>
        </is>
      </c>
      <c r="B35" t="inlineStr">
        <is>
          <t>INP_102</t>
        </is>
      </c>
      <c r="C35" t="inlineStr">
        <is>
          <t>範圍內不存在</t>
        </is>
      </c>
      <c r="D35" t="inlineStr">
        <is>
          <t>gap30</t>
        </is>
      </c>
    </row>
    <row r="36">
      <c r="A36" t="inlineStr">
        <is>
          <t>2030 差額轉正所需每 GW 價格年變動率（租價下限＝持有成本）</t>
        </is>
      </c>
      <c r="B36" t="inlineStr">
        <is>
          <t>INP_100</t>
        </is>
      </c>
      <c r="C36" t="inlineStr">
        <is>
          <t>範圍內不存在</t>
        </is>
      </c>
      <c r="D36" t="inlineStr">
        <is>
          <t>gap30</t>
        </is>
      </c>
    </row>
    <row r="37">
      <c r="A37" t="inlineStr">
        <is>
          <t>2030 差額轉正所需供應商最低毛利（負值＝供應商賠本出租）</t>
        </is>
      </c>
      <c r="B37" t="inlineStr">
        <is>
          <t>INP_136</t>
        </is>
      </c>
      <c r="C37" t="inlineStr">
        <is>
          <t>範圍內不存在</t>
        </is>
      </c>
      <c r="D37" t="inlineStr">
        <is>
          <t>gap30</t>
        </is>
      </c>
    </row>
    <row r="38">
      <c r="A38" t="inlineStr">
        <is>
          <t>2030 差額轉正所需研發占比 2030 目標（開關＝1）</t>
        </is>
      </c>
      <c r="B38" t="inlineStr">
        <is>
          <t>INP_110</t>
        </is>
      </c>
      <c r="C38" t="inlineStr">
        <is>
          <t>範圍內不存在</t>
        </is>
      </c>
      <c r="D38" t="inlineStr">
        <is>
          <t>gap30</t>
        </is>
      </c>
    </row>
    <row r="39">
      <c r="A39" t="inlineStr">
        <is>
          <t>2030 差額轉正所需 2H26 任務數成長</t>
        </is>
      </c>
      <c r="B39" t="inlineStr">
        <is>
          <t>INP_038</t>
        </is>
      </c>
      <c r="C39" t="inlineStr">
        <is>
          <t>範圍內不存在</t>
        </is>
      </c>
      <c r="D39" t="inlineStr">
        <is>
          <t>gap30</t>
        </is>
      </c>
    </row>
    <row r="40">
      <c r="A40" t="inlineStr">
        <is>
          <t>（只列，不列入翻轉點：η 同步重校準造成）2030 差額轉正所需 Coding Plan 額度使用率</t>
        </is>
      </c>
      <c r="B40" t="inlineStr">
        <is>
          <t>INP_060</t>
        </is>
      </c>
      <c r="C40" t="n">
        <v>0.3283905029296875</v>
      </c>
      <c r="D40" t="inlineStr">
        <is>
          <t>gap30</t>
        </is>
      </c>
    </row>
    <row r="41">
      <c r="A41" t="inlineStr">
        <is>
          <t>2030 前不需外部資金所需研發項下算力費占比</t>
        </is>
      </c>
      <c r="B41" t="inlineStr">
        <is>
          <t>INP_137</t>
        </is>
      </c>
      <c r="C41" t="n">
        <v>0.661123779296875</v>
      </c>
      <c r="D41" t="inlineStr">
        <is>
          <t>cum30</t>
        </is>
      </c>
    </row>
    <row r="42">
      <c r="A42" t="inlineStr">
        <is>
          <t>2030 前不需外部資金所需營業成本計算服務費占 API 銷售成本（INP_102）</t>
        </is>
      </c>
      <c r="B42" t="inlineStr">
        <is>
          <t>INP_102</t>
        </is>
      </c>
      <c r="C42" t="n">
        <v>0.805206298828125</v>
      </c>
      <c r="D42" t="inlineStr">
        <is>
          <t>cum30</t>
        </is>
      </c>
    </row>
    <row r="43">
      <c r="A43" t="inlineStr">
        <is>
          <t>2030 前不需外部資金所需每 GW 價格年變動率</t>
        </is>
      </c>
      <c r="B43" t="inlineStr">
        <is>
          <t>INP_100</t>
        </is>
      </c>
      <c r="C43" t="inlineStr">
        <is>
          <t>範圍內不存在</t>
        </is>
      </c>
      <c r="D43" t="inlineStr">
        <is>
          <t>cum30</t>
        </is>
      </c>
    </row>
    <row r="44">
      <c r="A44" t="inlineStr">
        <is>
          <t>出現外部資金需求的最低毛利門檻（低於此值 2030 前不需外部資金）</t>
        </is>
      </c>
      <c r="B44" t="inlineStr">
        <is>
          <t>INP_136</t>
        </is>
      </c>
      <c r="C44" t="n">
        <v>-0.047637939453125</v>
      </c>
      <c r="D44" t="inlineStr">
        <is>
          <t>cum30</t>
        </is>
      </c>
    </row>
    <row r="45">
      <c r="A45" t="inlineStr">
        <is>
          <t>2030 前不需外部資金所需 2H26 任務數成長</t>
        </is>
      </c>
      <c r="B45" t="inlineStr">
        <is>
          <t>INP_038</t>
        </is>
      </c>
      <c r="C45" t="inlineStr">
        <is>
          <t>範圍內不存在</t>
        </is>
      </c>
      <c r="D45" t="inlineStr">
        <is>
          <t>cum30</t>
        </is>
      </c>
    </row>
    <row r="46">
      <c r="A46" t="inlineStr">
        <is>
          <t>2030 前不需外部資金所需研發占比 2030 目標（開關＝1）</t>
        </is>
      </c>
      <c r="B46" t="inlineStr">
        <is>
          <t>INP_110</t>
        </is>
      </c>
      <c r="C46" t="n">
        <v>0.19161865234375</v>
      </c>
      <c r="D46" t="inlineStr">
        <is>
          <t>cum30</t>
        </is>
      </c>
    </row>
    <row r="47">
      <c r="A47" t="inlineStr">
        <is>
          <t>（只列）2030 前不需外部資金所需 Coding Plan 額度使用率</t>
        </is>
      </c>
      <c r="B47" t="inlineStr">
        <is>
          <t>INP_060</t>
        </is>
      </c>
      <c r="C47" t="n">
        <v>0.1655181884765625</v>
      </c>
      <c r="D47" t="inlineStr">
        <is>
          <t>cum30</t>
        </is>
      </c>
    </row>
    <row r="48">
      <c r="A48" t="inlineStr">
        <is>
          <t>（只列，η 同步重校準造成）2030 差額轉正所需 Coding Plan 輸出占比</t>
        </is>
      </c>
      <c r="B48" t="inlineStr">
        <is>
          <t>INP_123</t>
        </is>
      </c>
      <c r="C48" t="n">
        <v>0.07477539062500001</v>
      </c>
      <c r="D48" t="inlineStr">
        <is>
          <t>gap30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2026-10-08T08:07:23Z</dcterms:created>
  <dcterms:modified xmlns:dcterms="http://purl.org/dc/terms/" xmlns:xsi="http://www.w3.org/2001/XMLSchema-instance" xsi:type="dcterms:W3CDTF">2026-10-08T08:07:23Z</dcterms:modified>
</cp:coreProperties>
</file>