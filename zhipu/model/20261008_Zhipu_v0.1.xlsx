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ZP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hecks" sheetId="8" state="visible" r:id="rId10"/>
    <sheet name="_Defaults" sheetId="9" state="hidden" r:id="rId11"/>
  </sheets>
  <definedNames>
    <definedName function="false" hidden="false" name="CHK_Errors" vbProcedure="false">Checks!$C$48</definedName>
    <definedName function="false" hidden="false" name="DEM_ApiBilledRatio2025" vbProcedure="false">Demand!$D$48</definedName>
    <definedName function="false" hidden="false" name="DEM_ImpliedVolGrowth" vbProcedure="false">Demand!$K$43</definedName>
    <definedName function="false" hidden="false" name="DEM_Subs_CP" vbProcedure="false">Demand!$D$16:$I$16</definedName>
    <definedName function="false" hidden="false" name="DEM_Subs_CP_H" vbProcedure="false">Demand!$K$16:$L$16</definedName>
    <definedName function="false" hidden="false" name="DEM_Subs_Lite" vbProcedure="false">Demand!$D$17:$I$17</definedName>
    <definedName function="false" hidden="false" name="DEM_Subs_Max" vbProcedure="false">Demand!$D$19:$I$19</definedName>
    <definedName function="false" hidden="false" name="DEM_Subs_Pro" vbProcedure="false">Demand!$D$18:$I$18</definedName>
    <definedName function="false" hidden="false" name="DEM_Tok_API" vbProcedure="false">Demand!$D$11:$I$11</definedName>
    <definedName function="false" hidden="false" name="DEM_Tok_APIFree" vbProcedure="false">Demand!$D$14:$I$14</definedName>
    <definedName function="false" hidden="false" name="DEM_Tok_API_H" vbProcedure="false">Demand!$K$11:$L$11</definedName>
    <definedName function="false" hidden="false" name="DEM_Tok_API_Luna" vbProcedure="false">Demand!$D$13:$I$13</definedName>
    <definedName function="false" hidden="false" name="DEM_Tok_API_Sol" vbProcedure="false">Demand!$D$12:$I$12</definedName>
    <definedName function="false" hidden="false" name="DEM_Tok_Consumer" vbProcedure="false">Demand!$D$31:$I$31</definedName>
    <definedName function="false" hidden="false" name="DEM_Tok_CP" vbProcedure="false">Demand!$D$26:$I$26</definedName>
    <definedName function="false" hidden="false" name="DEM_Tok_CP_H" vbProcedure="false">Demand!$K$26:$L$26</definedName>
    <definedName function="false" hidden="false" name="DEM_Tok_Free" vbProcedure="false">Demand!$D$40:$I$40</definedName>
    <definedName function="false" hidden="false" name="DEM_Tok_Free_Luna" vbProcedure="false">Demand!$D$38:$I$38</definedName>
    <definedName function="false" hidden="false" name="DEM_Tok_Free_Sol" vbProcedure="false">Demand!$D$37:$I$37</definedName>
    <definedName function="false" hidden="false" name="DEM_Tok_Paid" vbProcedure="false">Demand!$D$39:$I$39</definedName>
    <definedName function="false" hidden="false" name="DEM_Tok_Paid_Luna" vbProcedure="false">Demand!$D$36:$I$36</definedName>
    <definedName function="false" hidden="false" name="DEM_Tok_Paid_Sol" vbProcedure="false">Demand!$D$35:$I$35</definedName>
    <definedName function="false" hidden="false" name="DEM_Tok_Total" vbProcedure="false">Demand!$D$41:$I$41</definedName>
    <definedName function="false" hidden="false" name="DEM_Users_Consumer" vbProcedure="false">Demand!$D$30:$I$30</definedName>
    <definedName function="false" hidden="false" name="INP_001" vbProcedure="false">Inputs!$F$5</definedName>
    <definedName function="false" hidden="false" name="INP_002" vbProcedure="false">Inputs!$F$6</definedName>
    <definedName function="false" hidden="false" name="INP_003" vbProcedure="false">Inputs!$F$7</definedName>
    <definedName function="false" hidden="false" name="INP_004" vbProcedure="false">Inputs!$F$8</definedName>
    <definedName function="false" hidden="false" name="INP_005" vbProcedure="false">Inputs!$F$9</definedName>
    <definedName function="false" hidden="false" name="INP_006" vbProcedure="false">Inputs!$F$10</definedName>
    <definedName function="false" hidden="false" name="INP_007" vbProcedure="false">Inputs!$F$11</definedName>
    <definedName function="false" hidden="false" name="INP_008" vbProcedure="false">Inputs!$F$12</definedName>
    <definedName function="false" hidden="false" name="INP_009" vbProcedure="false">Inputs!$F$13</definedName>
    <definedName function="false" hidden="false" name="INP_010" vbProcedure="false">Inputs!$F$14</definedName>
    <definedName function="false" hidden="false" name="INP_011" vbProcedure="false">Inputs!$F$15</definedName>
    <definedName function="false" hidden="false" name="INP_012" vbProcedure="false">Inputs!$F$16</definedName>
    <definedName function="false" hidden="false" name="INP_013" vbProcedure="false">Inputs!$F$17</definedName>
    <definedName function="false" hidden="false" name="INP_014" vbProcedure="false">Inputs!$F$18</definedName>
    <definedName function="false" hidden="false" name="INP_015" vbProcedure="false">Inputs!$F$19</definedName>
    <definedName function="false" hidden="false" name="INP_016" vbProcedure="false">Inputs!$F$20</definedName>
    <definedName function="false" hidden="false" name="INP_017" vbProcedure="false">Inputs!$F$21</definedName>
    <definedName function="false" hidden="false" name="INP_018" vbProcedure="false">Inputs!$F$22</definedName>
    <definedName function="false" hidden="false" name="INP_019" vbProcedure="false">Inputs!$F$23</definedName>
    <definedName function="false" hidden="false" name="INP_020" vbProcedure="false">Inputs!$F$24</definedName>
    <definedName function="false" hidden="false" name="INP_021" vbProcedure="false">Inputs!$F$25</definedName>
    <definedName function="false" hidden="false" name="INP_022" vbProcedure="false">Inputs!$F$26</definedName>
    <definedName function="false" hidden="false" name="INP_023" vbProcedure="false">Inputs!$F$27</definedName>
    <definedName function="false" hidden="false" name="INP_024" vbProcedure="false">Inputs!$F$28</definedName>
    <definedName function="false" hidden="false" name="INP_025" vbProcedure="false">Inputs!$F$29</definedName>
    <definedName function="false" hidden="false" name="INP_026" vbProcedure="false">Inputs!$F$30</definedName>
    <definedName function="false" hidden="false" name="INP_027" vbProcedure="false">Inputs!$F$31</definedName>
    <definedName function="false" hidden="false" name="INP_028" vbProcedure="false">Inputs!$F$32</definedName>
    <definedName function="false" hidden="false" name="INP_029" vbProcedure="false">Inputs!$F$33</definedName>
    <definedName function="false" hidden="false" name="INP_030" vbProcedure="false">Inputs!$F$34</definedName>
    <definedName function="false" hidden="false" name="INP_031" vbProcedure="false">Inputs!$F$35</definedName>
    <definedName function="false" hidden="false" name="INP_032" vbProcedure="false">Inputs!$F$36</definedName>
    <definedName function="false" hidden="false" name="INP_033" vbProcedure="false">Inputs!$F$37</definedName>
    <definedName function="false" hidden="false" name="INP_034" vbProcedure="false">Inputs!$F$38</definedName>
    <definedName function="false" hidden="false" name="INP_035" vbProcedure="false">Inputs!$F$39</definedName>
    <definedName function="false" hidden="false" name="INP_036" vbProcedure="false">Inputs!$F$40</definedName>
    <definedName function="false" hidden="false" name="INP_037" vbProcedure="false">Inputs!$F$41</definedName>
    <definedName function="false" hidden="false" name="INP_038" vbProcedure="false">Inputs!$F$42</definedName>
    <definedName function="false" hidden="false" name="INP_039" vbProcedure="false">Inputs!$F$43</definedName>
    <definedName function="false" hidden="false" name="INP_040" vbProcedure="false">Inputs!$F$44</definedName>
    <definedName function="false" hidden="false" name="INP_041" vbProcedure="false">Inputs!$F$45</definedName>
    <definedName function="false" hidden="false" name="INP_042" vbProcedure="false">Inputs!$F$46</definedName>
    <definedName function="false" hidden="false" name="INP_043" vbProcedure="false">Inputs!$F$47</definedName>
    <definedName function="false" hidden="false" name="INP_044" vbProcedure="false">Inputs!$F$48</definedName>
    <definedName function="false" hidden="false" name="INP_045" vbProcedure="false">Inputs!$F$49</definedName>
    <definedName function="false" hidden="false" name="INP_046" vbProcedure="false">Inputs!$F$50</definedName>
    <definedName function="false" hidden="false" name="INP_047" vbProcedure="false">Inputs!$F$51</definedName>
    <definedName function="false" hidden="false" name="INP_048" vbProcedure="false">Inputs!$F$52</definedName>
    <definedName function="false" hidden="false" name="INP_049" vbProcedure="false">Inputs!$F$53</definedName>
    <definedName function="false" hidden="false" name="INP_050" vbProcedure="false">Inputs!$F$54</definedName>
    <definedName function="false" hidden="false" name="INP_051" vbProcedure="false">Inputs!$F$55</definedName>
    <definedName function="false" hidden="false" name="INP_052" vbProcedure="false">Inputs!$F$56</definedName>
    <definedName function="false" hidden="false" name="INP_053" vbProcedure="false">Inputs!$F$57</definedName>
    <definedName function="false" hidden="false" name="INP_054" vbProcedure="false">Inputs!$F$58</definedName>
    <definedName function="false" hidden="false" name="INP_055" vbProcedure="false">Inputs!$F$59</definedName>
    <definedName function="false" hidden="false" name="INP_056" vbProcedure="false">Inputs!$F$60</definedName>
    <definedName function="false" hidden="false" name="INP_057" vbProcedure="false">Inputs!$F$61</definedName>
    <definedName function="false" hidden="false" name="INP_058" vbProcedure="false">Inputs!$F$62</definedName>
    <definedName function="false" hidden="false" name="INP_059" vbProcedure="false">Inputs!$F$63</definedName>
    <definedName function="false" hidden="false" name="INP_060" vbProcedure="false">Inputs!$F$64</definedName>
    <definedName function="false" hidden="false" name="INP_061" vbProcedure="false">Inputs!$F$65</definedName>
    <definedName function="false" hidden="false" name="INP_062" vbProcedure="false">Inputs!$F$66</definedName>
    <definedName function="false" hidden="false" name="INP_063" vbProcedure="false">Inputs!$F$67</definedName>
    <definedName function="false" hidden="false" name="INP_064" vbProcedure="false">Inputs!$F$68</definedName>
    <definedName function="false" hidden="false" name="INP_065" vbProcedure="false">Inputs!$F$69</definedName>
    <definedName function="false" hidden="false" name="INP_066" vbProcedure="false">Inputs!$F$70</definedName>
    <definedName function="false" hidden="false" name="INP_067" vbProcedure="false">Inputs!$F$71</definedName>
    <definedName function="false" hidden="false" name="INP_068" vbProcedure="false">Inputs!$F$72</definedName>
    <definedName function="false" hidden="false" name="INP_069" vbProcedure="false">Inputs!$F$73</definedName>
    <definedName function="false" hidden="false" name="INP_070" vbProcedure="false">Inputs!$F$74</definedName>
    <definedName function="false" hidden="false" name="INP_071" vbProcedure="false">Inputs!$F$75</definedName>
    <definedName function="false" hidden="false" name="INP_072" vbProcedure="false">Inputs!$F$76</definedName>
    <definedName function="false" hidden="false" name="INP_073" vbProcedure="false">Inputs!$F$77</definedName>
    <definedName function="false" hidden="false" name="OAI_CMP_InfGW_Eff" vbProcedure="false">OAI_Link!$F$13:$K$13</definedName>
    <definedName function="false" hidden="false" name="OAI_CMP_Supply_VReq" vbProcedure="false">OAI_Link!$F$14:$K$14</definedName>
    <definedName function="false" hidden="false" name="OAI_COST_Compute" vbProcedure="false">OAI_Link!$F$15:$K$15</definedName>
    <definedName function="false" hidden="false" name="OAI_COST_Coverage" vbProcedure="false">OAI_Link!$F$20:$K$20</definedName>
    <definedName function="false" hidden="false" name="OAI_COST_FullCash" vbProcedure="false">OAI_Link!$F$16:$K$16</definedName>
    <definedName function="false" hidden="false" name="OAI_COST_PropFull_VR" vbProcedure="false">OAI_Link!$F$18:$K$18</definedName>
    <definedName function="false" hidden="false" name="OAI_COST_PropGap_VR" vbProcedure="false">OAI_Link!$F$19:$K$19</definedName>
    <definedName function="false" hidden="false" name="OAI_COST_PropRev_VR" vbProcedure="false">OAI_Link!$F$17:$K$17</definedName>
    <definedName function="false" hidden="false" name="OAI_DEM_Tok_Total" vbProcedure="false">OAI_Link!$F$12:$K$12</definedName>
    <definedName function="false" hidden="false" name="OAI_File" vbProcedure="false">OAI_Link!$B$3</definedName>
    <definedName function="false" hidden="false" name="OAI_FND_ExtNeed" vbProcedure="false">OAI_Link!$F$22:$K$22</definedName>
    <definedName function="false" hidden="false" name="OAI_FND_ExtNeedCum" vbProcedure="false">OAI_Link!$F$23:$K$23</definedName>
    <definedName function="false" hidden="false" name="OAI_FND_FCF" vbProcedure="false">OAI_Link!$F$21:$K$21</definedName>
    <definedName function="false" hidden="false" name="OAI_ReadDate" vbProcedure="false">OAI_Link!$B$6</definedName>
    <definedName function="false" hidden="false" name="OAI_Ref" vbProcedure="false">OAI_Link!$B$5</definedName>
    <definedName function="false" hidden="false" name="OAI_REV_Gross" vbProcedure="false">OAI_Link!$F$10:$K$10</definedName>
    <definedName function="false" hidden="false" name="OAI_REV_NetCapped" vbProcedure="false">OAI_Link!$F$11:$K$11</definedName>
    <definedName function="false" hidden="false" name="OAI_SHA256" vbProcedure="false">OAI_Link!$B$4</definedName>
    <definedName function="false" hidden="false" name="REV_Ads" vbProcedure="false">Revenue!$D$53:$I$53</definedName>
    <definedName function="false" hidden="false" name="REV_API" vbProcedure="false">Revenue!$D$48:$I$48</definedName>
    <definedName function="false" hidden="false" name="REV_ApiPrice" vbProcedure="false">Revenue!$D$24:$I$24</definedName>
    <definedName function="false" hidden="false" name="REV_ApiPrice_H" vbProcedure="false">Revenue!$K$24:$L$24</definedName>
    <definedName function="false" hidden="false" name="REV_API_H" vbProcedure="false">Revenue!$K$48:$L$48</definedName>
    <definedName function="false" hidden="false" name="REV_API_Luna" vbProcedure="false">Revenue!$D$46:$I$46</definedName>
    <definedName function="false" hidden="false" name="REV_API_PayGo" vbProcedure="false">Revenue!$D$47:$I$47</definedName>
    <definedName function="false" hidden="false" name="REV_API_Sol" vbProcedure="false">Revenue!$D$45:$I$45</definedName>
    <definedName function="false" hidden="false" name="REV_ARRGapMaaS" vbProcedure="false">Revenue!$L$84</definedName>
    <definedName function="false" hidden="false" name="REV_ARRGapTotal" vbProcedure="false">Revenue!$L$87</definedName>
    <definedName function="false" hidden="false" name="REV_CapFactor" vbProcedure="false">Revenue!$D$57:$I$57</definedName>
    <definedName function="false" hidden="false" name="REV_Cloud" vbProcedure="false">Revenue!$D$56:$I$56</definedName>
    <definedName function="false" hidden="false" name="REV_CP_ARPU" vbProcedure="false">Revenue!$D$38:$I$38</definedName>
    <definedName function="false" hidden="false" name="REV_EffPrice_Luna" vbProcedure="false">Revenue!$D$21:$I$21</definedName>
    <definedName function="false" hidden="false" name="REV_EffPrice_Sol" vbProcedure="false">Revenue!$D$20:$I$20</definedName>
    <definedName function="false" hidden="false" name="REV_Enterprise" vbProcedure="false">Revenue!$D$60:$I$60</definedName>
    <definedName function="false" hidden="false" name="REV_Gap1H26" vbProcedure="false">Revenue!$K$75</definedName>
    <definedName function="false" hidden="false" name="REV_Gap2025" vbProcedure="false">Revenue!$D$74</definedName>
    <definedName function="false" hidden="false" name="REV_GapUncal2025" vbProcedure="false">Revenue!$D$77</definedName>
    <definedName function="false" hidden="false" name="REV_Gross" vbProcedure="false">Revenue!$D$54:$I$54</definedName>
    <definedName function="false" hidden="false" name="REV_GrossCapped" vbProcedure="false">Revenue!$D$58:$I$58</definedName>
    <definedName function="false" hidden="false" name="REV_Gross_H" vbProcedure="false">Revenue!$K$54:$L$54</definedName>
    <definedName function="false" hidden="false" name="REV_Individual" vbProcedure="false">Revenue!$D$61:$I$61</definedName>
    <definedName function="false" hidden="false" name="REV_ListPrice_Luna_Cache" vbProcedure="false">Revenue!$D$17:$I$17</definedName>
    <definedName function="false" hidden="false" name="REV_ListPrice_Luna_In" vbProcedure="false">Revenue!$D$16:$I$16</definedName>
    <definedName function="false" hidden="false" name="REV_ListPrice_Luna_Out" vbProcedure="false">Revenue!$D$18:$I$18</definedName>
    <definedName function="false" hidden="false" name="REV_ListPrice_Sol_Cache" vbProcedure="false">Revenue!$D$14:$I$14</definedName>
    <definedName function="false" hidden="false" name="REV_ListPrice_Sol_In" vbProcedure="false">Revenue!$D$13:$I$13</definedName>
    <definedName function="false" hidden="false" name="REV_ListPrice_Sol_Out" vbProcedure="false">Revenue!$D$15:$I$15</definedName>
    <definedName function="false" hidden="false" name="REV_Net" vbProcedure="false">Revenue!$D$55:$I$55</definedName>
    <definedName function="false" hidden="false" name="REV_NetCapped" vbProcedure="false">Revenue!$D$59:$I$59</definedName>
    <definedName function="false" hidden="false" name="REV_OnPrem" vbProcedure="false">Revenue!$D$52:$I$52</definedName>
    <definedName function="false" hidden="false" name="REV_OnPrem_Agent" vbProcedure="false">Revenue!$D$49:$I$49</definedName>
    <definedName function="false" hidden="false" name="REV_OnPrem_GPLLM" vbProcedure="false">Revenue!$D$50:$I$50</definedName>
    <definedName function="false" hidden="false" name="REV_OnPrem_H" vbProcedure="false">Revenue!$K$52:$L$52</definedName>
    <definedName function="false" hidden="false" name="REV_Other" vbProcedure="false">Revenue!$D$51:$I$51</definedName>
    <definedName function="false" hidden="false" name="REV_Sub" vbProcedure="false">Revenue!$D$43:$I$43</definedName>
    <definedName function="false" hidden="false" name="REV_Sub_H" vbProcedure="false">Revenue!$K$43:$L$43</definedName>
    <definedName function="false" hidden="false" name="REV_Sub_Lite" vbProcedure="false">Revenue!$D$40:$I$40</definedName>
    <definedName function="false" hidden="false" name="REV_Sub_Max" vbProcedure="false">Revenue!$D$42:$I$42</definedName>
    <definedName function="false" hidden="false" name="REV_Sub_Pro" vbProcedure="false">Revenue!$D$41:$I$41</definedName>
    <definedName function="false" hidden="false" name="SRC_ZP_001" vbProcedure="false">SRC_ZP!$D$5</definedName>
    <definedName function="false" hidden="false" name="SRC_ZP_002" vbProcedure="false">SRC_ZP!$D$6</definedName>
    <definedName function="false" hidden="false" name="SRC_ZP_003" vbProcedure="false">SRC_ZP!$D$7</definedName>
    <definedName function="false" hidden="false" name="SRC_ZP_004" vbProcedure="false">SRC_ZP!$D$8</definedName>
    <definedName function="false" hidden="false" name="SRC_ZP_005" vbProcedure="false">SRC_ZP!$D$9</definedName>
    <definedName function="false" hidden="false" name="SRC_ZP_006" vbProcedure="false">SRC_ZP!$D$10</definedName>
    <definedName function="false" hidden="false" name="SRC_ZP_007" vbProcedure="false">SRC_ZP!$D$11</definedName>
    <definedName function="false" hidden="false" name="SRC_ZP_008" vbProcedure="false">SRC_ZP!$D$12</definedName>
    <definedName function="false" hidden="false" name="SRC_ZP_009" vbProcedure="false">SRC_ZP!$D$13</definedName>
    <definedName function="false" hidden="false" name="SRC_ZP_010" vbProcedure="false">SRC_ZP!$D$14</definedName>
    <definedName function="false" hidden="false" name="SRC_ZP_011" vbProcedure="false">SRC_ZP!$D$15</definedName>
    <definedName function="false" hidden="false" name="SRC_ZP_012" vbProcedure="false">SRC_ZP!$D$16</definedName>
    <definedName function="false" hidden="false" name="SRC_ZP_013" vbProcedure="false">SRC_ZP!$D$17</definedName>
    <definedName function="false" hidden="false" name="SRC_ZP_014" vbProcedure="false">SRC_ZP!$D$18</definedName>
    <definedName function="false" hidden="false" name="SRC_ZP_015" vbProcedure="false">SRC_ZP!$D$19</definedName>
    <definedName function="false" hidden="false" name="SRC_ZP_016" vbProcedure="false">SRC_ZP!$D$20</definedName>
    <definedName function="false" hidden="false" name="SRC_ZP_017" vbProcedure="false">SRC_ZP!$D$21</definedName>
    <definedName function="false" hidden="false" name="SRC_ZP_018" vbProcedure="false">SRC_ZP!$D$22</definedName>
    <definedName function="false" hidden="false" name="SRC_ZP_019" vbProcedure="false">SRC_ZP!$D$23</definedName>
    <definedName function="false" hidden="false" name="SRC_ZP_020" vbProcedure="false">SRC_ZP!$D$24</definedName>
    <definedName function="false" hidden="false" name="SRC_ZP_021" vbProcedure="false">SRC_ZP!$D$25</definedName>
    <definedName function="false" hidden="false" name="SRC_ZP_022" vbProcedure="false">SRC_ZP!$D$26</definedName>
    <definedName function="false" hidden="false" name="SRC_ZP_023" vbProcedure="false">SRC_ZP!$D$27</definedName>
    <definedName function="false" hidden="false" name="SRC_ZP_024" vbProcedure="false">SRC_ZP!$D$28</definedName>
    <definedName function="false" hidden="false" name="SRC_ZP_025" vbProcedure="false">SRC_ZP!$D$29</definedName>
    <definedName function="false" hidden="false" name="SRC_ZP_026" vbProcedure="false">SRC_ZP!$D$30</definedName>
    <definedName function="false" hidden="false" name="SRC_ZP_027" vbProcedure="false">SRC_ZP!$D$31</definedName>
    <definedName function="false" hidden="false" name="SRC_ZP_028" vbProcedure="false">SRC_ZP!$D$32</definedName>
    <definedName function="false" hidden="false" name="SRC_ZP_029" vbProcedure="false">SRC_ZP!$D$33</definedName>
    <definedName function="false" hidden="false" name="SRC_ZP_030" vbProcedure="false">SRC_ZP!$D$34</definedName>
    <definedName function="false" hidden="false" name="SRC_ZP_031" vbProcedure="false">SRC_ZP!$D$35</definedName>
    <definedName function="false" hidden="false" name="SRC_ZP_032" vbProcedure="false">SRC_ZP!$D$36</definedName>
    <definedName function="false" hidden="false" name="SRC_ZP_033" vbProcedure="false">SRC_ZP!$D$37</definedName>
    <definedName function="false" hidden="false" name="SRC_ZP_034" vbProcedure="false">SRC_ZP!$D$38</definedName>
    <definedName function="false" hidden="false" name="SRC_ZP_035" vbProcedure="false">SRC_ZP!$D$39</definedName>
    <definedName function="false" hidden="false" name="SRC_ZP_036" vbProcedure="false">SRC_ZP!$D$40</definedName>
    <definedName function="false" hidden="false" name="SRC_ZP_037" vbProcedure="false">SRC_ZP!$D$41</definedName>
    <definedName function="false" hidden="false" name="SRC_ZP_038" vbProcedure="false">SRC_ZP!$D$42</definedName>
    <definedName function="false" hidden="false" name="SRC_ZP_039" vbProcedure="false">SRC_ZP!$D$43</definedName>
    <definedName function="false" hidden="false" name="SRC_ZP_040" vbProcedure="false">SRC_ZP!$D$44</definedName>
    <definedName function="false" hidden="false" name="SRC_ZP_041" vbProcedure="false">SRC_ZP!$D$45</definedName>
    <definedName function="false" hidden="false" name="SRC_ZP_042" vbProcedure="false">SRC_ZP!$D$46</definedName>
    <definedName function="false" hidden="false" name="SRC_ZP_043" vbProcedure="false">SRC_ZP!$D$47</definedName>
    <definedName function="false" hidden="false" name="SRC_ZP_044" vbProcedure="false">SRC_ZP!$D$48</definedName>
    <definedName function="false" hidden="false" name="SRC_ZP_045" vbProcedure="false">SRC_ZP!$D$49</definedName>
    <definedName function="false" hidden="false" name="SRC_ZP_046" vbProcedure="false">SRC_ZP!$D$50</definedName>
    <definedName function="false" hidden="false" name="SRC_ZP_047" vbProcedure="false">SRC_ZP!$D$51</definedName>
    <definedName function="false" hidden="false" name="SRC_ZP_048" vbProcedure="false">SRC_ZP!$D$52</definedName>
    <definedName function="false" hidden="false" name="SRC_ZP_049" vbProcedure="false">SRC_ZP!$D$53</definedName>
    <definedName function="false" hidden="false" name="SRC_ZP_050" vbProcedure="false">SRC_ZP!$D$54</definedName>
    <definedName function="false" hidden="false" name="SRC_ZP_051" vbProcedure="false">SRC_ZP!$D$55</definedName>
    <definedName function="false" hidden="false" name="SRC_ZP_052" vbProcedure="false">SRC_ZP!$D$56</definedName>
    <definedName function="false" hidden="false" name="SRC_ZP_053" vbProcedure="false">SRC_ZP!$D$57</definedName>
    <definedName function="false" hidden="false" name="SRC_ZP_054" vbProcedure="false">SRC_ZP!$D$58</definedName>
    <definedName function="false" hidden="false" name="SRC_ZP_055" vbProcedure="false">SRC_ZP!$D$59</definedName>
    <definedName function="false" hidden="false" name="SRC_ZP_056" vbProcedure="false">SRC_ZP!$D$60</definedName>
    <definedName function="false" hidden="false" name="SRC_ZP_057" vbProcedure="false">SRC_ZP!$D$61</definedName>
    <definedName function="false" hidden="false" name="SRC_ZP_058" vbProcedure="false">SRC_ZP!$D$62</definedName>
    <definedName function="false" hidden="false" name="SRC_ZP_059" vbProcedure="false">SRC_ZP!$D$63</definedName>
    <definedName function="false" hidden="false" name="SRC_ZP_060" vbProcedure="false">SRC_ZP!$D$64</definedName>
    <definedName function="false" hidden="false" name="SRC_ZP_061" vbProcedure="false">SRC_ZP!$D$65</definedName>
    <definedName function="false" hidden="false" name="SRC_ZP_062" vbProcedure="false">SRC_ZP!$D$66</definedName>
    <definedName function="false" hidden="false" name="SRC_ZP_063" vbProcedure="false">SRC_ZP!$D$67</definedName>
    <definedName function="false" hidden="false" name="SRC_ZP_064" vbProcedure="false">SRC_ZP!$D$68</definedName>
    <definedName function="false" hidden="false" name="SRC_ZP_065" vbProcedure="false">SRC_ZP!$D$69</definedName>
    <definedName function="false" hidden="false" name="SRC_ZP_066" vbProcedure="false">SRC_ZP!$D$70</definedName>
    <definedName function="false" hidden="false" name="SRC_ZP_067" vbProcedure="false">SRC_ZP!$D$71</definedName>
    <definedName function="false" hidden="false" name="SRC_ZP_068" vbProcedure="false">SRC_ZP!$D$72</definedName>
    <definedName function="false" hidden="false" name="SRC_ZP_069" vbProcedure="false">SRC_ZP!$D$73</definedName>
    <definedName function="false" hidden="false" name="SRC_ZP_070" vbProcedure="false">SRC_ZP!$D$74</definedName>
    <definedName function="false" hidden="false" name="SRC_ZP_071" vbProcedure="false">SRC_ZP!$D$75</definedName>
    <definedName function="false" hidden="false" name="SRC_ZP_072" vbProcedure="false">SRC_ZP!$D$76</definedName>
    <definedName function="false" hidden="false" name="SRC_ZP_073" vbProcedure="false">SRC_ZP!$D$77</definedName>
    <definedName function="false" hidden="false" name="SRC_ZP_074" vbProcedure="false">SRC_ZP!$D$78</definedName>
    <definedName function="false" hidden="false" name="SRC_ZP_075" vbProcedure="false">SRC_ZP!$D$79</definedName>
    <definedName function="false" hidden="false" name="SRC_ZP_076" vbProcedure="false">SRC_ZP!$D$80</definedName>
    <definedName function="false" hidden="false" name="SRC_ZP_077" vbProcedure="false">SRC_ZP!$D$81</definedName>
    <definedName function="false" hidden="false" name="SRC_ZP_078" vbProcedure="false">SRC_ZP!$D$82</definedName>
    <definedName function="false" hidden="false" name="SRC_ZP_079" vbProcedure="false">SRC_ZP!$D$83</definedName>
    <definedName function="false" hidden="false" name="SRC_ZP_080" vbProcedure="false">SRC_ZP!$D$84</definedName>
    <definedName function="false" hidden="false" name="SRC_ZP_081" vbProcedure="false">SRC_ZP!$D$85</definedName>
    <definedName function="false" hidden="false" name="SRC_ZP_082" vbProcedure="false">SRC_ZP!$D$86</definedName>
    <definedName function="false" hidden="false" name="SRC_ZP_083" vbProcedure="false">SRC_ZP!$D$87</definedName>
    <definedName function="false" hidden="false" name="SRC_ZP_084" vbProcedure="false">SRC_ZP!$D$88</definedName>
    <definedName function="false" hidden="false" name="SRC_ZP_085" vbProcedure="false">SRC_ZP!$D$89</definedName>
    <definedName function="false" hidden="false" name="SRC_ZP_086" vbProcedure="false">SRC_ZP!$D$90</definedName>
    <definedName function="false" hidden="false" name="SRC_ZP_087" vbProcedure="false">SRC_ZP!$D$91</definedName>
    <definedName function="false" hidden="false" name="SRC_ZP_088" vbProcedure="false">SRC_ZP!$D$92</definedName>
    <definedName function="false" hidden="false" name="SRC_ZP_089" vbProcedure="false">SRC_ZP!$D$93</definedName>
    <definedName function="false" hidden="false" name="SRC_ZP_090" vbProcedure="false">SRC_ZP!$D$94</definedName>
    <definedName function="false" hidden="false" name="SRC_ZP_091" vbProcedure="false">SRC_ZP!$D$95</definedName>
    <definedName function="false" hidden="false" name="SRC_ZP_092" vbProcedure="false">SRC_ZP!$D$96</definedName>
    <definedName function="false" hidden="false" name="SRC_ZP_093" vbProcedure="false">SRC_ZP!$D$97</definedName>
    <definedName function="false" hidden="false" name="SRC_ZP_094" vbProcedure="false">SRC_ZP!$D$98</definedName>
    <definedName function="false" hidden="false" name="SRC_ZP_095" vbProcedure="false">SRC_ZP!$D$99</definedName>
    <definedName function="false" hidden="false" name="SRC_ZP_096" vbProcedure="false">SRC_ZP!$D$100</definedName>
    <definedName function="false" hidden="false" name="SRC_ZP_097" vbProcedure="false">SRC_ZP!$D$101</definedName>
    <definedName function="false" hidden="false" name="SRC_ZP_098" vbProcedure="false">SRC_ZP!$D$102</definedName>
    <definedName function="false" hidden="false" name="SRC_ZP_099" vbProcedure="false">SRC_ZP!$D$103</definedName>
    <definedName function="false" hidden="false" name="SRC_ZP_100" vbProcedure="false">SRC_ZP!$D$104</definedName>
    <definedName function="false" hidden="false" name="SRC_ZP_101" vbProcedure="false">SRC_ZP!$D$105</definedName>
    <definedName function="false" hidden="false" name="SRC_ZP_102" vbProcedure="false">SRC_ZP!$D$106</definedName>
    <definedName function="false" hidden="false" name="SRC_ZP_103" vbProcedure="false">SRC_ZP!$D$107</definedName>
    <definedName function="false" hidden="false" name="SRC_ZP_104" vbProcedure="false">SRC_ZP!$D$108</definedName>
    <definedName function="false" hidden="false" name="SRC_ZP_105" vbProcedure="false">SRC_ZP!$D$109</definedName>
    <definedName function="false" hidden="false" name="SRC_ZP_106" vbProcedure="false">SRC_ZP!$D$110</definedName>
    <definedName function="false" hidden="false" name="SRC_ZP_107" vbProcedure="false">SRC_ZP!$D$111</definedName>
    <definedName function="false" hidden="false" name="SRC_ZP_108" vbProcedure="false">SRC_ZP!$D$112</definedName>
    <definedName function="false" hidden="false" name="SRC_ZP_109" vbProcedure="false">SRC_ZP!$D$113</definedName>
    <definedName function="false" hidden="false" name="SRC_ZP_110" vbProcedure="false">SRC_ZP!$D$114</definedName>
    <definedName function="false" hidden="false" name="SRC_ZP_111" vbProcedure="false">SRC_ZP!$D$115</definedName>
    <definedName function="false" hidden="false" name="SRC_ZP_112" vbProcedure="false">SRC_ZP!$D$116</definedName>
    <definedName function="false" hidden="false" name="SRC_ZP_113" vbProcedure="false">SRC_ZP!$D$117</definedName>
    <definedName function="false" hidden="false" name="SRC_ZP_114" vbProcedure="false">SRC_ZP!$D$118</definedName>
    <definedName function="false" hidden="false" name="SRC_ZP_115" vbProcedure="false">SRC_ZP!$D$119</definedName>
    <definedName function="false" hidden="false" name="SRC_ZP_116" vbProcedure="false">SRC_ZP!$D$120</definedName>
    <definedName function="false" hidden="false" name="SRC_ZP_117" vbProcedure="false">SRC_ZP!$D$121</definedName>
    <definedName function="false" hidden="false" name="SRC_ZP_118" vbProcedure="false">SRC_ZP!$D$122</definedName>
    <definedName function="false" hidden="false" name="SRC_ZP_119" vbProcedure="false">SRC_ZP!$D$123</definedName>
    <definedName function="false" hidden="false" name="SRC_ZP_120" vbProcedure="false">SRC_ZP!$D$124</definedName>
    <definedName function="false" hidden="false" name="SRC_ZP_121" vbProcedure="false">SRC_ZP!$D$125</definedName>
    <definedName function="false" hidden="false" name="SRC_ZP_122" vbProcedure="false">SRC_ZP!$D$126</definedName>
    <definedName function="false" hidden="false" name="SRC_ZP_123" vbProcedure="false">SRC_ZP!$D$127</definedName>
    <definedName function="false" hidden="false" name="SRC_ZP_124" vbProcedure="false">SRC_ZP!$D$128</definedName>
    <definedName function="false" hidden="false" name="SRC_ZP_125" vbProcedure="false">SRC_ZP!$D$129</definedName>
    <definedName function="false" hidden="false" name="SRC_ZP_126" vbProcedure="false">SRC_ZP!$D$130</definedName>
    <definedName function="false" hidden="false" name="SRC_ZP_127" vbProcedure="false">SRC_ZP!$D$131</definedName>
    <definedName function="false" hidden="false" name="SRC_ZP_128" vbProcedure="false">SRC_ZP!$D$132</definedName>
    <definedName function="false" hidden="false" name="SRC_ZP_129" vbProcedure="false">SRC_ZP!$D$133</definedName>
    <definedName function="false" hidden="false" name="SRC_ZP_130" vbProcedure="false">SRC_ZP!$D$134</definedName>
    <definedName function="false" hidden="false" name="SRC_ZP_131" vbProcedure="false">SRC_ZP!$D$135</definedName>
    <definedName function="false" hidden="false" name="SRC_ZP_132" vbProcedure="false">SRC_ZP!$D$136</definedName>
    <definedName function="false" hidden="false" name="SRC_ZP_133" vbProcedure="false">SRC_ZP!$D$137</definedName>
    <definedName function="false" hidden="false" name="SRC_ZP_134" vbProcedure="false">SRC_ZP!$D$138</definedName>
    <definedName function="false" hidden="false" name="SRC_ZP_135" vbProcedure="false">SRC_ZP!$D$139</definedName>
    <definedName function="false" hidden="false" name="SRC_ZP_136" vbProcedure="false">SRC_ZP!$D$140</definedName>
    <definedName function="false" hidden="false" name="SRC_ZP_137" vbProcedure="false">SRC_ZP!$D$141</definedName>
    <definedName function="false" hidden="false" name="SRC_ZP_138" vbProcedure="false">SRC_ZP!$D$142</definedName>
    <definedName function="false" hidden="false" name="SRC_ZP_139" vbProcedure="false">SRC_ZP!$D$143</definedName>
    <definedName function="false" hidden="false" name="SRC_ZP_140" vbProcedure="false">SRC_ZP!$D$144</definedName>
    <definedName function="false" hidden="false" name="SRC_ZP_141" vbProcedure="false">SRC_ZP!$D$145</definedName>
    <definedName function="false" hidden="false" name="SRC_ZP_142" vbProcedure="false">SRC_ZP!$D$146</definedName>
    <definedName function="false" hidden="false" name="SRC_ZP_143" vbProcedure="false">SRC_ZP!$D$147</definedName>
    <definedName function="false" hidden="false" name="SRC_ZP_144" vbProcedure="false">SRC_ZP!$D$148</definedName>
    <definedName function="false" hidden="false" name="SRC_ZP_145" vbProcedure="false">SRC_ZP!$D$149</definedName>
    <definedName function="false" hidden="false" name="SRC_ZP_146" vbProcedure="false">SRC_ZP!$D$150</definedName>
    <definedName function="false" hidden="false" name="SRC_ZP_147" vbProcedure="false">SRC_ZP!$D$151</definedName>
    <definedName function="false" hidden="false" name="SRC_ZP_148" vbProcedure="false">SRC_ZP!$D$152</definedName>
    <definedName function="false" hidden="false" name="SRC_ZP_149" vbProcedure="false">SRC_ZP!$D$153</definedName>
    <definedName function="false" hidden="false" name="SRC_ZP_150" vbProcedure="false">SRC_ZP!$D$154</definedName>
    <definedName function="false" hidden="false" name="SRC_ZP_151" vbProcedure="false">SRC_ZP!$D$155</definedName>
    <definedName function="false" hidden="false" name="SRC_ZP_152" vbProcedure="false">SRC_ZP!$D$156</definedName>
    <definedName function="false" hidden="false" name="SRC_ZP_153" vbProcedure="false">SRC_ZP!$D$157</definedName>
    <definedName function="false" hidden="false" name="SRC_ZP_154" vbProcedure="false">SRC_ZP!$D$158</definedName>
    <definedName function="false" hidden="false" name="SRC_ZP_155" vbProcedure="false">SRC_ZP!$D$159</definedName>
    <definedName function="false" hidden="false" name="SRC_ZP_156" vbProcedure="false">SRC_ZP!$D$160</definedName>
    <definedName function="false" hidden="false" name="SRC_ZP_157" vbProcedure="false">SRC_ZP!$D$161</definedName>
    <definedName function="false" hidden="false" name="SRC_ZP_158" vbProcedure="false">SRC_ZP!$D$162</definedName>
    <definedName function="false" hidden="false" name="SRC_ZP_159" vbProcedure="false">SRC_ZP!$D$163</definedName>
    <definedName function="false" hidden="false" name="SRC_ZP_160" vbProcedure="false">SRC_ZP!$D$164</definedName>
    <definedName function="false" hidden="false" name="SRC_ZP_161" vbProcedure="false">SRC_ZP!$D$165</definedName>
    <definedName function="false" hidden="false" name="SRC_ZP_162" vbProcedure="false">SRC_ZP!$D$166</definedName>
    <definedName function="false" hidden="false" name="SRC_ZP_163" vbProcedure="false">SRC_ZP!$D$167</definedName>
    <definedName function="false" hidden="false" name="SRC_ZP_164" vbProcedure="false">SRC_ZP!$D$168</definedName>
    <definedName function="false" hidden="false" name="SRC_ZP_166" vbProcedure="false">SRC_ZP!$D$170</definedName>
    <definedName function="false" hidden="false" name="SRC_ZP_168" vbProcedure="false">SRC_ZP!$D$172</definedName>
    <definedName function="false" hidden="false" name="SRC_ZP_168_Lo" vbProcedure="false">SRC_ZP!$E$172</definedName>
    <definedName function="false" hidden="false" name="SRC_ZP_169" vbProcedure="false">SRC_ZP!$D$173</definedName>
    <definedName function="false" hidden="false" name="SRC_ZP_170" vbProcedure="false">SRC_ZP!$D$174</definedName>
    <definedName function="false" hidden="false" name="SRC_ZP_171" vbProcedure="false">SRC_ZP!$D$175</definedName>
    <definedName function="false" hidden="false" name="SRC_ZP_172" vbProcedure="false">SRC_ZP!$D$176</definedName>
    <definedName function="false" hidden="false" name="SRC_ZP_173" vbProcedure="false">SRC_ZP!$D$177</definedName>
    <definedName function="false" hidden="false" name="SRC_ZP_174" vbProcedure="false">SRC_ZP!$D$178</definedName>
    <definedName function="false" hidden="false" name="SRC_ZP_175" vbProcedure="false">SRC_ZP!$D$179</definedName>
    <definedName function="false" hidden="false" name="SRC_ZP_176" vbProcedure="false">SRC_ZP!$D$180</definedName>
    <definedName function="false" hidden="false" name="SRC_ZP_177" vbProcedure="false">SRC_ZP!$D$181</definedName>
    <definedName function="false" hidden="false" name="SRC_ZP_178" vbProcedure="false">SRC_ZP!$D$182</definedName>
    <definedName function="false" hidden="false" name="SRC_ZP_179" vbProcedure="false">SRC_ZP!$D$183</definedName>
    <definedName function="false" hidden="false" name="SRC_ZP_180" vbProcedure="false">SRC_ZP!$D$184</definedName>
    <definedName function="false" hidden="false" name="SRC_ZP_181" vbProcedure="false">SRC_ZP!$D$185</definedName>
    <definedName function="false" hidden="false" name="SRC_ZP_182" vbProcedure="false">SRC_ZP!$D$186</definedName>
    <definedName function="false" hidden="false" name="SRC_ZP_183" vbProcedure="false">SRC_ZP!$D$187</definedName>
    <definedName function="false" hidden="false" name="SRC_ZP_184" vbProcedure="false">SRC_ZP!$D$188</definedName>
    <definedName function="false" hidden="false" name="SRC_ZP_185" vbProcedure="false">SRC_ZP!$D$189</definedName>
    <definedName function="false" hidden="false" name="SRC_ZP_186" vbProcedure="false">SRC_ZP!$D$190</definedName>
    <definedName function="false" hidden="false" name="SRC_ZP_187" vbProcedure="false">SRC_ZP!$D$191</definedName>
    <definedName function="false" hidden="false" name="SRC_ZP_188" vbProcedure="false">SRC_ZP!$D$192</definedName>
    <definedName function="false" hidden="false" name="SRC_ZP_189" vbProcedure="false">SRC_ZP!$D$193</definedName>
    <definedName function="false" hidden="false" name="SRC_ZP_190" vbProcedure="false">SRC_ZP!$D$194</definedName>
    <definedName function="false" hidden="false" name="SRC_ZP_191" vbProcedure="false">SRC_ZP!$D$195</definedName>
    <definedName function="false" hidden="false" name="SRC_ZP_192" vbProcedure="false">SRC_ZP!$D$196</definedName>
    <definedName function="false" hidden="false" name="SRC_ZP_193" vbProcedure="false">SRC_ZP!$D$197</definedName>
    <definedName function="false" hidden="false" name="SRC_ZP_194" vbProcedure="false">SRC_ZP!$D$198</definedName>
    <definedName function="false" hidden="false" name="SRC_ZP_195" vbProcedure="false">SRC_ZP!$D$199</definedName>
    <definedName function="false" hidden="false" name="SRC_ZP_196" vbProcedure="false">SRC_ZP!$D$200</definedName>
    <definedName function="false" hidden="false" name="SRC_ZP_197" vbProcedure="false">SRC_ZP!$D$201</definedName>
    <definedName function="false" hidden="false" name="SRC_ZP_198" vbProcedure="false">SRC_ZP!$D$202</definedName>
    <definedName function="false" hidden="false" name="SRC_ZP_199" vbProcedure="false">SRC_ZP!$D$203</definedName>
    <definedName function="false" hidden="false" name="SRC_ZP_200" vbProcedure="false">SRC_ZP!$D$204</definedName>
    <definedName function="false" hidden="false" name="SRC_ZP_201" vbProcedure="false">SRC_ZP!$D$205</definedName>
    <definedName function="false" hidden="false" name="SRC_ZP_202" vbProcedure="false">SRC_ZP!$D$206</definedName>
    <definedName function="false" hidden="false" name="SRC_ZP_203" vbProcedure="false">SRC_ZP!$D$207</definedName>
    <definedName function="false" hidden="false" name="SRC_ZP_204" vbProcedure="false">SRC_ZP!$D$208</definedName>
    <definedName function="false" hidden="false" name="SRC_ZP_205" vbProcedure="false">SRC_ZP!$D$209</definedName>
    <definedName function="false" hidden="false" name="SRC_ZP_206" vbProcedure="false">SRC_ZP!$D$210</definedName>
    <definedName function="false" hidden="false" name="SRC_ZP_207" vbProcedure="false">SRC_ZP!$D$211</definedName>
    <definedName function="false" hidden="false" name="SRC_ZP_208" vbProcedure="false">SRC_ZP!$D$212</definedName>
    <definedName function="false" hidden="false" name="SRC_ZP_209" vbProcedure="false">SRC_ZP!$D$213</definedName>
    <definedName function="false" hidden="false" name="SRC_ZP_210" vbProcedure="false">SRC_ZP!$D$214</definedName>
    <definedName function="false" hidden="false" name="SRC_ZP_211" vbProcedure="false">SRC_ZP!$D$215</definedName>
    <definedName function="false" hidden="false" name="SRC_ZP_212" vbProcedure="false">SRC_ZP!$D$216</definedName>
    <definedName function="false" hidden="false" name="SRC_ZP_213" vbProcedure="false">SRC_ZP!$D$217</definedName>
    <definedName function="false" hidden="false" name="SRC_ZP_214" vbProcedure="false">SRC_ZP!$D$218</definedName>
    <definedName function="false" hidden="false" name="SRC_ZP_215" vbProcedure="false">SRC_ZP!$D$219</definedName>
    <definedName function="false" hidden="false" name="SRC_ZP_216" vbProcedure="false">SRC_ZP!$D$220</definedName>
    <definedName function="false" hidden="false" name="SRC_ZP_217" vbProcedure="false">SRC_ZP!$D$221</definedName>
    <definedName function="false" hidden="false" name="SRC_ZP_218" vbProcedure="false">SRC_ZP!$D$222</definedName>
    <definedName function="false" hidden="false" name="SRC_ZP_219" vbProcedure="false">SRC_ZP!$D$223</definedName>
    <definedName function="false" hidden="false" name="SRC_ZP_220" vbProcedure="false">SRC_ZP!$D$224</definedName>
    <definedName function="false" hidden="false" name="SRC_ZP_221" vbProcedure="false">SRC_ZP!$D$225</definedName>
    <definedName function="false" hidden="false" name="SRC_ZP_222" vbProcedure="false">SRC_ZP!$D$226</definedName>
    <definedName function="false" hidden="false" name="SRC_ZP_223" vbProcedure="false">SRC_ZP!$D$227</definedName>
    <definedName function="false" hidden="false" name="SRC_ZP_224" vbProcedure="false">SRC_ZP!$D$228</definedName>
    <definedName function="false" hidden="false" name="SRC_ZP_225" vbProcedure="false">SRC_ZP!$D$229</definedName>
    <definedName function="false" hidden="false" name="SRC_ZP_226" vbProcedure="false">SRC_ZP!$D$230</definedName>
    <definedName function="false" hidden="false" name="SRC_ZP_227" vbProcedure="false">SRC_ZP!$D$231</definedName>
    <definedName function="false" hidden="false" name="SRC_ZP_229" vbProcedure="false">SRC_ZP!$D$233</definedName>
    <definedName function="false" hidden="false" name="SRC_ZP_229_Lo" vbProcedure="false">SRC_ZP!$E$233</definedName>
    <definedName function="false" hidden="false" name="SRC_ZP_230" vbProcedure="false">SRC_ZP!$D$234</definedName>
    <definedName function="false" hidden="false" name="SRC_ZP_231" vbProcedure="false">SRC_ZP!$D$235</definedName>
    <definedName function="false" hidden="false" name="SRC_ZP_232" vbProcedure="false">SRC_ZP!$D$236</definedName>
    <definedName function="false" hidden="false" name="SRC_ZP_233" vbProcedure="false">SRC_ZP!$D$237</definedName>
    <definedName function="false" hidden="false" name="SRC_ZP_234" vbProcedure="false">SRC_ZP!$D$238</definedName>
    <definedName function="false" hidden="false" name="SRC_ZP_234_Lo" vbProcedure="false">SRC_ZP!$E$238</definedName>
    <definedName function="false" hidden="false" name="SRC_ZP_235" vbProcedure="false">SRC_ZP!$D$239</definedName>
    <definedName function="false" hidden="false" name="SRC_ZP_236" vbProcedure="false">SRC_ZP!$D$240</definedName>
    <definedName function="false" hidden="false" name="SRC_ZP_237" vbProcedure="false">SRC_ZP!$D$241</definedName>
    <definedName function="false" hidden="false" name="SRC_ZP_238" vbProcedure="false">SRC_ZP!$D$242</definedName>
    <definedName function="false" hidden="false" name="SRC_ZP_239" vbProcedure="false">SRC_ZP!$D$243</definedName>
    <definedName function="false" hidden="false" name="SRC_ZP_240" vbProcedure="false">SRC_ZP!$D$244</definedName>
    <definedName function="false" hidden="false" name="SRC_ZP_241" vbProcedure="false">SRC_ZP!$D$245</definedName>
    <definedName function="false" hidden="false" name="SRC_ZP_242" vbProcedure="false">SRC_ZP!$D$246</definedName>
    <definedName function="false" hidden="false" name="SRC_ZP_243" vbProcedure="false">SRC_ZP!$D$247</definedName>
    <definedName function="false" hidden="false" name="SRC_ZP_244" vbProcedure="false">SRC_ZP!$D$248</definedName>
    <definedName function="false" hidden="false" name="SRC_ZP_245" vbProcedure="false">SRC_ZP!$D$249</definedName>
    <definedName function="false" hidden="false" name="SRC_ZP_246" vbProcedure="false">SRC_ZP!$D$250</definedName>
    <definedName function="false" hidden="false" name="SRC_ZP_247" vbProcedure="false">SRC_ZP!$D$251</definedName>
    <definedName function="false" hidden="false" name="SRC_ZP_248" vbProcedure="false">SRC_ZP!$D$252</definedName>
    <definedName function="false" hidden="false" name="SRC_ZP_249" vbProcedure="false">SRC_ZP!$D$253</definedName>
    <definedName function="false" hidden="false" name="SRC_ZP_250" vbProcedure="false">SRC_ZP!$D$254</definedName>
    <definedName function="false" hidden="false" name="SRC_ZP_251" vbProcedure="false">SRC_ZP!$D$255</definedName>
    <definedName function="false" hidden="false" name="SRC_ZP_252" vbProcedure="false">SRC_ZP!$D$256</definedName>
    <definedName function="false" hidden="false" name="SRC_ZP_253" vbProcedure="false">SRC_ZP!$D$257</definedName>
    <definedName function="false" hidden="false" name="SRC_ZP_254" vbProcedure="false">SRC_ZP!$D$258</definedName>
    <definedName function="false" hidden="false" name="SRC_ZP_255" vbProcedure="false">SRC_ZP!$D$259</definedName>
    <definedName function="false" hidden="false" name="SRC_ZP_256" vbProcedure="false">SRC_ZP!$D$260</definedName>
    <definedName function="false" hidden="false" name="SRC_ZP_257" vbProcedure="false">SRC_ZP!$D$261</definedName>
    <definedName function="false" hidden="false" name="SRC_ZP_258" vbProcedure="false">SRC_ZP!$D$262</definedName>
    <definedName function="false" hidden="false" name="SRC_ZP_259" vbProcedure="false">SRC_ZP!$D$263</definedName>
    <definedName function="false" hidden="false" name="SRC_ZP_260" vbProcedure="false">SRC_ZP!$D$264</definedName>
    <definedName function="false" hidden="false" name="SRC_ZP_261" vbProcedure="false">SRC_ZP!$D$265</definedName>
    <definedName function="false" hidden="false" name="SRC_ZP_262" vbProcedure="false">SRC_ZP!$D$266</definedName>
    <definedName function="false" hidden="false" name="SRC_ZP_263" vbProcedure="false">SRC_ZP!$D$267</definedName>
    <definedName function="false" hidden="false" name="SRC_ZP_264" vbProcedure="false">SRC_ZP!$D$268</definedName>
    <definedName function="false" hidden="false" name="SRC_ZP_265" vbProcedure="false">SRC_ZP!$D$269</definedName>
    <definedName function="false" hidden="false" name="SRC_ZP_266" vbProcedure="false">SRC_ZP!$D$270</definedName>
    <definedName function="false" hidden="false" name="SRC_ZP_267" vbProcedure="false">SRC_ZP!$D$271</definedName>
    <definedName function="false" hidden="false" name="SRC_ZP_268" vbProcedure="false">SRC_ZP!$D$272</definedName>
    <definedName function="false" hidden="false" name="SRC_ZP_269" vbProcedure="false">SRC_ZP!$D$273</definedName>
    <definedName function="false" hidden="false" name="SRC_ZP_270" vbProcedure="false">SRC_ZP!$D$274</definedName>
    <definedName function="false" hidden="false" name="SRC_ZP_271" vbProcedure="false">SRC_ZP!$D$275</definedName>
    <definedName function="false" hidden="false" name="SRC_ZP_272" vbProcedure="false">SRC_ZP!$D$276</definedName>
    <definedName function="false" hidden="false" name="SRC_ZP_273" vbProcedure="false">SRC_ZP!$D$277</definedName>
    <definedName function="false" hidden="false" name="SRC_ZP_274" vbProcedure="false">SRC_ZP!$D$278</definedName>
    <definedName function="false" hidden="false" name="SRC_ZP_275" vbProcedure="false">SRC_ZP!$D$279</definedName>
    <definedName function="false" hidden="false" name="SRC_ZP_276" vbProcedure="false">SRC_ZP!$D$280</definedName>
    <definedName function="false" hidden="false" name="SRC_ZP_277" vbProcedure="false">SRC_ZP!$D$281</definedName>
    <definedName function="false" hidden="false" name="SRC_ZP_278" vbProcedure="false">SRC_ZP!$D$282</definedName>
    <definedName function="false" hidden="false" name="SRC_ZP_279" vbProcedure="false">SRC_ZP!$D$283</definedName>
    <definedName function="false" hidden="false" name="SRC_ZP_280" vbProcedure="false">SRC_ZP!$D$284</definedName>
    <definedName function="false" hidden="false" name="SRC_ZP_281" vbProcedure="false">SRC_ZP!$D$285</definedName>
    <definedName function="false" hidden="false" name="SRC_ZP_282" vbProcedure="false">SRC_ZP!$D$286</definedName>
    <definedName function="false" hidden="false" name="SRC_ZP_283" vbProcedure="false">SRC_ZP!$D$287</definedName>
    <definedName function="false" hidden="false" name="SRC_ZP_284" vbProcedure="false">SRC_ZP!$D$288</definedName>
    <definedName function="false" hidden="false" name="SRC_ZP_285" vbProcedure="false">SRC_ZP!$D$289</definedName>
    <definedName function="false" hidden="false" name="SRC_ZP_286" vbProcedure="false">SRC_ZP!$D$290</definedName>
    <definedName function="false" hidden="false" name="SRC_ZP_287" vbProcedure="false">SRC_ZP!$D$291</definedName>
    <definedName function="false" hidden="false" name="SRC_ZP_288" vbProcedure="false">SRC_ZP!$D$292</definedName>
    <definedName function="false" hidden="false" name="SRC_ZP_289" vbProcedure="false">SRC_ZP!$D$293</definedName>
    <definedName function="false" hidden="false" name="SRC_ZP_290" vbProcedure="false">SRC_ZP!$D$294</definedName>
    <definedName function="false" hidden="false" name="SRC_ZP_291" vbProcedure="false">SRC_ZP!$D$295</definedName>
    <definedName function="false" hidden="false" name="SRC_ZP_292" vbProcedure="false">SRC_ZP!$D$296</definedName>
    <definedName function="false" hidden="false" name="SRC_ZP_293" vbProcedure="false">SRC_ZP!$D$297</definedName>
    <definedName function="false" hidden="false" name="SRC_ZP_294" vbProcedure="false">SRC_ZP!$D$298</definedName>
    <definedName function="false" hidden="false" name="SRC_ZP_295" vbProcedure="false">SRC_ZP!$D$299</definedName>
    <definedName function="false" hidden="false" name="SRC_ZP_296" vbProcedure="false">SRC_ZP!$D$300</definedName>
    <definedName function="false" hidden="false" name="SRC_ZP_297" vbProcedure="false">SRC_ZP!$D$301</definedName>
    <definedName function="false" hidden="false" name="SRC_ZP_298" vbProcedure="false">SRC_ZP!$D$302</definedName>
    <definedName function="false" hidden="false" name="SRC_ZP_299" vbProcedure="false">SRC_ZP!$D$303</definedName>
    <definedName function="false" hidden="false" name="SRC_ZP_300" vbProcedure="false">SRC_ZP!$D$304</definedName>
    <definedName function="false" hidden="false" name="SRC_ZP_301" vbProcedure="false">SRC_ZP!$D$305</definedName>
    <definedName function="false" hidden="false" name="SRC_ZP_302" vbProcedure="false">SRC_ZP!$D$306</definedName>
    <definedName function="false" hidden="false" name="SRC_ZP_303" vbProcedure="false">SRC_ZP!$D$307</definedName>
    <definedName function="false" hidden="false" name="SRC_ZP_304" vbProcedure="false">SRC_ZP!$D$308</definedName>
    <definedName function="false" hidden="false" name="SRC_ZP_305" vbProcedure="false">SRC_ZP!$D$309</definedName>
    <definedName function="false" hidden="false" name="SRC_ZP_306" vbProcedure="false">SRC_ZP!$D$310</definedName>
    <definedName function="false" hidden="false" name="SRC_ZP_307" vbProcedure="false">SRC_ZP!$D$311</definedName>
    <definedName function="false" hidden="false" name="SRC_ZP_308" vbProcedure="false">SRC_ZP!$D$312</definedName>
    <definedName function="false" hidden="false" name="SRC_ZP_309" vbProcedure="false">SRC_ZP!$D$313</definedName>
    <definedName function="false" hidden="false" name="SRC_ZP_310" vbProcedure="false">SRC_ZP!$D$314</definedName>
    <definedName function="false" hidden="false" name="SRC_ZP_311" vbProcedure="false">SRC_ZP!$D$315</definedName>
    <definedName function="false" hidden="false" name="SRC_ZP_312" vbProcedure="false">SRC_ZP!$D$316</definedName>
    <definedName function="false" hidden="false" name="SRC_ZP_313" vbProcedure="false">SRC_ZP!$D$317</definedName>
    <definedName function="false" hidden="false" name="SRC_ZP_314" vbProcedure="false">SRC_ZP!$D$318</definedName>
    <definedName function="false" hidden="false" name="SRC_ZP_315" vbProcedure="false">SRC_ZP!$D$319</definedName>
    <definedName function="false" hidden="false" name="SRC_ZP_316" vbProcedure="false">SRC_ZP!$D$320</definedName>
    <definedName function="false" hidden="false" name="SRC_ZP_317" vbProcedure="false">SRC_ZP!$D$321</definedName>
    <definedName function="false" hidden="false" name="SRC_ZP_318" vbProcedure="false">SRC_ZP!$D$322</definedName>
    <definedName function="false" hidden="false" name="SRC_ZP_319" vbProcedure="false">SRC_ZP!$D$323</definedName>
    <definedName function="false" hidden="false" name="SRC_ZP_320" vbProcedure="false">SRC_ZP!$D$324</definedName>
    <definedName function="false" hidden="false" name="SRC_ZP_321" vbProcedure="false">SRC_ZP!$D$325</definedName>
    <definedName function="false" hidden="false" name="SRC_ZP_322" vbProcedure="false">SRC_ZP!$D$326</definedName>
    <definedName function="false" hidden="false" name="SRC_ZP_323" vbProcedure="false">SRC_ZP!$D$327</definedName>
    <definedName function="false" hidden="false" name="SRC_ZP_324" vbProcedure="false">SRC_ZP!$D$328</definedName>
    <definedName function="false" hidden="false" name="SRC_ZP_325" vbProcedure="false">SRC_ZP!$D$329</definedName>
    <definedName function="false" hidden="false" name="SRC_ZP_326" vbProcedure="false">SRC_ZP!$D$330</definedName>
    <definedName function="false" hidden="false" name="SRC_ZP_327" vbProcedure="false">SRC_ZP!$D$331</definedName>
    <definedName function="false" hidden="false" name="SRC_ZP_328" vbProcedure="false">SRC_ZP!$D$332</definedName>
    <definedName function="false" hidden="false" name="SRC_ZP_329" vbProcedure="false">SRC_ZP!$D$333</definedName>
    <definedName function="false" hidden="false" name="SRC_ZP_330" vbProcedure="false">SRC_ZP!$D$334</definedName>
    <definedName function="false" hidden="false" name="SRC_ZP_331" vbProcedure="false">SRC_ZP!$D$335</definedName>
    <definedName function="false" hidden="false" name="SRC_ZP_332" vbProcedure="false">SRC_ZP!$D$336</definedName>
    <definedName function="false" hidden="false" name="SRC_ZP_333" vbProcedure="false">SRC_ZP!$D$337</definedName>
    <definedName function="false" hidden="false" name="SRC_ZP_334_Hi" vbProcedure="false">SRC_ZP!$F$338</definedName>
    <definedName function="false" hidden="false" name="SRC_ZP_334_Lo" vbProcedure="false">SRC_ZP!$E$338</definedName>
    <definedName function="false" hidden="false" name="SRC_ZP_335_Hi" vbProcedure="false">SRC_ZP!$F$339</definedName>
    <definedName function="false" hidden="false" name="SRC_ZP_335_Lo" vbProcedure="false">SRC_ZP!$E$339</definedName>
    <definedName function="false" hidden="false" name="SRC_ZP_336" vbProcedure="false">SRC_ZP!$D$340</definedName>
    <definedName function="false" hidden="false" name="SRC_ZP_337" vbProcedure="false">SRC_ZP!$D$341</definedName>
    <definedName function="false" hidden="false" name="SRC_ZP_338" vbProcedure="false">SRC_ZP!$D$342</definedName>
    <definedName function="false" hidden="false" name="SRC_ZP_339" vbProcedure="false">SRC_ZP!$D$343</definedName>
    <definedName function="false" hidden="false" name="SRC_ZP_339_Hi" vbProcedure="false">SRC_ZP!$F$343</definedName>
    <definedName function="false" hidden="false" name="SRC_ZP_339_Lo" vbProcedure="false">SRC_ZP!$E$343</definedName>
    <definedName function="false" hidden="false" name="SRC_ZP_340" vbProcedure="false">SRC_ZP!$D$344</definedName>
    <definedName function="false" hidden="false" name="SRC_ZP_340_Hi" vbProcedure="false">SRC_ZP!$F$344</definedName>
    <definedName function="false" hidden="false" name="SRC_ZP_340_Lo" vbProcedure="false">SRC_ZP!$E$344</definedName>
    <definedName function="false" hidden="false" name="SRC_ZP_341" vbProcedure="false">SRC_ZP!$D$345</definedName>
    <definedName function="false" hidden="false" name="SRC_ZP_342_Hi" vbProcedure="false">SRC_ZP!$F$346</definedName>
    <definedName function="false" hidden="false" name="SRC_ZP_342_Lo" vbProcedure="false">SRC_ZP!$E$346</definedName>
    <definedName function="false" hidden="false" name="SRC_ZP_343" vbProcedure="false">SRC_ZP!$D$347</definedName>
    <definedName function="false" hidden="false" name="SRC_ZP_344_Hi" vbProcedure="false">SRC_ZP!$F$348</definedName>
    <definedName function="false" hidden="false" name="SRC_ZP_344_Lo" vbProcedure="false">SRC_ZP!$E$348</definedName>
    <definedName function="false" hidden="false" name="SRC_ZP_345" vbProcedure="false">SRC_ZP!$D$349</definedName>
    <definedName function="false" hidden="false" name="SRC_ZP_346" vbProcedure="false">SRC_ZP!$D$350</definedName>
    <definedName function="false" hidden="false" name="SRC_ZP_347" vbProcedure="false">SRC_ZP!$D$351</definedName>
    <definedName function="false" hidden="false" name="SRC_ZP_348" vbProcedure="false">SRC_ZP!$D$352</definedName>
    <definedName function="false" hidden="false" name="SRC_ZP_349" vbProcedure="false">SRC_ZP!$D$353</definedName>
    <definedName function="false" hidden="false" name="SRC_ZP_349_Lo" vbProcedure="false">SRC_ZP!$E$353</definedName>
    <definedName function="false" hidden="false" name="SRC_ZP_350" vbProcedure="false">SRC_ZP!$D$354</definedName>
    <definedName function="false" hidden="false" name="SRC_ZP_351_Hi" vbProcedure="false">SRC_ZP!$F$355</definedName>
    <definedName function="false" hidden="false" name="SRC_ZP_351_Lo" vbProcedure="false">SRC_ZP!$E$355</definedName>
    <definedName function="false" hidden="false" name="SRC_ZP_352_Hi" vbProcedure="false">SRC_ZP!$F$356</definedName>
    <definedName function="false" hidden="false" name="SRC_ZP_352_Lo" vbProcedure="false">SRC_ZP!$E$356</definedName>
    <definedName function="false" hidden="false" name="SRC_ZP_354_Hi" vbProcedure="false">SRC_ZP!$F$358</definedName>
    <definedName function="false" hidden="false" name="SRC_ZP_354_Lo" vbProcedure="false">SRC_ZP!$E$358</definedName>
    <definedName function="false" hidden="false" name="SRC_ZP_355" vbProcedure="false">SRC_ZP!$D$359</definedName>
    <definedName function="false" hidden="false" name="SRC_ZP_355_Hi" vbProcedure="false">SRC_ZP!$F$359</definedName>
    <definedName function="false" hidden="false" name="SRC_ZP_355_Lo" vbProcedure="false">SRC_ZP!$E$359</definedName>
    <definedName function="false" hidden="false" name="SRC_ZP_356" vbProcedure="false">SRC_ZP!$D$360</definedName>
    <definedName function="false" hidden="false" name="SRC_ZP_357" vbProcedure="false">SRC_ZP!$D$361</definedName>
    <definedName function="false" hidden="false" name="SRC_ZP_358" vbProcedure="false">SRC_ZP!$D$362</definedName>
    <definedName function="false" hidden="false" name="SRC_ZP_359" vbProcedure="false">SRC_ZP!$D$363</definedName>
    <definedName function="false" hidden="false" name="SRC_ZP_360" vbProcedure="false">SRC_ZP!$D$364</definedName>
    <definedName function="false" hidden="false" name="SRC_ZP_361" vbProcedure="false">SRC_ZP!$D$365</definedName>
    <definedName function="false" hidden="false" name="SRC_ZP_362" vbProcedure="false">SRC_ZP!$D$366</definedName>
    <definedName function="false" hidden="false" name="SRC_ZP_363" vbProcedure="false">SRC_ZP!$D$367</definedName>
    <definedName function="false" hidden="false" name="SRC_ZP_364" vbProcedure="false">SRC_ZP!$D$368</definedName>
    <definedName function="false" hidden="false" name="SRC_ZP_365" vbProcedure="false">SRC_ZP!$D$369</definedName>
    <definedName function="false" hidden="false" name="SRC_ZP_366" vbProcedure="false">SRC_ZP!$D$370</definedName>
    <definedName function="false" hidden="false" name="SRC_ZP_367" vbProcedure="false">SRC_ZP!$D$371</definedName>
    <definedName function="false" hidden="false" name="SRC_ZP_368" vbProcedure="false">SRC_ZP!$D$372</definedName>
    <definedName function="false" hidden="false" name="SRC_ZP_369" vbProcedure="false">SRC_ZP!$D$373</definedName>
    <definedName function="false" hidden="false" name="SRC_ZP_370" vbProcedure="false">SRC_ZP!$D$374</definedName>
    <definedName function="false" hidden="false" name="SRC_ZP_371" vbProcedure="false">SRC_ZP!$D$375</definedName>
    <definedName function="false" hidden="false" name="SRC_ZP_372" vbProcedure="false">SRC_ZP!$D$376</definedName>
    <definedName function="false" hidden="false" name="SRC_ZP_373" vbProcedure="false">SRC_ZP!$D$377</definedName>
    <definedName function="false" hidden="false" name="SRC_ZP_374" vbProcedure="false">SRC_ZP!$D$378</definedName>
    <definedName function="false" hidden="false" name="SRC_ZP_375" vbProcedure="false">SRC_ZP!$D$379</definedName>
    <definedName function="false" hidden="false" name="SRC_ZP_376" vbProcedure="false">SRC_ZP!$D$380</definedName>
    <definedName function="false" hidden="false" name="SRC_ZP_377" vbProcedure="false">SRC_ZP!$D$381</definedName>
    <definedName function="false" hidden="false" name="SRC_ZP_378" vbProcedure="false">SRC_ZP!$D$382</definedName>
    <definedName function="false" hidden="false" name="SRC_ZP_379_Hi" vbProcedure="false">SRC_ZP!$F$383</definedName>
    <definedName function="false" hidden="false" name="SRC_ZP_379_Lo" vbProcedure="false">SRC_ZP!$E$383</definedName>
    <definedName function="false" hidden="false" name="SRC_ZP_380" vbProcedure="false">SRC_ZP!$D$384</definedName>
    <definedName function="false" hidden="false" name="SRC_ZP_381" vbProcedure="false">SRC_ZP!$D$385</definedName>
    <definedName function="false" hidden="false" name="SRC_ZP_382" vbProcedure="false">SRC_ZP!$D$386</definedName>
    <definedName function="false" hidden="false" name="SRC_ZP_383" vbProcedure="false">SRC_ZP!$D$387</definedName>
    <definedName function="false" hidden="false" name="SRC_ZP_384" vbProcedure="false">SRC_ZP!$D$388</definedName>
    <definedName function="false" hidden="false" name="SRC_ZP_385" vbProcedure="false">SRC_ZP!$D$389</definedName>
    <definedName function="false" hidden="false" name="SRC_ZP_397" vbProcedure="false">SRC_ZP!$D$401</definedName>
    <definedName function="false" hidden="false" name="SRC_ZP_398" vbProcedure="false">SRC_ZP!$D$402</definedName>
    <definedName function="false" hidden="false" name="SRC_ZP_399" vbProcedure="false">SRC_ZP!$D$403</definedName>
    <definedName function="false" hidden="false" name="SRC_ZP_400" vbProcedure="false">SRC_ZP!$D$404</definedName>
    <definedName function="false" hidden="false" name="SRC_ZP_401" vbProcedure="false">SRC_ZP!$D$405</definedName>
    <definedName function="false" hidden="false" name="SRC_ZP_402" vbProcedure="false">SRC_ZP!$D$406</definedName>
    <definedName function="false" hidden="false" name="SRC_ZP_403" vbProcedure="false">SRC_ZP!$D$407</definedName>
    <definedName function="false" hidden="false" name="SRC_ZP_404" vbProcedure="false">SRC_ZP!$D$408</definedName>
    <definedName function="false" hidden="false" name="SRC_ZP_405" vbProcedure="false">SRC_ZP!$D$409</definedName>
    <definedName function="false" hidden="false" name="SRC_ZP_406" vbProcedure="false">SRC_ZP!$D$410</definedName>
    <definedName function="false" hidden="false" name="SRC_ZP_407" vbProcedure="false">SRC_ZP!$D$411</definedName>
    <definedName function="false" hidden="false" name="SRC_ZP_408" vbProcedure="false">SRC_ZP!$D$412</definedName>
    <definedName function="false" hidden="false" name="SRC_ZP_409" vbProcedure="false">SRC_ZP!$D$413</definedName>
    <definedName function="false" hidden="false" name="SRC_ZP_410" vbProcedure="false">SRC_ZP!$D$414</definedName>
    <definedName function="false" hidden="false" name="SRC_ZP_411" vbProcedure="false">SRC_ZP!$D$415</definedName>
    <definedName function="false" hidden="false" name="SRC_ZP_412" vbProcedure="false">SRC_ZP!$D$416</definedName>
    <definedName function="false" hidden="false" name="SRC_ZP_413" vbProcedure="false">SRC_ZP!$D$417</definedName>
    <definedName function="false" hidden="false" name="SRC_ZP_414" vbProcedure="false">SRC_ZP!$D$418</definedName>
    <definedName function="false" hidden="false" name="SRC_ZP_415" vbProcedure="false">SRC_ZP!$D$419</definedName>
    <definedName function="false" hidden="false" name="SRC_ZP_416" vbProcedure="false">SRC_ZP!$D$420</definedName>
    <definedName function="false" hidden="false" name="SRC_ZP_417" vbProcedure="false">SRC_ZP!$D$421</definedName>
    <definedName function="false" hidden="false" name="SRC_ZP_418" vbProcedure="false">SRC_ZP!$D$422</definedName>
    <definedName function="false" hidden="false" name="SRC_ZP_419" vbProcedure="false">SRC_ZP!$D$423</definedName>
    <definedName function="false" hidden="false" name="SRC_ZP_420" vbProcedure="false">SRC_ZP!$D$424</definedName>
    <definedName function="false" hidden="false" name="SRC_ZP_421" vbProcedure="false">SRC_ZP!$D$425</definedName>
    <definedName function="false" hidden="false" name="SRC_ZP_423" vbProcedure="false">SRC_ZP!$D$427</definedName>
    <definedName function="false" hidden="false" name="SRC_ZP_424" vbProcedure="false">SRC_ZP!$D$428</definedName>
    <definedName function="false" hidden="false" name="SRC_ZP_425" vbProcedure="false">SRC_ZP!$D$429</definedName>
    <definedName function="false" hidden="false" name="SRC_ZP_426" vbProcedure="false">SRC_ZP!$D$430</definedName>
    <definedName function="false" hidden="false" name="SRC_ZP_427" vbProcedure="false">SRC_ZP!$D$431</definedName>
    <definedName function="false" hidden="false" name="SRC_ZP_428" vbProcedure="false">SRC_ZP!$D$432</definedName>
    <definedName function="false" hidden="false" name="SRC_ZP_429" vbProcedure="false">SRC_ZP!$D$433</definedName>
    <definedName function="false" hidden="false" name="SRC_ZP_430" vbProcedure="false">SRC_ZP!$D$434</definedName>
    <definedName function="false" hidden="false" name="SRC_ZP_431" vbProcedure="false">SRC_ZP!$D$435</definedName>
    <definedName function="false" hidden="false" name="SRC_ZP_432" vbProcedure="false">SRC_ZP!$D$436</definedName>
    <definedName function="false" hidden="false" name="SRC_ZP_433" vbProcedure="false">SRC_ZP!$D$437</definedName>
    <definedName function="false" hidden="false" name="SRC_ZP_435" vbProcedure="false">SRC_ZP!$D$439</definedName>
    <definedName function="false" hidden="false" name="SRC_ZP_435_Hi" vbProcedure="false">SRC_ZP!$F$439</definedName>
    <definedName function="false" hidden="false" name="SRC_ZP_435_Lo" vbProcedure="false">SRC_ZP!$E$439</definedName>
    <definedName function="false" hidden="false" name="SRC_ZP_436" vbProcedure="false">SRC_ZP!$D$440</definedName>
    <definedName function="false" hidden="false" name="SRC_ZP_436_Hi" vbProcedure="false">SRC_ZP!$F$440</definedName>
    <definedName function="false" hidden="false" name="SRC_ZP_436_Lo" vbProcedure="false">SRC_ZP!$E$440</definedName>
    <definedName function="false" hidden="false" name="SRC_ZP_437" vbProcedure="false">SRC_ZP!$D$441</definedName>
    <definedName function="false" hidden="false" name="SRC_ZP_437_Hi" vbProcedure="false">SRC_ZP!$F$441</definedName>
    <definedName function="false" hidden="false" name="SRC_ZP_437_Lo" vbProcedure="false">SRC_ZP!$E$441</definedName>
    <definedName function="false" hidden="false" name="SRC_ZP_438" vbProcedure="false">SRC_ZP!$D$442</definedName>
    <definedName function="false" hidden="false" name="SRC_ZP_438_Hi" vbProcedure="false">SRC_ZP!$F$442</definedName>
    <definedName function="false" hidden="false" name="SRC_ZP_438_Lo" vbProcedure="false">SRC_ZP!$E$442</definedName>
    <definedName function="false" hidden="false" name="SRC_ZP_439" vbProcedure="false">SRC_ZP!$D$443</definedName>
    <definedName function="false" hidden="false" name="SRC_ZP_440" vbProcedure="false">SRC_ZP!$D$444</definedName>
    <definedName function="false" hidden="false" name="SRC_ZP_441" vbProcedure="false">SRC_ZP!$D$445</definedName>
    <definedName function="false" hidden="false" name="SRC_ZP_442" vbProcedure="false">SRC_ZP!$D$446</definedName>
    <definedName function="false" hidden="false" name="SRC_ZP_443" vbProcedure="false">SRC_ZP!$D$447</definedName>
    <definedName function="false" hidden="false" name="SRC_ZP_444" vbProcedure="false">SRC_ZP!$D$448</definedName>
    <definedName function="false" hidden="false" name="SRC_ZP_445" vbProcedure="false">SRC_ZP!$D$449</definedName>
    <definedName function="false" hidden="false" name="SRC_ZP_446" vbProcedure="false">SRC_ZP!$D$450</definedName>
    <definedName function="false" hidden="false" name="SRC_ZP_447" vbProcedure="false">SRC_ZP!$D$451</definedName>
    <definedName function="false" hidden="false" name="SRC_ZP_448" vbProcedure="false">SRC_ZP!$D$452</definedName>
    <definedName function="false" hidden="false" name="SRC_ZP_449" vbProcedure="false">SRC_ZP!$D$453</definedName>
    <definedName function="false" hidden="false" name="SRC_ZP_450" vbProcedure="false">SRC_ZP!$D$454</definedName>
    <definedName function="false" hidden="false" name="SRC_ZP_451" vbProcedure="false">SRC_ZP!$D$455</definedName>
    <definedName function="false" hidden="false" name="SRC_ZP_452" vbProcedure="false">SRC_ZP!$D$456</definedName>
    <definedName function="false" hidden="false" name="SRC_ZP_453" vbProcedure="false">SRC_ZP!$D$457</definedName>
    <definedName function="false" hidden="false" name="SRC_ZP_454" vbProcedure="false">SRC_ZP!$D$458</definedName>
    <definedName function="false" hidden="false" name="SRC_ZP_455" vbProcedure="false">SRC_ZP!$D$459</definedName>
    <definedName function="false" hidden="false" name="SRC_ZP_456" vbProcedure="false">SRC_ZP!$D$460</definedName>
    <definedName function="false" hidden="false" name="SRC_ZP_457" vbProcedure="false">SRC_ZP!$D$461</definedName>
    <definedName function="false" hidden="false" name="SRC_ZP_458" vbProcedure="false">SRC_ZP!$D$462</definedName>
    <definedName function="false" hidden="false" name="SRC_ZP_460" vbProcedure="false">SRC_ZP!$D$464</definedName>
    <definedName function="false" hidden="false" name="SRC_ZP_461" vbProcedure="false">SRC_ZP!$D$465</definedName>
    <definedName function="false" hidden="false" name="SRC_ZP_462" vbProcedure="false">SRC_ZP!$D$466</definedName>
    <definedName function="false" hidden="false" name="SRC_ZP_462_Hi" vbProcedure="false">SRC_ZP!$F$466</definedName>
    <definedName function="false" hidden="false" name="SRC_ZP_462_Lo" vbProcedure="false">SRC_ZP!$E$466</definedName>
    <definedName function="false" hidden="false" name="SRC_ZP_463" vbProcedure="false">SRC_ZP!$D$467</definedName>
    <definedName function="false" hidden="false" name="SRC_ZP_463_Hi" vbProcedure="false">SRC_ZP!$F$467</definedName>
    <definedName function="false" hidden="false" name="SRC_ZP_463_Lo" vbProcedure="false">SRC_ZP!$E$467</definedName>
    <definedName function="false" hidden="false" name="SRC_ZP_464" vbProcedure="false">SRC_ZP!$D$468</definedName>
    <definedName function="false" hidden="false" name="SRC_ZP_464_Hi" vbProcedure="false">SRC_ZP!$F$468</definedName>
    <definedName function="false" hidden="false" name="SRC_ZP_464_Lo" vbProcedure="false">SRC_ZP!$E$468</definedName>
    <definedName function="false" hidden="false" name="SRC_ZP_465" vbProcedure="false">SRC_ZP!$D$469</definedName>
    <definedName function="false" hidden="false" name="SRC_ZP_465_Hi" vbProcedure="false">SRC_ZP!$F$469</definedName>
    <definedName function="false" hidden="false" name="SRC_ZP_465_Lo" vbProcedure="false">SRC_ZP!$E$469</definedName>
    <definedName function="false" hidden="false" name="SRC_ZP_466" vbProcedure="false">SRC_ZP!$D$470</definedName>
    <definedName function="false" hidden="false" name="SRC_ZP_466_Hi" vbProcedure="false">SRC_ZP!$F$470</definedName>
    <definedName function="false" hidden="false" name="SRC_ZP_466_Lo" vbProcedure="false">SRC_ZP!$E$470</definedName>
    <definedName function="false" hidden="false" name="SRC_ZP_467" vbProcedure="false">SRC_ZP!$D$471</definedName>
    <definedName function="false" hidden="false" name="SRC_ZP_467_Hi" vbProcedure="false">SRC_ZP!$F$471</definedName>
    <definedName function="false" hidden="false" name="SRC_ZP_467_Lo" vbProcedure="false">SRC_ZP!$E$471</definedName>
    <definedName function="false" hidden="false" name="SRC_ZP_468" vbProcedure="false">SRC_ZP!$D$472</definedName>
    <definedName function="false" hidden="false" name="SRC_ZP_468_Hi" vbProcedure="false">SRC_ZP!$F$472</definedName>
    <definedName function="false" hidden="false" name="SRC_ZP_468_Lo" vbProcedure="false">SRC_ZP!$E$472</definedName>
    <definedName function="false" hidden="false" name="SRC_ZP_469" vbProcedure="false">SRC_ZP!$D$473</definedName>
    <definedName function="false" hidden="false" name="SRC_ZP_469_Hi" vbProcedure="false">SRC_ZP!$F$473</definedName>
    <definedName function="false" hidden="false" name="SRC_ZP_469_Lo" vbProcedure="false">SRC_ZP!$E$473</definedName>
    <definedName function="false" hidden="false" name="SRC_ZP_470" vbProcedure="false">SRC_ZP!$D$474</definedName>
    <definedName function="false" hidden="false" name="SRC_ZP_470_Hi" vbProcedure="false">SRC_ZP!$F$474</definedName>
    <definedName function="false" hidden="false" name="SRC_ZP_470_Lo" vbProcedure="false">SRC_ZP!$E$474</definedName>
    <definedName function="false" hidden="false" name="SRC_ZP_471" vbProcedure="false">SRC_ZP!$D$475</definedName>
    <definedName function="false" hidden="false" name="SRC_ZP_471_Hi" vbProcedure="false">SRC_ZP!$F$475</definedName>
    <definedName function="false" hidden="false" name="SRC_ZP_471_Lo" vbProcedure="false">SRC_ZP!$E$475</definedName>
    <definedName function="false" hidden="false" name="SRC_ZP_472" vbProcedure="false">SRC_ZP!$D$476</definedName>
    <definedName function="false" hidden="false" name="SRC_ZP_472_Hi" vbProcedure="false">SRC_ZP!$F$476</definedName>
    <definedName function="false" hidden="false" name="SRC_ZP_472_Lo" vbProcedure="false">SRC_ZP!$E$476</definedName>
    <definedName function="false" hidden="false" name="SRC_ZP_473" vbProcedure="false">SRC_ZP!$D$477</definedName>
    <definedName function="false" hidden="false" name="SRC_ZP_473_Hi" vbProcedure="false">SRC_ZP!$F$477</definedName>
    <definedName function="false" hidden="false" name="SRC_ZP_473_Lo" vbProcedure="false">SRC_ZP!$E$477</definedName>
    <definedName function="false" hidden="false" name="SRC_ZP_474" vbProcedure="false">SRC_ZP!$D$478</definedName>
    <definedName function="false" hidden="false" name="SRC_ZP_475" vbProcedure="false">SRC_ZP!$D$479</definedName>
    <definedName function="false" hidden="false" name="SRC_ZP_476" vbProcedure="false">SRC_ZP!$D$480</definedName>
    <definedName function="false" hidden="false" name="SRC_ZP_477" vbProcedure="false">SRC_ZP!$D$481</definedName>
    <definedName function="false" hidden="false" name="SRC_ZP_478" vbProcedure="false">SRC_ZP!$D$482</definedName>
    <definedName function="false" hidden="false" name="SRC_ZP_478_Hi" vbProcedure="false">SRC_ZP!$F$482</definedName>
    <definedName function="false" hidden="false" name="SRC_ZP_478_Lo" vbProcedure="false">SRC_ZP!$E$482</definedName>
    <definedName function="false" hidden="false" name="SRC_ZP_479" vbProcedure="false">SRC_ZP!$D$483</definedName>
    <definedName function="false" hidden="false" name="SRC_ZP_479_Hi" vbProcedure="false">SRC_ZP!$F$483</definedName>
    <definedName function="false" hidden="false" name="SRC_ZP_479_Lo" vbProcedure="false">SRC_ZP!$E$483</definedName>
    <definedName function="false" hidden="false" name="SRC_ZP_480" vbProcedure="false">SRC_ZP!$D$484</definedName>
    <definedName function="false" hidden="false" name="SRC_ZP_480_Hi" vbProcedure="false">SRC_ZP!$F$484</definedName>
    <definedName function="false" hidden="false" name="SRC_ZP_480_Lo" vbProcedure="false">SRC_ZP!$E$484</definedName>
    <definedName function="false" hidden="false" name="SRC_ZP_481" vbProcedure="false">SRC_ZP!$D$485</definedName>
    <definedName function="false" hidden="false" name="SRC_ZP_481_Hi" vbProcedure="false">SRC_ZP!$F$485</definedName>
    <definedName function="false" hidden="false" name="SRC_ZP_481_Lo" vbProcedure="false">SRC_ZP!$E$485</definedName>
    <definedName function="false" hidden="false" name="SRC_ZP_482" vbProcedure="false">SRC_ZP!$D$486</definedName>
    <definedName function="false" hidden="false" name="SRC_ZP_482_Hi" vbProcedure="false">SRC_ZP!$F$486</definedName>
    <definedName function="false" hidden="false" name="SRC_ZP_482_Lo" vbProcedure="false">SRC_ZP!$E$486</definedName>
    <definedName function="false" hidden="false" name="SRC_ZP_483" vbProcedure="false">SRC_ZP!$D$487</definedName>
    <definedName function="false" hidden="false" name="SRC_ZP_483_Hi" vbProcedure="false">SRC_ZP!$F$487</definedName>
    <definedName function="false" hidden="false" name="SRC_ZP_483_Lo" vbProcedure="false">SRC_ZP!$E$487</definedName>
    <definedName function="false" hidden="false" name="SRC_ZP_484" vbProcedure="false">SRC_ZP!$D$488</definedName>
    <definedName function="false" hidden="false" name="SRC_ZP_484_Hi" vbProcedure="false">SRC_ZP!$F$488</definedName>
    <definedName function="false" hidden="false" name="SRC_ZP_484_Lo" vbProcedure="false">SRC_ZP!$E$488</definedName>
    <definedName function="false" hidden="false" name="SRC_ZP_485" vbProcedure="false">SRC_ZP!$D$489</definedName>
    <definedName function="false" hidden="false" name="SRC_ZP_486" vbProcedure="false">SRC_ZP!$D$490</definedName>
    <definedName function="false" hidden="false" name="SRC_ZP_487" vbProcedure="false">SRC_ZP!$D$491</definedName>
    <definedName function="false" hidden="false" name="SRC_ZP_488" vbProcedure="false">SRC_ZP!$D$492</definedName>
    <definedName function="false" hidden="false" name="SRC_ZP_489" vbProcedure="false">SRC_ZP!$D$493</definedName>
    <definedName function="false" hidden="false" name="SRC_ZP_490" vbProcedure="false">SRC_ZP!$D$494</definedName>
    <definedName function="false" hidden="false" name="SRC_ZP_490_Hi" vbProcedure="false">SRC_ZP!$F$494</definedName>
    <definedName function="false" hidden="false" name="SRC_ZP_490_Lo" vbProcedure="false">SRC_ZP!$E$494</definedName>
    <definedName function="false" hidden="false" name="SRC_ZP_491" vbProcedure="false">SRC_ZP!$D$495</definedName>
    <definedName function="false" hidden="false" name="SRC_ZP_491_Hi" vbProcedure="false">SRC_ZP!$F$495</definedName>
    <definedName function="false" hidden="false" name="SRC_ZP_491_Lo" vbProcedure="false">SRC_ZP!$E$495</definedName>
    <definedName function="false" hidden="false" name="SRC_ZP_492" vbProcedure="false">SRC_ZP!$D$496</definedName>
    <definedName function="false" hidden="false" name="SRC_ZP_493" vbProcedure="false">SRC_ZP!$D$497</definedName>
    <definedName function="false" hidden="false" name="SRC_ZP_493_Hi" vbProcedure="false">SRC_ZP!$F$497</definedName>
    <definedName function="false" hidden="false" name="SRC_ZP_493_Lo" vbProcedure="false">SRC_ZP!$E$497</definedName>
    <definedName function="false" hidden="false" name="SRC_ZP_494" vbProcedure="false">SRC_ZP!$D$498</definedName>
    <definedName function="false" hidden="false" name="SRC_ZP_495" vbProcedure="false">SRC_ZP!$D$499</definedName>
    <definedName function="false" hidden="false" name="SRC_ZP_496" vbProcedure="false">SRC_ZP!$D$500</definedName>
    <definedName function="false" hidden="false" name="SRC_ZP_497" vbProcedure="false">SRC_ZP!$D$501</definedName>
    <definedName function="false" hidden="false" name="SRC_ZP_498" vbProcedure="false">SRC_ZP!$D$502</definedName>
    <definedName function="false" hidden="false" name="SRC_ZP_499" vbProcedure="false">SRC_ZP!$D$503</definedName>
    <definedName function="false" hidden="false" name="SRC_ZP_500" vbProcedure="false">SRC_ZP!$D$504</definedName>
    <definedName function="false" hidden="false" name="SRC_ZP_501" vbProcedure="false">SRC_ZP!$D$505</definedName>
    <definedName function="false" hidden="false" name="SRC_ZP_502" vbProcedure="false">SRC_ZP!$D$506</definedName>
    <definedName function="false" hidden="false" name="SRC_ZP_503" vbProcedure="false">SRC_ZP!$D$507</definedName>
    <definedName function="false" hidden="false" name="SRC_ZP_504" vbProcedure="false">SRC_ZP!$D$508</definedName>
    <definedName function="false" hidden="false" name="SRC_ZP_505_Lo" vbProcedure="false">SRC_ZP!$E$509</definedName>
    <definedName function="false" hidden="false" name="SRC_ZP_506" vbProcedure="false">SRC_ZP!$D$510</definedName>
    <definedName function="false" hidden="false" name="SRC_ZP_507" vbProcedure="false">SRC_ZP!$D$511</definedName>
    <definedName function="false" hidden="false" name="SRC_ZP_508" vbProcedure="false">SRC_ZP!$D$512</definedName>
    <definedName function="false" hidden="false" name="SRC_ZP_509" vbProcedure="false">SRC_ZP!$D$513</definedName>
    <definedName function="false" hidden="false" name="SRC_ZP_510_Lo" vbProcedure="false">SRC_ZP!$E$514</definedName>
    <definedName function="false" hidden="false" name="SRC_ZP_511" vbProcedure="false">SRC_ZP!$D$515</definedName>
    <definedName function="false" hidden="false" name="SRC_ZP_512" vbProcedure="false">SRC_ZP!$D$516</definedName>
    <definedName function="false" hidden="false" name="SRC_ZP_513" vbProcedure="false">SRC_ZP!$D$517</definedName>
    <definedName function="false" hidden="false" name="SRC_ZP_514_Lo" vbProcedure="false">SRC_ZP!$E$518</definedName>
    <definedName function="false" hidden="false" name="SRC_ZP_515" vbProcedure="false">SRC_ZP!$D$519</definedName>
    <definedName function="false" hidden="false" name="SRC_ZP_516" vbProcedure="false">SRC_ZP!$D$520</definedName>
    <definedName function="false" hidden="false" name="SRC_ZP_517" vbProcedure="false">SRC_ZP!$D$521</definedName>
    <definedName function="false" hidden="false" name="SRC_ZP_518" vbProcedure="false">SRC_ZP!$D$522</definedName>
    <definedName function="false" hidden="false" name="SRC_ZP_519" vbProcedure="false">SRC_ZP!$D$523</definedName>
    <definedName function="false" hidden="false" name="SRC_ZP_520" vbProcedure="false">SRC_ZP!$D$524</definedName>
    <definedName function="false" hidden="false" name="SRC_ZP_521" vbProcedure="false">SRC_ZP!$D$525</definedName>
    <definedName function="false" hidden="false" name="SRC_ZP_522" vbProcedure="false">SRC_ZP!$D$526</definedName>
    <definedName function="false" hidden="false" name="SRC_ZP_523" vbProcedure="false">SRC_ZP!$D$527</definedName>
    <definedName function="false" hidden="false" name="SRC_ZP_524" vbProcedure="false">SRC_ZP!$D$528</definedName>
    <definedName function="false" hidden="false" name="SRC_ZP_525" vbProcedure="false">SRC_ZP!$D$529</definedName>
    <definedName function="false" hidden="false" name="SRC_ZP_526" vbProcedure="false">SRC_ZP!$D$530</definedName>
    <definedName function="false" hidden="false" name="SRC_ZP_527" vbProcedure="false">SRC_ZP!$D$531</definedName>
    <definedName function="false" hidden="false" name="SRC_ZP_528" vbProcedure="false">SRC_ZP!$D$532</definedName>
    <definedName function="false" hidden="false" name="SRC_ZP_529" vbProcedure="false">SRC_ZP!$D$533</definedName>
    <definedName function="false" hidden="false" name="SRC_ZP_530" vbProcedure="false">SRC_ZP!$D$534</definedName>
    <definedName function="false" hidden="false" name="SRC_ZP_531" vbProcedure="false">SRC_ZP!$D$535</definedName>
    <definedName function="false" hidden="false" name="SRC_ZP_532" vbProcedure="false">SRC_ZP!$D$536</definedName>
    <definedName function="false" hidden="false" name="SRC_ZP_533" vbProcedure="false">SRC_ZP!$D$537</definedName>
    <definedName function="false" hidden="false" name="SRC_ZP_534" vbProcedure="false">SRC_ZP!$D$538</definedName>
    <definedName function="false" hidden="false" name="SRC_ZP_535" vbProcedure="false">SRC_ZP!$D$539</definedName>
    <definedName function="false" hidden="false" name="SRC_ZP_536" vbProcedure="false">SRC_ZP!$D$540</definedName>
    <definedName function="false" hidden="false" name="SRC_ZP_538" vbProcedure="false">SRC_ZP!$D$542</definedName>
    <definedName function="false" hidden="false" name="SRC_ZP_539" vbProcedure="false">SRC_ZP!$D$543</definedName>
    <definedName function="false" hidden="false" name="SRC_ZP_540" vbProcedure="false">SRC_ZP!$D$544</definedName>
    <definedName function="false" hidden="false" name="SRC_ZP_541" vbProcedure="false">SRC_ZP!$D$545</definedName>
    <definedName function="false" hidden="false" name="SRC_ZP_542" vbProcedure="false">SRC_ZP!$D$546</definedName>
    <definedName function="false" hidden="false" name="SRC_ZP_543" vbProcedure="false">SRC_ZP!$D$547</definedName>
    <definedName function="false" hidden="false" name="SRC_ZP_544" vbProcedure="false">SRC_ZP!$D$548</definedName>
    <definedName function="false" hidden="false" name="SRC_ZP_545" vbProcedure="false">SRC_ZP!$D$549</definedName>
    <definedName function="false" hidden="false" name="SRC_ZP_546" vbProcedure="false">SRC_ZP!$D$550</definedName>
    <definedName function="false" hidden="false" name="SRC_ZP_547" vbProcedure="false">SRC_ZP!$D$551</definedName>
    <definedName function="false" hidden="false" name="SRC_ZP_548" vbProcedure="false">SRC_ZP!$D$552</definedName>
    <definedName function="false" hidden="false" name="SRC_ZP_549" vbProcedure="false">SRC_ZP!$D$553</definedName>
    <definedName function="false" hidden="false" name="SRC_ZP_550" vbProcedure="false">SRC_ZP!$D$554</definedName>
    <definedName function="false" hidden="false" name="SRC_ZP_551" vbProcedure="false">SRC_ZP!$D$555</definedName>
    <definedName function="false" hidden="false" name="SRC_ZP_552" vbProcedure="false">SRC_ZP!$D$556</definedName>
    <definedName function="false" hidden="false" name="SRC_ZP_553" vbProcedure="false">SRC_ZP!$D$557</definedName>
    <definedName function="false" hidden="false" name="SRC_ZP_554" vbProcedure="false">SRC_ZP!$D$558</definedName>
    <definedName function="false" hidden="false" name="SRC_ZP_555" vbProcedure="false">SRC_ZP!$D$559</definedName>
    <definedName function="false" hidden="false" name="SRC_ZP_556" vbProcedure="false">SRC_ZP!$D$560</definedName>
    <definedName function="false" hidden="false" name="SRC_ZP_557" vbProcedure="false">SRC_ZP!$D$561</definedName>
    <definedName function="false" hidden="false" name="SRC_ZP_558" vbProcedure="false">SRC_ZP!$D$562</definedName>
    <definedName function="false" hidden="false" name="SRC_ZP_560" vbProcedure="false">SRC_ZP!$D$564</definedName>
    <definedName function="false" hidden="false" name="SRC_ZP_561" vbProcedure="false">SRC_ZP!$D$565</definedName>
    <definedName function="false" hidden="false" name="SRC_ZP_562" vbProcedure="false">SRC_ZP!$D$566</definedName>
    <definedName function="false" hidden="false" name="SRC_ZP_563" vbProcedure="false">SRC_ZP!$D$567</definedName>
    <definedName function="false" hidden="false" name="SRC_ZP_564" vbProcedure="false">SRC_ZP!$D$568</definedName>
    <definedName function="false" hidden="false" name="SRC_ZP_565" vbProcedure="false">SRC_ZP!$D$569</definedName>
    <definedName function="false" hidden="false" name="SRC_ZP_566" vbProcedure="false">SRC_ZP!$D$570</definedName>
    <definedName function="false" hidden="false" name="SRC_ZP_567" vbProcedure="false">SRC_ZP!$D$571</definedName>
    <definedName function="false" hidden="false" name="SRC_ZP_568_Lo" vbProcedure="false">SRC_ZP!$E$572</definedName>
    <definedName function="false" hidden="false" name="SRC_ZP_569" vbProcedure="false">SRC_ZP!$D$573</definedName>
    <definedName function="false" hidden="false" name="SRC_ZP_570" vbProcedure="false">SRC_ZP!$D$574</definedName>
    <definedName function="false" hidden="false" name="SRC_ZP_571" vbProcedure="false">SRC_ZP!$D$575</definedName>
    <definedName function="false" hidden="false" name="SRC_ZP_572" vbProcedure="false">SRC_ZP!$D$576</definedName>
    <definedName function="false" hidden="false" name="SRC_ZP_573" vbProcedure="false">SRC_ZP!$D$577</definedName>
    <definedName function="false" hidden="false" name="SRC_ZP_574" vbProcedure="false">SRC_ZP!$D$578</definedName>
    <definedName function="false" hidden="false" name="SRC_ZP_575" vbProcedure="false">SRC_ZP!$D$579</definedName>
    <definedName function="false" hidden="false" name="SRC_ZP_576" vbProcedure="false">SRC_ZP!$D$580</definedName>
    <definedName function="false" hidden="false" name="SRC_ZP_577" vbProcedure="false">SRC_ZP!$D$581</definedName>
    <definedName function="false" hidden="false" name="SRC_ZP_578" vbProcedure="false">SRC_ZP!$D$582</definedName>
    <definedName function="false" hidden="false" name="SRC_ZP_579" vbProcedure="false">SRC_ZP!$D$583</definedName>
    <definedName function="false" hidden="false" name="SRC_ZP_579_Hi" vbProcedure="false">SRC_ZP!$F$583</definedName>
    <definedName function="false" hidden="false" name="SRC_ZP_580" vbProcedure="false">SRC_ZP!$D$584</definedName>
    <definedName function="false" hidden="false" name="SRC_ZP_582" vbProcedure="false">SRC_ZP!$D$586</definedName>
    <definedName function="false" hidden="false" name="SRC_ZP_583" vbProcedure="false">SRC_ZP!$D$587</definedName>
    <definedName function="false" hidden="false" name="SRC_ZP_584" vbProcedure="false">SRC_ZP!$D$588</definedName>
    <definedName function="false" hidden="false" name="SRC_ZP_585" vbProcedure="false">SRC_ZP!$D$589</definedName>
    <definedName function="false" hidden="false" name="SRC_ZP_586" vbProcedure="false">SRC_ZP!$D$590</definedName>
    <definedName function="false" hidden="false" name="SRC_ZP_587" vbProcedure="false">SRC_ZP!$D$591</definedName>
    <definedName function="false" hidden="false" name="SRC_ZP_588" vbProcedure="false">SRC_ZP!$D$592</definedName>
    <definedName function="false" hidden="false" name="SRC_ZP_588_Hi" vbProcedure="false">SRC_ZP!$F$592</definedName>
    <definedName function="false" hidden="false" name="SRC_ZP_588_Lo" vbProcedure="false">SRC_ZP!$E$592</definedName>
    <definedName function="false" hidden="false" name="SRC_ZP_589" vbProcedure="false">SRC_ZP!$D$593</definedName>
    <definedName function="false" hidden="false" name="SRC_ZP_590" vbProcedure="false">SRC_ZP!$D$594</definedName>
    <definedName function="false" hidden="false" name="SRC_ZP_591" vbProcedure="false">SRC_ZP!$D$595</definedName>
    <definedName function="false" hidden="false" name="SRC_ZP_592" vbProcedure="false">SRC_ZP!$D$596</definedName>
    <definedName function="false" hidden="false" name="SRC_ZP_593" vbProcedure="false">SRC_ZP!$D$597</definedName>
    <definedName function="false" hidden="false" name="SRC_ZP_594" vbProcedure="false">SRC_ZP!$D$598</definedName>
    <definedName function="false" hidden="false" name="SRC_ZP_595" vbProcedure="false">SRC_ZP!$D$599</definedName>
    <definedName function="false" hidden="false" name="SRC_ZP_596" vbProcedure="false">SRC_ZP!$D$600</definedName>
    <definedName function="false" hidden="false" name="SRC_ZP_597" vbProcedure="false">SRC_ZP!$D$601</definedName>
    <definedName function="false" hidden="false" name="SRC_ZP_598" vbProcedure="false">SRC_ZP!$D$602</definedName>
    <definedName function="false" hidden="false" name="SRC_ZP_599" vbProcedure="false">SRC_ZP!$D$603</definedName>
    <definedName function="false" hidden="false" name="SRC_ZP_600" vbProcedure="false">SRC_ZP!$D$604</definedName>
    <definedName function="false" hidden="false" name="SRC_ZP_601" vbProcedure="false">SRC_ZP!$D$605</definedName>
    <definedName function="false" hidden="false" name="SRC_ZP_602" vbProcedure="false">SRC_ZP!$D$606</definedName>
    <definedName function="false" hidden="false" name="SRC_ZP_603" vbProcedure="false">SRC_ZP!$D$607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D_CapIn_GLM53" vbProcedure="false">TK_Link!$J$73:$N$73</definedName>
    <definedName function="false" hidden="false" name="TK_RD_CapIn_GLM53Flash" vbProcedure="false">TK_Link!$J$74:$N$74</definedName>
    <definedName function="false" hidden="false" name="TK_RD_PF_ChinaFront" vbProcedure="false">TK_Link!$J$77:$L$77</definedName>
    <definedName function="false" hidden="false" name="TK_RD_PF_ChinaFrontModel" vbProcedure="false">TK_Link!$J$78:$L$78</definedName>
    <definedName function="false" hidden="false" name="TK_RD_PF_ChinaVsOAI" vbProcedure="false">TK_Link!$J$79:$L$79</definedName>
    <definedName function="false" hidden="false" name="TK_RD_PF_GLM53Flash_Mix" vbProcedure="false">TK_Link!$J$76:$L$76</definedName>
    <definedName function="false" hidden="false" name="TK_RD_PF_GLM53_Mix" vbProcedure="false">TK_Link!$J$75:$L$75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<sst xmlns="http://schemas.openxmlformats.org/spreadsheetml/2006/main" count="18266" uniqueCount="3925">
  <si>
    <r>
      <rPr>
        <b val="true"/>
        <sz val="13"/>
        <rFont val="Noto Sans CJK SC"/>
        <family val="2"/>
      </rPr>
      <t xml:space="preserve">智譜（智譜華章，</t>
    </r>
    <r>
      <rPr>
        <b val="true"/>
        <sz val="13"/>
        <rFont val="Arial"/>
        <family val="0"/>
        <charset val="1"/>
      </rPr>
      <t xml:space="preserve">02513.HK</t>
    </r>
    <r>
      <rPr>
        <b val="true"/>
        <sz val="13"/>
        <rFont val="Noto Sans CJK SC"/>
        <family val="2"/>
      </rPr>
      <t xml:space="preserve">）收支模型 </t>
    </r>
    <r>
      <rPr>
        <b val="true"/>
        <sz val="13"/>
        <rFont val="Arial"/>
        <family val="0"/>
        <charset val="1"/>
      </rPr>
      <t xml:space="preserve">v0.1-Z2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</si>
  <si>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命題（規格 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同一句）：智譜每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</si>
  <si>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</si>
  <si>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v0.1-Z2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（假設）、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Z3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Z4</t>
    </r>
    <r>
      <rPr>
        <sz val="10"/>
        <color rgb="FF000000"/>
        <rFont val="Noto Sans CJK SC"/>
        <family val="2"/>
      </rPr>
      <t xml:space="preserve">）尚未建立；容量上限係數暫以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佔位（只回乘雲端營收）。</t>
    </r>
  </si>
  <si>
    <t xml:space="preserve">幣別與單位</t>
  </si>
  <si>
    <r>
      <rPr>
        <sz val="10"/>
        <color rgb="FF000000"/>
        <rFont val="Noto Sans CJK SC"/>
        <family val="2"/>
      </rPr>
      <t xml:space="preserve">公司金額一律人民幣億元（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億），與財報一致。港幣、美元數據以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匯率（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中間價；定義常數，區間 </t>
    </r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）換算後才進計算頁。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牌價：人民幣元／百萬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：兆（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訂閱者：萬人；智譜清言用戶：百萬人。</t>
    </r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為美元（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），不換算、不參與計算。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</si>
  <si>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</si>
  <si>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內已改過的藍字（隱藏頁 </t>
    </r>
    <r>
      <rPr>
        <sz val="10"/>
        <color rgb="FF000000"/>
        <rFont val="Arial"/>
        <family val="0"/>
        <charset val="1"/>
      </rPr>
      <t xml:space="preserve">_Defaults</t>
    </r>
    <r>
      <rPr>
        <sz val="10"/>
        <color rgb="FF000000"/>
        <rFont val="Noto Sans CJK SC"/>
        <family val="2"/>
      </rPr>
      <t xml:space="preserve">）。公式不含常數（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）：單位換算、天數、月數為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的定義常數。</t>
    </r>
  </si>
  <si>
    <t xml:space="preserve">SRC_ZP</t>
  </si>
  <si>
    <r>
      <rPr>
        <sz val="10"/>
        <color rgb="FF000000"/>
        <rFont val="Arial"/>
        <family val="0"/>
        <charset val="1"/>
      </rPr>
      <t xml:space="preserve">604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SRC_ZP_001–604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Z1 </t>
    </r>
    <r>
      <rPr>
        <sz val="10"/>
        <color rgb="FF000000"/>
        <rFont val="Noto Sans CJK SC"/>
        <family val="2"/>
      </rPr>
      <t xml:space="preserve">發出、穩定不改號）；有數值者具名 </t>
    </r>
    <r>
      <rPr>
        <sz val="10"/>
        <color rgb="FF000000"/>
        <rFont val="Arial"/>
        <family val="0"/>
        <charset val="1"/>
      </rPr>
      <t xml:space="preserve">SRC_ZP_nnn</t>
    </r>
    <r>
      <rPr>
        <sz val="10"/>
        <color rgb="FF000000"/>
        <rFont val="Noto Sans CJK SC"/>
        <family val="2"/>
      </rPr>
      <t xml:space="preserve">，有低／高者另具名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。來源四欄為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初評（</t>
    </r>
    <r>
      <rPr>
        <sz val="10"/>
        <color rgb="FF000000"/>
        <rFont val="Arial"/>
        <family val="0"/>
        <charset val="1"/>
      </rPr>
      <t xml:space="preserve">builder/source_rules.py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</si>
  <si>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</si>
  <si>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個具名範圍（同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名）＋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列以列標籤讀表（狀態『讀表（非具名）』，只供對照）。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</si>
  <si>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</si>
  <si>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Excel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claude/openai-s6-release@e91df57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34fc34a7ea2c18e8…</t>
    </r>
    <r>
      <rPr>
        <sz val="10"/>
        <color rgb="FF000000"/>
        <rFont val="Noto Sans CJK SC"/>
        <family val="2"/>
      </rPr>
      <t xml:space="preserve">）的命題輸出逐年值（美元）；只被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D26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</si>
  <si>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</si>
  <si>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INP_001 </t>
    </r>
    <r>
      <rPr>
        <sz val="10"/>
        <color rgb="FF000000"/>
        <rFont val="Noto Sans CJK SC"/>
        <family val="2"/>
      </rPr>
      <t xml:space="preserve">起，依 </t>
    </r>
    <r>
      <rPr>
        <sz val="10"/>
        <color rgb="FF000000"/>
        <rFont val="Arial"/>
        <family val="0"/>
        <charset val="1"/>
      </rPr>
      <t xml:space="preserve">data/zhipu_inputs.yaml </t>
    </r>
    <r>
      <rPr>
        <sz val="10"/>
        <color rgb="FF000000"/>
        <rFont val="Noto Sans CJK SC"/>
        <family val="2"/>
      </rPr>
      <t xml:space="preserve">的鍵發號）；每列附標記、依據、區間理由；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</si>
  <si>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Demand</t>
  </si>
  <si>
    <r>
      <rPr>
        <sz val="10"/>
        <color rgb="FF000000"/>
        <rFont val="Noto Sans CJK SC"/>
        <family val="2"/>
      </rPr>
      <t xml:space="preserve">需求：①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價格反應）②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訂閱者（方案別）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每訂閱者 </t>
    </r>
    <r>
      <rPr>
        <sz val="10"/>
        <color rgb="FF000000"/>
        <rFont val="Arial"/>
        <family val="0"/>
        <charset val="1"/>
      </rPr>
      <t xml:space="preserve">token ③</t>
    </r>
    <r>
      <rPr>
        <sz val="10"/>
        <color rgb="FF000000"/>
        <rFont val="Noto Sans CJK SC"/>
        <family val="2"/>
      </rPr>
      <t xml:space="preserve">智譜清言（免費）用戶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× </t>
    </r>
    <r>
      <rPr>
        <sz val="10"/>
        <color rgb="FF000000"/>
        <rFont val="Noto Sans CJK SC"/>
        <family val="2"/>
      </rPr>
      <t xml:space="preserve">付費／免費）。本地化部署不耗智譜算力，不進 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</si>
  <si>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</si>
  <si>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Noto Sans CJK SC"/>
        <family val="2"/>
      </rPr>
      <t xml:space="preserve">營收：①開放平台及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（按量計費：層級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輸入／快取／輸出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有效價；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子列：方案別訂閱）②企業級智能體 ③企業級通用大模型 ④技術服務及其他（②③④＝本地化部署分部，規格 </t>
    </r>
    <r>
      <rPr>
        <sz val="10"/>
        <color rgb="FF000000"/>
        <rFont val="Arial"/>
        <family val="0"/>
        <charset val="1"/>
      </rPr>
      <t xml:space="preserve">D2r</t>
    </r>
    <r>
      <rPr>
        <sz val="10"/>
        <color rgb="FF000000"/>
        <rFont val="Noto Sans CJK SC"/>
        <family val="2"/>
      </rPr>
      <t xml:space="preserve">）；廣告＝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）；總額＝淨額（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）；雲端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本地化、企業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個人彙總；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對財報校準差距＝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；公司說法（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、平均售價 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、呼叫量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倍）只列對照。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</si>
  <si>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</si>
  <si>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對照）與 </t>
    </r>
    <r>
      <rPr>
        <sz val="10"/>
        <color rgb="FF000000"/>
        <rFont val="Arial"/>
        <family val="0"/>
        <charset val="1"/>
      </rPr>
      <t xml:space="preserve">INFO </t>
    </r>
    <r>
      <rPr>
        <sz val="10"/>
        <color rgb="FF000000"/>
        <rFont val="Noto Sans CJK SC"/>
        <family val="2"/>
      </rPr>
      <t xml:space="preserve">不計入。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</si>
  <si>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</si>
  <si>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</si>
  <si>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</si>
  <si>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</si>
  <si>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SRC_ZP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：智譜公司財務原始數據（財報、分部、牌價、用戶、算力採購、融資、股本與市值）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</si>
  <si>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只存已取得的原始訊息（非計算、非假設）。藍字＝原始值，由本活頁簿擁有；來源 </t>
    </r>
    <r>
      <rPr>
        <sz val="9"/>
        <color rgb="FF595959"/>
        <rFont val="Arial"/>
        <family val="0"/>
        <charset val="1"/>
      </rPr>
      <t xml:space="preserve">data/zhipu_src.yaml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技術與算力的物理數據不在此登錄（取自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</si>
  <si>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機械初評（欄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初評』）。無數值列＝日期、事件或找不到數值的說明列（另見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）。</t>
    </r>
  </si>
  <si>
    <t xml:space="preserve">SRC_ID</t>
  </si>
  <si>
    <r>
      <rPr>
        <b val="true"/>
        <sz val="10"/>
        <rFont val="Noto Sans CJK SC"/>
        <family val="2"/>
      </rPr>
      <t xml:space="preserve">鍵（</t>
    </r>
    <r>
      <rPr>
        <b val="true"/>
        <sz val="10"/>
        <rFont val="Arial"/>
        <family val="0"/>
        <charset val="1"/>
      </rPr>
      <t xml:space="preserve">key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</si>
  <si>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</si>
  <si>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</si>
  <si>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</si>
  <si>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</si>
  <si>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</si>
  <si>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</si>
  <si>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</si>
  <si>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</si>
  <si>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</si>
  <si>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</si>
  <si>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</si>
  <si>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r>
      <rPr>
        <b val="true"/>
        <sz val="10"/>
        <rFont val="Noto Sans CJK SC"/>
        <family val="2"/>
      </rPr>
      <t xml:space="preserve">口徑（</t>
    </r>
    <r>
      <rPr>
        <b val="true"/>
        <sz val="10"/>
        <rFont val="Arial"/>
        <family val="0"/>
        <charset val="1"/>
      </rPr>
      <t xml:space="preserve">basis</t>
    </r>
    <r>
      <rPr>
        <b val="true"/>
        <sz val="10"/>
        <rFont val="Noto Sans CJK SC"/>
        <family val="2"/>
      </rPr>
      <t xml:space="preserve">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</si>
  <si>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</si>
  <si>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</si>
  <si>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</si>
  <si>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</si>
  <si>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備註</t>
  </si>
  <si>
    <t xml:space="preserve">無數值（公式）</t>
  </si>
  <si>
    <t xml:space="preserve">缺出處（公式）</t>
  </si>
  <si>
    <t xml:space="preserve">區間順序異常（公式）</t>
  </si>
  <si>
    <t xml:space="preserve">四欄標註</t>
  </si>
  <si>
    <t xml:space="preserve">SRC_ZP_001</t>
  </si>
  <si>
    <t xml:space="preserve">rev_total_fy22</t>
  </si>
  <si>
    <t xml:space="preserve">營收總額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</si>
  <si>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</t>
    </r>
  </si>
  <si>
    <t xml:space="preserve">FY2022</t>
  </si>
  <si>
    <t xml:space="preserve">智譜招股章程（概要節）</t>
  </si>
  <si>
    <t xml:space="preserve">https://www1.hkexnews.hk/listedco/listconews/sehk/2025/1230/2025123000018_c.pdf</t>
  </si>
  <si>
    <t xml:space="preserve">2025-12-30</t>
  </si>
  <si>
    <t xml:space="preserve">2026-10-08</t>
  </si>
  <si>
    <t xml:space="preserve">Verified</t>
  </si>
  <si>
    <t xml:space="preserve">經審計（會計師報告，招股章程概要轉載）</t>
  </si>
  <si>
    <t xml:space="preserve">1</t>
  </si>
  <si>
    <t xml:space="preserve">利害關係方</t>
  </si>
  <si>
    <t xml:space="preserve">經審計或經審閱的公司公告（誘因：上市後股價、配售；數字可由公告原文核對）</t>
  </si>
  <si>
    <t xml:space="preserve">一手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</si>
  <si>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57,409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</si>
  <si>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</si>
  <si>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SRC_ZP_002</t>
  </si>
  <si>
    <t xml:space="preserve">rev_total_fy23</t>
  </si>
  <si>
    <t xml:space="preserve">FY2023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</si>
  <si>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124,538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</si>
  <si>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SRC_ZP_003</t>
  </si>
  <si>
    <t xml:space="preserve">rev_total_fy24</t>
  </si>
  <si>
    <t xml:space="preserve">FY2024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</si>
  <si>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312,414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</si>
  <si>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SRC_ZP_004</t>
  </si>
  <si>
    <t xml:space="preserve">rev_total_1h24</t>
  </si>
  <si>
    <t xml:space="preserve">1H2024</t>
  </si>
  <si>
    <r>
      <rPr>
        <sz val="10"/>
        <color rgb="FF000000"/>
        <rFont val="Noto Sans CJK SC"/>
        <family val="2"/>
      </rPr>
      <t xml:space="preserve">會計師報告（</t>
    </r>
    <r>
      <rPr>
        <sz val="10"/>
        <color rgb="FF000000"/>
        <rFont val="Arial"/>
        <family val="0"/>
        <charset val="1"/>
      </rPr>
      <t xml:space="preserve">1H2024 </t>
    </r>
    <r>
      <rPr>
        <sz val="10"/>
        <color rgb="FF000000"/>
        <rFont val="Noto Sans CJK SC"/>
        <family val="2"/>
      </rPr>
      <t xml:space="preserve">比較期通常為未經審計已審閱；招股章程概要轉載）</t>
    </r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</si>
  <si>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44,909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</si>
  <si>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SRC_ZP_005</t>
  </si>
  <si>
    <t xml:space="preserve">rev_total_1h25</t>
  </si>
  <si>
    <t xml:space="preserve">1H2025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</si>
  <si>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190,877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</si>
  <si>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SRC_ZP_006</t>
  </si>
  <si>
    <t xml:space="preserve">rev_onprem_fy22</t>
  </si>
  <si>
    <t xml:space="preserve">本地化部署收入（舊分部）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</si>
  <si>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54,815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</si>
  <si>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SRC_ZP_007</t>
  </si>
  <si>
    <t xml:space="preserve">rev_onprem_fy23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</si>
  <si>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112,614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</si>
  <si>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SRC_ZP_008</t>
  </si>
  <si>
    <t xml:space="preserve">rev_onprem_fy24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</si>
  <si>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263,930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</si>
  <si>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SRC_ZP_009</t>
  </si>
  <si>
    <t xml:space="preserve">rev_onprem_1h24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</si>
  <si>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26,806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</si>
  <si>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SRC_ZP_010</t>
  </si>
  <si>
    <t xml:space="preserve">rev_onprem_1h25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</si>
  <si>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161,777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</si>
  <si>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SRC_ZP_011</t>
  </si>
  <si>
    <t xml:space="preserve">rev_cloud_fy22</t>
  </si>
  <si>
    <r>
      <rPr>
        <sz val="10"/>
        <color rgb="FF000000"/>
        <rFont val="Noto Sans CJK SC"/>
        <family val="2"/>
      </rPr>
      <t xml:space="preserve">雲端部署收入（舊分部；＝開放平台及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</si>
  <si>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</si>
  <si>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SRC_ZP_012</t>
  </si>
  <si>
    <t xml:space="preserve">rev_cloud_fy23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</si>
  <si>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</si>
  <si>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SRC_ZP_013</t>
  </si>
  <si>
    <t xml:space="preserve">rev_cloud_fy24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</si>
  <si>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</si>
  <si>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SRC_ZP_014</t>
  </si>
  <si>
    <t xml:space="preserve">rev_cloud_1h24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</si>
  <si>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18,103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</si>
  <si>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SRC_ZP_015</t>
  </si>
  <si>
    <t xml:space="preserve">rev_cloud_1h25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</si>
  <si>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</si>
  <si>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SRC_ZP_016</t>
  </si>
  <si>
    <t xml:space="preserve">cogs_fy22</t>
  </si>
  <si>
    <t xml:space="preserve">銷售成本（營業成本）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</si>
  <si>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</si>
  <si>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SRC_ZP_017</t>
  </si>
  <si>
    <t xml:space="preserve">cogs_fy23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</si>
  <si>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</si>
  <si>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SRC_ZP_018</t>
  </si>
  <si>
    <t xml:space="preserve">cogs_fy24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</si>
  <si>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136,525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</si>
  <si>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SRC_ZP_019</t>
  </si>
  <si>
    <t xml:space="preserve">cogs_1h24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</si>
  <si>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22,950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</si>
  <si>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SRC_ZP_020</t>
  </si>
  <si>
    <t xml:space="preserve">cogs_1h25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</si>
  <si>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</si>
  <si>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SRC_ZP_021</t>
  </si>
  <si>
    <t xml:space="preserve">cogs_compute_fy22</t>
  </si>
  <si>
    <t xml:space="preserve">銷售成本中計算服務費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</si>
  <si>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</si>
  <si>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SRC_ZP_022</t>
  </si>
  <si>
    <t xml:space="preserve">cogs_compute_fy23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</si>
  <si>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</si>
  <si>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SRC_ZP_023</t>
  </si>
  <si>
    <t xml:space="preserve">cogs_compute_fy24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</si>
  <si>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30,173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</si>
  <si>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SRC_ZP_024</t>
  </si>
  <si>
    <t xml:space="preserve">cogs_compute_1h24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</si>
  <si>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8,451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</si>
  <si>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SRC_ZP_025</t>
  </si>
  <si>
    <t xml:space="preserve">cogs_compute_1h25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</si>
  <si>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35,845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</si>
  <si>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SRC_ZP_026</t>
  </si>
  <si>
    <t xml:space="preserve">cogs_staff_fy22</t>
  </si>
  <si>
    <t xml:space="preserve">銷售成本中工資成本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</si>
  <si>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</si>
  <si>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SRC_ZP_027</t>
  </si>
  <si>
    <t xml:space="preserve">cogs_staff_fy23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</si>
  <si>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15,375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</si>
  <si>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SRC_ZP_028</t>
  </si>
  <si>
    <t xml:space="preserve">cogs_staff_fy24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</si>
  <si>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</si>
  <si>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SRC_ZP_029</t>
  </si>
  <si>
    <t xml:space="preserve">cogs_staff_1h24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</si>
  <si>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10,832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</si>
  <si>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SRC_ZP_030</t>
  </si>
  <si>
    <t xml:space="preserve">cogs_staff_1h25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</si>
  <si>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37,628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</si>
  <si>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SRC_ZP_031</t>
  </si>
  <si>
    <t xml:space="preserve">gp_total_fy22</t>
  </si>
  <si>
    <t xml:space="preserve">毛利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</si>
  <si>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31,360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</si>
  <si>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SRC_ZP_032</t>
  </si>
  <si>
    <t xml:space="preserve">gp_total_fy23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</si>
  <si>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80,482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</si>
  <si>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SRC_ZP_033</t>
  </si>
  <si>
    <t xml:space="preserve">gp_total_fy24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</si>
  <si>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175,889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</si>
  <si>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SRC_ZP_034</t>
  </si>
  <si>
    <t xml:space="preserve">gp_total_1h24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</si>
  <si>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21,959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</si>
  <si>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SRC_ZP_035</t>
  </si>
  <si>
    <t xml:space="preserve">gp_total_1h25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</si>
  <si>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</si>
  <si>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SRC_ZP_036</t>
  </si>
  <si>
    <t xml:space="preserve">gp_onprem_fy22</t>
  </si>
  <si>
    <t xml:space="preserve">本地化部署毛利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</si>
  <si>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29,386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</si>
  <si>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SRC_ZP_037</t>
  </si>
  <si>
    <t xml:space="preserve">gp_onprem_fy23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</si>
  <si>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76,781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</si>
  <si>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SRC_ZP_038</t>
  </si>
  <si>
    <t xml:space="preserve">gp_onprem_fy24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</si>
  <si>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</si>
  <si>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SRC_ZP_039</t>
  </si>
  <si>
    <t xml:space="preserve">gp_onprem_1h24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</si>
  <si>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16,776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</si>
  <si>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SRC_ZP_040</t>
  </si>
  <si>
    <t xml:space="preserve">gp_onprem_1h25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</si>
  <si>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95,540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</si>
  <si>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SRC_ZP_041</t>
  </si>
  <si>
    <t xml:space="preserve">gp_cloud_fy22</t>
  </si>
  <si>
    <t xml:space="preserve">雲端部署毛利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</si>
  <si>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</si>
  <si>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SRC_ZP_042</t>
  </si>
  <si>
    <t xml:space="preserve">gp_cloud_fy23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</si>
  <si>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3,701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</si>
  <si>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SRC_ZP_043</t>
  </si>
  <si>
    <t xml:space="preserve">gp_cloud_fy24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</si>
  <si>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</si>
  <si>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SRC_ZP_044</t>
  </si>
  <si>
    <t xml:space="preserve">gp_cloud_1h24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</si>
  <si>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5,183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</si>
  <si>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SRC_ZP_045</t>
  </si>
  <si>
    <t xml:space="preserve">gp_cloud_1h25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</si>
  <si>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</si>
  <si>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SRC_ZP_046</t>
  </si>
  <si>
    <t xml:space="preserve">rd_fy22</t>
  </si>
  <si>
    <t xml:space="preserve">研發開支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</si>
  <si>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84,377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</si>
  <si>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SRC_ZP_047</t>
  </si>
  <si>
    <t xml:space="preserve">rd_fy23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</si>
  <si>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528,884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</si>
  <si>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SRC_ZP_048</t>
  </si>
  <si>
    <t xml:space="preserve">rd_fy24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</si>
  <si>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2,195,436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</si>
  <si>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SRC_ZP_049</t>
  </si>
  <si>
    <t xml:space="preserve">rd_1h24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</si>
  <si>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859,217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</si>
  <si>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SRC_ZP_050</t>
  </si>
  <si>
    <t xml:space="preserve">rd_1h25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</si>
  <si>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1,594,661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</si>
  <si>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SRC_ZP_051</t>
  </si>
  <si>
    <t xml:space="preserve">sm_fy22</t>
  </si>
  <si>
    <t xml:space="preserve">銷售及營銷開支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</si>
  <si>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15,139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</si>
  <si>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SRC_ZP_052</t>
  </si>
  <si>
    <t xml:space="preserve">sm_fy23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</si>
  <si>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101,198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</si>
  <si>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SRC_ZP_053</t>
  </si>
  <si>
    <t xml:space="preserve">sm_fy24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</si>
  <si>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387,475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</si>
  <si>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SRC_ZP_054</t>
  </si>
  <si>
    <t xml:space="preserve">sm_1h24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</si>
  <si>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144,194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</si>
  <si>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SRC_ZP_055</t>
  </si>
  <si>
    <t xml:space="preserve">sm_1h25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</si>
  <si>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208,570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</si>
  <si>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SRC_ZP_056</t>
  </si>
  <si>
    <t xml:space="preserve">ga_fy22</t>
  </si>
  <si>
    <t xml:space="preserve">一般及行政開支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</si>
  <si>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32,316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</si>
  <si>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SRC_ZP_057</t>
  </si>
  <si>
    <t xml:space="preserve">ga_fy23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</si>
  <si>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66,302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</si>
  <si>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SRC_ZP_058</t>
  </si>
  <si>
    <t xml:space="preserve">ga_fy24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</si>
  <si>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133,603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</si>
  <si>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SRC_ZP_059</t>
  </si>
  <si>
    <t xml:space="preserve">ga_1h24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</si>
  <si>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51,452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</si>
  <si>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SRC_ZP_060</t>
  </si>
  <si>
    <t xml:space="preserve">ga_1h25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</si>
  <si>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185,165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</si>
  <si>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SRC_ZP_061</t>
  </si>
  <si>
    <t xml:space="preserve">other_inc_fy22</t>
  </si>
  <si>
    <t xml:space="preserve">其他收入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</si>
  <si>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1,784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</si>
  <si>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SRC_ZP_062</t>
  </si>
  <si>
    <t xml:space="preserve">other_inc_fy23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</si>
  <si>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9,965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</si>
  <si>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SRC_ZP_063</t>
  </si>
  <si>
    <t xml:space="preserve">other_inc_fy24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</si>
  <si>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19,281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</si>
  <si>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SRC_ZP_064</t>
  </si>
  <si>
    <t xml:space="preserve">other_inc_1h24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</si>
  <si>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4,174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</si>
  <si>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SRC_ZP_065</t>
  </si>
  <si>
    <t xml:space="preserve">other_inc_1h25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</si>
  <si>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</si>
  <si>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SRC_ZP_066</t>
  </si>
  <si>
    <t xml:space="preserve">fin_cost_fy22</t>
  </si>
  <si>
    <t xml:space="preserve">融資成本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</si>
  <si>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5,694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</si>
  <si>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SRC_ZP_067</t>
  </si>
  <si>
    <t xml:space="preserve">fin_cost_fy23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</si>
  <si>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26,332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</si>
  <si>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SRC_ZP_068</t>
  </si>
  <si>
    <t xml:space="preserve">fin_cost_fy24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</si>
  <si>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38,321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</si>
  <si>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SRC_ZP_069</t>
  </si>
  <si>
    <t xml:space="preserve">fin_cost_1h24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</si>
  <si>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12,212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</si>
  <si>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SRC_ZP_070</t>
  </si>
  <si>
    <t xml:space="preserve">fin_cost_1h25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</si>
  <si>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53,270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</si>
  <si>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SRC_ZP_071</t>
  </si>
  <si>
    <t xml:space="preserve">sbc_fy22</t>
  </si>
  <si>
    <t xml:space="preserve">以權益結算股權報酬總額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</si>
  <si>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</si>
  <si>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SRC_ZP_072</t>
  </si>
  <si>
    <t xml:space="preserve">sbc_fy23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</si>
  <si>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5,502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</si>
  <si>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SRC_ZP_073</t>
  </si>
  <si>
    <t xml:space="preserve">sbc_fy24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</si>
  <si>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23,579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</si>
  <si>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SRC_ZP_074</t>
  </si>
  <si>
    <t xml:space="preserve">sbc_1h24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</si>
  <si>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4,217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</si>
  <si>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SRC_ZP_075</t>
  </si>
  <si>
    <t xml:space="preserve">sbc_1h25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</si>
  <si>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158,852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</si>
  <si>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SRC_ZP_076</t>
  </si>
  <si>
    <t xml:space="preserve">net_loss_fy22</t>
  </si>
  <si>
    <t xml:space="preserve">年／期內虧損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</si>
  <si>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143,650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</si>
  <si>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SRC_ZP_077</t>
  </si>
  <si>
    <t xml:space="preserve">net_loss_fy23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</si>
  <si>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787,957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</si>
  <si>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SRC_ZP_078</t>
  </si>
  <si>
    <t xml:space="preserve">net_loss_fy24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</si>
  <si>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2,958,007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</si>
  <si>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SRC_ZP_079</t>
  </si>
  <si>
    <t xml:space="preserve">net_loss_1h24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</si>
  <si>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1,235,551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</si>
  <si>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SRC_ZP_080</t>
  </si>
  <si>
    <t xml:space="preserve">net_loss_1h25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</si>
  <si>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2,357,852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</si>
  <si>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SRC_ZP_081</t>
  </si>
  <si>
    <t xml:space="preserve">adj_loss_fy22</t>
  </si>
  <si>
    <r>
      <rPr>
        <sz val="10"/>
        <color rgb="FF000000"/>
        <rFont val="Noto Sans CJK SC"/>
        <family val="2"/>
      </rPr>
      <t xml:space="preserve">經調整淨虧損（非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</si>
  <si>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97,417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</si>
  <si>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SRC_ZP_082</t>
  </si>
  <si>
    <t xml:space="preserve">adj_loss_fy23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</si>
  <si>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620,984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</si>
  <si>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SRC_ZP_083</t>
  </si>
  <si>
    <t xml:space="preserve">adj_loss_fy24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</si>
  <si>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2,465,569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</si>
  <si>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SRC_ZP_084</t>
  </si>
  <si>
    <t xml:space="preserve">adj_loss_1h24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</si>
  <si>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1,030,160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</si>
  <si>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SRC_ZP_085</t>
  </si>
  <si>
    <t xml:space="preserve">adj_loss_1h25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</si>
  <si>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1,751,974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</si>
  <si>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SRC_ZP_086</t>
  </si>
  <si>
    <t xml:space="preserve">ocf_fy22</t>
  </si>
  <si>
    <t xml:space="preserve">經營活動所用現金淨額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</si>
  <si>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-68,246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</si>
  <si>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SRC_ZP_087</t>
  </si>
  <si>
    <t xml:space="preserve">ocf_fy23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</si>
  <si>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-648,017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</si>
  <si>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SRC_ZP_088</t>
  </si>
  <si>
    <t xml:space="preserve">ocf_fy24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</si>
  <si>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-2,244,919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</si>
  <si>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SRC_ZP_089</t>
  </si>
  <si>
    <t xml:space="preserve">ocf_1h24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</si>
  <si>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-994,678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</si>
  <si>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SRC_ZP_090</t>
  </si>
  <si>
    <t xml:space="preserve">ocf_1h25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</si>
  <si>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-1,327,150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</si>
  <si>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SRC_ZP_091</t>
  </si>
  <si>
    <t xml:space="preserve">icf_fy22</t>
  </si>
  <si>
    <t xml:space="preserve">投資活動所得／（所用）現金淨額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</si>
  <si>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32,921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</si>
  <si>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SRC_ZP_092</t>
  </si>
  <si>
    <t xml:space="preserve">icf_fy23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</si>
  <si>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-784,965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</si>
  <si>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SRC_ZP_093</t>
  </si>
  <si>
    <t xml:space="preserve">icf_fy24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</si>
  <si>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-48,559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</si>
  <si>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SRC_ZP_094</t>
  </si>
  <si>
    <t xml:space="preserve">icf_1h24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</si>
  <si>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-138,775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</si>
  <si>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SRC_ZP_095</t>
  </si>
  <si>
    <t xml:space="preserve">icf_1h25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</si>
  <si>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-556,373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</si>
  <si>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SRC_ZP_096</t>
  </si>
  <si>
    <t xml:space="preserve">cash_end_fy22</t>
  </si>
  <si>
    <t xml:space="preserve">年／期末現金及現金等價物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</si>
  <si>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218,928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</si>
  <si>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SRC_ZP_097</t>
  </si>
  <si>
    <t xml:space="preserve">cash_end_fy23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</si>
  <si>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1,249,175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</si>
  <si>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SRC_ZP_098</t>
  </si>
  <si>
    <t xml:space="preserve">cash_end_fy24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</si>
  <si>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2,268,164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</si>
  <si>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SRC_ZP_099</t>
  </si>
  <si>
    <t xml:space="preserve">cash_end_1h24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</si>
  <si>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932,066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</si>
  <si>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SRC_ZP_100</t>
  </si>
  <si>
    <t xml:space="preserve">cash_end_1h25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</si>
  <si>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2,551,970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</si>
  <si>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SRC_ZP_101</t>
  </si>
  <si>
    <t xml:space="preserve">gm_total_fy22</t>
  </si>
  <si>
    <t xml:space="preserve">整體毛利率</t>
  </si>
  <si>
    <t xml:space="preserve">%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</si>
  <si>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」表內毛利率欄</t>
    </r>
  </si>
  <si>
    <t xml:space="preserve">SRC_ZP_102</t>
  </si>
  <si>
    <t xml:space="preserve">gm_total_fy23</t>
  </si>
  <si>
    <t xml:space="preserve">SRC_ZP_103</t>
  </si>
  <si>
    <t xml:space="preserve">gm_total_fy24</t>
  </si>
  <si>
    <t xml:space="preserve">SRC_ZP_104</t>
  </si>
  <si>
    <t xml:space="preserve">gm_total_1h24</t>
  </si>
  <si>
    <t xml:space="preserve">SRC_ZP_105</t>
  </si>
  <si>
    <t xml:space="preserve">gm_total_1h25</t>
  </si>
  <si>
    <t xml:space="preserve">SRC_ZP_106</t>
  </si>
  <si>
    <t xml:space="preserve">cash_burn_m_fy22</t>
  </si>
  <si>
    <t xml:space="preserve">平均每月現金消耗率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</si>
  <si>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億／月</t>
    </r>
  </si>
  <si>
    <t xml:space="preserve">https://www1.hkexnews.hk/listedco/listconews/sehk/2025/1230/2025123000017.pdf</t>
  </si>
  <si>
    <t xml:space="preserve">Interested-party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</si>
  <si>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招股，誘因為發行定價</t>
    </r>
  </si>
  <si>
    <t xml:space="preserve">管理層口徑（招股章程）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</si>
  <si>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RMB3.0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</si>
  <si>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SRC_ZP_107</t>
  </si>
  <si>
    <t xml:space="preserve">cash_burn_m_fy23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</si>
  <si>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RMB105.9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</si>
  <si>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SRC_ZP_108</t>
  </si>
  <si>
    <t xml:space="preserve">cash_burn_m_fy24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</si>
  <si>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RMB194.5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</si>
  <si>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SRC_ZP_109</t>
  </si>
  <si>
    <t xml:space="preserve">cash_burn_m_1h25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</si>
  <si>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RMB327.3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</si>
  <si>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SRC_ZP_110</t>
  </si>
  <si>
    <t xml:space="preserve">liquidity_2510</t>
  </si>
  <si>
    <r>
      <rPr>
        <sz val="10"/>
        <color rgb="FF000000"/>
        <rFont val="Noto Sans CJK SC"/>
        <family val="2"/>
      </rPr>
      <t xml:space="preserve">現金＋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短期投資＋可用承諾銀行授信合計</t>
    </r>
  </si>
  <si>
    <t xml:space="preserve">2025-10-31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</si>
  <si>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招股，營運資金說明</t>
    </r>
  </si>
  <si>
    <t xml:space="preserve">管理層口徑（招股章程營運資金充足性）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</si>
  <si>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available committed bank facilities of RMB8,943.1 million in aggregate</t>
    </r>
    <r>
      <rPr>
        <sz val="10"/>
        <color rgb="FF000000"/>
        <rFont val="Noto Sans CJK SC"/>
        <family val="2"/>
      </rPr>
      <t xml:space="preserve">」；三項合計，未拆授信額</t>
    </r>
  </si>
  <si>
    <t xml:space="preserve">SRC_ZP_111</t>
  </si>
  <si>
    <t xml:space="preserve">rd_staff_1h25</t>
  </si>
  <si>
    <t xml:space="preserve">研發團隊人數</t>
  </si>
  <si>
    <t xml:space="preserve">人</t>
  </si>
  <si>
    <t xml:space="preserve">2025-06-30</t>
  </si>
  <si>
    <t xml:space="preserve">管理層口徑</t>
  </si>
  <si>
    <r>
      <rPr>
        <sz val="10"/>
        <color rgb="FF000000"/>
        <rFont val="Noto Sans CJK SC"/>
        <family val="2"/>
      </rPr>
      <t xml:space="preserve">原文「一支由</t>
    </r>
    <r>
      <rPr>
        <sz val="10"/>
        <color rgb="FF000000"/>
        <rFont val="Arial"/>
        <family val="0"/>
        <charset val="1"/>
      </rPr>
      <t xml:space="preserve">657</t>
    </r>
    <r>
      <rPr>
        <sz val="10"/>
        <color rgb="FF000000"/>
        <rFont val="Noto Sans CJK SC"/>
        <family val="2"/>
      </rPr>
      <t xml:space="preserve">名成員組成的研發團隊」</t>
    </r>
  </si>
  <si>
    <t xml:space="preserve">SRC_ZP_112</t>
  </si>
  <si>
    <t xml:space="preserve">rev_api_fy25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</si>
  <si>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收入（新分類）</t>
    </r>
  </si>
  <si>
    <t xml:space="preserve">FY2025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</si>
  <si>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</t>
    </r>
  </si>
  <si>
    <t xml:space="preserve">https://www1.hkexnews.hk/listedco/listconews/sehk/2026/0331/2026033101549.pdf</t>
  </si>
  <si>
    <t xml:space="preserve">2026-03-31</t>
  </si>
  <si>
    <r>
      <rPr>
        <sz val="10"/>
        <color rgb="FF000000"/>
        <rFont val="Noto Sans CJK SC"/>
        <family val="2"/>
      </rPr>
      <t xml:space="preserve">經審計（</t>
    </r>
    <r>
      <rPr>
        <sz val="10"/>
        <color rgb="FF000000"/>
        <rFont val="Arial"/>
        <family val="0"/>
        <charset val="1"/>
      </rPr>
      <t xml:space="preserve">KPMG</t>
    </r>
    <r>
      <rPr>
        <sz val="10"/>
        <color rgb="FF000000"/>
        <rFont val="Noto Sans CJK SC"/>
        <family val="2"/>
      </rPr>
      <t xml:space="preserve">；年度業績公告）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</si>
  <si>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</si>
  <si>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SRC_ZP_113</t>
  </si>
  <si>
    <t xml:space="preserve">rev_api_fy24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</si>
  <si>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</si>
  <si>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SRC_ZP_114</t>
  </si>
  <si>
    <t xml:space="preserve">rev_agent_fy25</t>
  </si>
  <si>
    <t xml:space="preserve">企業級智能體收入（新分類）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</si>
  <si>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165,687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</si>
  <si>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SRC_ZP_115</t>
  </si>
  <si>
    <t xml:space="preserve">rev_agent_fy24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</si>
  <si>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47,492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</si>
  <si>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SRC_ZP_116</t>
  </si>
  <si>
    <t xml:space="preserve">rev_gpllm_fy25</t>
  </si>
  <si>
    <t xml:space="preserve">企業級通用大模型收入（新分類）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</si>
  <si>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365,724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</si>
  <si>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SRC_ZP_117</t>
  </si>
  <si>
    <t xml:space="preserve">rev_gpllm_fy24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</si>
  <si>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214,502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</si>
  <si>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SRC_ZP_118</t>
  </si>
  <si>
    <t xml:space="preserve">rev_techsvc_fy25</t>
  </si>
  <si>
    <t xml:space="preserve">技術服務及其他收入（新分類）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</si>
  <si>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</si>
  <si>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SRC_ZP_119</t>
  </si>
  <si>
    <t xml:space="preserve">rev_techsvc_fy24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</si>
  <si>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</si>
  <si>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SRC_ZP_120</t>
  </si>
  <si>
    <t xml:space="preserve">rev_total_fy25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</si>
  <si>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revenue reached RMB724.3 million</t>
    </r>
    <r>
      <rPr>
        <sz val="10"/>
        <color rgb="FF000000"/>
        <rFont val="Noto Sans CJK SC"/>
        <family val="2"/>
      </rPr>
      <t xml:space="preserve">」，同比 </t>
    </r>
    <r>
      <rPr>
        <sz val="10"/>
        <color rgb="FF000000"/>
        <rFont val="Arial"/>
        <family val="0"/>
        <charset val="1"/>
      </rPr>
      <t xml:space="preserve">+131.9%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724,334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</si>
  <si>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SRC_ZP_121</t>
  </si>
  <si>
    <t xml:space="preserve">rev_onprem_fy25</t>
  </si>
  <si>
    <t xml:space="preserve">本地化部署收入（分部）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</si>
  <si>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on-premise deployment 533,955 </t>
    </r>
    <r>
      <rPr>
        <sz val="10"/>
        <color rgb="FF000000"/>
        <rFont val="Noto Sans CJK SC"/>
        <family val="2"/>
      </rPr>
      <t xml:space="preserve">千元（＝智能體＋通用大模型＋技術服務）；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</si>
  <si>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SRC_ZP_122</t>
  </si>
  <si>
    <t xml:space="preserve">rev_cloud_fy25</t>
  </si>
  <si>
    <t xml:space="preserve">雲端部署收入（分部）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</si>
  <si>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cloud-based deployment 190,379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</si>
  <si>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SRC_ZP_123</t>
  </si>
  <si>
    <t xml:space="preserve">cogs_fy25</t>
  </si>
  <si>
    <t xml:space="preserve">銷售成本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</si>
  <si>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427,678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換算成億；原文「</t>
    </r>
    <r>
      <rPr>
        <sz val="10"/>
        <color rgb="FF000000"/>
        <rFont val="Arial"/>
        <family val="0"/>
        <charset val="1"/>
      </rPr>
      <t xml:space="preserve">primarily attributable to the rise in computing service fees</t>
    </r>
    <r>
      <rPr>
        <sz val="10"/>
        <color rgb="FF000000"/>
        <rFont val="Noto Sans CJK SC"/>
        <family val="2"/>
      </rPr>
      <t xml:space="preserve">」，未揭露金額</t>
    </r>
  </si>
  <si>
    <t xml:space="preserve">SRC_ZP_124</t>
  </si>
  <si>
    <t xml:space="preserve">gp_total_fy25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</si>
  <si>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296,656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</si>
  <si>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SRC_ZP_125</t>
  </si>
  <si>
    <t xml:space="preserve">gm_total_fy25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</si>
  <si>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2024 56.3%</t>
    </r>
    <r>
      <rPr>
        <sz val="10"/>
        <color rgb="FF000000"/>
        <rFont val="Noto Sans CJK SC"/>
        <family val="2"/>
      </rPr>
      <t xml:space="preserve">）</t>
    </r>
  </si>
  <si>
    <t xml:space="preserve">SRC_ZP_126</t>
  </si>
  <si>
    <t xml:space="preserve">gp_onprem_fy25</t>
  </si>
  <si>
    <t xml:space="preserve">本地化部署毛利（分部）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</si>
  <si>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</si>
  <si>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SRC_ZP_127</t>
  </si>
  <si>
    <t xml:space="preserve">gp_onprem_fy24_ann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</si>
  <si>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</si>
  <si>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SRC_ZP_128</t>
  </si>
  <si>
    <t xml:space="preserve">gp_cloud_fy25</t>
  </si>
  <si>
    <t xml:space="preserve">雲端部署毛利（分部）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</si>
  <si>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</si>
  <si>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SRC_ZP_129</t>
  </si>
  <si>
    <t xml:space="preserve">gp_cloud_fy24_ann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</si>
  <si>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</si>
  <si>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SRC_ZP_130</t>
  </si>
  <si>
    <t xml:space="preserve">gp_api_fy25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</si>
  <si>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</t>
    </r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</si>
  <si>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RMB36.0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</si>
  <si>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SRC_ZP_131</t>
  </si>
  <si>
    <t xml:space="preserve">gp_api_fy24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</si>
  <si>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RMB1.6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</si>
  <si>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SRC_ZP_132</t>
  </si>
  <si>
    <t xml:space="preserve">gp_agent_fy25</t>
  </si>
  <si>
    <t xml:space="preserve">企業級智能體毛利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</si>
  <si>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RMB86.7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52.3%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</si>
  <si>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SRC_ZP_133</t>
  </si>
  <si>
    <t xml:space="preserve">gp_agent_fy24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</si>
  <si>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RMB23.4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49.3%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</si>
  <si>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SRC_ZP_134</t>
  </si>
  <si>
    <t xml:space="preserve">gp_gpllm_fy25</t>
  </si>
  <si>
    <t xml:space="preserve">企業級通用大模型毛利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</si>
  <si>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RMB171.7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47.0%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</si>
  <si>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SRC_ZP_135</t>
  </si>
  <si>
    <t xml:space="preserve">gp_gpllm_fy24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</si>
  <si>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RMB149.2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69.6%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</si>
  <si>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SRC_ZP_136</t>
  </si>
  <si>
    <t xml:space="preserve">gp_techsvc_fy25</t>
  </si>
  <si>
    <t xml:space="preserve">技術服務及其他毛利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</si>
  <si>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RMB2.3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92.0%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</si>
  <si>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SRC_ZP_137</t>
  </si>
  <si>
    <t xml:space="preserve">gp_techsvc_fy24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</si>
  <si>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89.5%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</si>
  <si>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SRC_ZP_138</t>
  </si>
  <si>
    <t xml:space="preserve">gp_cloud_fy24_b</t>
  </si>
  <si>
    <t xml:space="preserve">雲端部署毛利率</t>
  </si>
  <si>
    <r>
      <rPr>
        <sz val="10"/>
        <color rgb="FF000000"/>
        <rFont val="Noto Sans CJK SC"/>
        <family val="2"/>
      </rPr>
      <t xml:space="preserve">年度業績公告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；招股章程為 </t>
    </r>
    <r>
      <rPr>
        <sz val="10"/>
        <color rgb="FF000000"/>
        <rFont val="Arial"/>
        <family val="0"/>
        <charset val="1"/>
      </rPr>
      <t xml:space="preserve">3.4%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1,633/48,484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3.37%</t>
    </r>
    <r>
      <rPr>
        <sz val="10"/>
        <color rgb="FF000000"/>
        <rFont val="Noto Sans CJK SC"/>
        <family val="2"/>
      </rPr>
      <t xml:space="preserve">，四捨五入差異）</t>
    </r>
  </si>
  <si>
    <t xml:space="preserve">SRC_ZP_139</t>
  </si>
  <si>
    <t xml:space="preserve">rd_fy25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</si>
  <si>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R&amp;D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3,180,443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換算成億；原文稱員工成本（含股權報酬）與第三方算力服務費增加，未揭露組成金額</t>
    </r>
  </si>
  <si>
    <t xml:space="preserve">SRC_ZP_140</t>
  </si>
  <si>
    <t xml:space="preserve">sm_fy25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</si>
  <si>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Selling and marketing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390,869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</si>
  <si>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SRC_ZP_141</t>
  </si>
  <si>
    <t xml:space="preserve">ga_fy25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</si>
  <si>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General and administration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505,357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</si>
  <si>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SRC_ZP_142</t>
  </si>
  <si>
    <t xml:space="preserve">sbc_fy25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</si>
  <si>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558,265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</si>
  <si>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SRC_ZP_143</t>
  </si>
  <si>
    <t xml:space="preserve">other_inc_fy25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</si>
  <si>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decreased from RMB19.3 million…to RMB14.8 million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14,839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</si>
  <si>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SRC_ZP_144</t>
  </si>
  <si>
    <t xml:space="preserve">fin_cost_fy25</t>
  </si>
  <si>
    <t xml:space="preserve">財務成本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</si>
  <si>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Finance costs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74,315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換算成億；公告稱由匯兌淨收益轉為淨損失</t>
    </r>
  </si>
  <si>
    <t xml:space="preserve">SRC_ZP_145</t>
  </si>
  <si>
    <t xml:space="preserve">net_loss_fy25</t>
  </si>
  <si>
    <t xml:space="preserve">年內虧損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</si>
  <si>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Loss for the year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4,718,167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換算成億；歸母 </t>
    </r>
    <r>
      <rPr>
        <sz val="10"/>
        <color rgb="FF000000"/>
        <rFont val="Arial"/>
        <family val="0"/>
        <charset val="1"/>
      </rPr>
      <t xml:space="preserve">4,698,203</t>
    </r>
    <r>
      <rPr>
        <sz val="10"/>
        <color rgb="FF000000"/>
        <rFont val="Noto Sans CJK SC"/>
        <family val="2"/>
      </rPr>
      <t xml:space="preserve">；值以正數記虧損</t>
    </r>
  </si>
  <si>
    <t xml:space="preserve">SRC_ZP_146</t>
  </si>
  <si>
    <t xml:space="preserve">adj_loss_fy25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</si>
  <si>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Adjusted net loss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3,181,972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換算成億；加回股權報酬、投資人金融工具賬面值變動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、上市開支 </t>
    </r>
    <r>
      <rPr>
        <sz val="10"/>
        <color rgb="FF000000"/>
        <rFont val="Arial"/>
        <family val="0"/>
        <charset val="1"/>
      </rPr>
      <t xml:space="preserve">40,568</t>
    </r>
  </si>
  <si>
    <t xml:space="preserve">SRC_ZP_147</t>
  </si>
  <si>
    <t xml:space="preserve">fv_investor_instr_fy25</t>
  </si>
  <si>
    <t xml:space="preserve">投資人金融工具賬面值變動（調整項）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</si>
  <si>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</si>
  <si>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SRC_ZP_148</t>
  </si>
  <si>
    <t xml:space="preserve">fv_investor_instr_fy24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</si>
  <si>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468,859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</si>
  <si>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SRC_ZP_149</t>
  </si>
  <si>
    <t xml:space="preserve">capex_fy25</t>
  </si>
  <si>
    <t xml:space="preserve">資本開支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</si>
  <si>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capital expenditure in 2025 was approximately RMB74.7 million</t>
    </r>
    <r>
      <rPr>
        <sz val="10"/>
        <color rgb="FF000000"/>
        <rFont val="Noto Sans CJK SC"/>
        <family val="2"/>
      </rPr>
      <t xml:space="preserve">」；公告稱由租賃轉為採購服務；百萬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</si>
  <si>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SRC_ZP_150</t>
  </si>
  <si>
    <t xml:space="preserve">capex_fy24</t>
  </si>
  <si>
    <r>
      <rPr>
        <sz val="10"/>
        <color rgb="FF000000"/>
        <rFont val="Noto Sans CJK SC"/>
        <family val="2"/>
      </rPr>
      <t xml:space="preserve">年度業績公告比較數 </t>
    </r>
    <r>
      <rPr>
        <sz val="10"/>
        <color rgb="FF000000"/>
        <rFont val="Arial"/>
        <family val="0"/>
        <charset val="1"/>
      </rPr>
      <t xml:space="preserve">RMB462.3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</si>
  <si>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SRC_ZP_151</t>
  </si>
  <si>
    <t xml:space="preserve">cash_end_fy25</t>
  </si>
  <si>
    <t xml:space="preserve">年末現金及現金等價物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</si>
  <si>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</t>
    </r>
  </si>
  <si>
    <t xml:space="preserve">SRC_ZP_152</t>
  </si>
  <si>
    <t xml:space="preserve">cash_end_fy24_b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</si>
  <si>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2,269,222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（招股章程）；與招股章程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1,058 </t>
    </r>
    <r>
      <rPr>
        <sz val="10"/>
        <color rgb="FF000000"/>
        <rFont val="Noto Sans CJK SC"/>
        <family val="2"/>
      </rPr>
      <t xml:space="preserve">千元，原因未明（可能重分類）</t>
    </r>
  </si>
  <si>
    <t xml:space="preserve">SRC_ZP_153</t>
  </si>
  <si>
    <t xml:space="preserve">time_dep_fy25</t>
  </si>
  <si>
    <t xml:space="preserve">定期存款（流動）</t>
  </si>
  <si>
    <r>
      <rPr>
        <sz val="10"/>
        <color rgb="FF000000"/>
        <rFont val="Arial"/>
        <family val="0"/>
        <charset val="1"/>
      </rPr>
      <t xml:space="preserve">time deposits current 108,593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</si>
  <si>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SRC_ZP_154</t>
  </si>
  <si>
    <t xml:space="preserve">time_dep_fy24</t>
  </si>
  <si>
    <t xml:space="preserve">定期存款（非流動）</t>
  </si>
  <si>
    <r>
      <rPr>
        <sz val="10"/>
        <color rgb="FF000000"/>
        <rFont val="Arial"/>
        <family val="0"/>
        <charset val="1"/>
      </rPr>
      <t xml:space="preserve">time deposits non-current 105,343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</si>
  <si>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SRC_ZP_155</t>
  </si>
  <si>
    <t xml:space="preserve">bank_loans_fy25</t>
  </si>
  <si>
    <t xml:space="preserve">銀行貸款合計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</si>
  <si>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689,452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</si>
  <si>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SRC_ZP_156</t>
  </si>
  <si>
    <t xml:space="preserve">bank_loans_fy24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</si>
  <si>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137,246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</si>
  <si>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SRC_ZP_157</t>
  </si>
  <si>
    <t xml:space="preserve">lease_liab_fy25</t>
  </si>
  <si>
    <t xml:space="preserve">租賃負債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</si>
  <si>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545,143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</si>
  <si>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SRC_ZP_158</t>
  </si>
  <si>
    <t xml:space="preserve">lease_liab_fy24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</si>
  <si>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671,268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</si>
  <si>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SRC_ZP_159</t>
  </si>
  <si>
    <t xml:space="preserve">conv_bonds_fy24</t>
  </si>
  <si>
    <t xml:space="preserve">可轉換債券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</si>
  <si>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convertible bonds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132,158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年末為零</t>
    </r>
  </si>
  <si>
    <t xml:space="preserve">SRC_ZP_160</t>
  </si>
  <si>
    <t xml:space="preserve">payable_compute_fy25</t>
  </si>
  <si>
    <t xml:space="preserve">應付算力服務費（資產負債表）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</si>
  <si>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727,348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</si>
  <si>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SRC_ZP_161</t>
  </si>
  <si>
    <t xml:space="preserve">payable_compute_fy24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</si>
  <si>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269,467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</si>
  <si>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SRC_ZP_162</t>
  </si>
  <si>
    <t xml:space="preserve">employees_fy25</t>
  </si>
  <si>
    <t xml:space="preserve">全職員工人數</t>
  </si>
  <si>
    <t xml:space="preserve">2025-12-31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</si>
  <si>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Company had 1,094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</si>
  <si>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SRC_ZP_163</t>
  </si>
  <si>
    <t xml:space="preserve">remun_fy25</t>
  </si>
  <si>
    <t xml:space="preserve">薪酬總額（含股權報酬）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</si>
  <si>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RMB1,363.4 million during the Reporting Period</t>
    </r>
    <r>
      <rPr>
        <sz val="10"/>
        <color rgb="FF000000"/>
        <rFont val="Noto Sans CJK SC"/>
        <family val="2"/>
      </rPr>
      <t xml:space="preserve">」；百萬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</si>
  <si>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SRC_ZP_164</t>
  </si>
  <si>
    <t xml:space="preserve">comp_per_head_fy25</t>
  </si>
  <si>
    <t xml:space="preserve">人均薪酬（含股權報酬）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</si>
  <si>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</t>
    </r>
  </si>
  <si>
    <t xml:space="preserve">Derived</t>
  </si>
  <si>
    <t xml:space="preserve">2</t>
  </si>
  <si>
    <t xml:space="preserve">推算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</si>
  <si>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列推算（見備註）；立場同其來源</t>
    </r>
  </si>
  <si>
    <r>
      <rPr>
        <sz val="10"/>
        <color rgb="FF000000"/>
        <rFont val="Arial"/>
        <family val="0"/>
        <charset val="1"/>
      </rPr>
      <t xml:space="preserve">1,363.4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期末人數 </t>
    </r>
    <r>
      <rPr>
        <sz val="10"/>
        <color rgb="FF000000"/>
        <rFont val="Arial"/>
        <family val="0"/>
        <charset val="1"/>
      </rPr>
      <t xml:space="preserve">1,094</t>
    </r>
    <r>
      <rPr>
        <sz val="10"/>
        <color rgb="FF000000"/>
        <rFont val="Noto Sans CJK SC"/>
        <family val="2"/>
      </rPr>
      <t xml:space="preserve">＝約 </t>
    </r>
    <r>
      <rPr>
        <sz val="10"/>
        <color rgb="FF000000"/>
        <rFont val="Arial"/>
        <family val="0"/>
        <charset val="1"/>
      </rPr>
      <t xml:space="preserve">RMB 124.6 </t>
    </r>
    <r>
      <rPr>
        <sz val="10"/>
        <color rgb="FF000000"/>
        <rFont val="Noto Sans CJK SC"/>
        <family val="2"/>
      </rPr>
      <t xml:space="preserve">萬／人；以期末人數計（無平均人數）</t>
    </r>
  </si>
  <si>
    <t xml:space="preserve">SRC_ZP_165</t>
  </si>
  <si>
    <t xml:space="preserve">esop_fy25</t>
  </si>
  <si>
    <t xml:space="preserve">員工激勵計畫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</si>
  <si>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adopted the employee incentive scheme and established an employee shareholding platform</t>
    </r>
    <r>
      <rPr>
        <sz val="10"/>
        <color rgb="FF000000"/>
        <rFont val="Noto Sans CJK SC"/>
        <family val="2"/>
      </rPr>
      <t xml:space="preserve">」；條款未揭露</t>
    </r>
  </si>
  <si>
    <t xml:space="preserve">SRC_ZP_166</t>
  </si>
  <si>
    <t xml:space="preserve">api_price_fy25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</si>
  <si>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呼叫價格較上年底上升</t>
    </r>
  </si>
  <si>
    <r>
      <rPr>
        <sz val="10"/>
        <color rgb="FF000000"/>
        <rFont val="Arial"/>
        <family val="0"/>
        <charset val="1"/>
      </rPr>
      <t xml:space="preserve">2026Q1</t>
    </r>
    <r>
      <rPr>
        <sz val="10"/>
        <color rgb="FF000000"/>
        <rFont val="Noto Sans CJK SC"/>
        <family val="2"/>
      </rPr>
      <t xml:space="preserve">（公告時點）</t>
    </r>
  </si>
  <si>
    <t xml:space="preserve">智譜：上市後股價、配售誘因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</si>
  <si>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an 83% increase in API call pricing compared to the end of last year</t>
    </r>
    <r>
      <rPr>
        <sz val="10"/>
        <color rgb="FF000000"/>
        <rFont val="Noto Sans CJK SC"/>
        <family val="2"/>
      </rPr>
      <t xml:space="preserve">」</t>
    </r>
  </si>
  <si>
    <t xml:space="preserve">SRC_ZP_167</t>
  </si>
  <si>
    <t xml:space="preserve">codingplan_class_fy25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</si>
  <si>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收入歸屬</t>
    </r>
  </si>
  <si>
    <r>
      <rPr>
        <sz val="10"/>
        <color rgb="FF000000"/>
        <rFont val="Noto Sans CJK SC"/>
        <family val="2"/>
      </rPr>
      <t xml:space="preserve">公告於開放平台及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毛利段提及「</t>
    </r>
    <r>
      <rPr>
        <sz val="10"/>
        <color rgb="FF000000"/>
        <rFont val="Arial"/>
        <family val="0"/>
        <charset val="1"/>
      </rPr>
      <t xml:space="preserve">programming subscription packages</t>
    </r>
    <r>
      <rPr>
        <sz val="10"/>
        <color rgb="FF000000"/>
        <rFont val="Noto Sans CJK SC"/>
        <family val="2"/>
      </rPr>
      <t xml:space="preserve">」；未單列收入。判定歸入開放平台及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（雲端）</t>
    </r>
  </si>
  <si>
    <t xml:space="preserve">SRC_ZP_168</t>
  </si>
  <si>
    <t xml:space="preserve">codingplan_paying_fy25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</si>
  <si>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付費開發者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</si>
  <si>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over 242,000 paying Coding Plan developers</t>
    </r>
    <r>
      <rPr>
        <sz val="10"/>
        <color rgb="FF000000"/>
        <rFont val="Noto Sans CJK SC"/>
        <family val="2"/>
      </rPr>
      <t xml:space="preserve">（下限值）</t>
    </r>
  </si>
  <si>
    <t xml:space="preserve">SRC_ZP_169</t>
  </si>
  <si>
    <t xml:space="preserve">rev_api_1h26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</si>
  <si>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</t>
    </r>
  </si>
  <si>
    <t xml:space="preserve">1H2026</t>
  </si>
  <si>
    <r>
      <rPr>
        <sz val="10"/>
        <color rgb="FF000000"/>
        <rFont val="Noto Sans CJK SC"/>
        <family val="2"/>
      </rPr>
      <t xml:space="preserve">智譜（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</si>
  <si>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https://www1.hkexnews.hk/listedco/listconews/sehk/2026/0831/2026083101539.pdf</t>
  </si>
  <si>
    <t xml:space="preserve">2026-08-31</t>
  </si>
  <si>
    <t xml:space="preserve">未經審計（中期業績公告；是否經核數師審閱公告未見明載）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</si>
  <si>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</si>
  <si>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SRC_ZP_170</t>
  </si>
  <si>
    <t xml:space="preserve">rev_api_1h25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</si>
  <si>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</si>
  <si>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SRC_ZP_171</t>
  </si>
  <si>
    <t xml:space="preserve">rev_agent_1h26</t>
  </si>
  <si>
    <t xml:space="preserve">企業級智能體收入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</si>
  <si>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55,561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</si>
  <si>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SRC_ZP_172</t>
  </si>
  <si>
    <t xml:space="preserve">rev_agent_1h25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</si>
  <si>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13,739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</si>
  <si>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SRC_ZP_173</t>
  </si>
  <si>
    <t xml:space="preserve">rev_gpllm_1h26</t>
  </si>
  <si>
    <t xml:space="preserve">企業級通用大模型收入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</si>
  <si>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67,037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</si>
  <si>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SRC_ZP_174</t>
  </si>
  <si>
    <t xml:space="preserve">rev_gpllm_1h25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</si>
  <si>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147,555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</si>
  <si>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SRC_ZP_175</t>
  </si>
  <si>
    <t xml:space="preserve">rev_techsvc_1h26</t>
  </si>
  <si>
    <t xml:space="preserve">技術服務及其他收入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</si>
  <si>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6,118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</si>
  <si>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SRC_ZP_176</t>
  </si>
  <si>
    <t xml:space="preserve">rev_techsvc_1h25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</si>
  <si>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</si>
  <si>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SRC_ZP_177</t>
  </si>
  <si>
    <t xml:space="preserve">rev_total_1h26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</si>
  <si>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revenue 953,892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1H25 190,877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+399.7%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</si>
  <si>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SRC_ZP_178</t>
  </si>
  <si>
    <t xml:space="preserve">rev_onprem_1h26</t>
  </si>
  <si>
    <t xml:space="preserve">https://ea-cdn.eurolandir.com/press-releases-attachments/4174939/HKEX-EPS_20260831_12308928_0.PDF</t>
  </si>
  <si>
    <r>
      <rPr>
        <sz val="10"/>
        <color rgb="FF000000"/>
        <rFont val="Arial"/>
        <family val="0"/>
        <charset val="1"/>
      </rPr>
      <t xml:space="preserve">on-premise deployment 128,716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1H25 161,777</t>
    </r>
    <r>
      <rPr>
        <sz val="10"/>
        <color rgb="FF000000"/>
        <rFont val="Noto Sans CJK SC"/>
        <family val="2"/>
      </rPr>
      <t xml:space="preserve">），占 </t>
    </r>
    <r>
      <rPr>
        <sz val="10"/>
        <color rgb="FF000000"/>
        <rFont val="Arial"/>
        <family val="0"/>
        <charset val="1"/>
      </rPr>
      <t xml:space="preserve">13.5%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</si>
  <si>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SRC_ZP_179</t>
  </si>
  <si>
    <t xml:space="preserve">rev_cloud_1h26</t>
  </si>
  <si>
    <r>
      <rPr>
        <sz val="10"/>
        <color rgb="FF000000"/>
        <rFont val="Arial"/>
        <family val="0"/>
        <charset val="1"/>
      </rPr>
      <t xml:space="preserve">cloud-based deployment 825,176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</si>
  <si>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SRC_ZP_180</t>
  </si>
  <si>
    <t xml:space="preserve">rev_onprem_1h26_b</t>
  </si>
  <si>
    <t xml:space="preserve">本地化部署相關收入（媒體）</t>
  </si>
  <si>
    <t xml:space="preserve">鉅亨號〈智譜上半年業績暴漲 造血能力驗證〉</t>
  </si>
  <si>
    <t xml:space="preserve">https://hao.cnyes.com/post/265529</t>
  </si>
  <si>
    <t xml:space="preserve">2026-09-01</t>
  </si>
  <si>
    <t xml:space="preserve">媒體（鉅亨號）轉述</t>
  </si>
  <si>
    <t xml:space="preserve">媒體轉述</t>
  </si>
  <si>
    <t xml:space="preserve">二手</t>
  </si>
  <si>
    <r>
      <rPr>
        <sz val="10"/>
        <color rgb="FF000000"/>
        <rFont val="Noto Sans CJK SC"/>
        <family val="2"/>
      </rPr>
      <t xml:space="preserve">原文「本地化部署相關收入</t>
    </r>
    <r>
      <rPr>
        <sz val="10"/>
        <color rgb="FF000000"/>
        <rFont val="Arial"/>
        <family val="0"/>
        <charset val="1"/>
      </rPr>
      <t xml:space="preserve">6,704</t>
    </r>
    <r>
      <rPr>
        <sz val="10"/>
        <color rgb="FF000000"/>
        <rFont val="Noto Sans CJK SC"/>
        <family val="2"/>
      </rPr>
      <t xml:space="preserve">萬元」；與公告分部 </t>
    </r>
    <r>
      <rPr>
        <sz val="10"/>
        <color rgb="FF000000"/>
        <rFont val="Arial"/>
        <family val="0"/>
        <charset val="1"/>
      </rPr>
      <t xml:space="preserve">1.287 </t>
    </r>
    <r>
      <rPr>
        <sz val="10"/>
        <color rgb="FF000000"/>
        <rFont val="Noto Sans CJK SC"/>
        <family val="2"/>
      </rPr>
      <t xml:space="preserve">億矛盾：媒體只計企業級通用大模型</t>
    </r>
  </si>
  <si>
    <t xml:space="preserve">SRC_ZP_181</t>
  </si>
  <si>
    <t xml:space="preserve">rev_onprem_1h26_c</t>
  </si>
  <si>
    <t xml:space="preserve">本地化部署收入（券商）</t>
  </si>
  <si>
    <r>
      <rPr>
        <sz val="10"/>
        <color rgb="FF000000"/>
        <rFont val="Noto Sans CJK SC"/>
        <family val="2"/>
      </rPr>
      <t xml:space="preserve">國信證券〈</t>
    </r>
    <r>
      <rPr>
        <sz val="10"/>
        <color rgb="FF000000"/>
        <rFont val="Arial"/>
        <family val="0"/>
        <charset val="1"/>
      </rPr>
      <t xml:space="preserve">26H1</t>
    </r>
    <r>
      <rPr>
        <sz val="10"/>
        <color rgb="FF000000"/>
        <rFont val="Noto Sans CJK SC"/>
        <family val="2"/>
      </rPr>
      <t xml:space="preserve">財報點評〉（格隆匯轉載）</t>
    </r>
  </si>
  <si>
    <t xml:space="preserve">https://m.gelonghui.com/news/5306647</t>
  </si>
  <si>
    <t xml:space="preserve">2026-09-04</t>
  </si>
  <si>
    <t xml:space="preserve">國信證券：券商研究，交易誘因</t>
  </si>
  <si>
    <t xml:space="preserve">券商口徑</t>
  </si>
  <si>
    <r>
      <rPr>
        <sz val="10"/>
        <color rgb="FF000000"/>
        <rFont val="Noto Sans CJK SC"/>
        <family val="2"/>
      </rPr>
      <t xml:space="preserve">原文 本地化部署收入 </t>
    </r>
    <r>
      <rPr>
        <sz val="10"/>
        <color rgb="FF000000"/>
        <rFont val="Arial"/>
        <family val="0"/>
        <charset val="1"/>
      </rPr>
      <t xml:space="preserve">1.30 </t>
    </r>
    <r>
      <rPr>
        <sz val="10"/>
        <color rgb="FF000000"/>
        <rFont val="Noto Sans CJK SC"/>
        <family val="2"/>
      </rPr>
      <t xml:space="preserve">億元、毛利率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；與公告 </t>
    </r>
    <r>
      <rPr>
        <sz val="10"/>
        <color rgb="FF000000"/>
        <rFont val="Arial"/>
        <family val="0"/>
        <charset val="1"/>
      </rPr>
      <t xml:space="preserve">128,716 </t>
    </r>
    <r>
      <rPr>
        <sz val="10"/>
        <color rgb="FF000000"/>
        <rFont val="Noto Sans CJK SC"/>
        <family val="2"/>
      </rPr>
      <t xml:space="preserve">千元一致（四捨五入）</t>
    </r>
  </si>
  <si>
    <t xml:space="preserve">SRC_ZP_182</t>
  </si>
  <si>
    <t xml:space="preserve">cogs_1h26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</si>
  <si>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primarily attributable to the increase in computing service fees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702,281</t>
    </r>
    <r>
      <rPr>
        <sz val="10"/>
        <color rgb="FF000000"/>
        <rFont val="Noto Sans CJK SC"/>
        <family val="2"/>
      </rPr>
      <t xml:space="preserve">；算力服務費金額未揭露；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</si>
  <si>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SRC_ZP_183</t>
  </si>
  <si>
    <t xml:space="preserve">cogs_1h25_i</t>
  </si>
  <si>
    <t xml:space="preserve">銷售成本（中期公告比較數）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</si>
  <si>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，與招股章程一致；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</si>
  <si>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SRC_ZP_184</t>
  </si>
  <si>
    <t xml:space="preserve">gp_total_1h26</t>
  </si>
  <si>
    <r>
      <rPr>
        <sz val="10"/>
        <color rgb="FF000000"/>
        <rFont val="Arial"/>
        <family val="0"/>
        <charset val="1"/>
      </rPr>
      <t xml:space="preserve">gross profit 251,611 </t>
    </r>
    <r>
      <rPr>
        <sz val="10"/>
        <color rgb="FF000000"/>
        <rFont val="Noto Sans CJK SC"/>
        <family val="2"/>
      </rPr>
      <t xml:space="preserve">千元；毛利率 </t>
    </r>
    <r>
      <rPr>
        <sz val="10"/>
        <color rgb="FF000000"/>
        <rFont val="Arial"/>
        <family val="0"/>
        <charset val="1"/>
      </rPr>
      <t xml:space="preserve">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</si>
  <si>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SRC_ZP_185</t>
  </si>
  <si>
    <t xml:space="preserve">gm_total_1h26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</si>
  <si>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</t>
    </r>
  </si>
  <si>
    <t xml:space="preserve">SRC_ZP_186</t>
  </si>
  <si>
    <t xml:space="preserve">gp_api_1h26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</si>
  <si>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</si>
  <si>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SRC_ZP_187</t>
  </si>
  <si>
    <t xml:space="preserve">gp_api_1h25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</si>
  <si>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-0.4%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</si>
  <si>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SRC_ZP_188</t>
  </si>
  <si>
    <t xml:space="preserve">gp_agent_1h26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</si>
  <si>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19,796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35.6%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</si>
  <si>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SRC_ZP_189</t>
  </si>
  <si>
    <t xml:space="preserve">gp_agent_1h25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</si>
  <si>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8,880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</si>
  <si>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SRC_ZP_190</t>
  </si>
  <si>
    <t xml:space="preserve">gp_gpllm_1h26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</si>
  <si>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28,368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42.3%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</si>
  <si>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SRC_ZP_191</t>
  </si>
  <si>
    <t xml:space="preserve">gp_gpllm_1h25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</si>
  <si>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86,342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58.5%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</si>
  <si>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SRC_ZP_192</t>
  </si>
  <si>
    <t xml:space="preserve">gp_techsvc_1h26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</si>
  <si>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576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9.4%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</si>
  <si>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SRC_ZP_193</t>
  </si>
  <si>
    <t xml:space="preserve">gp_techsvc_1h25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</si>
  <si>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318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65.8%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</si>
  <si>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SRC_ZP_194</t>
  </si>
  <si>
    <t xml:space="preserve">gp_onprem_1h26</t>
  </si>
  <si>
    <r>
      <rPr>
        <sz val="10"/>
        <color rgb="FF000000"/>
        <rFont val="Arial"/>
        <family val="0"/>
        <charset val="1"/>
      </rPr>
      <t xml:space="preserve">segment gross profit on-premise 48,740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95,540</t>
    </r>
    <r>
      <rPr>
        <sz val="10"/>
        <color rgb="FF000000"/>
        <rFont val="Noto Sans CJK SC"/>
        <family val="2"/>
      </rPr>
      <t xml:space="preserve">）；毛利率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</si>
  <si>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SRC_ZP_195</t>
  </si>
  <si>
    <t xml:space="preserve">cogs_api_1h26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</si>
  <si>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銷售成本（推算）</t>
    </r>
  </si>
  <si>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－毛利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622,305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</si>
  <si>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SRC_ZP_196</t>
  </si>
  <si>
    <t xml:space="preserve">cogs_onprem_1h26</t>
  </si>
  <si>
    <t xml:space="preserve">本地化部署銷售成本（推算）</t>
  </si>
  <si>
    <r>
      <rPr>
        <sz val="10"/>
        <color rgb="FF000000"/>
        <rFont val="Arial"/>
        <family val="0"/>
        <charset val="1"/>
      </rPr>
      <t xml:space="preserve">128,716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48,740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79,976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</si>
  <si>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SRC_ZP_197</t>
  </si>
  <si>
    <t xml:space="preserve">cogs_api_fy25</t>
  </si>
  <si>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154,379 </t>
    </r>
    <r>
      <rPr>
        <sz val="10"/>
        <color rgb="FF000000"/>
        <rFont val="Noto Sans CJK SC"/>
        <family val="2"/>
      </rPr>
      <t xml:space="preserve">千元</t>
    </r>
  </si>
  <si>
    <t xml:space="preserve">SRC_ZP_198</t>
  </si>
  <si>
    <t xml:space="preserve">cogs_onprem_fy25</t>
  </si>
  <si>
    <r>
      <rPr>
        <sz val="10"/>
        <color rgb="FF000000"/>
        <rFont val="Arial"/>
        <family val="0"/>
        <charset val="1"/>
      </rPr>
      <t xml:space="preserve">533,955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273,299 </t>
    </r>
    <r>
      <rPr>
        <sz val="10"/>
        <color rgb="FF000000"/>
        <rFont val="Noto Sans CJK SC"/>
        <family val="2"/>
      </rPr>
      <t xml:space="preserve">千元</t>
    </r>
  </si>
  <si>
    <t xml:space="preserve">SRC_ZP_199</t>
  </si>
  <si>
    <t xml:space="preserve">rd_1h26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</si>
  <si>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continued increase in research and development investment in model training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2,131,171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+33.6%</t>
    </r>
    <r>
      <rPr>
        <sz val="10"/>
        <color rgb="FF000000"/>
        <rFont val="Noto Sans CJK SC"/>
        <family val="2"/>
      </rPr>
      <t xml:space="preserve">；組成未揭露；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</si>
  <si>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SRC_ZP_200</t>
  </si>
  <si>
    <t xml:space="preserve">sm_1h26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</si>
  <si>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177,666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</si>
  <si>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SRC_ZP_201</t>
  </si>
  <si>
    <t xml:space="preserve">ga_1h26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</si>
  <si>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103,346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44.2%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</si>
  <si>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SRC_ZP_202</t>
  </si>
  <si>
    <t xml:space="preserve">sbc_1h26</t>
  </si>
  <si>
    <t xml:space="preserve">以權益結算股權報酬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</si>
  <si>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85,764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比較數 </t>
    </r>
    <r>
      <rPr>
        <sz val="10"/>
        <color rgb="FF000000"/>
        <rFont val="Arial"/>
        <family val="0"/>
        <charset val="1"/>
      </rPr>
      <t xml:space="preserve">158,852 </t>
    </r>
    <r>
      <rPr>
        <sz val="10"/>
        <color rgb="FF000000"/>
        <rFont val="Noto Sans CJK SC"/>
        <family val="2"/>
      </rPr>
      <t xml:space="preserve">與招股章程同</t>
    </r>
  </si>
  <si>
    <t xml:space="preserve">SRC_ZP_203</t>
  </si>
  <si>
    <t xml:space="preserve">other_inc_1h26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</si>
  <si>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41,436</t>
    </r>
    <r>
      <rPr>
        <sz val="10"/>
        <color rgb="FF000000"/>
        <rFont val="Noto Sans CJK SC"/>
        <family val="2"/>
      </rPr>
      <t xml:space="preserve">；公告歸因上市後銀行存款增加帶來利息收入；未提政府補助；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</si>
  <si>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SRC_ZP_204</t>
  </si>
  <si>
    <t xml:space="preserve">fin_cost_1h26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</si>
  <si>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net foreign exchange losses and the increase in interest expenses on bank loans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95,925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</si>
  <si>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SRC_ZP_205</t>
  </si>
  <si>
    <t xml:space="preserve">net_loss_1h26</t>
  </si>
  <si>
    <t xml:space="preserve">期內虧損</t>
  </si>
  <si>
    <r>
      <rPr>
        <sz val="10"/>
        <color rgb="FF000000"/>
        <rFont val="Arial"/>
        <family val="0"/>
        <charset val="1"/>
      </rPr>
      <t xml:space="preserve">loss for the period 2,071,992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2,357,852</t>
    </r>
    <r>
      <rPr>
        <sz val="10"/>
        <color rgb="FF000000"/>
        <rFont val="Noto Sans CJK SC"/>
        <family val="2"/>
      </rPr>
      <t xml:space="preserve">）；正數記虧損；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</si>
  <si>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SRC_ZP_206</t>
  </si>
  <si>
    <t xml:space="preserve">adj_loss_1h26</t>
  </si>
  <si>
    <r>
      <rPr>
        <sz val="10"/>
        <color rgb="FF000000"/>
        <rFont val="Noto Sans CJK SC"/>
        <family val="2"/>
      </rPr>
      <t xml:space="preserve">加回 </t>
    </r>
    <r>
      <rPr>
        <sz val="10"/>
        <color rgb="FF000000"/>
        <rFont val="Arial"/>
        <family val="0"/>
        <charset val="1"/>
      </rPr>
      <t xml:space="preserve">SBC 85,764</t>
    </r>
    <r>
      <rPr>
        <sz val="10"/>
        <color rgb="FF000000"/>
        <rFont val="Noto Sans CJK SC"/>
        <family val="2"/>
      </rPr>
      <t xml:space="preserve">、投資人工具變動 </t>
    </r>
    <r>
      <rPr>
        <sz val="10"/>
        <color rgb="FF000000"/>
        <rFont val="Arial"/>
        <family val="0"/>
        <charset val="1"/>
      </rPr>
      <t xml:space="preserve">22,090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1,964,138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1,751,974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</si>
  <si>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SRC_ZP_207</t>
  </si>
  <si>
    <t xml:space="preserve">net_loss_1h25_b</t>
  </si>
  <si>
    <t xml:space="preserve">期內淨虧損（媒體引部落客）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</si>
  <si>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</t>
    </r>
  </si>
  <si>
    <t xml:space="preserve">https://www.36kr.com/p/3611675144253960</t>
  </si>
  <si>
    <t xml:space="preserve">2025-12-26</t>
  </si>
  <si>
    <r>
      <rPr>
        <sz val="10"/>
        <color rgb="FF000000"/>
        <rFont val="Noto Sans CJK SC"/>
        <family val="2"/>
      </rPr>
      <t xml:space="preserve">媒體稱淨虧損 </t>
    </r>
    <r>
      <rPr>
        <sz val="10"/>
        <color rgb="FF000000"/>
        <rFont val="Arial"/>
        <family val="0"/>
        <charset val="1"/>
      </rPr>
      <t xml:space="preserve">17.51 </t>
    </r>
    <r>
      <rPr>
        <sz val="10"/>
        <color rgb="FF000000"/>
        <rFont val="Noto Sans CJK SC"/>
        <family val="2"/>
      </rPr>
      <t xml:space="preserve">億；實為經調整淨虧損（招股章程 </t>
    </r>
    <r>
      <rPr>
        <sz val="10"/>
        <color rgb="FF000000"/>
        <rFont val="Arial"/>
        <family val="0"/>
        <charset val="1"/>
      </rPr>
      <t xml:space="preserve">17.52 </t>
    </r>
    <r>
      <rPr>
        <sz val="10"/>
        <color rgb="FF000000"/>
        <rFont val="Noto Sans CJK SC"/>
        <family val="2"/>
      </rPr>
      <t xml:space="preserve">億），與期內虧損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億矛盾</t>
    </r>
  </si>
  <si>
    <t xml:space="preserve">SRC_ZP_208</t>
  </si>
  <si>
    <t xml:space="preserve">net_loss_1h25_c</t>
  </si>
  <si>
    <t xml:space="preserve">淨利潤（券商）</t>
  </si>
  <si>
    <r>
      <rPr>
        <sz val="10"/>
        <color rgb="FF000000"/>
        <rFont val="Noto Sans CJK SC"/>
        <family val="2"/>
      </rPr>
      <t xml:space="preserve">國信證券〈垂類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應用專題：智譜〉</t>
    </r>
  </si>
  <si>
    <t xml:space="preserve">https://pdf.dfcfw.com/pdf/H3_AP202601071816825157_1.pdf</t>
  </si>
  <si>
    <t xml:space="preserve">2026-01-07</t>
  </si>
  <si>
    <r>
      <rPr>
        <sz val="10"/>
        <color rgb="FF000000"/>
        <rFont val="Noto Sans CJK SC"/>
        <family val="2"/>
      </rPr>
      <t xml:space="preserve">原文「净利润为</t>
    </r>
    <r>
      <rPr>
        <sz val="10"/>
        <color rgb="FF000000"/>
        <rFont val="Arial"/>
        <family val="0"/>
        <charset val="1"/>
      </rPr>
      <t xml:space="preserve">-23.51</t>
    </r>
    <r>
      <rPr>
        <sz val="10"/>
        <color rgb="FF000000"/>
        <rFont val="Noto Sans CJK SC"/>
        <family val="2"/>
      </rPr>
      <t xml:space="preserve">亿元」；與招股章程期內虧損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億不一致（可能為歸母）</t>
    </r>
  </si>
  <si>
    <t xml:space="preserve">SRC_ZP_209</t>
  </si>
  <si>
    <t xml:space="preserve">capex_1h26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</si>
  <si>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increased from RMB53.7 million to RMB390.6 million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+627.4%</t>
    </r>
    <r>
      <rPr>
        <sz val="10"/>
        <color rgb="FF000000"/>
        <rFont val="Noto Sans CJK SC"/>
        <family val="2"/>
      </rPr>
      <t xml:space="preserve">），主因收購北京紅鑽；百萬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</si>
  <si>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SRC_ZP_210</t>
  </si>
  <si>
    <t xml:space="preserve">capex_1h25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</si>
  <si>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RMB53.7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</si>
  <si>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SRC_ZP_211</t>
  </si>
  <si>
    <t xml:space="preserve">cash_end_1h26</t>
  </si>
  <si>
    <t xml:space="preserve">期末現金及現金等價物</t>
  </si>
  <si>
    <t xml:space="preserve">2026-06-30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</si>
  <si>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3,993,722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</si>
  <si>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SRC_ZP_212</t>
  </si>
  <si>
    <t xml:space="preserve">time_dep_1h26</t>
  </si>
  <si>
    <t xml:space="preserve">定期存款</t>
  </si>
  <si>
    <r>
      <rPr>
        <sz val="10"/>
        <color rgb="FF000000"/>
        <rFont val="Arial"/>
        <family val="0"/>
        <charset val="1"/>
      </rPr>
      <t xml:space="preserve">time deposits nil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108,593 </t>
    </r>
    <r>
      <rPr>
        <sz val="10"/>
        <color rgb="FF000000"/>
        <rFont val="Noto Sans CJK SC"/>
        <family val="2"/>
      </rPr>
      <t xml:space="preserve">千元）</t>
    </r>
  </si>
  <si>
    <t xml:space="preserve">SRC_ZP_213</t>
  </si>
  <si>
    <t xml:space="preserve">bank_loans_1h26</t>
  </si>
  <si>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789,831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1,434,958 </t>
    </r>
    <r>
      <rPr>
        <sz val="10"/>
        <color rgb="FF000000"/>
        <rFont val="Noto Sans CJK SC"/>
        <family val="2"/>
      </rPr>
      <t xml:space="preserve">千元；原文「</t>
    </r>
    <r>
      <rPr>
        <sz val="10"/>
        <color rgb="FF000000"/>
        <rFont val="Arial"/>
        <family val="0"/>
        <charset val="1"/>
      </rPr>
      <t xml:space="preserve">interest-bearing, denominated primarily in RMB and unsecured</t>
    </r>
    <r>
      <rPr>
        <sz val="10"/>
        <color rgb="FF000000"/>
        <rFont val="Noto Sans CJK SC"/>
        <family val="2"/>
      </rPr>
      <t xml:space="preserve">」；利率、到期未揭露；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</si>
  <si>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SRC_ZP_214</t>
  </si>
  <si>
    <t xml:space="preserve">bank_loans_cur_1h26</t>
  </si>
  <si>
    <t xml:space="preserve">銀行貸款（流動，一年內到期）</t>
  </si>
  <si>
    <r>
      <rPr>
        <sz val="10"/>
        <color rgb="FF000000"/>
        <rFont val="Arial"/>
        <family val="0"/>
        <charset val="1"/>
      </rPr>
      <t xml:space="preserve">current 789,831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</si>
  <si>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SRC_ZP_215</t>
  </si>
  <si>
    <t xml:space="preserve">bank_loans_ncur_1h26</t>
  </si>
  <si>
    <t xml:space="preserve">銀行貸款（非流動）</t>
  </si>
  <si>
    <r>
      <rPr>
        <sz val="10"/>
        <color rgb="FF000000"/>
        <rFont val="Arial"/>
        <family val="0"/>
        <charset val="1"/>
      </rPr>
      <t xml:space="preserve">non-current 1,434,958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</si>
  <si>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SRC_ZP_216</t>
  </si>
  <si>
    <t xml:space="preserve">bank_loans_cur_fy25</t>
  </si>
  <si>
    <t xml:space="preserve">銀行貸款（流動）</t>
  </si>
  <si>
    <r>
      <rPr>
        <sz val="10"/>
        <color rgb="FF000000"/>
        <rFont val="Arial"/>
        <family val="0"/>
        <charset val="1"/>
      </rPr>
      <t xml:space="preserve">current 604,836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</si>
  <si>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SRC_ZP_217</t>
  </si>
  <si>
    <t xml:space="preserve">bank_loans_ncur_fy25</t>
  </si>
  <si>
    <r>
      <rPr>
        <sz val="10"/>
        <color rgb="FF000000"/>
        <rFont val="Arial"/>
        <family val="0"/>
        <charset val="1"/>
      </rPr>
      <t xml:space="preserve">non-current 84,616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</si>
  <si>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SRC_ZP_218</t>
  </si>
  <si>
    <t xml:space="preserve">payable_compute_1h26</t>
  </si>
  <si>
    <t xml:space="preserve">應付算力服務費</t>
  </si>
  <si>
    <r>
      <rPr>
        <sz val="10"/>
        <color rgb="FF000000"/>
        <rFont val="Arial"/>
        <family val="0"/>
        <charset val="1"/>
      </rPr>
      <t xml:space="preserve">payables for computing service fees 1,427,415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</si>
  <si>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SRC_ZP_219</t>
  </si>
  <si>
    <t xml:space="preserve">prepay_compute_1h26</t>
  </si>
  <si>
    <t xml:space="preserve">預付算力服務費及其他</t>
  </si>
  <si>
    <r>
      <rPr>
        <sz val="10"/>
        <color rgb="FF000000"/>
        <rFont val="Arial"/>
        <family val="0"/>
        <charset val="1"/>
      </rPr>
      <t xml:space="preserve">prepayments for computing service fee and others 1,243,736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116,295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</si>
  <si>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SRC_ZP_220</t>
  </si>
  <si>
    <t xml:space="preserve">prepay_compute_fy25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</si>
  <si>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116,295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</si>
  <si>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SRC_ZP_221</t>
  </si>
  <si>
    <t xml:space="preserve">deferred_inc_1h26</t>
  </si>
  <si>
    <t xml:space="preserve">遞延收益（非流動）</t>
  </si>
  <si>
    <r>
      <rPr>
        <sz val="10"/>
        <color rgb="FF000000"/>
        <rFont val="Arial"/>
        <family val="0"/>
        <charset val="1"/>
      </rPr>
      <t xml:space="preserve">non-current deferred income 172,991 </t>
    </r>
    <r>
      <rPr>
        <sz val="10"/>
        <color rgb="FF000000"/>
        <rFont val="Noto Sans CJK SC"/>
        <family val="2"/>
      </rPr>
      <t xml:space="preserve">千元；性質未說明（可能含政府補助，未證實）；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</si>
  <si>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SRC_ZP_222</t>
  </si>
  <si>
    <t xml:space="preserve">employees_1h26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</si>
  <si>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Group had 981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</si>
  <si>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SRC_ZP_223</t>
  </si>
  <si>
    <t xml:space="preserve">employees_1h25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</si>
  <si>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883</t>
    </r>
    <r>
      <rPr>
        <sz val="10"/>
        <color rgb="FF000000"/>
        <rFont val="Noto Sans CJK SC"/>
        <family val="2"/>
      </rPr>
      <t xml:space="preserve">；鈦媒體亦稱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）</t>
    </r>
  </si>
  <si>
    <t xml:space="preserve">SRC_ZP_224</t>
  </si>
  <si>
    <t xml:space="preserve">remun_1h26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</si>
  <si>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remuneration costs (including share-based payments) of RMB482.1 million</t>
    </r>
    <r>
      <rPr>
        <sz val="10"/>
        <color rgb="FF000000"/>
        <rFont val="Noto Sans CJK SC"/>
        <family val="2"/>
      </rPr>
      <t xml:space="preserve">」</t>
    </r>
  </si>
  <si>
    <t xml:space="preserve">SRC_ZP_225</t>
  </si>
  <si>
    <t xml:space="preserve">remun_1h25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</si>
  <si>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RMB499.6 million</t>
    </r>
  </si>
  <si>
    <t xml:space="preserve">SRC_ZP_226</t>
  </si>
  <si>
    <t xml:space="preserve">comp_per_head_1h26</t>
  </si>
  <si>
    <t xml:space="preserve">人均半年薪酬（含股權報酬）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</si>
  <si>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億／人／半年</t>
    </r>
  </si>
  <si>
    <r>
      <rPr>
        <sz val="10"/>
        <color rgb="FF000000"/>
        <rFont val="Arial"/>
        <family val="0"/>
        <charset val="1"/>
      </rPr>
      <t xml:space="preserve">482.1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 </t>
    </r>
    <r>
      <rPr>
        <sz val="10"/>
        <color rgb="FF000000"/>
        <rFont val="Arial"/>
        <family val="0"/>
        <charset val="1"/>
      </rPr>
      <t xml:space="preserve">981 </t>
    </r>
    <r>
      <rPr>
        <sz val="10"/>
        <color rgb="FF000000"/>
        <rFont val="Noto Sans CJK SC"/>
        <family val="2"/>
      </rPr>
      <t xml:space="preserve">人＝約 </t>
    </r>
    <r>
      <rPr>
        <sz val="10"/>
        <color rgb="FF000000"/>
        <rFont val="Arial"/>
        <family val="0"/>
        <charset val="1"/>
      </rPr>
      <t xml:space="preserve">49.1 </t>
    </r>
    <r>
      <rPr>
        <sz val="10"/>
        <color rgb="FF000000"/>
        <rFont val="Noto Sans CJK SC"/>
        <family val="2"/>
      </rPr>
      <t xml:space="preserve">萬元／人／半年</t>
    </r>
  </si>
  <si>
    <t xml:space="preserve">SRC_ZP_227</t>
  </si>
  <si>
    <t xml:space="preserve">api_price_1h26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</si>
  <si>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平均售價上升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</si>
  <si>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」；比較基準未明</t>
    </r>
  </si>
  <si>
    <t xml:space="preserve">SRC_ZP_228</t>
  </si>
  <si>
    <t xml:space="preserve">codingplan_class_1h26</t>
  </si>
  <si>
    <r>
      <rPr>
        <sz val="10"/>
        <color rgb="FF000000"/>
        <rFont val="Noto Sans CJK SC"/>
        <family val="2"/>
      </rPr>
      <t xml:space="preserve">未單列。雲端分部＝開放平台及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），本地化＝其餘三線合計；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為雲端訂閱，故在開放平台及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內</t>
    </r>
  </si>
  <si>
    <t xml:space="preserve">SRC_ZP_229</t>
  </si>
  <si>
    <t xml:space="preserve">domestic_chip_1h26</t>
  </si>
  <si>
    <t xml:space="preserve">國產晶片推論集群規模</t>
  </si>
  <si>
    <t xml:space="preserve">顆（下限）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</si>
  <si>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across a cluster of over 100,000 domestic chips</t>
    </r>
    <r>
      <rPr>
        <sz val="10"/>
        <color rgb="FF000000"/>
        <rFont val="Noto Sans CJK SC"/>
        <family val="2"/>
      </rPr>
      <t xml:space="preserve">」</t>
    </r>
  </si>
  <si>
    <t xml:space="preserve">SRC_ZP_230</t>
  </si>
  <si>
    <t xml:space="preserve">rd_compute_fy22</t>
  </si>
  <si>
    <t xml:space="preserve">研發開支中算力服務費（含模型訓練及雲端部署服務）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</si>
  <si>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氪轉載〈市值水晶〉（王浩然）</t>
    </r>
  </si>
  <si>
    <t xml:space="preserve">媒體轉述（招股章程）</t>
  </si>
  <si>
    <r>
      <rPr>
        <sz val="10"/>
        <color rgb="FF000000"/>
        <rFont val="Noto Sans CJK SC"/>
        <family val="2"/>
      </rPr>
      <t xml:space="preserve">原文「从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亿元」；原始招股章程財務資料節未能讀取</t>
    </r>
  </si>
  <si>
    <t xml:space="preserve">SRC_ZP_231</t>
  </si>
  <si>
    <t xml:space="preserve">rd_compute_1h25</t>
  </si>
  <si>
    <r>
      <rPr>
        <sz val="10"/>
        <color rgb="FF000000"/>
        <rFont val="Noto Sans CJK SC"/>
        <family val="2"/>
      </rPr>
      <t xml:space="preserve">原文「到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亿」；原始招股章程財務資料節未能讀取</t>
    </r>
  </si>
  <si>
    <t xml:space="preserve">SRC_ZP_232</t>
  </si>
  <si>
    <t xml:space="preserve">rd_compute_fy24</t>
  </si>
  <si>
    <t xml:space="preserve">研發開支中算力服務費</t>
  </si>
  <si>
    <t xml:space="preserve">華爾街見聞</t>
  </si>
  <si>
    <t xml:space="preserve">https://wallstreetcn.com/articles/3761769</t>
  </si>
  <si>
    <t xml:space="preserve">2025-12-20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</si>
  <si>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年算力服務費 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億元，「同期收入的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倍左右」；原始財務資料節未能讀取</t>
    </r>
  </si>
  <si>
    <t xml:space="preserve">SRC_ZP_233</t>
  </si>
  <si>
    <t xml:space="preserve">rd_compute_fy24_b</t>
  </si>
  <si>
    <t xml:space="preserve">每日經濟新聞</t>
  </si>
  <si>
    <t xml:space="preserve">https://www.nbd.com.cn/articles/2025-12-21/4189232.html</t>
  </si>
  <si>
    <t xml:space="preserve">2025-12-21</t>
  </si>
  <si>
    <r>
      <rPr>
        <sz val="10"/>
        <color rgb="FF000000"/>
        <rFont val="Arial"/>
        <family val="0"/>
        <charset val="1"/>
      </rPr>
      <t xml:space="preserve">15.53 </t>
    </r>
    <r>
      <rPr>
        <sz val="10"/>
        <color rgb="FF000000"/>
        <rFont val="Noto Sans CJK SC"/>
        <family val="2"/>
      </rPr>
      <t xml:space="preserve">億元，占研發逾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；與華爾街見聞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</si>
  <si>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SRC_ZP_234</t>
  </si>
  <si>
    <t xml:space="preserve">rd_compute_share_1h25</t>
  </si>
  <si>
    <t xml:space="preserve">算力服務費占研發開支比重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</si>
  <si>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（下限）</t>
    </r>
  </si>
  <si>
    <t xml:space="preserve">原文「仍维持在七成以上」</t>
  </si>
  <si>
    <t xml:space="preserve">SRC_ZP_235</t>
  </si>
  <si>
    <t xml:space="preserve">rd_staff_cost_fy22</t>
  </si>
  <si>
    <t xml:space="preserve">研發人員工資成本</t>
  </si>
  <si>
    <r>
      <rPr>
        <sz val="10"/>
        <color rgb="FF000000"/>
        <rFont val="Noto Sans CJK SC"/>
        <family val="2"/>
      </rPr>
      <t xml:space="preserve">原文「研发人员的工资成本分别为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1.37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3.24</t>
    </r>
    <r>
      <rPr>
        <sz val="10"/>
        <color rgb="FF000000"/>
        <rFont val="Noto Sans CJK SC"/>
        <family val="2"/>
      </rPr>
      <t xml:space="preserve">亿元…</t>
    </r>
    <r>
      <rPr>
        <sz val="10"/>
        <color rgb="FF000000"/>
        <rFont val="Arial"/>
        <family val="0"/>
        <charset val="1"/>
      </rPr>
      <t xml:space="preserve">2.66</t>
    </r>
    <r>
      <rPr>
        <sz val="10"/>
        <color rgb="FF000000"/>
        <rFont val="Noto Sans CJK SC"/>
        <family val="2"/>
      </rPr>
      <t xml:space="preserve">亿元」</t>
    </r>
  </si>
  <si>
    <t xml:space="preserve">SRC_ZP_236</t>
  </si>
  <si>
    <t xml:space="preserve">rd_staff_cost_fy23</t>
  </si>
  <si>
    <t xml:space="preserve">SRC_ZP_237</t>
  </si>
  <si>
    <t xml:space="preserve">rd_staff_cost_fy24</t>
  </si>
  <si>
    <t xml:space="preserve">SRC_ZP_238</t>
  </si>
  <si>
    <t xml:space="preserve">rd_staff_cost_1h25</t>
  </si>
  <si>
    <t xml:space="preserve">SRC_ZP_239</t>
  </si>
  <si>
    <t xml:space="preserve">rd_staff_share_fy24</t>
  </si>
  <si>
    <t xml:space="preserve">工資成本占研發開支比重</t>
  </si>
  <si>
    <t xml:space="preserve">鈦媒體（山上）</t>
  </si>
  <si>
    <t xml:space="preserve">https://www.tmtpost.com/7815849.html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</si>
  <si>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年工資成本占研發 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3.24/21.95 </t>
    </r>
    <r>
      <rPr>
        <sz val="10"/>
        <color rgb="FF000000"/>
        <rFont val="Noto Sans CJK SC"/>
        <family val="2"/>
      </rPr>
      <t xml:space="preserve">吻合）</t>
    </r>
  </si>
  <si>
    <t xml:space="preserve">SRC_ZP_240</t>
  </si>
  <si>
    <t xml:space="preserve">rd_staff_pct_1h25</t>
  </si>
  <si>
    <t xml:space="preserve">研發人員占員工比重</t>
  </si>
  <si>
    <r>
      <rPr>
        <sz val="10"/>
        <color rgb="FF000000"/>
        <rFont val="Noto Sans CJK SC"/>
        <family val="2"/>
      </rPr>
      <t xml:space="preserve">原文 員工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人，占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（證券日報稱 </t>
    </r>
    <r>
      <rPr>
        <sz val="10"/>
        <color rgb="FF000000"/>
        <rFont val="Arial"/>
        <family val="0"/>
        <charset val="1"/>
      </rPr>
      <t xml:space="preserve">74%</t>
    </r>
    <r>
      <rPr>
        <sz val="10"/>
        <color rgb="FF000000"/>
        <rFont val="Noto Sans CJK SC"/>
        <family val="2"/>
      </rPr>
      <t xml:space="preserve">）</t>
    </r>
  </si>
  <si>
    <t xml:space="preserve">SRC_ZP_241</t>
  </si>
  <si>
    <t xml:space="preserve">px_usd_glm53_in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</si>
  <si>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</si>
  <si>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</si>
  <si>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（現行）</t>
    </r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</si>
  <si>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開發者文件 </t>
    </r>
    <r>
      <rPr>
        <sz val="10"/>
        <color rgb="FF000000"/>
        <rFont val="Arial"/>
        <family val="0"/>
        <charset val="1"/>
      </rPr>
      <t xml:space="preserve">Pricing </t>
    </r>
    <r>
      <rPr>
        <sz val="10"/>
        <color rgb="FF000000"/>
        <rFont val="Noto Sans CJK SC"/>
        <family val="2"/>
      </rPr>
      <t xml:space="preserve">頁（國際站官方牌價）</t>
    </r>
  </si>
  <si>
    <t xml:space="preserve">https://docs.z.ai/guides/overview/pricing.md</t>
  </si>
  <si>
    <t xml:space="preserve">公司公開且具約束力的報價，誤報誘因低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</si>
  <si>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</si>
  <si>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SRC_ZP_242</t>
  </si>
  <si>
    <t xml:space="preserve">px_usd_glm53_cache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</si>
  <si>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</si>
  <si>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SRC_ZP_243</t>
  </si>
  <si>
    <t xml:space="preserve">px_usd_glm53_out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</si>
  <si>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</si>
  <si>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SRC_ZP_244</t>
  </si>
  <si>
    <t xml:space="preserve">px_usd_glm52_in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</si>
  <si>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</si>
  <si>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</si>
  <si>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SRC_ZP_245</t>
  </si>
  <si>
    <t xml:space="preserve">px_usd_glm52_cache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</si>
  <si>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</si>
  <si>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SRC_ZP_246</t>
  </si>
  <si>
    <t xml:space="preserve">px_usd_glm52_out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</si>
  <si>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</si>
  <si>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SRC_ZP_247</t>
  </si>
  <si>
    <t xml:space="preserve">px_usd_glm51_in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</si>
  <si>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</si>
  <si>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</si>
  <si>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SRC_ZP_248</t>
  </si>
  <si>
    <t xml:space="preserve">px_usd_glm51_cache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</si>
  <si>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</si>
  <si>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SRC_ZP_249</t>
  </si>
  <si>
    <t xml:space="preserve">px_usd_glm51_out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</si>
  <si>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</si>
  <si>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SRC_ZP_250</t>
  </si>
  <si>
    <t xml:space="preserve">px_usd_glm5_in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</si>
  <si>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</si>
  <si>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$3.2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</si>
  <si>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SRC_ZP_251</t>
  </si>
  <si>
    <t xml:space="preserve">px_usd_glm5_cache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</si>
  <si>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</si>
  <si>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SRC_ZP_252</t>
  </si>
  <si>
    <t xml:space="preserve">px_usd_glm5_out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</si>
  <si>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</si>
  <si>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SRC_ZP_253</t>
  </si>
  <si>
    <t xml:space="preserve">px_usd_glm47_in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</si>
  <si>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</si>
  <si>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</si>
  <si>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SRC_ZP_254</t>
  </si>
  <si>
    <t xml:space="preserve">px_usd_glm47_cache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</si>
  <si>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</si>
  <si>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SRC_ZP_255</t>
  </si>
  <si>
    <t xml:space="preserve">px_usd_glm47_out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</si>
  <si>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</si>
  <si>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SRC_ZP_256</t>
  </si>
  <si>
    <t xml:space="preserve">px_usd_glm46_in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</si>
  <si>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</si>
  <si>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</si>
  <si>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SRC_ZP_257</t>
  </si>
  <si>
    <t xml:space="preserve">px_usd_glm46_cache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</si>
  <si>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</si>
  <si>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SRC_ZP_258</t>
  </si>
  <si>
    <t xml:space="preserve">px_usd_glm46_out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</si>
  <si>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</si>
  <si>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SRC_ZP_259</t>
  </si>
  <si>
    <t xml:space="preserve">px_usd_glm45_in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</si>
  <si>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</si>
  <si>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</si>
  <si>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SRC_ZP_260</t>
  </si>
  <si>
    <t xml:space="preserve">px_usd_glm45_cache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</si>
  <si>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</si>
  <si>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SRC_ZP_261</t>
  </si>
  <si>
    <t xml:space="preserve">px_usd_glm45_out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</si>
  <si>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</si>
  <si>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SRC_ZP_262</t>
  </si>
  <si>
    <t xml:space="preserve">px_usd_glm45x_in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</si>
  <si>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</si>
  <si>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$2.2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$8.9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</si>
  <si>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SRC_ZP_263</t>
  </si>
  <si>
    <t xml:space="preserve">px_usd_glm45x_cache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</si>
  <si>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</si>
  <si>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SRC_ZP_264</t>
  </si>
  <si>
    <t xml:space="preserve">px_usd_glm45x_out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</si>
  <si>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</si>
  <si>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SRC_ZP_265</t>
  </si>
  <si>
    <t xml:space="preserve">px_usd_glm45air_in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</si>
  <si>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</si>
  <si>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$1.1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</si>
  <si>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SRC_ZP_266</t>
  </si>
  <si>
    <t xml:space="preserve">px_usd_glm45air_cache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</si>
  <si>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</si>
  <si>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SRC_ZP_267</t>
  </si>
  <si>
    <t xml:space="preserve">px_usd_glm45air_out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</si>
  <si>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</si>
  <si>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SRC_ZP_268</t>
  </si>
  <si>
    <t xml:space="preserve">px_usd_glm45airx_in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</si>
  <si>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</si>
  <si>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</si>
  <si>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SRC_ZP_269</t>
  </si>
  <si>
    <t xml:space="preserve">px_usd_glm45airx_cache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</si>
  <si>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</si>
  <si>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SRC_ZP_270</t>
  </si>
  <si>
    <t xml:space="preserve">px_usd_glm45airx_out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</si>
  <si>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</si>
  <si>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SRC_ZP_271</t>
  </si>
  <si>
    <t xml:space="preserve">px_usd_glm53flash_in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</si>
  <si>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</si>
  <si>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</si>
  <si>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SRC_ZP_272</t>
  </si>
  <si>
    <t xml:space="preserve">px_usd_glm53flash_cache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</si>
  <si>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</si>
  <si>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SRC_ZP_273</t>
  </si>
  <si>
    <t xml:space="preserve">px_usd_glm53flash_out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</si>
  <si>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</si>
  <si>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SRC_ZP_274</t>
  </si>
  <si>
    <t xml:space="preserve">px_usd_glm53flashx_in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</si>
  <si>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</si>
  <si>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$1.25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</si>
  <si>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SRC_ZP_275</t>
  </si>
  <si>
    <t xml:space="preserve">px_usd_glm53flashx_cache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</si>
  <si>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</si>
  <si>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SRC_ZP_276</t>
  </si>
  <si>
    <t xml:space="preserve">px_usd_glm53flashx_out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</si>
  <si>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</si>
  <si>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SRC_ZP_277</t>
  </si>
  <si>
    <t xml:space="preserve">px_usd_glm47flashx_in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</si>
  <si>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</si>
  <si>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</si>
  <si>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SRC_ZP_278</t>
  </si>
  <si>
    <t xml:space="preserve">px_usd_glm47flashx_cache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</si>
  <si>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</si>
  <si>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SRC_ZP_279</t>
  </si>
  <si>
    <t xml:space="preserve">px_usd_glm47flashx_out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</si>
  <si>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</si>
  <si>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SRC_ZP_280</t>
  </si>
  <si>
    <t xml:space="preserve">px_usd_free_flash</t>
  </si>
  <si>
    <t xml:space="preserve">國際站免費模型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</si>
  <si>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GLM-4.5-Flash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GLM-4.6V-Flash </t>
    </r>
    <r>
      <rPr>
        <sz val="10"/>
        <color rgb="FF000000"/>
        <rFont val="Noto Sans CJK SC"/>
        <family val="2"/>
      </rPr>
      <t xml:space="preserve">輸入／輸出皆「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」</t>
    </r>
  </si>
  <si>
    <t xml:space="preserve">SRC_ZP_281</t>
  </si>
  <si>
    <t xml:space="preserve">px_usd_websearch</t>
  </si>
  <si>
    <r>
      <rPr>
        <sz val="10"/>
        <color rgb="FF000000"/>
        <rFont val="Noto Sans CJK SC"/>
        <family val="2"/>
      </rPr>
      <t xml:space="preserve">國際站內建 </t>
    </r>
    <r>
      <rPr>
        <sz val="10"/>
        <color rgb="FF000000"/>
        <rFont val="Arial"/>
        <family val="0"/>
        <charset val="1"/>
      </rPr>
      <t xml:space="preserve">Web Search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</si>
  <si>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／次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</si>
  <si>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Web Search $0.01 per use</t>
    </r>
  </si>
  <si>
    <t xml:space="preserve">SRC_ZP_282</t>
  </si>
  <si>
    <t xml:space="preserve">px_usd_glm5turbo_in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</si>
  <si>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</si>
  <si>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2026-07-22 </t>
    </r>
    <r>
      <rPr>
        <sz val="10"/>
        <color rgb="FF000000"/>
        <rFont val="Noto Sans CJK SC"/>
        <family val="2"/>
      </rPr>
      <t xml:space="preserve">擷取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</si>
  <si>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Zhipu AI 2026-07-22 price change</t>
    </r>
    <r>
      <rPr>
        <sz val="10"/>
        <color rgb="FF000000"/>
        <rFont val="Noto Sans CJK SC"/>
        <family val="2"/>
      </rPr>
      <t xml:space="preserve">〉（官方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文件截圖）</t>
    </r>
  </si>
  <si>
    <t xml:space="preserve">https://usagepricing.com/blueprint/activity/zhipu-ai-2026-07-22-price-change</t>
  </si>
  <si>
    <t xml:space="preserve">2026-07-22</t>
  </si>
  <si>
    <t xml:space="preserve">公司數字經第三方轉錄（見備註）；誘因同公司公告</t>
  </si>
  <si>
    <r>
      <rPr>
        <sz val="10"/>
        <color rgb="FF000000"/>
        <rFont val="Noto Sans CJK SC"/>
        <family val="2"/>
      </rPr>
      <t xml:space="preserve">轉錄官方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頁截圖：</t>
    </r>
    <r>
      <rPr>
        <sz val="10"/>
        <color rgb="FF000000"/>
        <rFont val="Arial"/>
        <family val="0"/>
        <charset val="1"/>
      </rPr>
      <t xml:space="preserve">GLM-5-Turbo $1.2 input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$4.0 output</t>
    </r>
    <r>
      <rPr>
        <sz val="10"/>
        <color rgb="FF000000"/>
        <rFont val="Noto Sans CJK SC"/>
        <family val="2"/>
      </rPr>
      <t xml:space="preserve">；現行 </t>
    </r>
    <r>
      <rPr>
        <sz val="10"/>
        <color rgb="FF000000"/>
        <rFont val="Arial"/>
        <family val="0"/>
        <charset val="1"/>
      </rPr>
      <t xml:space="preserve">docs.z.ai </t>
    </r>
    <r>
      <rPr>
        <sz val="10"/>
        <color rgb="FF000000"/>
        <rFont val="Noto Sans CJK SC"/>
        <family val="2"/>
      </rPr>
      <t xml:space="preserve">定價頁已未列此型號</t>
    </r>
  </si>
  <si>
    <t xml:space="preserve">SRC_ZP_283</t>
  </si>
  <si>
    <t xml:space="preserve">px_usd_glm5turbo_out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</si>
  <si>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</si>
  <si>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同上</t>
  </si>
  <si>
    <t xml:space="preserve">SRC_ZP_284</t>
  </si>
  <si>
    <t xml:space="preserve">px_rmb_glm53_in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</si>
  <si>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</si>
  <si>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</si>
  <si>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系列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</si>
  <si>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奇連 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API </t>
    </r>
    <r>
      <rPr>
        <sz val="10"/>
        <color rgb="FF000000"/>
        <rFont val="Noto Sans CJK SC"/>
        <family val="2"/>
      </rPr>
      <t xml:space="preserve">價格怎麼算〉（轉錄 </t>
    </r>
    <r>
      <rPr>
        <sz val="10"/>
        <color rgb="FF000000"/>
        <rFont val="Arial"/>
        <family val="0"/>
        <charset val="1"/>
      </rPr>
      <t xml:space="preserve">bigmodel.cn/pricing</t>
    </r>
    <r>
      <rPr>
        <sz val="10"/>
        <color rgb="FF000000"/>
        <rFont val="Noto Sans CJK SC"/>
        <family val="2"/>
      </rPr>
      <t xml:space="preserve">，資料截至 </t>
    </r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09-28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）</t>
    </r>
  </si>
  <si>
    <t xml:space="preserve">https://iqilian.com/learn/glm-api-jifei/</t>
  </si>
  <si>
    <t xml:space="preserve">2026-09-28</t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</si>
  <si>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</si>
  <si>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</si>
  <si>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SRC_ZP_285</t>
  </si>
  <si>
    <t xml:space="preserve">px_rmb_glm53_cache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</si>
  <si>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</si>
  <si>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SRC_ZP_286</t>
  </si>
  <si>
    <t xml:space="preserve">px_rmb_glm53_out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</si>
  <si>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</si>
  <si>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SRC_ZP_287</t>
  </si>
  <si>
    <t xml:space="preserve">px_rmb_glm52_in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</si>
  <si>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</si>
  <si>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GLM-5.2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</si>
  <si>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SRC_ZP_288</t>
  </si>
  <si>
    <t xml:space="preserve">px_rmb_glm52_cache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</si>
  <si>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</si>
  <si>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SRC_ZP_289</t>
  </si>
  <si>
    <t xml:space="preserve">px_rmb_glm52_out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</si>
  <si>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</si>
  <si>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SRC_ZP_290</t>
  </si>
  <si>
    <t xml:space="preserve">px_rmb_glm51_lt32k_in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</si>
  <si>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</si>
  <si>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</si>
  <si>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SRC_ZP_291</t>
  </si>
  <si>
    <t xml:space="preserve">px_rmb_glm51_lt32k_cache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</si>
  <si>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</si>
  <si>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SRC_ZP_292</t>
  </si>
  <si>
    <t xml:space="preserve">px_rmb_glm51_lt32k_out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</si>
  <si>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</si>
  <si>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SRC_ZP_293</t>
  </si>
  <si>
    <t xml:space="preserve">px_rmb_glm51_ge32k_in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</si>
  <si>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</si>
  <si>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</si>
  <si>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SRC_ZP_294</t>
  </si>
  <si>
    <t xml:space="preserve">px_rmb_glm51_ge32k_cache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</si>
  <si>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</si>
  <si>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SRC_ZP_295</t>
  </si>
  <si>
    <t xml:space="preserve">px_rmb_glm51_ge32k_out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</si>
  <si>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</si>
  <si>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SRC_ZP_296</t>
  </si>
  <si>
    <t xml:space="preserve">px_rmb_glm5turbo_lt32k_in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</si>
  <si>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</si>
  <si>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</si>
  <si>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SRC_ZP_297</t>
  </si>
  <si>
    <t xml:space="preserve">px_rmb_glm5turbo_lt32k_cache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</si>
  <si>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</si>
  <si>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SRC_ZP_298</t>
  </si>
  <si>
    <t xml:space="preserve">px_rmb_glm5turbo_lt32k_out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</si>
  <si>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</si>
  <si>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SRC_ZP_299</t>
  </si>
  <si>
    <t xml:space="preserve">px_rmb_glm5turbo_ge32k_in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</si>
  <si>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</si>
  <si>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</si>
  <si>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SRC_ZP_300</t>
  </si>
  <si>
    <t xml:space="preserve">px_rmb_glm5turbo_ge32k_cache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</si>
  <si>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</si>
  <si>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SRC_ZP_301</t>
  </si>
  <si>
    <t xml:space="preserve">px_rmb_glm5turbo_ge32k_out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</si>
  <si>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</si>
  <si>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SRC_ZP_302</t>
  </si>
  <si>
    <t xml:space="preserve">px_rmb_glm5_lt32k_in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</si>
  <si>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</si>
  <si>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</si>
  <si>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SRC_ZP_303</t>
  </si>
  <si>
    <t xml:space="preserve">px_rmb_glm5_lt32k_cache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</si>
  <si>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</si>
  <si>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SRC_ZP_304</t>
  </si>
  <si>
    <t xml:space="preserve">px_rmb_glm5_lt32k_out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</si>
  <si>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</si>
  <si>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SRC_ZP_305</t>
  </si>
  <si>
    <t xml:space="preserve">px_rmb_glm5_ge32k_in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</si>
  <si>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</si>
  <si>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</si>
  <si>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SRC_ZP_306</t>
  </si>
  <si>
    <t xml:space="preserve">px_rmb_glm5_ge32k_cache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</si>
  <si>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</si>
  <si>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SRC_ZP_307</t>
  </si>
  <si>
    <t xml:space="preserve">px_rmb_glm5_ge32k_out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</si>
  <si>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</si>
  <si>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SRC_ZP_308</t>
  </si>
  <si>
    <t xml:space="preserve">px_rmb_glm47_short_in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</si>
  <si>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</si>
  <si>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</si>
  <si>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SRC_ZP_309</t>
  </si>
  <si>
    <t xml:space="preserve">px_rmb_glm47_short_cache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</si>
  <si>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</si>
  <si>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SRC_ZP_310</t>
  </si>
  <si>
    <t xml:space="preserve">px_rmb_glm47_short_out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</si>
  <si>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</si>
  <si>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SRC_ZP_311</t>
  </si>
  <si>
    <t xml:space="preserve">px_rmb_glm47_long_out_in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</si>
  <si>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</si>
  <si>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</si>
  <si>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SRC_ZP_312</t>
  </si>
  <si>
    <t xml:space="preserve">px_rmb_glm47_long_out_cache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</si>
  <si>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</si>
  <si>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SRC_ZP_313</t>
  </si>
  <si>
    <t xml:space="preserve">px_rmb_glm47_long_out_out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</si>
  <si>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</si>
  <si>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SRC_ZP_314</t>
  </si>
  <si>
    <t xml:space="preserve">px_rmb_glm47_32k200k_in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</si>
  <si>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</si>
  <si>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</si>
  <si>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SRC_ZP_315</t>
  </si>
  <si>
    <t xml:space="preserve">px_rmb_glm47_32k200k_cache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</si>
  <si>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</si>
  <si>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SRC_ZP_316</t>
  </si>
  <si>
    <t xml:space="preserve">px_rmb_glm47_32k200k_out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</si>
  <si>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，輸出）</t>
    </r>
  </si>
  <si>
    <t xml:space="preserve">SRC_ZP_317</t>
  </si>
  <si>
    <t xml:space="preserve">px_rmb_glm45air_short_in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</si>
  <si>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</si>
  <si>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</si>
  <si>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SRC_ZP_318</t>
  </si>
  <si>
    <t xml:space="preserve">px_rmb_glm45air_short_cache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</si>
  <si>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</si>
  <si>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SRC_ZP_319</t>
  </si>
  <si>
    <t xml:space="preserve">px_rmb_glm45air_short_out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</si>
  <si>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</si>
  <si>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SRC_ZP_320</t>
  </si>
  <si>
    <t xml:space="preserve">px_rmb_glm45air_long_out_in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</si>
  <si>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</si>
  <si>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</si>
  <si>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SRC_ZP_321</t>
  </si>
  <si>
    <t xml:space="preserve">px_rmb_glm45air_long_out_cache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</si>
  <si>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</si>
  <si>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SRC_ZP_322</t>
  </si>
  <si>
    <t xml:space="preserve">px_rmb_glm45air_long_out_out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</si>
  <si>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</si>
  <si>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SRC_ZP_323</t>
  </si>
  <si>
    <t xml:space="preserve">px_rmb_glm45air_32k128k_in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</si>
  <si>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</si>
  <si>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</si>
  <si>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SRC_ZP_324</t>
  </si>
  <si>
    <t xml:space="preserve">px_rmb_glm45air_32k128k_cache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</si>
  <si>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</si>
  <si>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SRC_ZP_325</t>
  </si>
  <si>
    <t xml:space="preserve">px_rmb_glm45air_32k128k_out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</si>
  <si>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，輸出）</t>
    </r>
  </si>
  <si>
    <t xml:space="preserve">SRC_ZP_326</t>
  </si>
  <si>
    <t xml:space="preserve">px_rmb_glm47flashx_in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</si>
  <si>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</si>
  <si>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GLM-4.7-FlashX 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</si>
  <si>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SRC_ZP_327</t>
  </si>
  <si>
    <t xml:space="preserve">px_rmb_glm47flashx_cache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</si>
  <si>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</si>
  <si>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SRC_ZP_328</t>
  </si>
  <si>
    <t xml:space="preserve">px_rmb_glm47flashx_out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</si>
  <si>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，輸出）</t>
    </r>
  </si>
  <si>
    <t xml:space="preserve">SRC_ZP_329</t>
  </si>
  <si>
    <t xml:space="preserve">px_rmb_glm53flash_in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</si>
  <si>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</si>
  <si>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GLM-5.3-Flash 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Noto Sans CJK SC"/>
        <family val="2"/>
      </rPr>
      <t xml:space="preserve">；限時五折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</si>
  <si>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SRC_ZP_330</t>
  </si>
  <si>
    <t xml:space="preserve">px_rmb_glm53flash_cache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</si>
  <si>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），快取命中）</t>
    </r>
  </si>
  <si>
    <t xml:space="preserve">SRC_ZP_331</t>
  </si>
  <si>
    <t xml:space="preserve">px_rmb_glm53flash_out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</si>
  <si>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），輸出）</t>
    </r>
  </si>
  <si>
    <t xml:space="preserve">SRC_ZP_332</t>
  </si>
  <si>
    <t xml:space="preserve">px_rmb_batch_discount</t>
  </si>
  <si>
    <r>
      <rPr>
        <sz val="10"/>
        <color rgb="FF000000"/>
        <rFont val="Noto Sans CJK SC"/>
        <family val="2"/>
      </rPr>
      <t xml:space="preserve">開放平台 </t>
    </r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</si>
  <si>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倍（原價）</t>
  </si>
  <si>
    <t xml:space="preserve">2026-08</t>
  </si>
  <si>
    <r>
      <rPr>
        <sz val="10"/>
        <color rgb="FF000000"/>
        <rFont val="Noto Sans CJK SC"/>
        <family val="2"/>
      </rPr>
      <t xml:space="preserve">引官方說明 </t>
    </r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「只需五折費用」</t>
    </r>
  </si>
  <si>
    <t xml:space="preserve">SRC_ZP_333</t>
  </si>
  <si>
    <t xml:space="preserve">px_rmb_glm47flash_free</t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</si>
  <si>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開放平台價格</t>
    </r>
  </si>
  <si>
    <r>
      <rPr>
        <sz val="10"/>
        <color rgb="FF000000"/>
        <rFont val="Noto Sans CJK SC"/>
        <family val="2"/>
      </rPr>
      <t xml:space="preserve">價目表輸入／輸出／快取皆標「免費」，稱長期免費；</t>
    </r>
    <r>
      <rPr>
        <sz val="10"/>
        <color rgb="FF000000"/>
        <rFont val="Arial"/>
        <family val="0"/>
        <charset val="1"/>
      </rPr>
      <t xml:space="preserve">GLM-4.5-Flash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2026-01-30 </t>
    </r>
    <r>
      <rPr>
        <sz val="10"/>
        <color rgb="FF000000"/>
        <rFont val="Noto Sans CJK SC"/>
        <family val="2"/>
      </rPr>
      <t xml:space="preserve">下線改路由至 </t>
    </r>
    <r>
      <rPr>
        <sz val="10"/>
        <color rgb="FF000000"/>
        <rFont val="Arial"/>
        <family val="0"/>
        <charset val="1"/>
      </rPr>
      <t xml:space="preserve">4.7-Flash</t>
    </r>
  </si>
  <si>
    <t xml:space="preserve">SRC_ZP_334</t>
  </si>
  <si>
    <t xml:space="preserve">px_rmb_glm52_huaweicloud_in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</si>
  <si>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價（輸入，區間）</t>
    </r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</si>
  <si>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ModelArts Studio MaaS GLM </t>
    </r>
    <r>
      <rPr>
        <sz val="10"/>
        <color rgb="FF000000"/>
        <rFont val="Noto Sans CJK SC"/>
        <family val="2"/>
      </rPr>
      <t xml:space="preserve">頁</t>
    </r>
  </si>
  <si>
    <t xml:space="preserve">https://www.huaweicloud.com/product/modelarts/studio/maas-GLM.html</t>
  </si>
  <si>
    <t xml:space="preserve">華為雲：合作方宣傳、雲平台導流誘因</t>
  </si>
  <si>
    <t xml:space="preserve">未評</t>
  </si>
  <si>
    <r>
      <rPr>
        <sz val="10"/>
        <color rgb="FF000000"/>
        <rFont val="Noto Sans CJK SC"/>
        <family val="2"/>
      </rPr>
      <t xml:space="preserve">頁示「推理輸入 </t>
    </r>
    <r>
      <rPr>
        <sz val="10"/>
        <color rgb="FF000000"/>
        <rFont val="Arial"/>
        <family val="0"/>
        <charset val="1"/>
      </rPr>
      <t xml:space="preserve">¥5.60 - ¥8.00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bigmodel 8 </t>
    </r>
    <r>
      <rPr>
        <sz val="10"/>
        <color rgb="FF000000"/>
        <rFont val="Noto Sans CJK SC"/>
        <family val="2"/>
      </rPr>
      <t xml:space="preserve">元上限一致，低端或為折扣價</t>
    </r>
  </si>
  <si>
    <t xml:space="preserve">SRC_ZP_335</t>
  </si>
  <si>
    <t xml:space="preserve">px_rmb_glm52_huaweicloud_out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</si>
  <si>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價（輸出，區間）</t>
    </r>
  </si>
  <si>
    <r>
      <rPr>
        <sz val="10"/>
        <color rgb="FF000000"/>
        <rFont val="Noto Sans CJK SC"/>
        <family val="2"/>
      </rPr>
      <t xml:space="preserve">頁示「推理輸出 </t>
    </r>
    <r>
      <rPr>
        <sz val="10"/>
        <color rgb="FF000000"/>
        <rFont val="Arial"/>
        <family val="0"/>
        <charset val="1"/>
      </rPr>
      <t xml:space="preserve">¥19.60 - ¥28.00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</t>
    </r>
  </si>
  <si>
    <t xml:space="preserve">SRC_ZP_336</t>
  </si>
  <si>
    <t xml:space="preserve">px_rmb_glm45_launch_in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</si>
  <si>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上市時開放平台價（輸入，最低檔）</t>
    </r>
  </si>
  <si>
    <t xml:space="preserve">2025-07</t>
  </si>
  <si>
    <t xml:space="preserve">愛范兒〈智譜發布新開源模型〉</t>
  </si>
  <si>
    <t xml:space="preserve">https://www.ifanr.com/1632223</t>
  </si>
  <si>
    <t xml:space="preserve">2025-07-29</t>
  </si>
  <si>
    <r>
      <rPr>
        <sz val="10"/>
        <color rgb="FF000000"/>
        <rFont val="Noto Sans CJK SC"/>
        <family val="2"/>
      </rPr>
      <t xml:space="preserve">原文「輸入 </t>
    </r>
    <r>
      <rPr>
        <sz val="10"/>
        <color rgb="FF000000"/>
        <rFont val="Arial"/>
        <family val="0"/>
        <charset val="1"/>
      </rPr>
      <t xml:space="preserve">0.8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」「輸出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」；為最低檔位價，未列長上下文檔</t>
    </r>
  </si>
  <si>
    <t xml:space="preserve">SRC_ZP_337</t>
  </si>
  <si>
    <t xml:space="preserve">px_rmb_glm45_launch_out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</si>
  <si>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上市時開放平台價（輸出，最低檔）</t>
    </r>
  </si>
  <si>
    <t xml:space="preserve">SRC_ZP_338</t>
  </si>
  <si>
    <t xml:space="preserve">px_rmb_glm4plus_cut_2025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</si>
  <si>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降價後價格</t>
    </r>
  </si>
  <si>
    <t xml:space="preserve">2025-04-24</t>
  </si>
  <si>
    <r>
      <rPr>
        <sz val="10"/>
        <color rgb="FF000000"/>
        <rFont val="Noto Sans CJK SC"/>
        <family val="2"/>
      </rPr>
      <t xml:space="preserve">愛范兒〈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進入「億」時代〉</t>
    </r>
  </si>
  <si>
    <t xml:space="preserve">https://www.ifanr.com/1621829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</si>
  <si>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元降至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（輸入輸出同價）；價格戰期間事件</t>
    </r>
  </si>
  <si>
    <t xml:space="preserve">SRC_ZP_339</t>
  </si>
  <si>
    <t xml:space="preserve">px_usd_glm46_launch_in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</si>
  <si>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</si>
  <si>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2025-09-30</t>
  </si>
  <si>
    <r>
      <rPr>
        <sz val="10"/>
        <color rgb="FF000000"/>
        <rFont val="Arial"/>
        <family val="0"/>
        <charset val="1"/>
      </rPr>
      <t xml:space="preserve">TypingMind Zhipu GLM-4.6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</si>
  <si>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https://custom.typingmind.com/tools/estimate-llm-usage-costs/zhipuai/glm-4-6</t>
  </si>
  <si>
    <t xml:space="preserve">Analogy</t>
  </si>
  <si>
    <t xml:space="preserve">第三方</t>
  </si>
  <si>
    <t xml:space="preserve">第三方量測或類比資料，非智譜利害方；只作區間參考</t>
  </si>
  <si>
    <r>
      <rPr>
        <sz val="10"/>
        <color rgb="FF000000"/>
        <rFont val="Noto Sans CJK SC"/>
        <family val="2"/>
      </rPr>
      <t xml:space="preserve">頁示 </t>
    </r>
    <r>
      <rPr>
        <sz val="10"/>
        <color rgb="FF000000"/>
        <rFont val="Arial"/>
        <family val="0"/>
        <charset val="1"/>
      </rPr>
      <t xml:space="preserve">Input $0.6000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 read $0.11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$2.20</t>
    </r>
    <r>
      <rPr>
        <sz val="10"/>
        <color rgb="FF000000"/>
        <rFont val="Noto Sans CJK SC"/>
        <family val="2"/>
      </rPr>
      <t xml:space="preserve">，更新日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；第三方彙整，與現行官方表一致（即上市後未改價）</t>
    </r>
  </si>
  <si>
    <t xml:space="preserve">SRC_ZP_340</t>
  </si>
  <si>
    <t xml:space="preserve">px_usd_glm5_launch_in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</si>
  <si>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</si>
  <si>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2026-02-11</t>
  </si>
  <si>
    <r>
      <rPr>
        <sz val="10"/>
        <color rgb="FF000000"/>
        <rFont val="Arial"/>
        <family val="0"/>
        <charset val="1"/>
      </rPr>
      <t xml:space="preserve">TypingMind Zhipu GLM-5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</si>
  <si>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https://custom.typingmind.com/tools/estimate-llm-usage-costs/zhipuai/glm-5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</si>
  <si>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priced at $1.00/1M input tokens and $3.20/1M output tokens</t>
    </r>
    <r>
      <rPr>
        <sz val="10"/>
        <color rgb="FF000000"/>
        <rFont val="Noto Sans CJK SC"/>
        <family val="2"/>
      </rPr>
      <t xml:space="preserve">」；更新日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；與現行官方表一致</t>
    </r>
  </si>
  <si>
    <t xml:space="preserve">SRC_ZP_341</t>
  </si>
  <si>
    <t xml:space="preserve">px_usd_glm53flash_launch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</si>
  <si>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上市國際站價（輸入）</t>
    </r>
  </si>
  <si>
    <t xml:space="preserve">2026-08-26</t>
  </si>
  <si>
    <r>
      <rPr>
        <sz val="10"/>
        <color rgb="FF000000"/>
        <rFont val="Arial"/>
        <family val="0"/>
        <charset val="1"/>
      </rPr>
      <t xml:space="preserve">80AJ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價格〉（引官方博客）</t>
    </r>
  </si>
  <si>
    <t xml:space="preserve">https://www.80aj.com/2026/08/26/glm-5-3-flash-price-drop/</t>
  </si>
  <si>
    <r>
      <rPr>
        <sz val="10"/>
        <color rgb="FF000000"/>
        <rFont val="Noto Sans CJK SC"/>
        <family val="2"/>
      </rPr>
      <t xml:space="preserve">原文「每百萬 </t>
    </r>
    <r>
      <rPr>
        <sz val="10"/>
        <color rgb="FF000000"/>
        <rFont val="Arial"/>
        <family val="0"/>
        <charset val="1"/>
      </rPr>
      <t xml:space="preserve">tokens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0.15 </t>
    </r>
    <r>
      <rPr>
        <sz val="10"/>
        <color rgb="FF000000"/>
        <rFont val="Noto Sans CJK SC"/>
        <family val="2"/>
      </rPr>
      <t xml:space="preserve">美元」「輸出 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美元」快取「</t>
    </r>
    <r>
      <rPr>
        <sz val="10"/>
        <color rgb="FF000000"/>
        <rFont val="Arial"/>
        <family val="0"/>
        <charset val="1"/>
      </rPr>
      <t xml:space="preserve">0.03 </t>
    </r>
    <r>
      <rPr>
        <sz val="10"/>
        <color rgb="FF000000"/>
        <rFont val="Noto Sans CJK SC"/>
        <family val="2"/>
      </rPr>
      <t xml:space="preserve">美元」；與官方表一致</t>
    </r>
  </si>
  <si>
    <t xml:space="preserve">SRC_ZP_342</t>
  </si>
  <si>
    <t xml:space="preserve">pxev_api_overseas_feb2026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</si>
  <si>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呼叫價格上調幅度（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）</t>
    </r>
  </si>
  <si>
    <t xml:space="preserve">2026-02-12</t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</si>
  <si>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〈智譜連發兩項重磅動作〉</t>
    </r>
  </si>
  <si>
    <t xml:space="preserve">https://www.aibase.com/zh/news/25514</t>
  </si>
  <si>
    <t xml:space="preserve">2026-02-13</t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</si>
  <si>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）轉述智譜調價函；智譜誘因同上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</si>
  <si>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調用價格更是直接提升了 </t>
    </r>
    <r>
      <rPr>
        <sz val="10"/>
        <color rgb="FF000000"/>
        <rFont val="Arial"/>
        <family val="0"/>
        <charset val="1"/>
      </rPr>
      <t xml:space="preserve">67%-100%</t>
    </r>
    <r>
      <rPr>
        <sz val="10"/>
        <color rgb="FF000000"/>
        <rFont val="Noto Sans CJK SC"/>
        <family val="2"/>
      </rPr>
      <t xml:space="preserve">」；媒體轉述，未見官方百分比；</t>
    </r>
    <r>
      <rPr>
        <sz val="10"/>
        <color rgb="FF000000"/>
        <rFont val="Arial"/>
        <family val="0"/>
        <charset val="1"/>
      </rPr>
      <t xml:space="preserve">GLM-4.7 $0.6/$2.2→GLM-5 $1.0/$3.2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+67%/+45%</t>
    </r>
  </si>
  <si>
    <t xml:space="preserve">SRC_ZP_343</t>
  </si>
  <si>
    <t xml:space="preserve">pxev_api_glm51_apr2026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</si>
  <si>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上線時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再漲幅（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</si>
  <si>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</si>
  <si>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Noto Sans CJK SC"/>
        <family val="2"/>
      </rPr>
      <t xml:space="preserve">騰訊新聞（</t>
    </r>
    <r>
      <rPr>
        <sz val="10"/>
        <color rgb="FF000000"/>
        <rFont val="Arial"/>
        <family val="0"/>
        <charset val="1"/>
      </rPr>
      <t xml:space="preserve">2026-04-08</t>
    </r>
    <r>
      <rPr>
        <sz val="10"/>
        <color rgb="FF000000"/>
        <rFont val="Noto Sans CJK SC"/>
        <family val="2"/>
      </rPr>
      <t xml:space="preserve">）</t>
    </r>
  </si>
  <si>
    <t xml:space="preserve">https://news.qq.com/rain/a/20260408A05BMM00</t>
  </si>
  <si>
    <t xml:space="preserve">2026-04-08</t>
  </si>
  <si>
    <t xml:space="preserve">媒體轉述；智譜：上市後股價誘因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</si>
  <si>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</t>
    </r>
    <r>
      <rPr>
        <sz val="10"/>
        <color rgb="FF000000"/>
        <rFont val="Noto Sans CJK SC"/>
        <family val="2"/>
      </rPr>
      <t xml:space="preserve">再提價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」；另稱雲端調用價「較舊版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 </t>
    </r>
    <r>
      <rPr>
        <sz val="10"/>
        <color rgb="FF000000"/>
        <rFont val="Noto Sans CJK SC"/>
        <family val="2"/>
      </rPr>
      <t xml:space="preserve">同稱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漲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</si>
  <si>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SRC_ZP_344</t>
  </si>
  <si>
    <t xml:space="preserve">pxev_api_glm51_vs_turbo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</si>
  <si>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雲端調用價較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漲幅</t>
    </r>
  </si>
  <si>
    <t xml:space="preserve">2026-04</t>
  </si>
  <si>
    <r>
      <rPr>
        <sz val="10"/>
        <color rgb="FF000000"/>
        <rFont val="Noto Sans CJK SC"/>
        <family val="2"/>
      </rPr>
      <t xml:space="preserve">原文「較舊版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5→6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22→24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7→8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26→28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+8%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</si>
  <si>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SRC_ZP_345</t>
  </si>
  <si>
    <t xml:space="preserve">pxev_api_cum_feb_apr2026</t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</si>
  <si>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 API </t>
    </r>
    <r>
      <rPr>
        <sz val="10"/>
        <color rgb="FF000000"/>
        <rFont val="Noto Sans CJK SC"/>
        <family val="2"/>
      </rPr>
      <t xml:space="preserve">連續三次漲價累計幅度</t>
    </r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</si>
  <si>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2026-04</t>
    </r>
  </si>
  <si>
    <r>
      <rPr>
        <sz val="10"/>
        <color rgb="FF000000"/>
        <rFont val="Noto Sans CJK SC"/>
        <family val="2"/>
      </rPr>
      <t xml:space="preserve">虎嗅（</t>
    </r>
    <r>
      <rPr>
        <sz val="10"/>
        <color rgb="FF000000"/>
        <rFont val="Arial"/>
        <family val="0"/>
        <charset val="1"/>
      </rPr>
      <t xml:space="preserve">2026-09-14</t>
    </r>
    <r>
      <rPr>
        <sz val="10"/>
        <color rgb="FF000000"/>
        <rFont val="Noto Sans CJK SC"/>
        <family val="2"/>
      </rPr>
      <t xml:space="preserve">）</t>
    </r>
  </si>
  <si>
    <t xml:space="preserve">https://m.huxiu.com/article/4890871.html</t>
  </si>
  <si>
    <t xml:space="preserve">2026-09-14</t>
  </si>
  <si>
    <t xml:space="preserve">媒體轉述公司數字；智譜誘因同上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</si>
  <si>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月，智譜連續三次上調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價格，累計漲幅超過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」；與年度業績公告 </t>
    </r>
    <r>
      <rPr>
        <sz val="10"/>
        <color rgb="FF000000"/>
        <rFont val="Arial"/>
        <family val="0"/>
        <charset val="1"/>
      </rPr>
      <t xml:space="preserve">83% </t>
    </r>
    <r>
      <rPr>
        <sz val="10"/>
        <color rgb="FF000000"/>
        <rFont val="Noto Sans CJK SC"/>
        <family val="2"/>
      </rPr>
      <t xml:space="preserve">同數，口徑疑為同一數</t>
    </r>
  </si>
  <si>
    <t xml:space="preserve">SRC_ZP_346</t>
  </si>
  <si>
    <t xml:space="preserve">pxev_api_price_vs_ye2025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</si>
  <si>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</si>
  <si>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</si>
  <si>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</si>
  <si>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t xml:space="preserve">智譜：上市後股價、配售、招募誘因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</si>
  <si>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despite an 83% increase in API call pricing compared to the end of last year</t>
    </r>
    <r>
      <rPr>
        <sz val="10"/>
        <color rgb="FF000000"/>
        <rFont val="Noto Sans CJK SC"/>
        <family val="2"/>
      </rPr>
      <t xml:space="preserve">」；口徑：牌價或呼叫定價，非實現 </t>
    </r>
    <r>
      <rPr>
        <sz val="10"/>
        <color rgb="FF000000"/>
        <rFont val="Arial"/>
        <family val="0"/>
        <charset val="1"/>
      </rPr>
      <t xml:space="preserve">ASP</t>
    </r>
  </si>
  <si>
    <t xml:space="preserve">SRC_ZP_347</t>
  </si>
  <si>
    <t xml:space="preserve">pxev_api_asp_1h26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</si>
  <si>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平均售價較年初上升（中期口徑）</t>
    </r>
  </si>
  <si>
    <r>
      <rPr>
        <sz val="10"/>
        <color rgb="FF000000"/>
        <rFont val="Arial"/>
        <family val="0"/>
        <charset val="1"/>
      </rPr>
      <t xml:space="preserve">2026-01-01→2026-06-30</t>
    </r>
    <r>
      <rPr>
        <sz val="10"/>
        <color rgb="FF000000"/>
        <rFont val="Noto Sans CJK SC"/>
        <family val="2"/>
      </rPr>
      <t xml:space="preserve">（或公告日）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</si>
  <si>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</si>
  <si>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」；基期「</t>
    </r>
    <r>
      <rPr>
        <sz val="10"/>
        <color rgb="FF000000"/>
        <rFont val="Arial"/>
        <family val="0"/>
        <charset val="1"/>
      </rPr>
      <t xml:space="preserve">from the beginning of 2026</t>
    </r>
    <r>
      <rPr>
        <sz val="10"/>
        <color rgb="FF000000"/>
        <rFont val="Noto Sans CJK SC"/>
        <family val="2"/>
      </rPr>
      <t xml:space="preserve">」；實現售價口徑（收入</t>
    </r>
    <r>
      <rPr>
        <sz val="10"/>
        <color rgb="FF000000"/>
        <rFont val="Arial"/>
        <family val="0"/>
        <charset val="1"/>
      </rPr>
      <t xml:space="preserve">÷token</t>
    </r>
    <r>
      <rPr>
        <sz val="10"/>
        <color rgb="FF000000"/>
        <rFont val="Noto Sans CJK SC"/>
        <family val="2"/>
      </rPr>
      <t xml:space="preserve">），非牌價</t>
    </r>
  </si>
  <si>
    <t xml:space="preserve">SRC_ZP_348</t>
  </si>
  <si>
    <t xml:space="preserve">pxev_api_asp_1h26_b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</si>
  <si>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平均售價較年初上升（媒體中文轉述）</t>
    </r>
  </si>
  <si>
    <t xml:space="preserve">科創板日報（財聯社）</t>
  </si>
  <si>
    <t xml:space="preserve">https://m.cls.cn/detail/2470120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</si>
  <si>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平均售價提高約</t>
    </r>
    <r>
      <rPr>
        <sz val="10"/>
        <color rgb="FF000000"/>
        <rFont val="Arial"/>
        <family val="0"/>
        <charset val="1"/>
      </rPr>
      <t xml:space="preserve">101%</t>
    </r>
    <r>
      <rPr>
        <sz val="10"/>
        <color rgb="FF000000"/>
        <rFont val="Noto Sans CJK SC"/>
        <family val="2"/>
      </rPr>
      <t xml:space="preserve">，推動該業務毛利率由負轉正至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」；與公告一致</t>
    </r>
  </si>
  <si>
    <t xml:space="preserve">SRC_ZP_349</t>
  </si>
  <si>
    <t xml:space="preserve">pxev_cp_cn_feb2026</t>
  </si>
  <si>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（國內）結構性漲價幅度</t>
    </r>
  </si>
  <si>
    <r>
      <rPr>
        <sz val="10"/>
        <color rgb="FF000000"/>
        <rFont val="Noto Sans CJK SC"/>
        <family val="2"/>
      </rPr>
      <t xml:space="preserve">財聯社〈智譜：對</t>
    </r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套餐價格進行結構性調整〉</t>
    </r>
  </si>
  <si>
    <t xml:space="preserve">https://m.cls.cn/detail/2287878</t>
  </si>
  <si>
    <r>
      <rPr>
        <sz val="10"/>
        <color rgb="FF000000"/>
        <rFont val="Noto Sans CJK SC"/>
        <family val="2"/>
      </rPr>
      <t xml:space="preserve">原文「整體漲幅自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起」，生效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；取消首購優惠，保留包季包年折扣，「已訂閱用戶價格保持不變」</t>
    </r>
  </si>
  <si>
    <t xml:space="preserve">SRC_ZP_350</t>
  </si>
  <si>
    <t xml:space="preserve">pxev_cp_ar_feb2026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</si>
  <si>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漲價（年度業績公告口徑）</t>
    </r>
  </si>
  <si>
    <t xml:space="preserve">2026-02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</si>
  <si>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proactively raised prices by 30%</t>
    </r>
    <r>
      <rPr>
        <sz val="10"/>
        <color rgb="FF000000"/>
        <rFont val="Noto Sans CJK SC"/>
        <family val="2"/>
      </rPr>
      <t xml:space="preserve">」並取消首購優惠（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</si>
  <si>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t xml:space="preserve">SRC_ZP_351</t>
  </si>
  <si>
    <t xml:space="preserve">pxev_cp_overseas_feb2026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</si>
  <si>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</si>
  <si>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</si>
  <si>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訂閱上調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60%</t>
    </r>
  </si>
  <si>
    <t xml:space="preserve">SRC_ZP_352</t>
  </si>
  <si>
    <t xml:space="preserve">pxev_cp_overseas_feb2026_b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</si>
  <si>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漲幅（虎嗅口徑）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</si>
  <si>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（未明）</t>
    </r>
  </si>
  <si>
    <r>
      <rPr>
        <sz val="10"/>
        <color rgb="FF000000"/>
        <rFont val="Noto Sans CJK SC"/>
        <family val="2"/>
      </rPr>
      <t xml:space="preserve">原文「海外版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漲幅在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到</t>
    </r>
    <r>
      <rPr>
        <sz val="10"/>
        <color rgb="FF000000"/>
        <rFont val="Arial"/>
        <family val="0"/>
        <charset val="1"/>
      </rPr>
      <t xml:space="preserve">150%</t>
    </r>
    <r>
      <rPr>
        <sz val="10"/>
        <color rgb="FF000000"/>
        <rFont val="Noto Sans CJK SC"/>
        <family val="2"/>
      </rPr>
      <t xml:space="preserve">之間」；與 </t>
    </r>
    <r>
      <rPr>
        <sz val="10"/>
        <color rgb="FF000000"/>
        <rFont val="Arial"/>
        <family val="0"/>
        <charset val="1"/>
      </rPr>
      <t xml:space="preserve">AIbase 30–60% </t>
    </r>
    <r>
      <rPr>
        <sz val="10"/>
        <color rgb="FF000000"/>
        <rFont val="Noto Sans CJK SC"/>
        <family val="2"/>
      </rPr>
      <t xml:space="preserve">矛盾，疑為累計（含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再調價）</t>
    </r>
  </si>
  <si>
    <t xml:space="preserve">SRC_ZP_353</t>
  </si>
  <si>
    <t xml:space="preserve">pxev_cp_oldplan_apr2026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</si>
  <si>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舊套餐（無週限額）停止自動續訂日</t>
    </r>
  </si>
  <si>
    <t xml:space="preserve">日期</t>
  </si>
  <si>
    <t xml:space="preserve">2026-04-30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</si>
  <si>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之家（</t>
    </r>
    <r>
      <rPr>
        <sz val="10"/>
        <color rgb="FF000000"/>
        <rFont val="Arial"/>
        <family val="0"/>
        <charset val="1"/>
      </rPr>
      <t xml:space="preserve">2026-04-22</t>
    </r>
    <r>
      <rPr>
        <sz val="10"/>
        <color rgb="FF000000"/>
        <rFont val="Noto Sans CJK SC"/>
        <family val="2"/>
      </rPr>
      <t xml:space="preserve">）</t>
    </r>
  </si>
  <si>
    <t xml:space="preserve">https://www.ithome.com/0/941/977.htm</t>
  </si>
  <si>
    <t xml:space="preserve">2026-04-22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</si>
  <si>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老套餐（無周限額版本）將停止自動續訂」</t>
    </r>
    <r>
      <rPr>
        <sz val="10"/>
        <color rgb="FF000000"/>
        <rFont val="Arial"/>
        <family val="0"/>
        <charset val="1"/>
      </rPr>
      <t xml:space="preserve">2026-04-30 10:00 </t>
    </r>
    <r>
      <rPr>
        <sz val="10"/>
        <color rgb="FF000000"/>
        <rFont val="Noto Sans CJK SC"/>
        <family val="2"/>
      </rPr>
      <t xml:space="preserve">起；改新套餐並贈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個月，實質加週限額＝變相漲價</t>
    </r>
  </si>
  <si>
    <t xml:space="preserve">SRC_ZP_354</t>
  </si>
  <si>
    <t xml:space="preserve">pxev_cp_cn_launch_2025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</si>
  <si>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國內上市價（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</si>
  <si>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元／月</t>
    </r>
  </si>
  <si>
    <t xml:space="preserve">2025-09-01</t>
  </si>
  <si>
    <r>
      <rPr>
        <sz val="10"/>
        <color rgb="FF000000"/>
        <rFont val="Noto Sans CJK SC"/>
        <family val="2"/>
      </rPr>
      <t xml:space="preserve">鳳凰網科技（</t>
    </r>
    <r>
      <rPr>
        <sz val="10"/>
        <color rgb="FF000000"/>
        <rFont val="Arial"/>
        <family val="0"/>
        <charset val="1"/>
      </rPr>
      <t xml:space="preserve">2025-09-02</t>
    </r>
    <r>
      <rPr>
        <sz val="10"/>
        <color rgb="FF000000"/>
        <rFont val="Noto Sans CJK SC"/>
        <family val="2"/>
      </rPr>
      <t xml:space="preserve">）</t>
    </r>
  </si>
  <si>
    <t xml:space="preserve">https://tech.ifeng.com/c/8mJoak9q60M</t>
  </si>
  <si>
    <t xml:space="preserve">2025-09-02</t>
  </si>
  <si>
    <r>
      <rPr>
        <sz val="10"/>
        <color rgb="FF000000"/>
        <rFont val="Noto Sans CJK SC"/>
        <family val="2"/>
      </rPr>
      <t xml:space="preserve">原文「每月 </t>
    </r>
    <r>
      <rPr>
        <sz val="10"/>
        <color rgb="FF000000"/>
        <rFont val="Arial"/>
        <family val="0"/>
        <charset val="1"/>
      </rPr>
      <t xml:space="preserve">20~100 </t>
    </r>
    <r>
      <rPr>
        <sz val="10"/>
        <color rgb="FF000000"/>
        <rFont val="Noto Sans CJK SC"/>
        <family val="2"/>
      </rPr>
      <t xml:space="preserve">元」，「自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日起」；未分方案</t>
    </r>
  </si>
  <si>
    <t xml:space="preserve">SRC_ZP_355</t>
  </si>
  <si>
    <t xml:space="preserve">pxev_cp_intl_promo_pre2026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</si>
  <si>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舊促銷價（</t>
    </r>
    <r>
      <rPr>
        <sz val="10"/>
        <color rgb="FF000000"/>
        <rFont val="Arial"/>
        <family val="0"/>
        <charset val="1"/>
      </rPr>
      <t xml:space="preserve">Lite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</si>
  <si>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／月</t>
    </r>
  </si>
  <si>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前</t>
    </r>
  </si>
  <si>
    <r>
      <rPr>
        <sz val="10"/>
        <color rgb="FF000000"/>
        <rFont val="Arial"/>
        <family val="0"/>
        <charset val="1"/>
      </rPr>
      <t xml:space="preserve">Labmemo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Zai GLM Coding Plan </t>
    </r>
    <r>
      <rPr>
        <sz val="10"/>
        <color rgb="FF000000"/>
        <rFont val="Noto Sans CJK SC"/>
        <family val="2"/>
      </rPr>
      <t xml:space="preserve">値上げ完了〉</t>
    </r>
  </si>
  <si>
    <t xml:space="preserve">https://labmemo.com/zai-glm-price-increase-2026/</t>
  </si>
  <si>
    <t xml:space="preserve">2026-04-14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</si>
  <si>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$3/</t>
    </r>
    <r>
      <rPr>
        <sz val="10"/>
        <color rgb="FF000000"/>
        <rFont val="Noto Sans CJK SC"/>
        <family val="2"/>
      </rPr>
      <t xml:space="preserve">月という破格のプロモーション価格が廃止され」</t>
    </r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起改三段定額；第三方部落格</t>
    </r>
  </si>
  <si>
    <t xml:space="preserve">SRC_ZP_356</t>
  </si>
  <si>
    <t xml:space="preserve">cp_rmb_lite_month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</si>
  <si>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</si>
  <si>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漲價後）</t>
    </r>
  </si>
  <si>
    <r>
      <rPr>
        <sz val="10"/>
        <color rgb="FF000000"/>
        <rFont val="Arial"/>
        <family val="0"/>
        <charset val="1"/>
      </rPr>
      <t xml:space="preserve">CodePick</t>
    </r>
    <r>
      <rPr>
        <sz val="10"/>
        <color rgb="FF000000"/>
        <rFont val="Noto Sans CJK SC"/>
        <family val="2"/>
      </rPr>
      <t xml:space="preserve">〈國內 </t>
    </r>
    <r>
      <rPr>
        <sz val="10"/>
        <color rgb="FF000000"/>
        <rFont val="Arial"/>
        <family val="0"/>
        <charset val="1"/>
      </rPr>
      <t xml:space="preserve">Coding API </t>
    </r>
    <r>
      <rPr>
        <sz val="10"/>
        <color rgb="FF000000"/>
        <rFont val="Noto Sans CJK SC"/>
        <family val="2"/>
      </rPr>
      <t xml:space="preserve">橫評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〉</t>
    </r>
  </si>
  <si>
    <t xml:space="preserve">https://codepick.dev/zh/guides/china-coding-api-roundup-2026/</t>
  </si>
  <si>
    <t xml:space="preserve">2026-05-19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</si>
  <si>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</si>
  <si>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SRC_ZP_357</t>
  </si>
  <si>
    <t xml:space="preserve">cp_rmb_lite_qtr_permonth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</si>
  <si>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</si>
  <si>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2026-05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</si>
  <si>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折）</t>
    </r>
  </si>
  <si>
    <t xml:space="preserve">SRC_ZP_358</t>
  </si>
  <si>
    <t xml:space="preserve">cp_rmb_lite_yr_permonth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</si>
  <si>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（國內）包年折合每月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</si>
  <si>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折）</t>
    </r>
  </si>
  <si>
    <t xml:space="preserve">SRC_ZP_359</t>
  </si>
  <si>
    <t xml:space="preserve">cp_rmb_pro_month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</si>
  <si>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</si>
  <si>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¥149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¥134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¥104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</si>
  <si>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SRC_ZP_360</t>
  </si>
  <si>
    <t xml:space="preserve">cp_rmb_pro_qtr_permonth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</si>
  <si>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</si>
  <si>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SRC_ZP_361</t>
  </si>
  <si>
    <t xml:space="preserve">cp_rmb_pro_yr_permonth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</si>
  <si>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</si>
  <si>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SRC_ZP_362</t>
  </si>
  <si>
    <t xml:space="preserve">cp_rmb_max_month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</si>
  <si>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</si>
  <si>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¥469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¥422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¥328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</si>
  <si>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SRC_ZP_363</t>
  </si>
  <si>
    <t xml:space="preserve">cp_rmb_max_qtr_permonth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</si>
  <si>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</si>
  <si>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SRC_ZP_364</t>
  </si>
  <si>
    <t xml:space="preserve">cp_rmb_max_yr_permonth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</si>
  <si>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</si>
  <si>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SRC_ZP_365</t>
  </si>
  <si>
    <t xml:space="preserve">cp_rmb_pro_qtr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</si>
  <si>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連續包季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</si>
  <si>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元／季</t>
    </r>
  </si>
  <si>
    <r>
      <rPr>
        <sz val="10"/>
        <color rgb="FF000000"/>
        <rFont val="Arial"/>
        <family val="0"/>
        <charset val="1"/>
      </rPr>
      <t xml:space="preserve">17173 </t>
    </r>
    <r>
      <rPr>
        <sz val="10"/>
        <color rgb="FF000000"/>
        <rFont val="Noto Sans CJK SC"/>
        <family val="2"/>
      </rPr>
      <t xml:space="preserve">新聞（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</si>
  <si>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https://news.17173.com/content/02132026/080853761.shtml</t>
  </si>
  <si>
    <r>
      <rPr>
        <sz val="10"/>
        <color rgb="FF000000"/>
        <rFont val="Noto Sans CJK SC"/>
        <family val="2"/>
      </rPr>
      <t xml:space="preserve">原文「連續包季享受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402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季）」；月付「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元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月」；與 </t>
    </r>
    <r>
      <rPr>
        <sz val="10"/>
        <color rgb="FF000000"/>
        <rFont val="Arial"/>
        <family val="0"/>
        <charset val="1"/>
      </rPr>
      <t xml:space="preserve">CodePick 134×3=402 </t>
    </r>
    <r>
      <rPr>
        <sz val="10"/>
        <color rgb="FF000000"/>
        <rFont val="Noto Sans CJK SC"/>
        <family val="2"/>
      </rPr>
      <t xml:space="preserve">一致</t>
    </r>
  </si>
  <si>
    <t xml:space="preserve">SRC_ZP_366</t>
  </si>
  <si>
    <t xml:space="preserve">cp_rmb_pro_yr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</si>
  <si>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連續包年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</si>
  <si>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元／年</t>
    </r>
  </si>
  <si>
    <r>
      <rPr>
        <sz val="10"/>
        <color rgb="FF000000"/>
        <rFont val="Noto Sans CJK SC"/>
        <family val="2"/>
      </rPr>
      <t xml:space="preserve">原文「連續包年享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1251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年）」；與 </t>
    </r>
    <r>
      <rPr>
        <sz val="10"/>
        <color rgb="FF000000"/>
        <rFont val="Arial"/>
        <family val="0"/>
        <charset val="1"/>
      </rPr>
      <t xml:space="preserve">CodePick 104×12=1248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元（四捨五入）</t>
    </r>
  </si>
  <si>
    <t xml:space="preserve">SRC_ZP_367</t>
  </si>
  <si>
    <t xml:space="preserve">cp_usd_lite_list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</si>
  <si>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</si>
  <si>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Arial"/>
        <family val="0"/>
        <charset val="1"/>
      </rPr>
      <t xml:space="preserve">2026-07-03 </t>
    </r>
    <r>
      <rPr>
        <sz val="10"/>
        <color rgb="FF000000"/>
        <rFont val="Noto Sans CJK SC"/>
        <family val="2"/>
      </rPr>
      <t xml:space="preserve">起（快照）</t>
    </r>
  </si>
  <si>
    <r>
      <rPr>
        <sz val="10"/>
        <color rgb="FF000000"/>
        <rFont val="Arial"/>
        <family val="0"/>
        <charset val="1"/>
      </rPr>
      <t xml:space="preserve">Digital Applied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Coding Plan worth it 2026</t>
    </r>
    <r>
      <rPr>
        <sz val="10"/>
        <color rgb="FF000000"/>
        <rFont val="Noto Sans CJK SC"/>
        <family val="2"/>
      </rPr>
      <t xml:space="preserve">〉</t>
    </r>
  </si>
  <si>
    <t xml:space="preserve">https://www.digitalapplied.com/blog/glm-coding-plan-worth-it-2026-value-analysis</t>
  </si>
  <si>
    <t xml:space="preserve">2026-07-03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</si>
  <si>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$18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$16.2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$14.4/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$12.6/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</si>
  <si>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SRC_ZP_368</t>
  </si>
  <si>
    <t xml:space="preserve">cp_usd_lite_yr_permonth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</si>
  <si>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（國際）年付折合每月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</si>
  <si>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</si>
  <si>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</si>
  <si>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30%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$112</t>
    </r>
    <r>
      <rPr>
        <sz val="10"/>
        <color rgb="FF000000"/>
        <rFont val="Noto Sans CJK SC"/>
        <family val="2"/>
      </rPr>
      <t xml:space="preserve">；季付 </t>
    </r>
    <r>
      <rPr>
        <sz val="10"/>
        <color rgb="FF000000"/>
        <rFont val="Arial"/>
        <family val="0"/>
        <charset val="1"/>
      </rPr>
      <t xml:space="preserve">20%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$57.6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$128</t>
    </r>
  </si>
  <si>
    <t xml:space="preserve">SRC_ZP_369</t>
  </si>
  <si>
    <t xml:space="preserve">cp_usd_pro_list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</si>
  <si>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</si>
  <si>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$72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$64.8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$57.6/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$50.4/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</si>
  <si>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SRC_ZP_370</t>
  </si>
  <si>
    <t xml:space="preserve">cp_usd_pro_yr_permonth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</si>
  <si>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</si>
  <si>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SRC_ZP_371</t>
  </si>
  <si>
    <t xml:space="preserve">cp_usd_max_list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</si>
  <si>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</si>
  <si>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$160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$144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$128/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$112/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</si>
  <si>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SRC_ZP_372</t>
  </si>
  <si>
    <t xml:space="preserve">cp_usd_max_yr_permonth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</si>
  <si>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</si>
  <si>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SRC_ZP_373</t>
  </si>
  <si>
    <t xml:space="preserve">cp_usd_lite_qtr_feb2026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</si>
  <si>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</si>
  <si>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／季</t>
    </r>
  </si>
  <si>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2026-07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</si>
  <si>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before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</si>
  <si>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$10/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</si>
  <si>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SRC_ZP_374</t>
  </si>
  <si>
    <t xml:space="preserve">cp_usd_pro_qtr_feb2026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</si>
  <si>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</si>
  <si>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$90/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</si>
  <si>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SRC_ZP_375</t>
  </si>
  <si>
    <t xml:space="preserve">cp_usd_max_qtr_feb2026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</si>
  <si>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</si>
  <si>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$240/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$80/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</si>
  <si>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SRC_ZP_376</t>
  </si>
  <si>
    <t xml:space="preserve">cp_quota_lite_5h</t>
  </si>
  <si>
    <r>
      <rPr>
        <sz val="10"/>
        <color rgb="FF000000"/>
        <rFont val="Arial"/>
        <family val="0"/>
        <charset val="1"/>
      </rPr>
      <t xml:space="preserve">Coding Plan Lite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</si>
  <si>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prompts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</si>
  <si>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2026-04-30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</si>
  <si>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Lite ~80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~400</t>
    </r>
    <r>
      <rPr>
        <sz val="10"/>
        <color rgb="FF000000"/>
        <rFont val="Noto Sans CJK SC"/>
        <family val="2"/>
      </rPr>
      <t xml:space="preserve">／週；</t>
    </r>
    <r>
      <rPr>
        <sz val="10"/>
        <color rgb="FF000000"/>
        <rFont val="Arial"/>
        <family val="0"/>
        <charset val="1"/>
      </rPr>
      <t xml:space="preserve">Pro ~400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~1600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~8000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次模型呼叫</t>
    </r>
  </si>
  <si>
    <t xml:space="preserve">SRC_ZP_377</t>
  </si>
  <si>
    <t xml:space="preserve">cp_quota_pro_5h</t>
  </si>
  <si>
    <r>
      <rPr>
        <sz val="10"/>
        <color rgb="FF000000"/>
        <rFont val="Arial"/>
        <family val="0"/>
        <charset val="1"/>
      </rPr>
      <t xml:space="preserve">Coding Plan Pro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</si>
  <si>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~2000</t>
    </r>
  </si>
  <si>
    <t xml:space="preserve">SRC_ZP_378</t>
  </si>
  <si>
    <t xml:space="preserve">cp_quota_max_5h</t>
  </si>
  <si>
    <r>
      <rPr>
        <sz val="10"/>
        <color rgb="FF000000"/>
        <rFont val="Arial"/>
        <family val="0"/>
        <charset val="1"/>
      </rPr>
      <t xml:space="preserve">Coding Plan Max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</si>
  <si>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~8000</t>
    </r>
  </si>
  <si>
    <t xml:space="preserve">SRC_ZP_379</t>
  </si>
  <si>
    <t xml:space="preserve">cp_calls_per_prompt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</si>
  <si>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對應模型呼叫次數</t>
    </r>
  </si>
  <si>
    <t xml:space="preserve">次</t>
  </si>
  <si>
    <r>
      <rPr>
        <sz val="10"/>
        <color rgb="FF000000"/>
        <rFont val="Noto Sans CJK SC"/>
        <family val="2"/>
      </rPr>
      <t xml:space="preserve">原文每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「預計可調用模型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次」；公司估計</t>
    </r>
  </si>
  <si>
    <t xml:space="preserve">SRC_ZP_380</t>
  </si>
  <si>
    <t xml:space="preserve">qy_iap_auto_month</t>
  </si>
  <si>
    <r>
      <rPr>
        <sz val="10"/>
        <color rgb="FF000000"/>
        <rFont val="Noto Sans CJK SC"/>
        <family val="2"/>
      </rPr>
      <t xml:space="preserve">清言連續包月會員（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</si>
  <si>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App Store </t>
    </r>
    <r>
      <rPr>
        <sz val="10"/>
        <color rgb="FF000000"/>
        <rFont val="Noto Sans CJK SC"/>
        <family val="2"/>
      </rPr>
      <t xml:space="preserve">現行）</t>
    </r>
  </si>
  <si>
    <r>
      <rPr>
        <sz val="10"/>
        <color rgb="FF000000"/>
        <rFont val="Arial"/>
        <family val="0"/>
        <charset val="1"/>
      </rPr>
      <t xml:space="preserve">Apple App Store </t>
    </r>
    <r>
      <rPr>
        <sz val="10"/>
        <color rgb="FF000000"/>
        <rFont val="Noto Sans CJK SC"/>
        <family val="2"/>
      </rPr>
      <t xml:space="preserve">中國區「智譜清言」頁</t>
    </r>
  </si>
  <si>
    <t xml:space="preserve">https://apps.apple.com/cn/app/%E6%99%BA%E8%B0%B1%E6%B8%85%E8%A8%80-%E5%B7%A5%E4%BD%9C%E7%94%9F%E6%B4%BB%E5%AD%A6%E4%B9%A0ai%E5%8A%A9%E6%89%8B/id6450893458</t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</si>
  <si>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內購買列「連續包月會員 </t>
    </r>
    <r>
      <rPr>
        <sz val="10"/>
        <color rgb="FF000000"/>
        <rFont val="Arial"/>
        <family val="0"/>
        <charset val="1"/>
      </rPr>
      <t xml:space="preserve">¥79.00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</si>
  <si>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SRC_ZP_381</t>
  </si>
  <si>
    <t xml:space="preserve">qy_iap_auto_qtr</t>
  </si>
  <si>
    <r>
      <rPr>
        <sz val="10"/>
        <color rgb="FF000000"/>
        <rFont val="Noto Sans CJK SC"/>
        <family val="2"/>
      </rPr>
      <t xml:space="preserve">清言連續包季會員（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</si>
  <si>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「連續包季會員 </t>
    </r>
    <r>
      <rPr>
        <sz val="10"/>
        <color rgb="FF000000"/>
        <rFont val="Arial"/>
        <family val="0"/>
        <charset val="1"/>
      </rPr>
      <t xml:space="preserve">¥219.00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</si>
  <si>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SRC_ZP_382</t>
  </si>
  <si>
    <t xml:space="preserve">qy_iap_auto_year</t>
  </si>
  <si>
    <r>
      <rPr>
        <sz val="10"/>
        <color rgb="FF000000"/>
        <rFont val="Noto Sans CJK SC"/>
        <family val="2"/>
      </rPr>
      <t xml:space="preserve">清言連續包年會員（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</si>
  <si>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「連續包年會員 </t>
    </r>
    <r>
      <rPr>
        <sz val="10"/>
        <color rgb="FF000000"/>
        <rFont val="Arial"/>
        <family val="0"/>
        <charset val="1"/>
      </rPr>
      <t xml:space="preserve">¥859.00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</si>
  <si>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SRC_ZP_383</t>
  </si>
  <si>
    <t xml:space="preserve">qy_iap_month_card</t>
  </si>
  <si>
    <r>
      <rPr>
        <sz val="10"/>
        <color rgb="FF000000"/>
        <rFont val="Noto Sans CJK SC"/>
        <family val="2"/>
      </rPr>
      <t xml:space="preserve">清言月卡會員（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</si>
  <si>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「清言月卡會員 </t>
    </r>
    <r>
      <rPr>
        <sz val="10"/>
        <color rgb="FF000000"/>
        <rFont val="Arial"/>
        <family val="0"/>
        <charset val="1"/>
      </rPr>
      <t xml:space="preserve">¥119.00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</si>
  <si>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SRC_ZP_384</t>
  </si>
  <si>
    <t xml:space="preserve">qy_iap_svip_month</t>
  </si>
  <si>
    <r>
      <rPr>
        <sz val="10"/>
        <color rgb="FF000000"/>
        <rFont val="Noto Sans CJK SC"/>
        <family val="2"/>
      </rPr>
      <t xml:space="preserve">清言 </t>
    </r>
    <r>
      <rPr>
        <sz val="10"/>
        <color rgb="FF000000"/>
        <rFont val="Arial"/>
        <family val="0"/>
        <charset val="1"/>
      </rPr>
      <t xml:space="preserve">SVIP </t>
    </r>
    <r>
      <rPr>
        <sz val="10"/>
        <color rgb="FF000000"/>
        <rFont val="Noto Sans CJK SC"/>
        <family val="2"/>
      </rPr>
      <t xml:space="preserve">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</si>
  <si>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</t>
    </r>
    <r>
      <rPr>
        <sz val="10"/>
        <color rgb="FF000000"/>
        <rFont val="Arial"/>
        <family val="0"/>
        <charset val="1"/>
      </rPr>
      <t xml:space="preserve">SVIP</t>
    </r>
    <r>
      <rPr>
        <sz val="10"/>
        <color rgb="FF000000"/>
        <rFont val="Noto Sans CJK SC"/>
        <family val="2"/>
      </rPr>
      <t xml:space="preserve">連續包月 </t>
    </r>
    <r>
      <rPr>
        <sz val="10"/>
        <color rgb="FF000000"/>
        <rFont val="Arial"/>
        <family val="0"/>
        <charset val="1"/>
      </rPr>
      <t xml:space="preserve">¥229.00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</si>
  <si>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SRC_ZP_385</t>
  </si>
  <si>
    <t xml:space="preserve">qy_desc_auto_month_b</t>
  </si>
  <si>
    <r>
      <rPr>
        <sz val="10"/>
        <color rgb="FF000000"/>
        <rFont val="Noto Sans CJK SC"/>
        <family val="2"/>
      </rPr>
      <t xml:space="preserve">清言連續包月（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描述文字）</t>
    </r>
  </si>
  <si>
    <t xml:space="preserve">描述文字（日期未明）</t>
  </si>
  <si>
    <r>
      <rPr>
        <sz val="10"/>
        <color rgb="FF000000"/>
        <rFont val="Noto Sans CJK SC"/>
        <family val="2"/>
      </rPr>
      <t xml:space="preserve">描述「連續包月（</t>
    </r>
    <r>
      <rPr>
        <sz val="10"/>
        <color rgb="FF000000"/>
        <rFont val="Arial"/>
        <family val="0"/>
        <charset val="1"/>
      </rPr>
      <t xml:space="preserve">¥19/</t>
    </r>
    <r>
      <rPr>
        <sz val="10"/>
        <color rgb="FF000000"/>
        <rFont val="Noto Sans CJK SC"/>
        <family val="2"/>
      </rPr>
      <t xml:space="preserve">月）」「連續包季（</t>
    </r>
    <r>
      <rPr>
        <sz val="10"/>
        <color rgb="FF000000"/>
        <rFont val="Arial"/>
        <family val="0"/>
        <charset val="1"/>
      </rPr>
      <t xml:space="preserve">¥79/</t>
    </r>
    <r>
      <rPr>
        <sz val="10"/>
        <color rgb="FF000000"/>
        <rFont val="Noto Sans CJK SC"/>
        <family val="2"/>
      </rPr>
      <t xml:space="preserve">季）」「連續包年（</t>
    </r>
    <r>
      <rPr>
        <sz val="10"/>
        <color rgb="FF000000"/>
        <rFont val="Arial"/>
        <family val="0"/>
        <charset val="1"/>
      </rPr>
      <t xml:space="preserve">¥299/</t>
    </r>
    <r>
      <rPr>
        <sz val="10"/>
        <color rgb="FF000000"/>
        <rFont val="Noto Sans CJK SC"/>
        <family val="2"/>
      </rPr>
      <t xml:space="preserve">年）」「單月</t>
    </r>
    <r>
      <rPr>
        <sz val="10"/>
        <color rgb="FF000000"/>
        <rFont val="Arial"/>
        <family val="0"/>
        <charset val="1"/>
      </rPr>
      <t xml:space="preserve">¥59</t>
    </r>
    <r>
      <rPr>
        <sz val="10"/>
        <color rgb="FF000000"/>
        <rFont val="Noto Sans CJK SC"/>
        <family val="2"/>
      </rPr>
      <t xml:space="preserve">」「年卡 </t>
    </r>
    <r>
      <rPr>
        <sz val="10"/>
        <color rgb="FF000000"/>
        <rFont val="Arial"/>
        <family val="0"/>
        <charset val="1"/>
      </rPr>
      <t xml:space="preserve">¥399</t>
    </r>
    <r>
      <rPr>
        <sz val="10"/>
        <color rgb="FF000000"/>
        <rFont val="Noto Sans CJK SC"/>
        <family val="2"/>
      </rPr>
      <t xml:space="preserve">」；與內購清單 </t>
    </r>
    <r>
      <rPr>
        <sz val="10"/>
        <color rgb="FF000000"/>
        <rFont val="Arial"/>
        <family val="0"/>
        <charset val="1"/>
      </rPr>
      <t xml:space="preserve">¥79/219/859 </t>
    </r>
    <r>
      <rPr>
        <sz val="10"/>
        <color rgb="FF000000"/>
        <rFont val="Noto Sans CJK SC"/>
        <family val="2"/>
      </rPr>
      <t xml:space="preserve">矛盾，疑描述為舊版或不同檔位</t>
    </r>
  </si>
  <si>
    <t xml:space="preserve">SRC_ZP_386</t>
  </si>
  <si>
    <t xml:space="preserve">rel_glm45</t>
  </si>
  <si>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4.5-Air </t>
    </r>
    <r>
      <rPr>
        <sz val="10"/>
        <color rgb="FF000000"/>
        <rFont val="Noto Sans CJK SC"/>
        <family val="2"/>
      </rPr>
      <t xml:space="preserve">發布日</t>
    </r>
  </si>
  <si>
    <t xml:space="preserve">2025-07-28</t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</si>
  <si>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）</t>
    </r>
  </si>
  <si>
    <t xml:space="preserve">https://en.wikipedia.org/wiki/Z.ai</t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</si>
  <si>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GLM-4.5: Reasoning, Coding, and Agentic Abilities</t>
    </r>
    <r>
      <rPr>
        <sz val="10"/>
        <color rgb="FF000000"/>
        <rFont val="Noto Sans CJK SC"/>
        <family val="2"/>
      </rPr>
      <t xml:space="preserve">〉</t>
    </r>
    <r>
      <rPr>
        <sz val="10"/>
        <color rgb="FF000000"/>
        <rFont val="Arial"/>
        <family val="0"/>
        <charset val="1"/>
      </rPr>
      <t xml:space="preserve">28 July 2025</t>
    </r>
    <r>
      <rPr>
        <sz val="10"/>
        <color rgb="FF000000"/>
        <rFont val="Noto Sans CJK SC"/>
        <family val="2"/>
      </rPr>
      <t xml:space="preserve">；愛范兒 </t>
    </r>
    <r>
      <rPr>
        <sz val="10"/>
        <color rgb="FF000000"/>
        <rFont val="Arial"/>
        <family val="0"/>
        <charset val="1"/>
      </rPr>
      <t xml:space="preserve">2025-07-29 07:44 </t>
    </r>
    <r>
      <rPr>
        <sz val="10"/>
        <color rgb="FF000000"/>
        <rFont val="Noto Sans CJK SC"/>
        <family val="2"/>
      </rPr>
      <t xml:space="preserve">稱「就在剛剛」</t>
    </r>
  </si>
  <si>
    <t xml:space="preserve">SRC_ZP_387</t>
  </si>
  <si>
    <t xml:space="preserve">rel_glm45_b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</si>
  <si>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發布日（彙整站）</t>
    </r>
  </si>
  <si>
    <t xml:space="preserve">2025-07-25</t>
  </si>
  <si>
    <r>
      <rPr>
        <sz val="10"/>
        <color rgb="FF000000"/>
        <rFont val="Arial"/>
        <family val="0"/>
        <charset val="1"/>
      </rPr>
      <t xml:space="preserve">The GTM Directory GLM </t>
    </r>
    <r>
      <rPr>
        <sz val="10"/>
        <color rgb="FF000000"/>
        <rFont val="Noto Sans CJK SC"/>
        <family val="2"/>
      </rPr>
      <t xml:space="preserve">頁</t>
    </r>
  </si>
  <si>
    <t xml:space="preserve">https://thegtmdirectory.com/models/z-ai-glm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</si>
  <si>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2025-07-25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07-28 </t>
    </r>
    <r>
      <rPr>
        <sz val="10"/>
        <color rgb="FF000000"/>
        <rFont val="Noto Sans CJK SC"/>
        <family val="2"/>
      </rPr>
      <t xml:space="preserve">矛盾，以官方 </t>
    </r>
    <r>
      <rPr>
        <sz val="10"/>
        <color rgb="FF000000"/>
        <rFont val="Arial"/>
        <family val="0"/>
        <charset val="1"/>
      </rPr>
      <t xml:space="preserve">blog 07-28 </t>
    </r>
    <r>
      <rPr>
        <sz val="10"/>
        <color rgb="FF000000"/>
        <rFont val="Noto Sans CJK SC"/>
        <family val="2"/>
      </rPr>
      <t xml:space="preserve">為準</t>
    </r>
  </si>
  <si>
    <t xml:space="preserve">SRC_ZP_388</t>
  </si>
  <si>
    <t xml:space="preserve">rel_glm46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</si>
  <si>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</si>
  <si>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reported as 30 September 2025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GTM Directory </t>
    </r>
    <r>
      <rPr>
        <sz val="10"/>
        <color rgb="FF000000"/>
        <rFont val="Noto Sans CJK SC"/>
        <family val="2"/>
      </rPr>
      <t xml:space="preserve">同</t>
    </r>
  </si>
  <si>
    <t xml:space="preserve">SRC_ZP_389</t>
  </si>
  <si>
    <t xml:space="preserve">rel_glm47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</si>
  <si>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發布日</t>
    </r>
  </si>
  <si>
    <t xml:space="preserve">2025-12-22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</si>
  <si>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2025-12-22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December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Gigazine 23 Dec 2025</t>
    </r>
    <r>
      <rPr>
        <sz val="10"/>
        <color rgb="FF000000"/>
        <rFont val="Noto Sans CJK SC"/>
        <family val="2"/>
      </rPr>
      <t xml:space="preserve">）</t>
    </r>
  </si>
  <si>
    <t xml:space="preserve">SRC_ZP_390</t>
  </si>
  <si>
    <t xml:space="preserve">rel_glm5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</si>
  <si>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</si>
  <si>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上海證券報（同花順 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</si>
  <si>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https://stock.10jqka.com.cn/20260213/c674781266.shtml</t>
  </si>
  <si>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「正式開源並上線」於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日；同日發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調價函</t>
    </r>
  </si>
  <si>
    <t xml:space="preserve">SRC_ZP_391</t>
  </si>
  <si>
    <t xml:space="preserve">rel_glm5_b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</si>
  <si>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發布日（彙整站／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</si>
  <si>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記 </t>
    </r>
    <r>
      <rPr>
        <sz val="10"/>
        <color rgb="FF000000"/>
        <rFont val="Arial"/>
        <family val="0"/>
        <charset val="1"/>
      </rPr>
      <t xml:space="preserve">11 February</t>
    </r>
    <r>
      <rPr>
        <sz val="10"/>
        <color rgb="FF000000"/>
        <rFont val="Noto Sans CJK SC"/>
        <family val="2"/>
      </rPr>
      <t xml:space="preserve">（時區差）</t>
    </r>
  </si>
  <si>
    <t xml:space="preserve">SRC_ZP_392</t>
  </si>
  <si>
    <t xml:space="preserve">rel_glm51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</si>
  <si>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開源發布日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</si>
  <si>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Computerworld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</si>
  <si>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as open-source on 7 April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月底先推訂閱用戶；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04-06</t>
    </r>
  </si>
  <si>
    <t xml:space="preserve">SRC_ZP_393</t>
  </si>
  <si>
    <t xml:space="preserve">rel_glm52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</si>
  <si>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</si>
  <si>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</si>
  <si>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氪（</t>
    </r>
    <r>
      <rPr>
        <sz val="10"/>
        <color rgb="FF000000"/>
        <rFont val="Arial"/>
        <family val="0"/>
        <charset val="1"/>
      </rPr>
      <t xml:space="preserve">2026-06-18</t>
    </r>
    <r>
      <rPr>
        <sz val="10"/>
        <color rgb="FF000000"/>
        <rFont val="Noto Sans CJK SC"/>
        <family val="2"/>
      </rPr>
      <t xml:space="preserve">）</t>
    </r>
  </si>
  <si>
    <t xml:space="preserve">https://www.36kr.com/p/3858548611709828</t>
  </si>
  <si>
    <t xml:space="preserve">2026-06-18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</si>
  <si>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日晚，智譜正式開源新一代旗艦模型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上下文</t>
    </r>
  </si>
  <si>
    <t xml:space="preserve">SRC_ZP_394</t>
  </si>
  <si>
    <t xml:space="preserve">rel_glm52_b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</si>
  <si>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發布日（華為雲）</t>
    </r>
  </si>
  <si>
    <t xml:space="preserve">2026-06-17</t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</si>
  <si>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GLM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</si>
  <si>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頁示「</t>
    </r>
    <r>
      <rPr>
        <sz val="10"/>
        <color rgb="FF000000"/>
        <rFont val="Arial"/>
        <family val="0"/>
        <charset val="1"/>
      </rPr>
      <t xml:space="preserve">GLM-5.2 20260617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06-16 </t>
    </r>
    <r>
      <rPr>
        <sz val="10"/>
        <color rgb="FF000000"/>
        <rFont val="Noto Sans CJK SC"/>
        <family val="2"/>
      </rPr>
      <t xml:space="preserve">晚差一日</t>
    </r>
  </si>
  <si>
    <t xml:space="preserve">SRC_ZP_395</t>
  </si>
  <si>
    <t xml:space="preserve">rel_glm53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</si>
  <si>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發布日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</si>
  <si>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</si>
  <si>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DataNorth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 releases GLM-5.3</t>
    </r>
    <r>
      <rPr>
        <sz val="10"/>
        <color rgb="FF000000"/>
        <rFont val="Noto Sans CJK SC"/>
        <family val="2"/>
      </rPr>
      <t xml:space="preserve">〉</t>
    </r>
  </si>
  <si>
    <t xml:space="preserve">https://datanorth.ai/news/z-ai-releases-glm-5-3</t>
  </si>
  <si>
    <t xml:space="preserve">2026-08-17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</si>
  <si>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GLM-5.3 on 14 August 2026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上市時「</t>
    </r>
    <r>
      <rPr>
        <sz val="10"/>
        <color rgb="FF000000"/>
        <rFont val="Arial"/>
        <family val="0"/>
        <charset val="1"/>
      </rPr>
      <t xml:space="preserve">coming soon</t>
    </r>
    <r>
      <rPr>
        <sz val="10"/>
        <color rgb="FF000000"/>
        <rFont val="Noto Sans CJK SC"/>
        <family val="2"/>
      </rPr>
      <t xml:space="preserve">」，先經 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；權重約 </t>
    </r>
    <r>
      <rPr>
        <sz val="10"/>
        <color rgb="FF000000"/>
        <rFont val="Arial"/>
        <family val="0"/>
        <charset val="1"/>
      </rPr>
      <t xml:space="preserve">08-28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DataLearner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08-14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08-16</t>
    </r>
  </si>
  <si>
    <t xml:space="preserve">SRC_ZP_396</t>
  </si>
  <si>
    <t xml:space="preserve">rel_glm53flash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</si>
  <si>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</si>
  <si>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Arial"/>
        <family val="0"/>
        <charset val="1"/>
      </rPr>
      <t xml:space="preserve">AIToolly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2026-08-27</t>
    </r>
    <r>
      <rPr>
        <sz val="10"/>
        <color rgb="FF000000"/>
        <rFont val="Noto Sans CJK SC"/>
        <family val="2"/>
      </rPr>
      <t xml:space="preserve">）</t>
    </r>
  </si>
  <si>
    <t xml:space="preserve">https://aitoolly.com/zh/ai-news/article/2026-08-27-glm-53-flash-zhipu-ais-strategic-leap-in-high-efficiency-language-model-performance</t>
  </si>
  <si>
    <t xml:space="preserve">2026-08-27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</si>
  <si>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日，關於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的消息在 </t>
    </r>
    <r>
      <rPr>
        <sz val="10"/>
        <color rgb="FF000000"/>
        <rFont val="Arial"/>
        <family val="0"/>
        <charset val="1"/>
      </rPr>
      <t xml:space="preserve">Hacker News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博客上發布」；上市前以代號 </t>
    </r>
    <r>
      <rPr>
        <sz val="10"/>
        <color rgb="FF000000"/>
        <rFont val="Arial"/>
        <family val="0"/>
        <charset val="1"/>
      </rPr>
      <t xml:space="preserve">Ox-Alpha </t>
    </r>
    <r>
      <rPr>
        <sz val="10"/>
        <color rgb="FF000000"/>
        <rFont val="Noto Sans CJK SC"/>
        <family val="2"/>
      </rPr>
      <t xml:space="preserve">匿名測試（中期公告）</t>
    </r>
  </si>
  <si>
    <t xml:space="preserve">SRC_ZP_397</t>
  </si>
  <si>
    <t xml:space="preserve">usr_maas_1h26_pe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</si>
  <si>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平台企業及開發者用戶數（期末）</t>
    </r>
  </si>
  <si>
    <t xml:space="preserve">萬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</si>
  <si>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</si>
  <si>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 and developer users on the GLM MaaS platform exceeded 5.8 million</t>
    </r>
    <r>
      <rPr>
        <sz val="10"/>
        <color rgb="FF000000"/>
        <rFont val="Noto Sans CJK SC"/>
        <family val="2"/>
      </rPr>
      <t xml:space="preserve">」（報告期末）</t>
    </r>
  </si>
  <si>
    <t xml:space="preserve">SRC_ZP_398</t>
  </si>
  <si>
    <t xml:space="preserve">usr_maas_ann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</si>
  <si>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平台企業及開發者用戶數（公告日）</t>
    </r>
  </si>
  <si>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（公告日）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</si>
  <si>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 of the date of this announcement ... over 7.4 million enterprise and developer users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頁稱較年初 </t>
    </r>
    <r>
      <rPr>
        <sz val="10"/>
        <color rgb="FF000000"/>
        <rFont val="Arial"/>
        <family val="0"/>
        <charset val="1"/>
      </rPr>
      <t xml:space="preserve">+144%</t>
    </r>
  </si>
  <si>
    <t xml:space="preserve">SRC_ZP_399</t>
  </si>
  <si>
    <t xml:space="preserve">usr_maas_growth_ytd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</si>
  <si>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用戶數較年初增幅</t>
    </r>
  </si>
  <si>
    <r>
      <rPr>
        <sz val="10"/>
        <color rgb="FF000000"/>
        <rFont val="Arial"/>
        <family val="0"/>
        <charset val="1"/>
      </rPr>
      <t xml:space="preserve">2026-01-01→</t>
    </r>
    <r>
      <rPr>
        <sz val="10"/>
        <color rgb="FF000000"/>
        <rFont val="Noto Sans CJK SC"/>
        <family val="2"/>
      </rPr>
      <t xml:space="preserve">公告日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</si>
  <si>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</si>
  <si>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7.4 million users, an increase of 144% from the beginning of 2026</t>
    </r>
    <r>
      <rPr>
        <sz val="10"/>
        <color rgb="FF000000"/>
        <rFont val="Noto Sans CJK SC"/>
        <family val="2"/>
      </rPr>
      <t xml:space="preserve">」；反推年初約 </t>
    </r>
    <r>
      <rPr>
        <sz val="10"/>
        <color rgb="FF000000"/>
        <rFont val="Arial"/>
        <family val="0"/>
        <charset val="1"/>
      </rPr>
      <t xml:space="preserve">303 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</si>
  <si>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SRC_ZP_400</t>
  </si>
  <si>
    <t xml:space="preserve">usr_maas_mar26</t>
  </si>
  <si>
    <t xml:space="preserve">開放平台註冊用戶數</t>
  </si>
  <si>
    <t xml:space="preserve">2026-03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</si>
  <si>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surpassed 4 million registered users as of March 2026</t>
    </r>
    <r>
      <rPr>
        <sz val="10"/>
        <color rgb="FF000000"/>
        <rFont val="Noto Sans CJK SC"/>
        <family val="2"/>
      </rPr>
      <t xml:space="preserve">」；另稱合作「</t>
    </r>
    <r>
      <rPr>
        <sz val="10"/>
        <color rgb="FF000000"/>
        <rFont val="Arial"/>
        <family val="0"/>
        <charset val="1"/>
      </rPr>
      <t xml:space="preserve">over 4 million small and medium-sized enterprises and developers</t>
    </r>
    <r>
      <rPr>
        <sz val="10"/>
        <color rgb="FF000000"/>
        <rFont val="Noto Sans CJK SC"/>
        <family val="2"/>
      </rPr>
      <t xml:space="preserve">」</t>
    </r>
  </si>
  <si>
    <t xml:space="preserve">SRC_ZP_401</t>
  </si>
  <si>
    <t xml:space="preserve">usr_paid_dau_growth</t>
  </si>
  <si>
    <t xml:space="preserve">付費日活用戶較年初增幅</t>
  </si>
  <si>
    <t xml:space="preserve">2026-01-01→1H2026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</si>
  <si>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number of paid daily active users rising by 603%</t>
    </r>
    <r>
      <rPr>
        <sz val="10"/>
        <color rgb="FF000000"/>
        <rFont val="Noto Sans CJK SC"/>
        <family val="2"/>
      </rPr>
      <t xml:space="preserve">」；未揭露絕對數</t>
    </r>
  </si>
  <si>
    <t xml:space="preserve">SRC_ZP_402</t>
  </si>
  <si>
    <t xml:space="preserve">usr_cp_paying_dev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</si>
  <si>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</si>
  <si>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reaching over 242,000 paying developers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段落）</t>
    </r>
  </si>
  <si>
    <t xml:space="preserve">SRC_ZP_403</t>
  </si>
  <si>
    <t xml:space="preserve">usr_clawplan_subs</t>
  </si>
  <si>
    <r>
      <rPr>
        <sz val="10"/>
        <color rgb="FF000000"/>
        <rFont val="Arial"/>
        <family val="0"/>
        <charset val="1"/>
      </rPr>
      <t xml:space="preserve">Claw Plan </t>
    </r>
    <r>
      <rPr>
        <sz val="10"/>
        <color rgb="FF000000"/>
        <rFont val="Noto Sans CJK SC"/>
        <family val="2"/>
      </rPr>
      <t xml:space="preserve">訂閱數（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天）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</si>
  <si>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100,000 subscribers within just two days and 400,000 subscribers within 20 days</t>
    </r>
    <r>
      <rPr>
        <sz val="10"/>
        <color rgb="FF000000"/>
        <rFont val="Noto Sans CJK SC"/>
        <family val="2"/>
      </rPr>
      <t xml:space="preserve">」；未稱付費</t>
    </r>
  </si>
  <si>
    <t xml:space="preserve">SRC_ZP_404</t>
  </si>
  <si>
    <t xml:space="preserve">usr_inst_cust_1h25</t>
  </si>
  <si>
    <t xml:space="preserve">機構客戶數</t>
  </si>
  <si>
    <t xml:space="preserve">家</t>
  </si>
  <si>
    <r>
      <rPr>
        <sz val="10"/>
        <color rgb="FF000000"/>
        <rFont val="Noto Sans CJK SC"/>
        <family val="2"/>
      </rPr>
      <t xml:space="preserve">智譜招股章程（全球發售，</t>
    </r>
    <r>
      <rPr>
        <sz val="10"/>
        <color rgb="FF000000"/>
        <rFont val="Arial"/>
        <family val="0"/>
        <charset val="1"/>
      </rPr>
      <t xml:space="preserve">2025-12-30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</si>
  <si>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empowered over eight thousand institutional customers as of June 30, 2025</t>
    </r>
    <r>
      <rPr>
        <sz val="10"/>
        <color rgb="FF000000"/>
        <rFont val="Noto Sans CJK SC"/>
        <family val="2"/>
      </rPr>
      <t xml:space="preserve">」</t>
    </r>
  </si>
  <si>
    <t xml:space="preserve">SRC_ZP_405</t>
  </si>
  <si>
    <t xml:space="preserve">usr_inst_cust_9m25</t>
  </si>
  <si>
    <t xml:space="preserve">機構客戶數（九個月）</t>
  </si>
  <si>
    <r>
      <rPr>
        <sz val="10"/>
        <color rgb="FF000000"/>
        <rFont val="Arial"/>
        <family val="0"/>
        <charset val="1"/>
      </rPr>
      <t xml:space="preserve">9M2025</t>
    </r>
    <r>
      <rPr>
        <sz val="10"/>
        <color rgb="FF000000"/>
        <rFont val="Noto Sans CJK SC"/>
        <family val="2"/>
      </rPr>
      <t xml:space="preserve">（截至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</si>
  <si>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12,000 institutional customers</t>
    </r>
    <r>
      <rPr>
        <sz val="10"/>
        <color rgb="FF000000"/>
        <rFont val="Noto Sans CJK SC"/>
        <family val="2"/>
      </rPr>
      <t xml:space="preserve">」</t>
    </r>
  </si>
  <si>
    <t xml:space="preserve">SRC_ZP_406</t>
  </si>
  <si>
    <t xml:space="preserve">usr_devices</t>
  </si>
  <si>
    <t xml:space="preserve">賦能終端設備數</t>
  </si>
  <si>
    <t xml:space="preserve">萬台</t>
  </si>
  <si>
    <r>
      <rPr>
        <sz val="10"/>
        <color rgb="FF000000"/>
        <rFont val="Noto Sans CJK SC"/>
        <family val="2"/>
      </rPr>
      <t xml:space="preserve">最後實際可行日期（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</si>
  <si>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80 million devices</t>
    </r>
    <r>
      <rPr>
        <sz val="10"/>
        <color rgb="FF000000"/>
        <rFont val="Noto Sans CJK SC"/>
        <family val="2"/>
      </rPr>
      <t xml:space="preserve">」</t>
    </r>
  </si>
  <si>
    <t xml:space="preserve">SRC_ZP_407</t>
  </si>
  <si>
    <t xml:space="preserve">usr_top10_internet</t>
  </si>
  <si>
    <r>
      <rPr>
        <sz val="10"/>
        <color rgb="FF000000"/>
        <rFont val="Noto Sans CJK SC"/>
        <family val="2"/>
      </rPr>
      <t xml:space="preserve">中國前十大互聯網公司中接入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家數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</si>
  <si>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</si>
  <si>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 of the top 10 Internet companies in China have now deeply integrated GLM</t>
    </r>
    <r>
      <rPr>
        <sz val="10"/>
        <color rgb="FF000000"/>
        <rFont val="Noto Sans CJK SC"/>
        <family val="2"/>
      </rPr>
      <t xml:space="preserve">」</t>
    </r>
  </si>
  <si>
    <t xml:space="preserve">SRC_ZP_408</t>
  </si>
  <si>
    <t xml:space="preserve">usr_countries_fy25</t>
  </si>
  <si>
    <t xml:space="preserve">用戶覆蓋國家與地區</t>
  </si>
  <si>
    <t xml:space="preserve">個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</si>
  <si>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covering 218 countries and regions worldwide</t>
    </r>
    <r>
      <rPr>
        <sz val="10"/>
        <color rgb="FF000000"/>
        <rFont val="Noto Sans CJK SC"/>
        <family val="2"/>
      </rPr>
      <t xml:space="preserve">」</t>
    </r>
  </si>
  <si>
    <t xml:space="preserve">SRC_ZP_409</t>
  </si>
  <si>
    <t xml:space="preserve">usr_countries_1h26_b</t>
  </si>
  <si>
    <t xml:space="preserve">用戶覆蓋國家與地區（中期媒體轉述）</t>
  </si>
  <si>
    <r>
      <rPr>
        <sz val="10"/>
        <color rgb="FF000000"/>
        <rFont val="Noto Sans CJK SC"/>
        <family val="2"/>
      </rPr>
      <t xml:space="preserve">原文「用戶覆蓋</t>
    </r>
    <r>
      <rPr>
        <sz val="10"/>
        <color rgb="FF000000"/>
        <rFont val="Arial"/>
        <family val="0"/>
        <charset val="1"/>
      </rPr>
      <t xml:space="preserve">233</t>
    </r>
    <r>
      <rPr>
        <sz val="10"/>
        <color rgb="FF000000"/>
        <rFont val="Noto Sans CJK SC"/>
        <family val="2"/>
      </rPr>
      <t xml:space="preserve">個國家和地區」；公告本文未查得此句</t>
    </r>
  </si>
  <si>
    <t xml:space="preserve">SRC_ZP_410</t>
  </si>
  <si>
    <t xml:space="preserve">tok_maas_growth_ytd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</si>
  <si>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呼叫量較年初倍數</t>
    </r>
  </si>
  <si>
    <t xml:space="preserve">倍（以上）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</si>
  <si>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Token invocation volume of the MaaS platform had increased over 40 times from the beginning of 2026</t>
    </r>
    <r>
      <rPr>
        <sz val="10"/>
        <color rgb="FF000000"/>
        <rFont val="Noto Sans CJK SC"/>
        <family val="2"/>
      </rPr>
      <t xml:space="preserve">」</t>
    </r>
  </si>
  <si>
    <t xml:space="preserve">SRC_ZP_411</t>
  </si>
  <si>
    <t xml:space="preserve">tok_cp_growth_ytd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</si>
  <si>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</si>
  <si>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with Coding Plan invocation volume growing over 23 times</t>
    </r>
    <r>
      <rPr>
        <sz val="10"/>
        <color rgb="FF000000"/>
        <rFont val="Noto Sans CJK SC"/>
        <family val="2"/>
      </rPr>
      <t xml:space="preserve">」</t>
    </r>
  </si>
  <si>
    <t xml:space="preserve">SRC_ZP_412</t>
  </si>
  <si>
    <t xml:space="preserve">tok_top10_daily_growth</t>
  </si>
  <si>
    <t xml:space="preserve">前十大付費客戶日均呼叫量較年初倍數</t>
  </si>
  <si>
    <t xml:space="preserve">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</si>
  <si>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For the top ten customers by revenue, the average daily invocation volume soared 98 times</t>
    </r>
    <r>
      <rPr>
        <sz val="10"/>
        <color rgb="FF000000"/>
        <rFont val="Noto Sans CJK SC"/>
        <family val="2"/>
      </rPr>
      <t xml:space="preserve">」</t>
    </r>
  </si>
  <si>
    <t xml:space="preserve">SRC_ZP_413</t>
  </si>
  <si>
    <t xml:space="preserve">tok_daily_nov25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</si>
  <si>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</si>
  <si>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／日</t>
    </r>
  </si>
  <si>
    <t xml:space="preserve">2025-11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</si>
  <si>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our average daily token consumption volume was 4.2 trillion in November 2025</t>
    </r>
    <r>
      <rPr>
        <sz val="10"/>
        <color rgb="FF000000"/>
        <rFont val="Noto Sans CJK SC"/>
        <family val="2"/>
      </rPr>
      <t xml:space="preserve">」；口徑可能含本地化以外全部雲端</t>
    </r>
  </si>
  <si>
    <t xml:space="preserve">SRC_ZP_414</t>
  </si>
  <si>
    <t xml:space="preserve">tok_daily_1h25_b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</si>
  <si>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消耗量（媒體轉述招股書）</t>
    </r>
  </si>
  <si>
    <r>
      <rPr>
        <sz val="10"/>
        <color rgb="FF000000"/>
        <rFont val="Noto Sans CJK SC"/>
        <family val="2"/>
      </rPr>
      <t xml:space="preserve">鈦媒體（</t>
    </r>
    <r>
      <rPr>
        <sz val="10"/>
        <color rgb="FF000000"/>
        <rFont val="Arial"/>
        <family val="0"/>
        <charset val="1"/>
      </rPr>
      <t xml:space="preserve">2025-12-26</t>
    </r>
    <r>
      <rPr>
        <sz val="10"/>
        <color rgb="FF000000"/>
        <rFont val="Noto Sans CJK SC"/>
        <family val="2"/>
      </rPr>
      <t xml:space="preserve">）</t>
    </r>
  </si>
  <si>
    <t xml:space="preserve">https://www.tmtpost.com/7821744.html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</si>
  <si>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  <r>
      <rPr>
        <sz val="10"/>
        <color rgb="FF000000"/>
        <rFont val="Noto Sans CJK SC"/>
        <family val="2"/>
      </rPr>
      <t xml:space="preserve">；智譜誘因同上</t>
    </r>
  </si>
  <si>
    <r>
      <rPr>
        <sz val="10"/>
        <color rgb="FF000000"/>
        <rFont val="Noto Sans CJK SC"/>
        <family val="2"/>
      </rPr>
      <t xml:space="preserve">原文「日均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消耗量，從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億上升到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萬億」；與招股章程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4.2T </t>
    </r>
    <r>
      <rPr>
        <sz val="10"/>
        <color rgb="FF000000"/>
        <rFont val="Noto Sans CJK SC"/>
        <family val="2"/>
      </rPr>
      <t xml:space="preserve">矛盾（期間不同或口徑不同），全部登錄</t>
    </r>
  </si>
  <si>
    <t xml:space="preserve">SRC_ZP_415</t>
  </si>
  <si>
    <t xml:space="preserve">tok_daily_2022_b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</si>
  <si>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</si>
  <si>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</si>
  <si>
    <r>
      <rPr>
        <sz val="10"/>
        <color rgb="FF000000"/>
        <rFont val="Noto Sans CJK SC"/>
        <family val="2"/>
      </rPr>
      <t xml:space="preserve">原文「從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億」＝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／日＝</t>
    </r>
    <r>
      <rPr>
        <sz val="10"/>
        <color rgb="FF000000"/>
        <rFont val="Arial"/>
        <family val="0"/>
        <charset val="1"/>
      </rPr>
      <t xml:space="preserve">0.0005T</t>
    </r>
  </si>
  <si>
    <t xml:space="preserve">SRC_ZP_416</t>
  </si>
  <si>
    <t xml:space="preserve">tok_oxalpha_6d</t>
  </si>
  <si>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（代號 </t>
    </r>
    <r>
      <rPr>
        <sz val="10"/>
        <color rgb="FF000000"/>
        <rFont val="Arial"/>
        <family val="0"/>
        <charset val="1"/>
      </rPr>
      <t xml:space="preserve">Ox-Alpha</t>
    </r>
    <r>
      <rPr>
        <sz val="10"/>
        <color rgb="FF000000"/>
        <rFont val="Noto Sans CJK SC"/>
        <family val="2"/>
      </rPr>
      <t xml:space="preserve">）匿名測試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</si>
  <si>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</si>
  <si>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（上市前一週）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</si>
  <si>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</si>
  <si>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6-day cumulative Token volume of more than 62 trillion</t>
    </r>
    <r>
      <rPr>
        <sz val="10"/>
        <color rgb="FF000000"/>
        <rFont val="Noto Sans CJK SC"/>
        <family val="2"/>
      </rPr>
      <t xml:space="preserve">」，於 </t>
    </r>
    <r>
      <rPr>
        <sz val="10"/>
        <color rgb="FF000000"/>
        <rFont val="Arial"/>
        <family val="0"/>
        <charset val="1"/>
      </rPr>
      <t xml:space="preserve">OpenCode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匿名部署；含免費流量，非付費口徑</t>
    </r>
  </si>
  <si>
    <t xml:space="preserve">SRC_ZP_417</t>
  </si>
  <si>
    <t xml:space="preserve">arr_maas_aug26_monthly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</si>
  <si>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（月度年化）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</si>
  <si>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</si>
  <si>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末</t>
    </r>
  </si>
  <si>
    <t xml:space="preserve">網易科技（同花順轉載，業績電話會）</t>
  </si>
  <si>
    <t xml:space="preserve">https://stock.10jqka.com.cn/20260901/c679482271.shtml</t>
  </si>
  <si>
    <r>
      <rPr>
        <sz val="10"/>
        <color rgb="FF000000"/>
        <rFont val="Noto Sans CJK SC"/>
        <family val="2"/>
      </rPr>
      <t xml:space="preserve">原文「截至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月末…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平台按月度收入年化計算的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達到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億美元，按周度年化口徑超過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</si>
  <si>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SRC_ZP_418</t>
  </si>
  <si>
    <t xml:space="preserve">arr_maas_aug26_weekly_b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</si>
  <si>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（週度年化）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</si>
  <si>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億（以上）</t>
    </r>
  </si>
  <si>
    <r>
      <rPr>
        <sz val="10"/>
        <color rgb="FF000000"/>
        <rFont val="Noto Sans CJK SC"/>
        <family val="2"/>
      </rPr>
      <t xml:space="preserve">同上「按周度年化口徑超過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</si>
  <si>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SRC_ZP_419</t>
  </si>
  <si>
    <t xml:space="preserve">arr_total_sep26</t>
  </si>
  <si>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</si>
  <si>
    <t xml:space="preserve">2026-09-16</t>
  </si>
  <si>
    <r>
      <rPr>
        <sz val="10"/>
        <color rgb="FF000000"/>
        <rFont val="Noto Sans CJK SC"/>
        <family val="2"/>
      </rPr>
      <t xml:space="preserve">證券日報（同花順 </t>
    </r>
    <r>
      <rPr>
        <sz val="10"/>
        <color rgb="FF000000"/>
        <rFont val="Arial"/>
        <family val="0"/>
        <charset val="1"/>
      </rPr>
      <t xml:space="preserve">2026-09-16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</si>
  <si>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https://stock.10jqka.com.cn/20260916/c679973930.shtml</t>
  </si>
  <si>
    <r>
      <rPr>
        <sz val="10"/>
        <color rgb="FF000000"/>
        <rFont val="Noto Sans CJK SC"/>
        <family val="2"/>
      </rPr>
      <t xml:space="preserve">原文「全業務口徑</t>
    </r>
    <r>
      <rPr>
        <sz val="10"/>
        <color rgb="FF000000"/>
        <rFont val="Arial"/>
        <family val="0"/>
        <charset val="1"/>
      </rPr>
      <t xml:space="preserve">ARR…</t>
    </r>
    <r>
      <rPr>
        <sz val="10"/>
        <color rgb="FF000000"/>
        <rFont val="Noto Sans CJK SC"/>
        <family val="2"/>
      </rPr>
      <t xml:space="preserve">已經達到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億美元，年末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億美元」；指引不得用於反推</t>
    </r>
  </si>
  <si>
    <t xml:space="preserve">SRC_ZP_420</t>
  </si>
  <si>
    <t xml:space="preserve">arr_guide_ye26</t>
  </si>
  <si>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指引（上調後）</t>
    </r>
  </si>
  <si>
    <r>
      <rPr>
        <sz val="10"/>
        <color rgb="FF000000"/>
        <rFont val="Arial"/>
        <family val="0"/>
        <charset val="1"/>
      </rPr>
      <t xml:space="preserve">2026-12</t>
    </r>
    <r>
      <rPr>
        <sz val="10"/>
        <color rgb="FF000000"/>
        <rFont val="Noto Sans CJK SC"/>
        <family val="2"/>
      </rPr>
      <t xml:space="preserve">（目標）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</si>
  <si>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億美元上調至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億美元；屬公司目標，只作對照（規格 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）</t>
    </r>
  </si>
  <si>
    <t xml:space="preserve">SRC_ZP_421</t>
  </si>
  <si>
    <t xml:space="preserve">dem_glm5_10x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</si>
  <si>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發布後模型呼叫需求倍數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</si>
  <si>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</si>
  <si>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Noto Sans CJK SC"/>
        <family val="2"/>
      </rPr>
      <t xml:space="preserve">原文「模型調用需求量比發布之前增長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倍」</t>
    </r>
  </si>
  <si>
    <t xml:space="preserve">SRC_ZP_422</t>
  </si>
  <si>
    <t xml:space="preserve">dem_signup_restrict_feb26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</si>
  <si>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算力不足限制新用戶註冊</t>
    </r>
  </si>
  <si>
    <t xml:space="preserve">事件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</si>
  <si>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下旬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</si>
  <si>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 2026-02-23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</si>
  <si>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</si>
  <si>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shortage </t>
    </r>
    <r>
      <rPr>
        <sz val="10"/>
        <color rgb="FF000000"/>
        <rFont val="Noto Sans CJK SC"/>
        <family val="2"/>
      </rPr>
      <t xml:space="preserve">致用戶抱怨，「</t>
    </r>
    <r>
      <rPr>
        <sz val="10"/>
        <color rgb="FF000000"/>
        <rFont val="Arial"/>
        <family val="0"/>
        <charset val="1"/>
      </rPr>
      <t xml:space="preserve">new user signups were restricted</t>
    </r>
    <r>
      <rPr>
        <sz val="10"/>
        <color rgb="FF000000"/>
        <rFont val="Noto Sans CJK SC"/>
        <family val="2"/>
      </rPr>
      <t xml:space="preserve">」；容量上限曾綁定</t>
    </r>
  </si>
  <si>
    <t xml:space="preserve">SRC_ZP_423</t>
  </si>
  <si>
    <t xml:space="preserve">cust_top5_share_fy22</t>
  </si>
  <si>
    <t xml:space="preserve">前五大客戶收入占比</t>
  </si>
  <si>
    <t xml:space="preserve">經審計（往績記錄期）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</si>
  <si>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55.4%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15.4%</t>
    </r>
  </si>
  <si>
    <t xml:space="preserve">SRC_ZP_424</t>
  </si>
  <si>
    <t xml:space="preserve">cust_top1_share_fy22</t>
  </si>
  <si>
    <t xml:space="preserve">最大客戶收入占比</t>
  </si>
  <si>
    <t xml:space="preserve">SRC_ZP_425</t>
  </si>
  <si>
    <t xml:space="preserve">cust_top5_share_fy23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</si>
  <si>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61.5%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14.7%</t>
    </r>
  </si>
  <si>
    <t xml:space="preserve">SRC_ZP_426</t>
  </si>
  <si>
    <t xml:space="preserve">cust_top1_share_fy23</t>
  </si>
  <si>
    <t xml:space="preserve">SRC_ZP_427</t>
  </si>
  <si>
    <t xml:space="preserve">cust_top5_share_fy24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</si>
  <si>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19.0%</t>
    </r>
  </si>
  <si>
    <t xml:space="preserve">SRC_ZP_428</t>
  </si>
  <si>
    <t xml:space="preserve">cust_top1_share_fy24</t>
  </si>
  <si>
    <t xml:space="preserve">SRC_ZP_429</t>
  </si>
  <si>
    <t xml:space="preserve">cust_top5_share_1h25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</si>
  <si>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40.0%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11.0%</t>
    </r>
  </si>
  <si>
    <t xml:space="preserve">SRC_ZP_430</t>
  </si>
  <si>
    <t xml:space="preserve">cust_top1_share_1h25</t>
  </si>
  <si>
    <t xml:space="preserve">SRC_ZP_431</t>
  </si>
  <si>
    <t xml:space="preserve">cust_top5_rev_fy24</t>
  </si>
  <si>
    <t xml:space="preserve">前五大客戶收入金額</t>
  </si>
  <si>
    <r>
      <rPr>
        <sz val="10"/>
        <color rgb="FF000000"/>
        <rFont val="Noto Sans CJK SC"/>
        <family val="2"/>
      </rPr>
      <t xml:space="preserve">華爾街見聞（</t>
    </r>
    <r>
      <rPr>
        <sz val="10"/>
        <color rgb="FF000000"/>
        <rFont val="Arial"/>
        <family val="0"/>
        <charset val="1"/>
      </rPr>
      <t xml:space="preserve">2025-12-20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</si>
  <si>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年前五大客戶貢獻了</t>
    </r>
    <r>
      <rPr>
        <sz val="10"/>
        <color rgb="FF000000"/>
        <rFont val="Arial"/>
        <family val="0"/>
        <charset val="1"/>
      </rPr>
      <t xml:space="preserve">1.42</t>
    </r>
    <r>
      <rPr>
        <sz val="10"/>
        <color rgb="FF000000"/>
        <rFont val="Noto Sans CJK SC"/>
        <family val="2"/>
      </rPr>
      <t xml:space="preserve">億元的收入，佔比達到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」；轉述招股文件</t>
    </r>
  </si>
  <si>
    <t xml:space="preserve">SRC_ZP_432</t>
  </si>
  <si>
    <t xml:space="preserve">cust_no10pct_fy25</t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</si>
  <si>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單一客戶占收入 </t>
    </r>
    <r>
      <rPr>
        <sz val="10"/>
        <color rgb="FF000000"/>
        <rFont val="Arial"/>
        <family val="0"/>
        <charset val="1"/>
      </rPr>
      <t xml:space="preserve">&gt;10% </t>
    </r>
    <r>
      <rPr>
        <sz val="10"/>
        <color rgb="FF000000"/>
        <rFont val="Noto Sans CJK SC"/>
        <family val="2"/>
      </rPr>
      <t xml:space="preserve">者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</si>
  <si>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頁）</t>
    </r>
  </si>
  <si>
    <t xml:space="preserve">經審計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</si>
  <si>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There is no individual customer contributing over 10% of the total revenue</t>
    </r>
    <r>
      <rPr>
        <sz val="10"/>
        <color rgb="FF000000"/>
        <rFont val="Noto Sans CJK SC"/>
        <family val="2"/>
      </rPr>
      <t xml:space="preserve">」</t>
    </r>
  </si>
  <si>
    <t xml:space="preserve">SRC_ZP_433</t>
  </si>
  <si>
    <t xml:space="preserve">cust_a_sales_vs_purch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</si>
  <si>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：銷售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向其採購（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</si>
  <si>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億（銷售）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</si>
  <si>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1H2025</t>
    </r>
  </si>
  <si>
    <r>
      <rPr>
        <sz val="10"/>
        <color rgb="FF000000"/>
        <rFont val="Noto Sans CJK SC"/>
        <family val="2"/>
      </rPr>
      <t xml:space="preserve">原文「向最大客戶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銷售了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億元，但卻向客戶採購了</t>
    </r>
    <r>
      <rPr>
        <sz val="10"/>
        <color rgb="FF000000"/>
        <rFont val="Arial"/>
        <family val="0"/>
        <charset val="1"/>
      </rPr>
      <t xml:space="preserve">2.47</t>
    </r>
    <r>
      <rPr>
        <sz val="10"/>
        <color rgb="FF000000"/>
        <rFont val="Noto Sans CJK SC"/>
        <family val="2"/>
      </rPr>
      <t xml:space="preserve">億元」；客戶兼供應商（</t>
    </r>
    <r>
      <rPr>
        <sz val="10"/>
        <color rgb="FF000000"/>
        <rFont val="Arial"/>
        <family val="0"/>
        <charset val="1"/>
      </rPr>
      <t xml:space="preserve">D19 </t>
    </r>
    <r>
      <rPr>
        <sz val="10"/>
        <color rgb="FF000000"/>
        <rFont val="Noto Sans CJK SC"/>
        <family val="2"/>
      </rPr>
      <t xml:space="preserve">回流對照）</t>
    </r>
  </si>
  <si>
    <t xml:space="preserve">SRC_ZP_434</t>
  </si>
  <si>
    <t xml:space="preserve">qy_mau_q1_26</t>
  </si>
  <si>
    <r>
      <rPr>
        <sz val="10"/>
        <color rgb="FF000000"/>
        <rFont val="Noto Sans CJK SC"/>
        <family val="2"/>
      </rPr>
      <t xml:space="preserve">智譜清言月活排名（</t>
    </r>
    <r>
      <rPr>
        <sz val="10"/>
        <color rgb="FF000000"/>
        <rFont val="Arial"/>
        <family val="0"/>
        <charset val="1"/>
      </rPr>
      <t xml:space="preserve">QuestMobile 2026Q1</t>
    </r>
    <r>
      <rPr>
        <sz val="10"/>
        <color rgb="FF000000"/>
        <rFont val="Noto Sans CJK SC"/>
        <family val="2"/>
      </rPr>
      <t xml:space="preserve">）</t>
    </r>
  </si>
  <si>
    <t xml:space="preserve">排名</t>
  </si>
  <si>
    <t xml:space="preserve">2026Q1</t>
  </si>
  <si>
    <r>
      <rPr>
        <sz val="10"/>
        <color rgb="FF000000"/>
        <rFont val="Noto Sans CJK SC"/>
        <family val="2"/>
      </rPr>
      <t xml:space="preserve">每日經濟新聞</t>
    </r>
    <r>
      <rPr>
        <sz val="10"/>
        <color rgb="FF000000"/>
        <rFont val="Arial"/>
        <family val="0"/>
        <charset val="1"/>
      </rPr>
      <t xml:space="preserve">×QuestMobile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年一季度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應用價值榜〉</t>
    </r>
  </si>
  <si>
    <t xml:space="preserve">https://www.nbd.com.cn/articles/2026-04-21/4350446.html</t>
  </si>
  <si>
    <t xml:space="preserve">2026-04-21</t>
  </si>
  <si>
    <r>
      <rPr>
        <sz val="10"/>
        <color rgb="FF000000"/>
        <rFont val="Noto Sans CJK SC"/>
        <family val="2"/>
      </rPr>
      <t xml:space="preserve">原文「智譜清言、階躍、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均未進入一季度月活、下載</t>
    </r>
    <r>
      <rPr>
        <sz val="10"/>
        <color rgb="FF000000"/>
        <rFont val="Arial"/>
        <family val="0"/>
        <charset val="1"/>
      </rPr>
      <t xml:space="preserve">TOP 20</t>
    </r>
    <r>
      <rPr>
        <sz val="10"/>
        <color rgb="FF000000"/>
        <rFont val="Noto Sans CJK SC"/>
        <family val="2"/>
      </rPr>
      <t xml:space="preserve">」；無絕對值；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</si>
  <si>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t xml:space="preserve">SRC_ZP_435</t>
  </si>
  <si>
    <t xml:space="preserve">or_glm52_weekly_tok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</si>
  <si>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週呼叫量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</si>
  <si>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／週</t>
    </r>
  </si>
  <si>
    <r>
      <rPr>
        <sz val="10"/>
        <color rgb="FF000000"/>
        <rFont val="Arial"/>
        <family val="0"/>
        <charset val="1"/>
      </rPr>
      <t xml:space="preserve">2026-06-29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07-05</t>
    </r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</si>
  <si>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世紀經濟報道（新浪財經 </t>
    </r>
    <r>
      <rPr>
        <sz val="10"/>
        <color rgb="FF000000"/>
        <rFont val="Arial"/>
        <family val="0"/>
        <charset val="1"/>
      </rPr>
      <t xml:space="preserve">2026-07-06</t>
    </r>
    <r>
      <rPr>
        <sz val="10"/>
        <color rgb="FF000000"/>
        <rFont val="Noto Sans CJK SC"/>
        <family val="2"/>
      </rPr>
      <t xml:space="preserve">）</t>
    </r>
  </si>
  <si>
    <t xml:space="preserve">https://finance.sina.cn/2026-07-06/detail-inifwfpy8578766.d.html</t>
  </si>
  <si>
    <t xml:space="preserve">2026-07-06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</si>
  <si>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」週增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、進前五；同週全平台「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</si>
  <si>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SRC_ZP_436</t>
  </si>
  <si>
    <t xml:space="preserve">or_total_weekly_tok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</si>
  <si>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：全平台週呼叫量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</si>
  <si>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</si>
  <si>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SRC_ZP_437</t>
  </si>
  <si>
    <t xml:space="preserve">or_glm52_share_derived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</si>
  <si>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</si>
  <si>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or_glm52_weekly_tok ÷ or_total_weekly_tok</t>
    </r>
  </si>
  <si>
    <r>
      <rPr>
        <sz val="10"/>
        <color rgb="FF000000"/>
        <rFont val="Arial"/>
        <family val="0"/>
        <charset val="1"/>
      </rPr>
      <t xml:space="preserve">2.58÷46.7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5.52%</t>
    </r>
    <r>
      <rPr>
        <sz val="10"/>
        <color rgb="FF000000"/>
        <rFont val="Noto Sans CJK SC"/>
        <family val="2"/>
      </rPr>
      <t xml:space="preserve">；僅單一型號，不含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其他版本；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為海外開發者通路，不代表智譜整體（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用途）</t>
    </r>
  </si>
  <si>
    <t xml:space="preserve">SRC_ZP_438</t>
  </si>
  <si>
    <t xml:space="preserve">or_glm52_rank_jul26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</si>
  <si>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週排名</t>
    </r>
  </si>
  <si>
    <t xml:space="preserve">名</t>
  </si>
  <si>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</t>
    </r>
  </si>
  <si>
    <r>
      <rPr>
        <sz val="10"/>
        <color rgb="FF000000"/>
        <rFont val="Noto Sans CJK SC"/>
        <family val="2"/>
      </rPr>
      <t xml:space="preserve">老虎證券（</t>
    </r>
    <r>
      <rPr>
        <sz val="10"/>
        <color rgb="FF000000"/>
        <rFont val="Arial"/>
        <family val="0"/>
        <charset val="1"/>
      </rPr>
      <t xml:space="preserve">2026-07-27</t>
    </r>
    <r>
      <rPr>
        <sz val="10"/>
        <color rgb="FF000000"/>
        <rFont val="Noto Sans CJK SC"/>
        <family val="2"/>
      </rPr>
      <t xml:space="preserve">）</t>
    </r>
  </si>
  <si>
    <t xml:space="preserve">https://www.itiger.com/hans/news/2654013695</t>
  </si>
  <si>
    <t xml:space="preserve">2026-07-27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</si>
  <si>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及</t>
    </r>
    <r>
      <rPr>
        <sz val="10"/>
        <color rgb="FF000000"/>
        <rFont val="Arial"/>
        <family val="0"/>
        <charset val="1"/>
      </rPr>
      <t xml:space="preserve">DeepSeek-V4-Pro</t>
    </r>
    <r>
      <rPr>
        <sz val="10"/>
        <color rgb="FF000000"/>
        <rFont val="Noto Sans CJK SC"/>
        <family val="2"/>
      </rPr>
      <t xml:space="preserve">分列第四及第五位」；同週總量「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</si>
  <si>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SRC_ZP_439</t>
  </si>
  <si>
    <t xml:space="preserve">or_glm52_share_c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</si>
  <si>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「市占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」說法</t>
    </r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</si>
  <si>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（口徑不明）</t>
    </r>
  </si>
  <si>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上市首週</t>
    </r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</si>
  <si>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</si>
  <si>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https://www.gigazine.net/gsc_news/en/20260623-glm-5-2-openrouter</t>
  </si>
  <si>
    <t xml:space="preserve">2026-06-23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</si>
  <si>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GLM-5.2 reportedly accounts for 75% of the market share</t>
    </r>
    <r>
      <rPr>
        <sz val="10"/>
        <color rgb="FF000000"/>
        <rFont val="Noto Sans CJK SC"/>
        <family val="2"/>
      </rPr>
      <t xml:space="preserve">」，分母未明（疑為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自家型號內占比）；與 </t>
    </r>
    <r>
      <rPr>
        <sz val="10"/>
        <color rgb="FF000000"/>
        <rFont val="Arial"/>
        <family val="0"/>
        <charset val="1"/>
      </rPr>
      <t xml:space="preserve">5.5% </t>
    </r>
    <r>
      <rPr>
        <sz val="10"/>
        <color rgb="FF000000"/>
        <rFont val="Noto Sans CJK SC"/>
        <family val="2"/>
      </rPr>
      <t xml:space="preserve">矛盾，不建議使用</t>
    </r>
  </si>
  <si>
    <t xml:space="preserve">SRC_ZP_440</t>
  </si>
  <si>
    <t xml:space="preserve">sup_top5_share_fy22</t>
  </si>
  <si>
    <t xml:space="preserve">前五大供應商採購占比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</si>
  <si>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54.5%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33.1%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</si>
  <si>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SRC_ZP_441</t>
  </si>
  <si>
    <t xml:space="preserve">sup_top1_share_fy22</t>
  </si>
  <si>
    <t xml:space="preserve">最大供應商採購占比</t>
  </si>
  <si>
    <t xml:space="preserve">SRC_ZP_442</t>
  </si>
  <si>
    <t xml:space="preserve">sup_top5_share_fy23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</si>
  <si>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53.6%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16.4%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</si>
  <si>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SRC_ZP_443</t>
  </si>
  <si>
    <t xml:space="preserve">sup_top1_share_fy23</t>
  </si>
  <si>
    <t xml:space="preserve">SRC_ZP_444</t>
  </si>
  <si>
    <t xml:space="preserve">sup_top5_share_fy24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</si>
  <si>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47.3%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15.6%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</si>
  <si>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SRC_ZP_445</t>
  </si>
  <si>
    <t xml:space="preserve">sup_top1_share_fy24</t>
  </si>
  <si>
    <t xml:space="preserve">SRC_ZP_446</t>
  </si>
  <si>
    <t xml:space="preserve">sup_top5_share_1h25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</si>
  <si>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50.2%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13.4%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</si>
  <si>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SRC_ZP_447</t>
  </si>
  <si>
    <t xml:space="preserve">sup_top1_share_1h25</t>
  </si>
  <si>
    <t xml:space="preserve">SRC_ZP_448</t>
  </si>
  <si>
    <t xml:space="preserve">cmp_fee_total_fy24</t>
  </si>
  <si>
    <t xml:space="preserve">算力服務費（研發＋銷售成本合計）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</si>
  <si>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年，智譜的算力服務費達到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億元，這已然是同期收入的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倍左右」；轉述 </t>
    </r>
    <r>
      <rPr>
        <sz val="10"/>
        <color rgb="FF000000"/>
        <rFont val="Arial"/>
        <family val="0"/>
        <charset val="1"/>
      </rPr>
      <t xml:space="preserve">PHIP</t>
    </r>
  </si>
  <si>
    <t xml:space="preserve">SRC_ZP_449</t>
  </si>
  <si>
    <t xml:space="preserve">cmp_fee_total_fy24_b</t>
  </si>
  <si>
    <r>
      <rPr>
        <sz val="10"/>
        <color rgb="FF000000"/>
        <rFont val="Noto Sans CJK SC"/>
        <family val="2"/>
      </rPr>
      <t xml:space="preserve">算力服務費（媒體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</si>
  <si>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每日經濟新聞（</t>
    </r>
    <r>
      <rPr>
        <sz val="10"/>
        <color rgb="FF000000"/>
        <rFont val="Arial"/>
        <family val="0"/>
        <charset val="1"/>
      </rPr>
      <t xml:space="preserve">2025-12-21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</si>
  <si>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年，智譜算力服務費用為</t>
    </r>
    <r>
      <rPr>
        <sz val="10"/>
        <color rgb="FF000000"/>
        <rFont val="Arial"/>
        <family val="0"/>
        <charset val="1"/>
      </rPr>
      <t xml:space="preserve">15.53</t>
    </r>
    <r>
      <rPr>
        <sz val="10"/>
        <color rgb="FF000000"/>
        <rFont val="Noto Sans CJK SC"/>
        <family val="2"/>
      </rPr>
      <t xml:space="preserve">億元，佔研發開支的比重超過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</si>
  <si>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SRC_ZP_450</t>
  </si>
  <si>
    <t xml:space="preserve">cmp_fee_total_1h25</t>
  </si>
  <si>
    <t xml:space="preserve">算力服務費（含訓練與雲端部署）</t>
  </si>
  <si>
    <r>
      <rPr>
        <sz val="10"/>
        <color rgb="FF000000"/>
        <rFont val="Noto Sans CJK SC"/>
        <family val="2"/>
      </rPr>
      <t xml:space="preserve">原文「算力服務費（包括模型訓練以及通過雲端部署為客戶提供服務）從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億」</t>
    </r>
  </si>
  <si>
    <t xml:space="preserve">SRC_ZP_451</t>
  </si>
  <si>
    <t xml:space="preserve">cmp_fee_total_fy22</t>
  </si>
  <si>
    <r>
      <rPr>
        <sz val="10"/>
        <color rgb="FF000000"/>
        <rFont val="Noto Sans CJK SC"/>
        <family val="2"/>
      </rPr>
      <t xml:space="preserve">同上「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億元」</t>
    </r>
  </si>
  <si>
    <t xml:space="preserve">SRC_ZP_452</t>
  </si>
  <si>
    <t xml:space="preserve">cmp_chips_domestic_100k</t>
  </si>
  <si>
    <t xml:space="preserve">推論用國產晶片規模</t>
  </si>
  <si>
    <r>
      <rPr>
        <sz val="10"/>
        <color rgb="FF000000"/>
        <rFont val="Noto Sans CJK SC"/>
        <family val="2"/>
      </rPr>
      <t xml:space="preserve">張（以上，「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萬級」）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</si>
  <si>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2026-08-31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</si>
  <si>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</si>
  <si>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large-scale, low-cost inference across a cluster of over 100,000 domestic chips</t>
    </r>
    <r>
      <rPr>
        <sz val="10"/>
        <color rgb="FF000000"/>
        <rFont val="Noto Sans CJK SC"/>
        <family val="2"/>
      </rPr>
      <t xml:space="preserve">」；未揭露廠牌、自有或租用、型號</t>
    </r>
  </si>
  <si>
    <t xml:space="preserve">SRC_ZP_453</t>
  </si>
  <si>
    <t xml:space="preserve">cmp_chips_domestic_100k_b</t>
  </si>
  <si>
    <t xml:space="preserve">推論用國產晶片規模（中文轉述）</t>
  </si>
  <si>
    <r>
      <rPr>
        <sz val="10"/>
        <color rgb="FF000000"/>
        <rFont val="Noto Sans CJK SC"/>
        <family val="2"/>
      </rPr>
      <t xml:space="preserve">張（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萬級）</t>
    </r>
  </si>
  <si>
    <t xml:space="preserve">2026</t>
  </si>
  <si>
    <r>
      <rPr>
        <sz val="10"/>
        <color rgb="FF000000"/>
        <rFont val="Noto Sans CJK SC"/>
        <family val="2"/>
      </rPr>
      <t xml:space="preserve">網易科技（同花順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</si>
  <si>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原文「已經實現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萬級國產晶片的規模化低成本推理」，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年初起全面實施 </t>
    </r>
    <r>
      <rPr>
        <sz val="10"/>
        <color rgb="FF000000"/>
        <rFont val="Arial"/>
        <family val="0"/>
        <charset val="1"/>
      </rPr>
      <t xml:space="preserve">All-in-Infra </t>
    </r>
    <r>
      <rPr>
        <sz val="10"/>
        <color rgb="FF000000"/>
        <rFont val="Noto Sans CJK SC"/>
        <family val="2"/>
      </rPr>
      <t xml:space="preserve">戰略</t>
    </r>
  </si>
  <si>
    <t xml:space="preserve">SRC_ZP_454</t>
  </si>
  <si>
    <t xml:space="preserve">cmp_inf_cost_drop</t>
  </si>
  <si>
    <r>
      <rPr>
        <sz val="10"/>
        <color rgb="FF000000"/>
        <rFont val="Noto Sans CJK SC"/>
        <family val="2"/>
      </rPr>
      <t xml:space="preserve">單位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推論成本較年初降幅</t>
    </r>
  </si>
  <si>
    <t xml:space="preserve">2026-01-01→2026-08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</si>
  <si>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unit Token inference costs declining by 80% from the beginning of the year</t>
    </r>
    <r>
      <rPr>
        <sz val="10"/>
        <color rgb="FF000000"/>
        <rFont val="Noto Sans CJK SC"/>
        <family val="2"/>
      </rPr>
      <t xml:space="preserve">」；未說明是否含晶片折舊</t>
    </r>
  </si>
  <si>
    <t xml:space="preserve">SRC_ZP_455</t>
  </si>
  <si>
    <t xml:space="preserve">cmp_e2e_perf_3x</t>
  </si>
  <si>
    <t xml:space="preserve">同硬體端到端服務效能提升倍數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</si>
  <si>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（相對初始基線）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</si>
  <si>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</si>
  <si>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Compared with the initial baseline on the same hardware, end-to-end service performance tripled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於國產晶片「</t>
    </r>
    <r>
      <rPr>
        <sz val="10"/>
        <color rgb="FF000000"/>
        <rFont val="Arial"/>
        <family val="0"/>
        <charset val="1"/>
      </rPr>
      <t xml:space="preserve">300% improvement</t>
    </r>
    <r>
      <rPr>
        <sz val="10"/>
        <color rgb="FF000000"/>
        <rFont val="Noto Sans CJK SC"/>
        <family val="2"/>
      </rPr>
      <t xml:space="preserve">」</t>
    </r>
  </si>
  <si>
    <t xml:space="preserve">SRC_ZP_456</t>
  </si>
  <si>
    <t xml:space="preserve">cmp_multiplier_yoy</t>
  </si>
  <si>
    <t xml:space="preserve">「算力乘數」同比增幅</t>
  </si>
  <si>
    <t xml:space="preserve">1H2026 vs 1H2025</t>
  </si>
  <si>
    <r>
      <rPr>
        <sz val="10"/>
        <color rgb="FF000000"/>
        <rFont val="Noto Sans CJK SC"/>
        <family val="2"/>
      </rPr>
      <t xml:space="preserve">定義「</t>
    </r>
    <r>
      <rPr>
        <sz val="10"/>
        <color rgb="FF000000"/>
        <rFont val="Arial"/>
        <family val="0"/>
        <charset val="1"/>
      </rPr>
      <t xml:space="preserve">open platform and API revenue generated from every RMB1 of computing power investment</t>
    </r>
    <r>
      <rPr>
        <sz val="10"/>
        <color rgb="FF000000"/>
        <rFont val="Noto Sans CJK SC"/>
        <family val="2"/>
      </rPr>
      <t xml:space="preserve">」（分母含訓練與推論），「</t>
    </r>
    <r>
      <rPr>
        <sz val="10"/>
        <color rgb="FF000000"/>
        <rFont val="Arial"/>
        <family val="0"/>
        <charset val="1"/>
      </rPr>
      <t xml:space="preserve">increased by approximately 14 times year-on-year</t>
    </r>
    <r>
      <rPr>
        <sz val="10"/>
        <color rgb="FF000000"/>
        <rFont val="Noto Sans CJK SC"/>
        <family val="2"/>
      </rPr>
      <t xml:space="preserve">」</t>
    </r>
  </si>
  <si>
    <t xml:space="preserve">SRC_ZP_457</t>
  </si>
  <si>
    <t xml:space="preserve">cmp_deploy_cost_50</t>
  </si>
  <si>
    <r>
      <rPr>
        <sz val="10"/>
        <color rgb="FF000000"/>
        <rFont val="Noto Sans CJK SC"/>
        <family val="2"/>
      </rPr>
      <t xml:space="preserve">部署成本降幅（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說法）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</si>
  <si>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cutting deployment costs by 50% with zero performance degradation</t>
    </r>
    <r>
      <rPr>
        <sz val="10"/>
        <color rgb="FF000000"/>
        <rFont val="Noto Sans CJK SC"/>
        <family val="2"/>
      </rPr>
      <t xml:space="preserve">」；另稱國產晶片推論效率「</t>
    </r>
    <r>
      <rPr>
        <sz val="10"/>
        <color rgb="FF000000"/>
        <rFont val="Arial"/>
        <family val="0"/>
        <charset val="1"/>
      </rPr>
      <t xml:space="preserve">comparable to that of international top-tier chips</t>
    </r>
    <r>
      <rPr>
        <sz val="10"/>
        <color rgb="FF000000"/>
        <rFont val="Noto Sans CJK SC"/>
        <family val="2"/>
      </rPr>
      <t xml:space="preserve">」</t>
    </r>
  </si>
  <si>
    <t xml:space="preserve">SRC_ZP_458</t>
  </si>
  <si>
    <t xml:space="preserve">cmp_1gw_dc</t>
  </si>
  <si>
    <r>
      <rPr>
        <sz val="10"/>
        <color rgb="FF000000"/>
        <rFont val="Noto Sans CJK SC"/>
        <family val="2"/>
      </rPr>
      <t xml:space="preserve">國產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算力資料中心規模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</si>
  <si>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（口徑未明）</t>
    </r>
  </si>
  <si>
    <t xml:space="preserve">2026-07-21</t>
  </si>
  <si>
    <r>
      <rPr>
        <sz val="10"/>
        <color rgb="FF000000"/>
        <rFont val="Noto Sans CJK SC"/>
        <family val="2"/>
      </rPr>
      <t xml:space="preserve">財聞（同花順 </t>
    </r>
    <r>
      <rPr>
        <sz val="10"/>
        <color rgb="FF000000"/>
        <rFont val="Arial"/>
        <family val="0"/>
        <charset val="1"/>
      </rPr>
      <t xml:space="preserve">2026-07-21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</si>
  <si>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https://stock.10jqka.com.cn/20260721/c678310697.shtml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</si>
  <si>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</si>
  <si>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10"/>
        <color rgb="FF000000"/>
        <rFont val="Noto Sans CJK SC"/>
        <family val="2"/>
      </rPr>
      <t xml:space="preserve">原文「已落地</t>
    </r>
    <r>
      <rPr>
        <sz val="10"/>
        <color rgb="FF000000"/>
        <rFont val="Arial"/>
        <family val="0"/>
        <charset val="1"/>
      </rPr>
      <t xml:space="preserve">1GW</t>
    </r>
    <r>
      <rPr>
        <sz val="10"/>
        <color rgb="FF000000"/>
        <rFont val="Noto Sans CJK SC"/>
        <family val="2"/>
      </rPr>
      <t xml:space="preserve">級國產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算力數據中心建設，並全部採用國產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晶片」；未揭露地點、夥伴、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／設施口徑、持有方式、完工時點</t>
    </r>
  </si>
  <si>
    <t xml:space="preserve">SRC_ZP_459</t>
  </si>
  <si>
    <t xml:space="preserve">cmp_entity_list</t>
  </si>
  <si>
    <t xml:space="preserve">美國實體清單列入日</t>
  </si>
  <si>
    <t xml:space="preserve">2025-01-16</t>
  </si>
  <si>
    <r>
      <rPr>
        <sz val="10"/>
        <color rgb="FF000000"/>
        <rFont val="Noto Sans CJK SC"/>
        <family val="2"/>
      </rPr>
      <t xml:space="preserve">公司及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家子公司 </t>
    </r>
    <r>
      <rPr>
        <sz val="10"/>
        <color rgb="FF000000"/>
        <rFont val="Arial"/>
        <family val="0"/>
        <charset val="1"/>
      </rPr>
      <t xml:space="preserve">2025-01-16 </t>
    </r>
    <r>
      <rPr>
        <sz val="10"/>
        <color rgb="FF000000"/>
        <rFont val="Noto Sans CJK SC"/>
        <family val="2"/>
      </rPr>
      <t xml:space="preserve">列入 </t>
    </r>
    <r>
      <rPr>
        <sz val="10"/>
        <color rgb="FF000000"/>
        <rFont val="Arial"/>
        <family val="0"/>
        <charset val="1"/>
      </rPr>
      <t xml:space="preserve">BIS </t>
    </r>
    <r>
      <rPr>
        <sz val="10"/>
        <color rgb="FF000000"/>
        <rFont val="Noto Sans CJK SC"/>
        <family val="2"/>
      </rPr>
      <t xml:space="preserve">實體清單；稱往績期間未依賴 </t>
    </r>
    <r>
      <rPr>
        <sz val="10"/>
        <color rgb="FF000000"/>
        <rFont val="Arial"/>
        <family val="0"/>
        <charset val="1"/>
      </rPr>
      <t xml:space="preserve">EAR </t>
    </r>
    <r>
      <rPr>
        <sz val="10"/>
        <color rgb="FF000000"/>
        <rFont val="Noto Sans CJK SC"/>
        <family val="2"/>
      </rPr>
      <t xml:space="preserve">物項，董事與制裁律師預期無重大不利影響</t>
    </r>
  </si>
  <si>
    <t xml:space="preserve">SRC_ZP_460</t>
  </si>
  <si>
    <t xml:space="preserve">cmp_glm52_day0_vendors</t>
  </si>
  <si>
    <r>
      <rPr>
        <sz val="10"/>
        <color rgb="FF000000"/>
        <rFont val="Arial"/>
        <family val="0"/>
        <charset val="1"/>
      </rPr>
      <t xml:space="preserve">GLM-5.2 Day-0 </t>
    </r>
    <r>
      <rPr>
        <sz val="10"/>
        <color rgb="FF000000"/>
        <rFont val="Noto Sans CJK SC"/>
        <family val="2"/>
      </rPr>
      <t xml:space="preserve">適配國產晶片平台</t>
    </r>
  </si>
  <si>
    <t xml:space="preserve">家（以上）</t>
  </si>
  <si>
    <t xml:space="preserve">2026-06</t>
  </si>
  <si>
    <r>
      <rPr>
        <sz val="10"/>
        <color rgb="FF000000"/>
        <rFont val="Noto Sans CJK SC"/>
        <family val="2"/>
      </rPr>
      <t xml:space="preserve">同花順（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</si>
  <si>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https://news.10jqka.com.cn/20260623/c677629958.shtml</t>
  </si>
  <si>
    <t xml:space="preserve">晶片廠與智譜：合作宣傳誘因</t>
  </si>
  <si>
    <r>
      <rPr>
        <sz val="10"/>
        <color rgb="FF000000"/>
        <rFont val="Noto Sans CJK SC"/>
        <family val="2"/>
      </rPr>
      <t xml:space="preserve">原文「與昇騰、寒武紀、海光、崑崙芯、壁仞等多個國產算力平台的</t>
    </r>
    <r>
      <rPr>
        <sz val="10"/>
        <color rgb="FF000000"/>
        <rFont val="Arial"/>
        <family val="0"/>
        <charset val="1"/>
      </rPr>
      <t xml:space="preserve">Day0</t>
    </r>
    <r>
      <rPr>
        <sz val="10"/>
        <color rgb="FF000000"/>
        <rFont val="Noto Sans CJK SC"/>
        <family val="2"/>
      </rPr>
      <t xml:space="preserve">適配」；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氪另列摩爾線程；適配≠採購，不表示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萬張晶片的供應方</t>
    </r>
  </si>
  <si>
    <t xml:space="preserve">SRC_ZP_461</t>
  </si>
  <si>
    <t xml:space="preserve">cmp_capacity_refi_sep26</t>
  </si>
  <si>
    <t xml:space="preserve">為算力擴容之再融資（小股大債）</t>
  </si>
  <si>
    <t xml:space="preserve">2026-09</t>
  </si>
  <si>
    <r>
      <rPr>
        <sz val="10"/>
        <color rgb="FF000000"/>
        <rFont val="Noto Sans CJK SC"/>
        <family val="2"/>
      </rPr>
      <t xml:space="preserve">原文「以“小股大債”的結構完成總額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億美元的再融資，此次融資是出於算力擴容要求」；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月另完成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億美元；細節屬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組（</t>
    </r>
    <r>
      <rPr>
        <sz val="10"/>
        <color rgb="FF000000"/>
        <rFont val="Arial"/>
        <family val="0"/>
        <charset val="1"/>
      </rPr>
      <t xml:space="preserve">Z1-M</t>
    </r>
    <r>
      <rPr>
        <sz val="10"/>
        <color rgb="FF000000"/>
        <rFont val="Noto Sans CJK SC"/>
        <family val="2"/>
      </rPr>
      <t xml:space="preserve">）</t>
    </r>
  </si>
  <si>
    <t xml:space="preserve">SRC_ZP_462</t>
  </si>
  <si>
    <t xml:space="preserve">rent_h20_cardhr_sep26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</si>
  <si>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卡時租價（京津冀均價）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</si>
  <si>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元／卡／小時</t>
    </r>
  </si>
  <si>
    <r>
      <rPr>
        <sz val="10"/>
        <color rgb="FF000000"/>
        <rFont val="Noto Sans CJK SC"/>
        <family val="2"/>
      </rPr>
      <t xml:space="preserve">上海有色網 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算力日報</t>
    </r>
  </si>
  <si>
    <t xml:space="preserve">https://news.metal.com/newscontent/104091780-smm-computing-power-daily-h20-beijing-tianjin-hebei-highest-price-rises-12-dual-track-pricing-emerges-for-domestic-server-computing-power-leasing</t>
  </si>
  <si>
    <r>
      <rPr>
        <sz val="10"/>
        <color rgb="FF000000"/>
        <rFont val="Noto Sans CJK SC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7.47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7.03</t>
    </r>
    <r>
      <rPr>
        <sz val="10"/>
        <color rgb="FF000000"/>
        <rFont val="Noto Sans CJK SC"/>
        <family val="2"/>
      </rPr>
      <t xml:space="preserve">）、最高 </t>
    </r>
    <r>
      <rPr>
        <sz val="10"/>
        <color rgb="FF000000"/>
        <rFont val="Arial"/>
        <family val="0"/>
        <charset val="1"/>
      </rPr>
      <t xml:space="preserve">8.16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7.29</t>
    </r>
    <r>
      <rPr>
        <sz val="10"/>
        <color rgb="FF000000"/>
        <rFont val="Noto Sans CJK SC"/>
        <family val="2"/>
      </rPr>
      <t xml:space="preserve">）元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時；整機月租均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、最高 </t>
    </r>
    <r>
      <rPr>
        <sz val="10"/>
        <color rgb="FF000000"/>
        <rFont val="Arial"/>
        <family val="0"/>
        <charset val="1"/>
      </rPr>
      <t xml:space="preserve">47,000</t>
    </r>
  </si>
  <si>
    <t xml:space="preserve">SRC_ZP_463</t>
  </si>
  <si>
    <t xml:space="preserve">rent_h20_machmo_sep26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</si>
  <si>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整機月租（京津冀均價）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</si>
  <si>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元／台／月</t>
    </r>
  </si>
  <si>
    <r>
      <rPr>
        <sz val="10"/>
        <color rgb="FF000000"/>
        <rFont val="Noto Sans CJK SC"/>
        <family val="2"/>
      </rPr>
      <t xml:space="preserve">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40,500</t>
    </r>
    <r>
      <rPr>
        <sz val="10"/>
        <color rgb="FF000000"/>
        <rFont val="Noto Sans CJK SC"/>
        <family val="2"/>
      </rPr>
      <t xml:space="preserve">），最高 </t>
    </r>
    <r>
      <rPr>
        <sz val="10"/>
        <color rgb="FF000000"/>
        <rFont val="Arial"/>
        <family val="0"/>
        <charset val="1"/>
      </rPr>
      <t xml:space="preserve">47,000</t>
    </r>
    <r>
      <rPr>
        <sz val="10"/>
        <color rgb="FF000000"/>
        <rFont val="Noto Sans CJK SC"/>
        <family val="2"/>
      </rPr>
      <t xml:space="preserve">；與卡時價 </t>
    </r>
    <r>
      <rPr>
        <sz val="10"/>
        <color rgb="FF000000"/>
        <rFont val="Arial"/>
        <family val="0"/>
        <charset val="1"/>
      </rPr>
      <t xml:space="preserve">7.47×8 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×730h≈43,600 </t>
    </r>
    <r>
      <rPr>
        <sz val="10"/>
        <color rgb="FF000000"/>
        <rFont val="Noto Sans CJK SC"/>
        <family val="2"/>
      </rPr>
      <t xml:space="preserve">吻合，推定整機＝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</t>
    </r>
  </si>
  <si>
    <t xml:space="preserve">SRC_ZP_464</t>
  </si>
  <si>
    <t xml:space="preserve">rent_h20_machmo_jul26</t>
  </si>
  <si>
    <r>
      <rPr>
        <sz val="10"/>
        <color rgb="FF000000"/>
        <rFont val="Arial"/>
        <family val="0"/>
        <charset val="1"/>
      </rPr>
      <t xml:space="preserve">H20 96G </t>
    </r>
    <r>
      <rPr>
        <sz val="10"/>
        <color rgb="FF000000"/>
        <rFont val="Noto Sans CJK SC"/>
        <family val="2"/>
      </rPr>
      <t xml:space="preserve">整機月租（華東，一年約）</t>
    </r>
  </si>
  <si>
    <t xml:space="preserve">2026-07-23</t>
  </si>
  <si>
    <t xml:space="preserve">https://news.metal.com/newscontent/104021324-smm-computing-power-daily-h100-spot-rental-quotes-hit-a-new-high-of-85000-h20-and-a800-long-term-agreement-resources-ent</t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</si>
  <si>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35,000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H20 141G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42,000</t>
    </r>
    <r>
      <rPr>
        <sz val="10"/>
        <color rgb="FF000000"/>
        <rFont val="Noto Sans CJK SC"/>
        <family val="2"/>
      </rPr>
      <t xml:space="preserve">（年約）～</t>
    </r>
    <r>
      <rPr>
        <sz val="10"/>
        <color rgb="FF000000"/>
        <rFont val="Arial"/>
        <family val="0"/>
        <charset val="1"/>
      </rPr>
      <t xml:space="preserve">46,000</t>
    </r>
    <r>
      <rPr>
        <sz val="10"/>
        <color rgb="FF000000"/>
        <rFont val="Noto Sans CJK SC"/>
        <family val="2"/>
      </rPr>
      <t xml:space="preserve">（月租）</t>
    </r>
  </si>
  <si>
    <t xml:space="preserve">SRC_ZP_465</t>
  </si>
  <si>
    <t xml:space="preserve">rent_h800_machmo_aug26</t>
  </si>
  <si>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月租（湖南，兩年長約）</t>
    </r>
  </si>
  <si>
    <t xml:space="preserve">2026-08-21</t>
  </si>
  <si>
    <t xml:space="preserve">https://news.metal.com/newscontent/104072164-smm-computing-power-news-h800-signed-a-2-year-long-term-agreement-at-78000-yuan-per-month-tight-spot-supply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</si>
  <si>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78,000 yuan per unit per month on a two-year long-term agreement</t>
    </r>
    <r>
      <rPr>
        <sz val="10"/>
        <color rgb="FF000000"/>
        <rFont val="Noto Sans CJK SC"/>
        <family val="2"/>
      </rPr>
      <t xml:space="preserve">」；短租含維運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未定義（推定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</si>
  <si>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t xml:space="preserve">SRC_ZP_466</t>
  </si>
  <si>
    <t xml:space="preserve">rent_a800_machmo_jul26</t>
  </si>
  <si>
    <r>
      <rPr>
        <sz val="10"/>
        <color rgb="FF000000"/>
        <rFont val="Arial"/>
        <family val="0"/>
        <charset val="1"/>
      </rPr>
      <t xml:space="preserve">A800 80G </t>
    </r>
    <r>
      <rPr>
        <sz val="10"/>
        <color rgb="FF000000"/>
        <rFont val="Noto Sans CJK SC"/>
        <family val="2"/>
      </rPr>
      <t xml:space="preserve">整機月租（華中）</t>
    </r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</si>
  <si>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台）</t>
    </r>
  </si>
  <si>
    <t xml:space="preserve">SRC_ZP_467</t>
  </si>
  <si>
    <t xml:space="preserve">rent_h100_machmo_jul26</t>
  </si>
  <si>
    <r>
      <rPr>
        <sz val="10"/>
        <color rgb="FF000000"/>
        <rFont val="Arial"/>
        <family val="0"/>
        <charset val="1"/>
      </rPr>
      <t xml:space="preserve">H100 80G SXM </t>
    </r>
    <r>
      <rPr>
        <sz val="10"/>
        <color rgb="FF000000"/>
        <rFont val="Noto Sans CJK SC"/>
        <family val="2"/>
      </rPr>
      <t xml:space="preserve">整機月租（長三角）</t>
    </r>
  </si>
  <si>
    <r>
      <rPr>
        <sz val="10"/>
        <color rgb="FF000000"/>
        <rFont val="Noto Sans CJK SC"/>
        <family val="2"/>
      </rPr>
      <t xml:space="preserve">短租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（新高）、一年以上 </t>
    </r>
    <r>
      <rPr>
        <sz val="10"/>
        <color rgb="FF000000"/>
        <rFont val="Arial"/>
        <family val="0"/>
        <charset val="1"/>
      </rPr>
      <t xml:space="preserve">80,000</t>
    </r>
    <r>
      <rPr>
        <sz val="10"/>
        <color rgb="FF000000"/>
        <rFont val="Noto Sans CJK SC"/>
        <family val="2"/>
      </rPr>
      <t xml:space="preserve">；前主流 </t>
    </r>
    <r>
      <rPr>
        <sz val="10"/>
        <color rgb="FF000000"/>
        <rFont val="Arial"/>
        <family val="0"/>
        <charset val="1"/>
      </rPr>
      <t xml:space="preserve">75,000–80,000</t>
    </r>
    <r>
      <rPr>
        <sz val="10"/>
        <color rgb="FF000000"/>
        <rFont val="Noto Sans CJK SC"/>
        <family val="2"/>
      </rPr>
      <t xml:space="preserve">；表頭為 </t>
    </r>
    <r>
      <rPr>
        <sz val="10"/>
        <color rgb="FF000000"/>
        <rFont val="Arial"/>
        <family val="0"/>
        <charset val="1"/>
      </rPr>
      <t xml:space="preserve">per 8-card server</t>
    </r>
  </si>
  <si>
    <t xml:space="preserve">SRC_ZP_468</t>
  </si>
  <si>
    <t xml:space="preserve">rent_910b4_mo_aug26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</si>
  <si>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月租（西南）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</si>
  <si>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／月</t>
    </r>
  </si>
  <si>
    <t xml:space="preserve">https://news.metal.com/newscontent/104082769-smm-computing-power-midday-review-market-overall-sideways-domestic-computing-power-rental-and-procurement-prices-emerge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</si>
  <si>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monthly rental quote for the 910B was 16,000 yuan per unit per month</t>
    </r>
    <r>
      <rPr>
        <sz val="10"/>
        <color rgb="FF000000"/>
        <rFont val="Noto Sans CJK SC"/>
        <family val="2"/>
      </rPr>
      <t xml:space="preserve">」，未定義 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（卡或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卡整機）；華東一年全包 </t>
    </r>
    <r>
      <rPr>
        <sz val="10"/>
        <color rgb="FF000000"/>
        <rFont val="Arial"/>
        <family val="0"/>
        <charset val="1"/>
      </rPr>
      <t xml:space="preserve">15,000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八卡整機採購約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萬元</t>
    </r>
  </si>
  <si>
    <t xml:space="preserve">SRC_ZP_469</t>
  </si>
  <si>
    <t xml:space="preserve">rent_910b3_mo_sep26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</si>
  <si>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910B3 </t>
    </r>
    <r>
      <rPr>
        <sz val="10"/>
        <color rgb="FF000000"/>
        <rFont val="Noto Sans CJK SC"/>
        <family val="2"/>
      </rPr>
      <t xml:space="preserve">月租（線上雲）</t>
    </r>
  </si>
  <si>
    <t xml:space="preserve">2026-09-07</t>
  </si>
  <si>
    <t xml:space="preserve">https://news.metal.com/newscontent/104099764-smm-computing-power-flash-30-units-of-910b3-available-for-online-rental-at-16000-yuan-3000-yuan-lower-than-relocatable-units</t>
  </si>
  <si>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16,000</t>
    </r>
    <r>
      <rPr>
        <sz val="10"/>
        <color rgb="FF000000"/>
        <rFont val="Noto Sans CJK SC"/>
        <family val="2"/>
      </rPr>
      <t xml:space="preserve">、華東可搬遷 </t>
    </r>
    <r>
      <rPr>
        <sz val="10"/>
        <color rgb="FF000000"/>
        <rFont val="Arial"/>
        <family val="0"/>
        <charset val="1"/>
      </rPr>
      <t xml:space="preserve">19,000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17,000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</si>
  <si>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SRC_ZP_470</t>
  </si>
  <si>
    <t xml:space="preserve">rent_910b2_mo_aug26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</si>
  <si>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月租（華東）</t>
    </r>
  </si>
  <si>
    <t xml:space="preserve">https://news.metal.com/newscontent/104088520-smm-computing-power-flash-ascend-910b-rental-demand-heats-up-preference-for-910b3-or-higher-specifications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</si>
  <si>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910B2 monthly rentals at 12,000 yuan in east China</t>
    </r>
    <r>
      <rPr>
        <sz val="10"/>
        <color rgb="FF000000"/>
        <rFont val="Noto Sans CJK SC"/>
        <family val="2"/>
      </rPr>
      <t xml:space="preserve">」；合約常見「兩年固定加一年開放」；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</si>
  <si>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SRC_ZP_471</t>
  </si>
  <si>
    <t xml:space="preserve">rent_910b_8card_mo_may26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</si>
  <si>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八卡月租（智星雲）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</si>
  <si>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卡／月</t>
    </r>
  </si>
  <si>
    <t xml:space="preserve">2026-05-12</t>
  </si>
  <si>
    <r>
      <rPr>
        <sz val="10"/>
        <color rgb="FF000000"/>
        <rFont val="Arial"/>
        <family val="0"/>
        <charset val="1"/>
      </rPr>
      <t xml:space="preserve">AtomGit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CSDN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怎麼租到高性價比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算力〉</t>
    </r>
  </si>
  <si>
    <t xml:space="preserve">https://gitcode.csdn.net/6a02e16154b52172bc73777e.html</t>
  </si>
  <si>
    <r>
      <rPr>
        <sz val="10"/>
        <color rgb="FF000000"/>
        <rFont val="Noto Sans CJK SC"/>
        <family val="2"/>
      </rPr>
      <t xml:space="preserve">表列昇騰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八卡配置月租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SMM 16,000 </t>
    </r>
    <r>
      <rPr>
        <sz val="10"/>
        <color rgb="FF000000"/>
        <rFont val="Noto Sans CJK SC"/>
        <family val="2"/>
      </rPr>
      <t xml:space="preserve">矛盾（若 </t>
    </r>
    <r>
      <rPr>
        <sz val="10"/>
        <color rgb="FF000000"/>
        <rFont val="Arial"/>
        <family val="0"/>
        <charset val="1"/>
      </rPr>
      <t xml:space="preserve">SMM unit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</si>
  <si>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SRC_ZP_472</t>
  </si>
  <si>
    <t xml:space="preserve">rent_h800_cardhr_aliyun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</si>
  <si>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單卡時租（阿里雲）</t>
    </r>
  </si>
  <si>
    <r>
      <rPr>
        <sz val="10"/>
        <color rgb="FF000000"/>
        <rFont val="Noto Sans CJK SC"/>
        <family val="2"/>
      </rPr>
      <t xml:space="preserve">表列阿里雲 </t>
    </r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時租 </t>
    </r>
    <r>
      <rPr>
        <sz val="10"/>
        <color rgb="FF000000"/>
        <rFont val="Arial"/>
        <family val="0"/>
        <charset val="1"/>
      </rPr>
      <t xml:space="preserve">18.75</t>
    </r>
    <r>
      <rPr>
        <sz val="10"/>
        <color rgb="FF000000"/>
        <rFont val="Noto Sans CJK SC"/>
        <family val="2"/>
      </rPr>
      <t xml:space="preserve">、月約 </t>
    </r>
    <r>
      <rPr>
        <sz val="10"/>
        <color rgb="FF000000"/>
        <rFont val="Arial"/>
        <family val="0"/>
        <charset val="1"/>
      </rPr>
      <t xml:space="preserve">13,500</t>
    </r>
    <r>
      <rPr>
        <sz val="10"/>
        <color rgb="FF000000"/>
        <rFont val="Noto Sans CJK SC"/>
        <family val="2"/>
      </rPr>
      <t xml:space="preserve">；圖靈小鎮 </t>
    </r>
    <r>
      <rPr>
        <sz val="10"/>
        <color rgb="FF000000"/>
        <rFont val="Arial"/>
        <family val="0"/>
        <charset val="1"/>
      </rPr>
      <t xml:space="preserve">11.83</t>
    </r>
    <r>
      <rPr>
        <sz val="10"/>
        <color rgb="FF000000"/>
        <rFont val="Noto Sans CJK SC"/>
        <family val="2"/>
      </rPr>
      <t xml:space="preserve">／月約 </t>
    </r>
    <r>
      <rPr>
        <sz val="10"/>
        <color rgb="FF000000"/>
        <rFont val="Arial"/>
        <family val="0"/>
        <charset val="1"/>
      </rPr>
      <t xml:space="preserve">8,518</t>
    </r>
  </si>
  <si>
    <t xml:space="preserve">SRC_ZP_473</t>
  </si>
  <si>
    <t xml:space="preserve">rent_h800_cardhr_turing_b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</si>
  <si>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單卡時租（圖靈小鎮）</t>
    </r>
  </si>
  <si>
    <t xml:space="preserve">SRC_ZP_474</t>
  </si>
  <si>
    <t xml:space="preserve">rent_h800_cardhr_derived</t>
  </si>
  <si>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兩年約） 折算卡時價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</si>
  <si>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</si>
  <si>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rent_h800_machmo_aug26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</si>
  <si>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t xml:space="preserve">https://news.metal.com/</t>
  </si>
  <si>
    <r>
      <rPr>
        <sz val="10"/>
        <color rgb="FF000000"/>
        <rFont val="Arial"/>
        <family val="0"/>
        <charset val="1"/>
      </rPr>
      <t xml:space="preserve">78000÷8÷730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</si>
  <si>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SRC_ZP_475</t>
  </si>
  <si>
    <t xml:space="preserve">rent_a800_cardhr_derived</t>
  </si>
  <si>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一年約）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</si>
  <si>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rent_a800_machmo_jul26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</si>
  <si>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36000÷8÷730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6.16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</si>
  <si>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SRC_ZP_476</t>
  </si>
  <si>
    <t xml:space="preserve">rent_h100_cardhr_derived</t>
  </si>
  <si>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一年以上）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</si>
  <si>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rent_h100_machmo_jul26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</si>
  <si>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80000÷8÷730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13.7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</si>
  <si>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SRC_ZP_477</t>
  </si>
  <si>
    <t xml:space="preserve">rent_h20_cardhr_derived</t>
  </si>
  <si>
    <r>
      <rPr>
        <sz val="10"/>
        <color rgb="FF000000"/>
        <rFont val="Arial"/>
        <family val="0"/>
        <charset val="1"/>
      </rPr>
      <t xml:space="preserve">H20 96G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京津冀均）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</si>
  <si>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rent_h20_machmo_sep26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</si>
  <si>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43000÷8÷730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</si>
  <si>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SRC_ZP_478</t>
  </si>
  <si>
    <t xml:space="preserve">rent_910b4_cardhr_derived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</si>
  <si>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910B3 16,000 </t>
    </r>
    <r>
      <rPr>
        <sz val="10"/>
        <color rgb="FF000000"/>
        <rFont val="Noto Sans CJK SC"/>
        <family val="2"/>
      </rPr>
      <t xml:space="preserve">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</si>
  <si>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</si>
  <si>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SMM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AtomGit </t>
    </r>
    <r>
      <rPr>
        <sz val="10"/>
        <color rgb="FF000000"/>
        <rFont val="Noto Sans CJK SC"/>
        <family val="2"/>
      </rPr>
      <t xml:space="preserve">月租 </t>
    </r>
    <r>
      <rPr>
        <sz val="10"/>
        <color rgb="FF000000"/>
        <rFont val="Arial"/>
        <family val="0"/>
        <charset val="1"/>
      </rPr>
      <t xml:space="preserve">÷ 8 ÷ 730</t>
    </r>
  </si>
  <si>
    <r>
      <rPr>
        <sz val="10"/>
        <color rgb="FF000000"/>
        <rFont val="Arial"/>
        <family val="0"/>
        <charset val="1"/>
      </rPr>
      <t xml:space="preserve">16000÷8÷730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2.74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21.9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</si>
  <si>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SRC_ZP_479</t>
  </si>
  <si>
    <t xml:space="preserve">rent_910b_zxy_cardhr_derived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</si>
  <si>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（智星雲） 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</si>
  <si>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25000÷8÷730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4.28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34.2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</si>
  <si>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SRC_ZP_480</t>
  </si>
  <si>
    <t xml:space="preserve">perf_910c_vs_h100_inf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</si>
  <si>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推論效能／</t>
    </r>
    <r>
      <rPr>
        <sz val="10"/>
        <color rgb="FF000000"/>
        <rFont val="Arial"/>
        <family val="0"/>
        <charset val="1"/>
      </rPr>
      <t xml:space="preserve">H100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</si>
  <si>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</si>
  <si>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2025-02-07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AGI Hunt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測試）</t>
    </r>
  </si>
  <si>
    <t xml:space="preserve">https://gigazine.net/gsc_news/en/20250207-huawei-ascend-910c-inference-performance-nvidia</t>
  </si>
  <si>
    <t xml:space="preserve">2025-02-07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</si>
  <si>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Ascend 910C delivered 60% of the performance of NVIDIA’s H100 in inference tasks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另引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，分析師估 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吞吐約 </t>
    </r>
    <r>
      <rPr>
        <sz val="10"/>
        <color rgb="FF000000"/>
        <rFont val="Arial"/>
        <family val="0"/>
        <charset val="1"/>
      </rPr>
      <t xml:space="preserve">80%</t>
    </r>
  </si>
  <si>
    <t xml:space="preserve">SRC_ZP_481</t>
  </si>
  <si>
    <t xml:space="preserve">perf_910c_power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</si>
  <si>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單卡功耗</t>
    </r>
  </si>
  <si>
    <t xml:space="preserve">W</t>
  </si>
  <si>
    <r>
      <rPr>
        <sz val="10"/>
        <color rgb="FF000000"/>
        <rFont val="Arial"/>
        <family val="0"/>
        <charset val="1"/>
      </rPr>
      <t xml:space="preserve">2024-11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</si>
  <si>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Arial"/>
        <family val="0"/>
        <charset val="1"/>
      </rPr>
      <t xml:space="preserve">Unite.AI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Huawei Ascend 910C</t>
    </r>
    <r>
      <rPr>
        <sz val="10"/>
        <color rgb="FF000000"/>
        <rFont val="Noto Sans CJK SC"/>
        <family val="2"/>
      </rPr>
      <t xml:space="preserve">〉</t>
    </r>
  </si>
  <si>
    <t xml:space="preserve">https://www.unite.ai/huaweis-ascend-910c-a-bold-challenge-to-nvidia-in-the-ai-chip-market</t>
  </si>
  <si>
    <t xml:space="preserve">2025-02-23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</si>
  <si>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：偏樂觀，須第二獨立來源（不得單獨引用）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</si>
  <si>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consuming around 310 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310–350W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）；晶片 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，非全設施</t>
    </r>
  </si>
  <si>
    <t xml:space="preserve">SRC_ZP_482</t>
  </si>
  <si>
    <t xml:space="preserve">perf_910c_bf16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</si>
  <si>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BF16 </t>
    </r>
    <r>
      <rPr>
        <sz val="10"/>
        <color rgb="FF000000"/>
        <rFont val="Noto Sans CJK SC"/>
        <family val="2"/>
      </rPr>
      <t xml:space="preserve">稠密算力</t>
    </r>
  </si>
  <si>
    <t xml:space="preserve">TFLOPS</t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</si>
  <si>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）</t>
    </r>
  </si>
  <si>
    <t xml:space="preserve">https://www.theregister.com/2025/07/29/huawei_rackscale_boogeyman/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</si>
  <si>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752 teraFLOPS of dense FP16/BF16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128GB HBM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3.2TB/s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）列 </t>
    </r>
    <r>
      <rPr>
        <sz val="10"/>
        <color rgb="FF000000"/>
        <rFont val="Arial"/>
        <family val="0"/>
        <charset val="1"/>
      </rPr>
      <t xml:space="preserve">780</t>
    </r>
  </si>
  <si>
    <t xml:space="preserve">SRC_ZP_483</t>
  </si>
  <si>
    <t xml:space="preserve">perf_cm384_power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</si>
  <si>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</t>
    </r>
  </si>
  <si>
    <t xml:space="preserve">kW</t>
  </si>
  <si>
    <t xml:space="preserve">2025-04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</si>
  <si>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2025-04-18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</si>
  <si>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https://www.tomshardware.com/tech-industry/artificial-intelligence/huaweis-new-ai-cloudmatrix-cluster-beats-nvidias-gb200-by-brute-force-uses-4x-the-power</t>
  </si>
  <si>
    <t xml:space="preserve">2025-04-18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</si>
  <si>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system power (including networking and storage)</t>
    </r>
    <r>
      <rPr>
        <sz val="10"/>
        <color rgb="FF000000"/>
        <rFont val="Noto Sans CJK SC"/>
        <family val="2"/>
      </rPr>
      <t xml:space="preserve">」約 </t>
    </r>
    <r>
      <rPr>
        <sz val="10"/>
        <color rgb="FF000000"/>
        <rFont val="Arial"/>
        <family val="0"/>
        <charset val="1"/>
      </rPr>
      <t xml:space="preserve">559kW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~600 kW all in</t>
    </r>
    <r>
      <rPr>
        <sz val="10"/>
        <color rgb="FF000000"/>
        <rFont val="Noto Sans CJK SC"/>
        <family val="2"/>
      </rPr>
      <t xml:space="preserve">」；少數派亦 </t>
    </r>
    <r>
      <rPr>
        <sz val="10"/>
        <color rgb="FF000000"/>
        <rFont val="Arial"/>
        <family val="0"/>
        <charset val="1"/>
      </rPr>
      <t xml:space="preserve">559kW </t>
    </r>
    <r>
      <rPr>
        <sz val="10"/>
        <color rgb="FF000000"/>
        <rFont val="Noto Sans CJK SC"/>
        <family val="2"/>
      </rPr>
      <t xml:space="preserve">未註源。【所有來源皆追溯至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，依規則不可單獨引用，暫不入模型】</t>
    </r>
  </si>
  <si>
    <t xml:space="preserve">SRC_ZP_484</t>
  </si>
  <si>
    <t xml:space="preserve">perf_cm384_vs_nvl72_power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</si>
  <si>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功耗／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</si>
  <si>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559kW vs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145kW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TFLOP </t>
    </r>
    <r>
      <rPr>
        <sz val="10"/>
        <color rgb="FF000000"/>
        <rFont val="Noto Sans CJK SC"/>
        <family val="2"/>
      </rPr>
      <t xml:space="preserve">功耗差 </t>
    </r>
    <r>
      <rPr>
        <sz val="10"/>
        <color rgb="FF000000"/>
        <rFont val="Arial"/>
        <family val="0"/>
        <charset val="1"/>
      </rPr>
      <t xml:space="preserve">2.3×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1.87 vs 0.81 W/TFLOP</t>
    </r>
    <r>
      <rPr>
        <sz val="10"/>
        <color rgb="FF000000"/>
        <rFont val="Noto Sans CJK SC"/>
        <family val="2"/>
      </rPr>
      <t xml:space="preserve">）。【僅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源頭，不可單獨引用】</t>
    </r>
  </si>
  <si>
    <t xml:space="preserve">SRC_ZP_485</t>
  </si>
  <si>
    <t xml:space="preserve">perf_cm384_decode_per_npu</t>
  </si>
  <si>
    <r>
      <rPr>
        <sz val="10"/>
        <color rgb="FF000000"/>
        <rFont val="Arial"/>
        <family val="0"/>
        <charset val="1"/>
      </rPr>
      <t xml:space="preserve">CloudMatrix384 DeepSeek-R1 </t>
    </r>
    <r>
      <rPr>
        <sz val="10"/>
        <color rgb="FF000000"/>
        <rFont val="Noto Sans CJK SC"/>
        <family val="2"/>
      </rPr>
      <t xml:space="preserve">解碼吞吐（每 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</si>
  <si>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NPU</t>
    </r>
  </si>
  <si>
    <t xml:space="preserve">2025-06</t>
  </si>
  <si>
    <r>
      <rPr>
        <sz val="10"/>
        <color rgb="FF000000"/>
        <rFont val="Noto Sans CJK SC"/>
        <family val="2"/>
      </rPr>
      <t xml:space="preserve">華為 </t>
    </r>
    <r>
      <rPr>
        <sz val="10"/>
        <color rgb="FF000000"/>
        <rFont val="Arial"/>
        <family val="0"/>
        <charset val="1"/>
      </rPr>
      <t xml:space="preserve">CloudMatrix-Infer </t>
    </r>
    <r>
      <rPr>
        <sz val="10"/>
        <color rgb="FF000000"/>
        <rFont val="Noto Sans CJK SC"/>
        <family val="2"/>
      </rPr>
      <t xml:space="preserve">論文（</t>
    </r>
    <r>
      <rPr>
        <sz val="10"/>
        <color rgb="FF000000"/>
        <rFont val="Arial"/>
        <family val="0"/>
        <charset val="1"/>
      </rPr>
      <t xml:space="preserve">arXiv 2506.12708</t>
    </r>
    <r>
      <rPr>
        <sz val="10"/>
        <color rgb="FF000000"/>
        <rFont val="Noto Sans CJK SC"/>
        <family val="2"/>
      </rPr>
      <t xml:space="preserve">）</t>
    </r>
  </si>
  <si>
    <t xml:space="preserve">https://arxiv.org/abs/2506.12708v1</t>
  </si>
  <si>
    <t xml:space="preserve">2025-06-15</t>
  </si>
  <si>
    <t xml:space="preserve">華為：自家硬體宣傳誘因</t>
  </si>
  <si>
    <r>
      <rPr>
        <sz val="10"/>
        <color rgb="FF000000"/>
        <rFont val="Noto Sans CJK SC"/>
        <family val="2"/>
      </rPr>
      <t xml:space="preserve">摘要「</t>
    </r>
    <r>
      <rPr>
        <sz val="10"/>
        <color rgb="FF000000"/>
        <rFont val="Arial"/>
        <family val="0"/>
        <charset val="1"/>
      </rPr>
      <t xml:space="preserve">prefill throughput of 6,688 tokens/s per NPU and decode throughput of 1,943 tokens/s per NPU (&lt;50 ms TPOT)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15ms </t>
    </r>
    <r>
      <rPr>
        <sz val="10"/>
        <color rgb="FF000000"/>
        <rFont val="Noto Sans CJK SC"/>
        <family val="2"/>
      </rPr>
      <t xml:space="preserve">約束下 </t>
    </r>
    <r>
      <rPr>
        <sz val="10"/>
        <color rgb="FF000000"/>
        <rFont val="Arial"/>
        <family val="0"/>
        <charset val="1"/>
      </rPr>
      <t xml:space="preserve">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INT8</t>
    </r>
  </si>
  <si>
    <t xml:space="preserve">SRC_ZP_486</t>
  </si>
  <si>
    <t xml:space="preserve">perf_cm384_vs_h800_eff</t>
  </si>
  <si>
    <r>
      <rPr>
        <sz val="10"/>
        <color rgb="FF000000"/>
        <rFont val="Arial"/>
        <family val="0"/>
        <charset val="1"/>
      </rPr>
      <t xml:space="preserve">CloudMatrix384 </t>
    </r>
    <r>
      <rPr>
        <sz val="10"/>
        <color rgb="FF000000"/>
        <rFont val="Noto Sans CJK SC"/>
        <family val="2"/>
      </rPr>
      <t xml:space="preserve">計算效率對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</si>
  <si>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TFLOPS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</si>
  <si>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，轉述華為論文）</t>
    </r>
  </si>
  <si>
    <t xml:space="preserve">華為論文自述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</si>
  <si>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4.5 tokens/sec per teraFLOPS, just ahead of Nvidia’s H800 at 3.96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percent lead over Nvidia’s H800</t>
    </r>
    <r>
      <rPr>
        <sz val="10"/>
        <color rgb="FF000000"/>
        <rFont val="Noto Sans CJK SC"/>
        <family val="2"/>
      </rPr>
      <t xml:space="preserve">」；為每 </t>
    </r>
    <r>
      <rPr>
        <sz val="10"/>
        <color rgb="FF000000"/>
        <rFont val="Arial"/>
        <family val="0"/>
        <charset val="1"/>
      </rPr>
      <t xml:space="preserve">TFLOPS </t>
    </r>
    <r>
      <rPr>
        <sz val="10"/>
        <color rgb="FF000000"/>
        <rFont val="Noto Sans CJK SC"/>
        <family val="2"/>
      </rPr>
      <t xml:space="preserve">效率，非每卡</t>
    </r>
  </si>
  <si>
    <t xml:space="preserve">SRC_ZP_487</t>
  </si>
  <si>
    <t xml:space="preserve">perf_h20_bf16</t>
  </si>
  <si>
    <r>
      <rPr>
        <sz val="10"/>
        <color rgb="FF000000"/>
        <rFont val="Arial"/>
        <family val="0"/>
        <charset val="1"/>
      </rPr>
      <t xml:space="preserve">H20 BF16 </t>
    </r>
    <r>
      <rPr>
        <sz val="10"/>
        <color rgb="FF000000"/>
        <rFont val="Noto Sans CJK SC"/>
        <family val="2"/>
      </rPr>
      <t xml:space="preserve">稠密算力</t>
    </r>
  </si>
  <si>
    <t xml:space="preserve">2024-02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</si>
  <si>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2024-02-01</t>
    </r>
    <r>
      <rPr>
        <sz val="10"/>
        <color rgb="FF000000"/>
        <rFont val="Noto Sans CJK SC"/>
        <family val="2"/>
      </rPr>
      <t xml:space="preserve">）</t>
    </r>
  </si>
  <si>
    <t xml:space="preserve">https://tomshardware.com/pc-components/gpus/new-nvidia-ai-gpus-designed-to-get-around-us-export-bans-come-to-china-h20-l20-and-l2-to-fill-void-left-by-restricted-models</t>
  </si>
  <si>
    <t xml:space="preserve">2024-02-01</t>
  </si>
  <si>
    <r>
      <rPr>
        <sz val="10"/>
        <color rgb="FF000000"/>
        <rFont val="Arial"/>
        <family val="0"/>
        <charset val="1"/>
      </rPr>
      <t xml:space="preserve">BF16 148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FP8 296 TFLOPS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96GB HBM3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4.0TB/s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TDP 400W</t>
    </r>
  </si>
  <si>
    <t xml:space="preserve">SRC_ZP_488</t>
  </si>
  <si>
    <t xml:space="preserve">perf_h100_bf16_sparse</t>
  </si>
  <si>
    <r>
      <rPr>
        <sz val="10"/>
        <color rgb="FF000000"/>
        <rFont val="Arial"/>
        <family val="0"/>
        <charset val="1"/>
      </rPr>
      <t xml:space="preserve">H100 SXM BF16 </t>
    </r>
    <r>
      <rPr>
        <sz val="10"/>
        <color rgb="FF000000"/>
        <rFont val="Noto Sans CJK SC"/>
        <family val="2"/>
      </rPr>
      <t xml:space="preserve">峰值（含稀疏）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</si>
  <si>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</si>
  <si>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Lenovo Press LP1732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規格）</t>
    </r>
  </si>
  <si>
    <t xml:space="preserve">https://lenovopress.lenovo.com/lp1732.pdf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</si>
  <si>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Peak Bfloat16 (BF16) performance: 1,979 TFLOPS*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structural sparsity</t>
    </r>
    <r>
      <rPr>
        <sz val="10"/>
        <color rgb="FF000000"/>
        <rFont val="Noto Sans CJK SC"/>
        <family val="2"/>
      </rPr>
      <t xml:space="preserve">；稠密＝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989.5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TDP 700W</t>
    </r>
  </si>
  <si>
    <t xml:space="preserve">SRC_ZP_489</t>
  </si>
  <si>
    <t xml:space="preserve">perf_h20_vs_h100_compute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</si>
  <si>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稠密）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</si>
  <si>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perf_h20_bf16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perf_h100_bf16_sparse÷2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</si>
  <si>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148÷989.5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0.150</t>
    </r>
    <r>
      <rPr>
        <sz val="10"/>
        <color rgb="FF000000"/>
        <rFont val="Noto Sans CJK SC"/>
        <family val="2"/>
      </rPr>
      <t xml:space="preserve">；頻寬 </t>
    </r>
    <r>
      <rPr>
        <sz val="10"/>
        <color rgb="FF000000"/>
        <rFont val="Arial"/>
        <family val="0"/>
        <charset val="1"/>
      </rPr>
      <t xml:space="preserve">4.0÷3.35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較高）；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受頻寬限制，故推論比遠高於 </t>
    </r>
    <r>
      <rPr>
        <sz val="10"/>
        <color rgb="FF000000"/>
        <rFont val="Arial"/>
        <family val="0"/>
        <charset val="1"/>
      </rPr>
      <t xml:space="preserve">0.15</t>
    </r>
  </si>
  <si>
    <t xml:space="preserve">SRC_ZP_490</t>
  </si>
  <si>
    <t xml:space="preserve">perf_h20_vs_h100_inf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</si>
  <si>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推論吞吐／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</si>
  <si>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DatabaseMart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H20 vs H100</t>
    </r>
    <r>
      <rPr>
        <sz val="10"/>
        <color rgb="FF000000"/>
        <rFont val="Noto Sans CJK SC"/>
        <family val="2"/>
      </rPr>
      <t xml:space="preserve">〉</t>
    </r>
  </si>
  <si>
    <t xml:space="preserve">https://www.databasemart.com/blog/nvidia-h20-vs-nvidia-h100</t>
  </si>
  <si>
    <t xml:space="preserve">2026-08-25</t>
  </si>
  <si>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21,500–23,000 token/s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6,000–9,000</t>
    </r>
    <r>
      <rPr>
        <sz val="10"/>
        <color rgb="FF000000"/>
        <rFont val="Noto Sans CJK SC"/>
        <family val="2"/>
      </rPr>
      <t xml:space="preserve">（「</t>
    </r>
    <r>
      <rPr>
        <sz val="10"/>
        <color rgb="FF000000"/>
        <rFont val="Arial"/>
        <family val="0"/>
        <charset val="1"/>
      </rPr>
      <t xml:space="preserve">engineering-level estimate</t>
    </r>
    <r>
      <rPr>
        <sz val="10"/>
        <color rgb="FF000000"/>
        <rFont val="Noto Sans CJK SC"/>
        <family val="2"/>
      </rPr>
      <t xml:space="preserve">」）；比值 </t>
    </r>
    <r>
      <rPr>
        <sz val="10"/>
        <color rgb="FF000000"/>
        <rFont val="Arial"/>
        <family val="0"/>
        <charset val="1"/>
      </rPr>
      <t xml:space="preserve">0.26–0.42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</t>
    </r>
  </si>
  <si>
    <t xml:space="preserve">SRC_ZP_491</t>
  </si>
  <si>
    <t xml:space="preserve">perf_h20_vs_h100_inf_b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</si>
  <si>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H100 LLM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說法）</t>
    </r>
  </si>
  <si>
    <t xml:space="preserve">2023-11</t>
  </si>
  <si>
    <r>
      <rPr>
        <sz val="10"/>
        <color rgb="FF000000"/>
        <rFont val="Arial"/>
        <family val="0"/>
        <charset val="1"/>
      </rPr>
      <t xml:space="preserve">Asia Times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2024-01-04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 Dylan Patel</t>
    </r>
    <r>
      <rPr>
        <sz val="10"/>
        <color rgb="FF000000"/>
        <rFont val="Noto Sans CJK SC"/>
        <family val="2"/>
      </rPr>
      <t xml:space="preserve">）</t>
    </r>
  </si>
  <si>
    <t xml:space="preserve">https://asiatimes.com/2024/01/nvidia-chips-for-china-dumbed-down-but-lean-and-mean/</t>
  </si>
  <si>
    <t xml:space="preserve">2024-01-04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</si>
  <si>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H20 actually is over 20% faster than the H100 in large language model (LLM) reasoning</t>
    </r>
    <r>
      <rPr>
        <sz val="10"/>
        <color rgb="FF000000"/>
        <rFont val="Noto Sans CJK SC"/>
        <family val="2"/>
      </rPr>
      <t xml:space="preserve">」；同文稱多卡環境約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。【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單一源，不可單獨引用；與 </t>
    </r>
    <r>
      <rPr>
        <sz val="10"/>
        <color rgb="FF000000"/>
        <rFont val="Arial"/>
        <family val="0"/>
        <charset val="1"/>
      </rPr>
      <t xml:space="preserve">0.26–0.42 </t>
    </r>
    <r>
      <rPr>
        <sz val="10"/>
        <color rgb="FF000000"/>
        <rFont val="Noto Sans CJK SC"/>
        <family val="2"/>
      </rPr>
      <t xml:space="preserve">矛盾】</t>
    </r>
  </si>
  <si>
    <t xml:space="preserve">SRC_ZP_492</t>
  </si>
  <si>
    <t xml:space="preserve">preipo_valuation_post_b6</t>
  </si>
  <si>
    <r>
      <rPr>
        <sz val="10"/>
        <color rgb="FF000000"/>
        <rFont val="Noto Sans CJK SC"/>
        <family val="2"/>
      </rPr>
      <t xml:space="preserve">上市前最後一輪（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2025-05</t>
    </r>
    <r>
      <rPr>
        <sz val="10"/>
        <color rgb="FF000000"/>
        <rFont val="Noto Sans CJK SC"/>
        <family val="2"/>
      </rPr>
      <t xml:space="preserve">）投後估值</t>
    </r>
  </si>
  <si>
    <t xml:space="preserve">2025-05</t>
  </si>
  <si>
    <t xml:space="preserve">智東西（轉述招股章程）</t>
  </si>
  <si>
    <t xml:space="preserve">https://zhidx.com/p/522919.html</t>
  </si>
  <si>
    <t xml:space="preserve">2025-12</t>
  </si>
  <si>
    <t xml:space="preserve">招股章程口徑（媒體轉述，未直接開啟招股章程原文）</t>
  </si>
  <si>
    <r>
      <rPr>
        <sz val="10"/>
        <color rgb="FF000000"/>
        <rFont val="Noto Sans CJK SC"/>
        <family val="2"/>
      </rPr>
      <t xml:space="preserve">原文「在今年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輪融資後，智譜投後估值達到</t>
    </r>
    <r>
      <rPr>
        <sz val="10"/>
        <color rgb="FF000000"/>
        <rFont val="Arial"/>
        <family val="0"/>
        <charset val="1"/>
      </rPr>
      <t xml:space="preserve">243.77</t>
    </r>
    <r>
      <rPr>
        <sz val="10"/>
        <color rgb="FF000000"/>
        <rFont val="Noto Sans CJK SC"/>
        <family val="2"/>
      </rPr>
      <t xml:space="preserve">億元」；財聯社作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</t>
    </r>
  </si>
  <si>
    <t xml:space="preserve">SRC_ZP_493</t>
  </si>
  <si>
    <t xml:space="preserve">preipo_total_raised</t>
  </si>
  <si>
    <t xml:space="preserve">上市前累計融資額</t>
  </si>
  <si>
    <t xml:space="preserve">2019–2025</t>
  </si>
  <si>
    <t xml:space="preserve">財聯社</t>
  </si>
  <si>
    <t xml:space="preserve">https://m.cls.cn/detail/2235451</t>
  </si>
  <si>
    <t xml:space="preserve">媒體轉述招股章程</t>
  </si>
  <si>
    <r>
      <rPr>
        <sz val="10"/>
        <color rgb="FF000000"/>
        <rFont val="Noto Sans CJK SC"/>
        <family val="2"/>
      </rPr>
      <t xml:space="preserve">原文「智譜融資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輪，累計籌資超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億元，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前估值已達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億元」</t>
    </r>
  </si>
  <si>
    <t xml:space="preserve">SRC_ZP_494</t>
  </si>
  <si>
    <t xml:space="preserve">preipo_total_raised_b</t>
  </si>
  <si>
    <t xml:space="preserve">上市前累計融資額（另一說）</t>
  </si>
  <si>
    <t xml:space="preserve">新浪財經（證券時報）</t>
  </si>
  <si>
    <t xml:space="preserve">https://finance.sina.com.cn/stock/marketresearch/2026-01-08/doc-inhfqcat5441095.shtml</t>
  </si>
  <si>
    <t xml:space="preserve">2026-01-08</t>
  </si>
  <si>
    <r>
      <rPr>
        <sz val="10"/>
        <color rgb="FF000000"/>
        <rFont val="Noto Sans CJK SC"/>
        <family val="2"/>
      </rPr>
      <t xml:space="preserve">同文同時寫「超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億元」與約</t>
    </r>
    <r>
      <rPr>
        <sz val="10"/>
        <color rgb="FF000000"/>
        <rFont val="Arial"/>
        <family val="0"/>
        <charset val="1"/>
      </rPr>
      <t xml:space="preserve">83.6</t>
    </r>
    <r>
      <rPr>
        <sz val="10"/>
        <color rgb="FF000000"/>
        <rFont val="Noto Sans CJK SC"/>
        <family val="2"/>
      </rPr>
      <t xml:space="preserve">億元；與財聯社「超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億」不衝突（下限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點值）</t>
    </r>
  </si>
  <si>
    <t xml:space="preserve">SRC_ZP_495</t>
  </si>
  <si>
    <t xml:space="preserve">round_seed_2019</t>
  </si>
  <si>
    <t xml:space="preserve">成立／天使輪金額（中科創星等）</t>
  </si>
  <si>
    <r>
      <rPr>
        <sz val="10"/>
        <color rgb="FF000000"/>
        <rFont val="Noto Sans CJK SC"/>
        <family val="2"/>
      </rPr>
      <t xml:space="preserve">中科創星投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萬元，投後</t>
    </r>
    <r>
      <rPr>
        <sz val="10"/>
        <color rgb="FF000000"/>
        <rFont val="Arial"/>
        <family val="0"/>
        <charset val="1"/>
      </rPr>
      <t xml:space="preserve">3.75</t>
    </r>
    <r>
      <rPr>
        <sz val="10"/>
        <color rgb="FF000000"/>
        <rFont val="Noto Sans CJK SC"/>
        <family val="2"/>
      </rPr>
      <t xml:space="preserve">億元；投資人含華控技術轉移</t>
    </r>
  </si>
  <si>
    <t xml:space="preserve">SRC_ZP_496</t>
  </si>
  <si>
    <t xml:space="preserve">round_seed_2019_postval</t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</si>
  <si>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</si>
  <si>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Noto Sans CJK SC"/>
        <family val="2"/>
      </rPr>
      <t xml:space="preserve">同上文；投後估值 </t>
    </r>
    <r>
      <rPr>
        <sz val="10"/>
        <color rgb="FF000000"/>
        <rFont val="Arial"/>
        <family val="0"/>
        <charset val="1"/>
      </rPr>
      <t xml:space="preserve">3.75 </t>
    </r>
    <r>
      <rPr>
        <sz val="10"/>
        <color rgb="FF000000"/>
        <rFont val="Noto Sans CJK SC"/>
        <family val="2"/>
      </rPr>
      <t xml:space="preserve">億元</t>
    </r>
  </si>
  <si>
    <t xml:space="preserve">SRC_ZP_497</t>
  </si>
  <si>
    <t xml:space="preserve">round_a_2021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</si>
  <si>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輪金額</t>
    </r>
  </si>
  <si>
    <t xml:space="preserve">2021-04</t>
  </si>
  <si>
    <r>
      <rPr>
        <sz val="10"/>
        <color rgb="FF000000"/>
        <rFont val="Noto Sans CJK SC"/>
        <family val="2"/>
      </rPr>
      <t xml:space="preserve">達晨財智、華控基金、將門創投（凌雲光亦列）；投後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億元。量子位稱「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輪過億元」</t>
    </r>
  </si>
  <si>
    <t xml:space="preserve">SRC_ZP_498</t>
  </si>
  <si>
    <t xml:space="preserve">round_a_2021_postval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</si>
  <si>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</si>
  <si>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</t>
    </r>
  </si>
  <si>
    <t xml:space="preserve">SRC_ZP_499</t>
  </si>
  <si>
    <t xml:space="preserve">round_b1_2021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</si>
  <si>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輪金額（君聯、啟明）</t>
    </r>
  </si>
  <si>
    <r>
      <rPr>
        <sz val="10"/>
        <color rgb="FF000000"/>
        <rFont val="Arial"/>
        <family val="0"/>
        <charset val="1"/>
      </rPr>
      <t xml:space="preserve">2021-12</t>
    </r>
    <r>
      <rPr>
        <sz val="10"/>
        <color rgb="FF000000"/>
        <rFont val="Noto Sans CJK SC"/>
        <family val="2"/>
      </rPr>
      <t xml:space="preserve">前後</t>
    </r>
  </si>
  <si>
    <r>
      <rPr>
        <sz val="10"/>
        <color rgb="FF000000"/>
        <rFont val="Noto Sans CJK SC"/>
        <family val="2"/>
      </rPr>
      <t xml:space="preserve">「近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億元」，投後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億元；日期僅寫 </t>
    </r>
    <r>
      <rPr>
        <sz val="10"/>
        <color rgb="FF000000"/>
        <rFont val="Arial"/>
        <family val="0"/>
        <charset val="1"/>
      </rPr>
      <t xml:space="preserve">2021-09 </t>
    </r>
    <r>
      <rPr>
        <sz val="10"/>
        <color rgb="FF000000"/>
        <rFont val="Noto Sans CJK SC"/>
        <family val="2"/>
      </rPr>
      <t xml:space="preserve">後約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</t>
    </r>
  </si>
  <si>
    <t xml:space="preserve">SRC_ZP_500</t>
  </si>
  <si>
    <t xml:space="preserve">round_b1_2021_postval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</si>
  <si>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</si>
  <si>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</t>
    </r>
  </si>
  <si>
    <t xml:space="preserve">SRC_ZP_501</t>
  </si>
  <si>
    <t xml:space="preserve">round_b2_meituan</t>
  </si>
  <si>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輪美團領投金額</t>
    </r>
  </si>
  <si>
    <r>
      <rPr>
        <sz val="10"/>
        <color rgb="FF000000"/>
        <rFont val="Arial"/>
        <family val="0"/>
        <charset val="1"/>
      </rPr>
      <t xml:space="preserve">2022–2023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</si>
  <si>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「美團領投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億元」，達晨跟投；投後估值未載</t>
    </r>
  </si>
  <si>
    <t xml:space="preserve">SRC_ZP_502</t>
  </si>
  <si>
    <t xml:space="preserve">round_ant_cum</t>
  </si>
  <si>
    <t xml:space="preserve">螞蟻（上海飛玡／雲玡）跨輪累計投資</t>
  </si>
  <si>
    <r>
      <rPr>
        <sz val="10"/>
        <color rgb="FF000000"/>
        <rFont val="Arial"/>
        <family val="0"/>
        <charset val="1"/>
      </rPr>
      <t xml:space="preserve">2022–2025</t>
    </r>
    <r>
      <rPr>
        <sz val="10"/>
        <color rgb="FF000000"/>
        <rFont val="Noto Sans CJK SC"/>
        <family val="2"/>
      </rPr>
      <t xml:space="preserve">（跨輪）</t>
    </r>
  </si>
  <si>
    <r>
      <rPr>
        <sz val="10"/>
        <color rgb="FF000000"/>
        <rFont val="Noto Sans CJK SC"/>
        <family val="2"/>
      </rPr>
      <t xml:space="preserve">螞蟻經上海飛玡、雲玡累計約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億元</t>
    </r>
  </si>
  <si>
    <t xml:space="preserve">SRC_ZP_503</t>
  </si>
  <si>
    <t xml:space="preserve">round_b4_tencent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</si>
  <si>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輪騰訊領投金額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</si>
  <si>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</si>
  <si>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騰訊領投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億元；順為（小米系）同輪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</si>
  <si>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SRC_ZP_504</t>
  </si>
  <si>
    <t xml:space="preserve">round_b4_shunwei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</si>
  <si>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輪順為資本（小米系）金額</t>
    </r>
  </si>
  <si>
    <r>
      <rPr>
        <sz val="10"/>
        <color rgb="FF000000"/>
        <rFont val="Noto Sans CJK SC"/>
        <family val="2"/>
      </rPr>
      <t xml:space="preserve">順為資本同輪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</si>
  <si>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SRC_ZP_505</t>
  </si>
  <si>
    <t xml:space="preserve">round_2023_cum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</si>
  <si>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年累計融資</t>
    </r>
  </si>
  <si>
    <t xml:space="preserve">投資界</t>
  </si>
  <si>
    <t xml:space="preserve">https://news.pedaily.cn/202310/523903.shtml</t>
  </si>
  <si>
    <t xml:space="preserve">2023-10-20</t>
  </si>
  <si>
    <t xml:space="preserve">智譜（公司對外披露融資額）；誘因：募資與招募聲量</t>
  </si>
  <si>
    <t xml:space="preserve">公司自述（媒體報導）</t>
  </si>
  <si>
    <r>
      <rPr>
        <sz val="10"/>
        <color rgb="FF000000"/>
        <rFont val="Noto Sans CJK SC"/>
        <family val="2"/>
      </rPr>
      <t xml:space="preserve">「今年已累計獲得超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億人民幣融資」；投資人含美團、螞蟻、阿里、騰訊、小米、金山、順為、紅杉、高瓴</t>
    </r>
  </si>
  <si>
    <t xml:space="preserve">SRC_ZP_506</t>
  </si>
  <si>
    <t xml:space="preserve">round_2024_prosperity7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</si>
  <si>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年中一輪（</t>
    </r>
    <r>
      <rPr>
        <sz val="10"/>
        <color rgb="FF000000"/>
        <rFont val="Arial"/>
        <family val="0"/>
        <charset val="1"/>
      </rPr>
      <t xml:space="preserve">Prosperity7 </t>
    </r>
    <r>
      <rPr>
        <sz val="10"/>
        <color rgb="FF000000"/>
        <rFont val="Noto Sans CJK SC"/>
        <family val="2"/>
      </rPr>
      <t xml:space="preserve">參與）規模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</si>
  <si>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百萬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</si>
  <si>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</si>
  <si>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（轉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</si>
  <si>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https://gulfnews.com/business/markets/aramco-owned-saudi-fund-joins-400-million-financing-for-china-ai-firm-zhipu-1.1717156143388</t>
  </si>
  <si>
    <t xml:space="preserve">2024-05-31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</si>
  <si>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引述知情人士（媒體名：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）</t>
    </r>
  </si>
  <si>
    <t xml:space="preserve">知情人士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</si>
  <si>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joins $400 million financing</t>
    </r>
    <r>
      <rPr>
        <sz val="10"/>
        <color rgb="FF000000"/>
        <rFont val="Noto Sans CJK SC"/>
        <family val="2"/>
      </rPr>
      <t xml:space="preserve">」；估值約 </t>
    </r>
    <r>
      <rPr>
        <sz val="10"/>
        <color rgb="FF000000"/>
        <rFont val="Arial"/>
        <family val="0"/>
        <charset val="1"/>
      </rPr>
      <t xml:space="preserve">US$3bn</t>
    </r>
    <r>
      <rPr>
        <sz val="10"/>
        <color rgb="FF000000"/>
        <rFont val="Noto Sans CJK SC"/>
        <family val="2"/>
      </rPr>
      <t xml:space="preserve">（知情人士）；</t>
    </r>
    <r>
      <rPr>
        <sz val="10"/>
        <color rgb="FF000000"/>
        <rFont val="Arial"/>
        <family val="0"/>
        <charset val="1"/>
      </rPr>
      <t xml:space="preserve">P7 </t>
    </r>
    <r>
      <rPr>
        <sz val="10"/>
        <color rgb="FF000000"/>
        <rFont val="Noto Sans CJK SC"/>
        <family val="2"/>
      </rPr>
      <t xml:space="preserve">個別金額未披露</t>
    </r>
  </si>
  <si>
    <t xml:space="preserve">SRC_ZP_507</t>
  </si>
  <si>
    <t xml:space="preserve">round_2024_prosperity7_val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</si>
  <si>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年中一輪估值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</si>
  <si>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</si>
  <si>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</si>
  <si>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valued the Beijing-based startup at about $3 billion</t>
    </r>
    <r>
      <rPr>
        <sz val="10"/>
        <color rgb="FF000000"/>
        <rFont val="Noto Sans CJK SC"/>
        <family val="2"/>
      </rPr>
      <t xml:space="preserve">」</t>
    </r>
  </si>
  <si>
    <t xml:space="preserve">SRC_ZP_508</t>
  </si>
  <si>
    <t xml:space="preserve">round_2024_09_zgc_preval</t>
  </si>
  <si>
    <r>
      <rPr>
        <sz val="10"/>
        <color rgb="FF000000"/>
        <rFont val="Arial"/>
        <family val="0"/>
        <charset val="1"/>
      </rPr>
      <t xml:space="preserve">2024-09 </t>
    </r>
    <r>
      <rPr>
        <sz val="10"/>
        <color rgb="FF000000"/>
        <rFont val="Noto Sans CJK SC"/>
        <family val="2"/>
      </rPr>
      <t xml:space="preserve">中關村科學城領投輪投前估值</t>
    </r>
  </si>
  <si>
    <t xml:space="preserve">2024-09</t>
  </si>
  <si>
    <t xml:space="preserve">量子位</t>
  </si>
  <si>
    <t xml:space="preserve">https://www.qbitai.com/2024/12/233513.html</t>
  </si>
  <si>
    <t xml:space="preserve">2024-12-17</t>
  </si>
  <si>
    <t xml:space="preserve">媒體報導（量子位）；資訊源可能為公司或投資方</t>
  </si>
  <si>
    <t xml:space="preserve">媒體報導</t>
  </si>
  <si>
    <r>
      <rPr>
        <sz val="10"/>
        <color rgb="FF000000"/>
        <rFont val="Noto Sans CJK SC"/>
        <family val="2"/>
      </rPr>
      <t xml:space="preserve">「中關村科學城領投…投前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億估值」；金額界面稱「數十億元」</t>
    </r>
  </si>
  <si>
    <t xml:space="preserve">SRC_ZP_509</t>
  </si>
  <si>
    <t xml:space="preserve">round_2024_12</t>
  </si>
  <si>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輪金額（多家戰投與國資，君聯跟投）</t>
    </r>
  </si>
  <si>
    <t xml:space="preserve">2024-12</t>
  </si>
  <si>
    <t xml:space="preserve">媒體報導；資訊源可能為公司</t>
  </si>
  <si>
    <r>
      <rPr>
        <sz val="10"/>
        <color rgb="FF000000"/>
        <rFont val="Noto Sans CJK SC"/>
        <family val="2"/>
      </rPr>
      <t xml:space="preserve">「已最新完成一輪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億人民幣融資」；投資人未具名</t>
    </r>
  </si>
  <si>
    <t xml:space="preserve">SRC_ZP_510</t>
  </si>
  <si>
    <t xml:space="preserve">round_2025_03_hangzhou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</si>
  <si>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杭州城投產業基金、上城資本等</t>
    </r>
  </si>
  <si>
    <t xml:space="preserve">2025-03-03</t>
  </si>
  <si>
    <t xml:space="preserve">界面新聞</t>
  </si>
  <si>
    <t xml:space="preserve">https://m.jiemian.com/article/12418121.html</t>
  </si>
  <si>
    <t xml:space="preserve">媒體報導；知情人士稱部分非新錢</t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</si>
  <si>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億元人民幣」；界面另稱兩筆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月交易部分屬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輪</t>
    </r>
  </si>
  <si>
    <t xml:space="preserve">SRC_ZP_511</t>
  </si>
  <si>
    <t xml:space="preserve">round_2025_03_huafa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</si>
  <si>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珠海華發集團戰略投資</t>
    </r>
  </si>
  <si>
    <t xml:space="preserve">2025-03-13</t>
  </si>
  <si>
    <t xml:space="preserve">https://m.jiemian.com/article/12464980.html</t>
  </si>
  <si>
    <t xml:space="preserve">2025-03</t>
  </si>
  <si>
    <t xml:space="preserve">華發集團（國資投資方宣傳誘因）</t>
  </si>
  <si>
    <r>
      <rPr>
        <sz val="10"/>
        <color rgb="FF000000"/>
        <rFont val="Noto Sans CJK SC"/>
        <family val="2"/>
      </rPr>
      <t xml:space="preserve">「金額為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億元人民幣」；新浪轉述招股章程亦列華發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</t>
    </r>
  </si>
  <si>
    <t xml:space="preserve">SRC_ZP_512</t>
  </si>
  <si>
    <t xml:space="preserve">round_2025_03_chengdu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</si>
  <si>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成都高新區（新經濟創投）</t>
    </r>
  </si>
  <si>
    <t xml:space="preserve">2025-03-19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</si>
  <si>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（老虎轉載）</t>
    </r>
  </si>
  <si>
    <t xml:space="preserve">https://www.itiger.com/hans/news/2520094057</t>
  </si>
  <si>
    <t xml:space="preserve">地方政府基金（宣傳誘因）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</si>
  <si>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300 million yuan ($41.5 million)</t>
    </r>
    <r>
      <rPr>
        <sz val="10"/>
        <color rgb="FF000000"/>
        <rFont val="Noto Sans CJK SC"/>
        <family val="2"/>
      </rPr>
      <t xml:space="preserve">」；招股章程轉述亦列成都高新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億元</t>
    </r>
  </si>
  <si>
    <t xml:space="preserve">SRC_ZP_513</t>
  </si>
  <si>
    <t xml:space="preserve">round_2025_07_shanghai</t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</si>
  <si>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浦東創投、張江集團戰略投資</t>
    </r>
  </si>
  <si>
    <t xml:space="preserve">2025-07-02</t>
  </si>
  <si>
    <t xml:space="preserve">DealStreetAsia</t>
  </si>
  <si>
    <t xml:space="preserve">https://www.dealstreetasia.com/?p=447792</t>
  </si>
  <si>
    <t xml:space="preserve">2025-07-03</t>
  </si>
  <si>
    <t xml:space="preserve">上海國資（宣傳誘因）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</si>
  <si>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billion yuan</t>
    </r>
    <r>
      <rPr>
        <sz val="10"/>
        <color rgb="FF000000"/>
        <rFont val="Noto Sans CJK SC"/>
        <family val="2"/>
      </rPr>
      <t xml:space="preserve">」；媒體估值約 </t>
    </r>
    <r>
      <rPr>
        <sz val="10"/>
        <color rgb="FF000000"/>
        <rFont val="Arial"/>
        <family val="0"/>
        <charset val="1"/>
      </rPr>
      <t xml:space="preserve">US$5.6b</t>
    </r>
    <r>
      <rPr>
        <sz val="10"/>
        <color rgb="FF000000"/>
        <rFont val="Noto Sans CJK SC"/>
        <family val="2"/>
      </rPr>
      <t xml:space="preserve">（推估，不登錄為值）</t>
    </r>
  </si>
  <si>
    <t xml:space="preserve">SRC_ZP_514</t>
  </si>
  <si>
    <t xml:space="preserve">round_last_b6_total</t>
  </si>
  <si>
    <t xml:space="preserve">上市前最後一輪合計（中關村科學城、大興、杭州城創、華發、成都高新、上城領航）</t>
  </si>
  <si>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</si>
  <si>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億元」；國資來自北京、珠海、成都、杭州；與量子位「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億」口徑不同</t>
    </r>
  </si>
  <si>
    <t xml:space="preserve">SRC_ZP_515</t>
  </si>
  <si>
    <t xml:space="preserve">ipo_price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</si>
  <si>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發售價</t>
    </r>
  </si>
  <si>
    <r>
      <rPr>
        <sz val="10"/>
        <color rgb="FF000000"/>
        <rFont val="Arial"/>
        <family val="0"/>
        <charset val="1"/>
      </rPr>
      <t xml:space="preserve">HKD</t>
    </r>
    <r>
      <rPr>
        <sz val="10"/>
        <color rgb="FF000000"/>
        <rFont val="Noto Sans CJK SC"/>
        <family val="2"/>
      </rPr>
      <t xml:space="preserve">／股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</si>
  <si>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配售及可換股債券公告（過往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</si>
  <si>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t xml:space="preserve">https://www1.hkexnews.hk/listedco/listconews/sehk/2026/0913/2026091300026_c.pdf</t>
  </si>
  <si>
    <t xml:space="preserve">2026-09-13</t>
  </si>
  <si>
    <t xml:space="preserve">公司公告</t>
  </si>
  <si>
    <r>
      <rPr>
        <sz val="10"/>
        <color rgb="FF000000"/>
        <rFont val="Noto Sans CJK SC"/>
        <family val="2"/>
      </rPr>
      <t xml:space="preserve">「按每股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116.20</t>
    </r>
    <r>
      <rPr>
        <sz val="10"/>
        <color rgb="FF000000"/>
        <rFont val="Noto Sans CJK SC"/>
        <family val="2"/>
      </rPr>
      <t xml:space="preserve">港元發行</t>
    </r>
    <r>
      <rPr>
        <sz val="10"/>
        <color rgb="FF000000"/>
        <rFont val="Arial"/>
        <family val="0"/>
        <charset val="1"/>
      </rPr>
      <t xml:space="preserve">37,419,500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</si>
  <si>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SRC_ZP_516</t>
  </si>
  <si>
    <t xml:space="preserve">ipo_shares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</si>
  <si>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發行股數（不含超額配股）</t>
    </r>
  </si>
  <si>
    <t xml:space="preserve">股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</si>
  <si>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</t>
    </r>
  </si>
  <si>
    <r>
      <rPr>
        <sz val="10"/>
        <color rgb="FF000000"/>
        <rFont val="Noto Sans CJK SC"/>
        <family val="2"/>
      </rPr>
      <t xml:space="preserve">香港公開發售回撥後 </t>
    </r>
    <r>
      <rPr>
        <sz val="10"/>
        <color rgb="FF000000"/>
        <rFont val="Arial"/>
        <family val="0"/>
        <charset val="1"/>
      </rPr>
      <t xml:space="preserve">7,483,900 </t>
    </r>
    <r>
      <rPr>
        <sz val="10"/>
        <color rgb="FF000000"/>
        <rFont val="Noto Sans CJK SC"/>
        <family val="2"/>
      </rPr>
      <t xml:space="preserve">股、國際 </t>
    </r>
    <r>
      <rPr>
        <sz val="10"/>
        <color rgb="FF000000"/>
        <rFont val="Arial"/>
        <family val="0"/>
        <charset val="1"/>
      </rPr>
      <t xml:space="preserve">29,935,600 </t>
    </r>
    <r>
      <rPr>
        <sz val="10"/>
        <color rgb="FF000000"/>
        <rFont val="Noto Sans CJK SC"/>
        <family val="2"/>
      </rPr>
      <t xml:space="preserve">股（新浪）</t>
    </r>
  </si>
  <si>
    <t xml:space="preserve">SRC_ZP_517</t>
  </si>
  <si>
    <t xml:space="preserve">ipo_gross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</si>
  <si>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募資總額（不含超額配股）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</si>
  <si>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百萬</t>
    </r>
  </si>
  <si>
    <t xml:space="preserve">新浪財經（轉述配發結果公告）</t>
  </si>
  <si>
    <t xml:space="preserve">https://finance.sina.cn/2026-01-08/detail-inhfqtyr6689758.d.html</t>
  </si>
  <si>
    <t xml:space="preserve">媒體轉述配發結果</t>
  </si>
  <si>
    <r>
      <rPr>
        <sz val="10"/>
        <color rgb="FF000000"/>
        <rFont val="Noto Sans CJK SC"/>
        <family val="2"/>
      </rPr>
      <t xml:space="preserve">所得款項總額 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116.20×37,419,500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吻合</t>
    </r>
  </si>
  <si>
    <t xml:space="preserve">SRC_ZP_518</t>
  </si>
  <si>
    <t xml:space="preserve">ipo_listing_exp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</si>
  <si>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估計上市開支</t>
    </r>
  </si>
  <si>
    <r>
      <rPr>
        <sz val="10"/>
        <color rgb="FF000000"/>
        <rFont val="Noto Sans CJK SC"/>
        <family val="2"/>
      </rPr>
      <t xml:space="preserve">扣除估計上市開支 </t>
    </r>
    <r>
      <rPr>
        <sz val="10"/>
        <color rgb="FF000000"/>
        <rFont val="Arial"/>
        <family val="0"/>
        <charset val="1"/>
      </rPr>
      <t xml:space="preserve">174.7 </t>
    </r>
    <r>
      <rPr>
        <sz val="10"/>
        <color rgb="FF000000"/>
        <rFont val="Noto Sans CJK SC"/>
        <family val="2"/>
      </rPr>
      <t xml:space="preserve">百萬港元</t>
    </r>
  </si>
  <si>
    <t xml:space="preserve">SRC_ZP_519</t>
  </si>
  <si>
    <t xml:space="preserve">ipo_net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</si>
  <si>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所得款項淨額（不含超額配股）</t>
    </r>
  </si>
  <si>
    <t xml:space="preserve">新浪財經（轉述配發結果公告）；證券時報同值</t>
  </si>
  <si>
    <r>
      <rPr>
        <sz val="10"/>
        <color rgb="FF000000"/>
        <rFont val="Noto Sans CJK SC"/>
        <family val="2"/>
      </rPr>
      <t xml:space="preserve">淨額 </t>
    </r>
    <r>
      <rPr>
        <sz val="10"/>
        <color rgb="FF000000"/>
        <rFont val="Arial"/>
        <family val="0"/>
        <charset val="1"/>
      </rPr>
      <t xml:space="preserve">4,173.4 </t>
    </r>
    <r>
      <rPr>
        <sz val="10"/>
        <color rgb="FF000000"/>
        <rFont val="Noto Sans CJK SC"/>
        <family val="2"/>
      </rPr>
      <t xml:space="preserve">百萬港元；證券時報「全球發售淨籌資約</t>
    </r>
    <r>
      <rPr>
        <sz val="10"/>
        <color rgb="FF000000"/>
        <rFont val="Arial"/>
        <family val="0"/>
        <charset val="1"/>
      </rPr>
      <t xml:space="preserve">41.73</t>
    </r>
    <r>
      <rPr>
        <sz val="10"/>
        <color rgb="FF000000"/>
        <rFont val="Noto Sans CJK SC"/>
        <family val="2"/>
      </rPr>
      <t xml:space="preserve">億港元」</t>
    </r>
  </si>
  <si>
    <t xml:space="preserve">SRC_ZP_520</t>
  </si>
  <si>
    <t xml:space="preserve">ipo_overallot_shares</t>
  </si>
  <si>
    <t xml:space="preserve">超額配股權行使股數</t>
  </si>
  <si>
    <t xml:space="preserve">2026-02-04</t>
  </si>
  <si>
    <r>
      <rPr>
        <sz val="10"/>
        <color rgb="FF000000"/>
        <rFont val="Noto Sans CJK SC"/>
        <family val="2"/>
      </rPr>
      <t xml:space="preserve">新浪財經（轉述配發結果）＋ 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月報表股數勾稽</t>
    </r>
  </si>
  <si>
    <r>
      <rPr>
        <sz val="10"/>
        <color rgb="FF000000"/>
        <rFont val="Noto Sans CJK SC"/>
        <family val="2"/>
      </rPr>
      <t xml:space="preserve">媒體轉述；與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勾稽</t>
    </r>
  </si>
  <si>
    <r>
      <rPr>
        <sz val="10"/>
        <color rgb="FF000000"/>
        <rFont val="Arial"/>
        <family val="0"/>
        <charset val="1"/>
      </rPr>
      <t xml:space="preserve">440,230,190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5,612,900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445,843,090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總股數吻合</t>
    </r>
  </si>
  <si>
    <t xml:space="preserve">SRC_ZP_521</t>
  </si>
  <si>
    <t xml:space="preserve">ipo_overallot_shares_b</t>
  </si>
  <si>
    <t xml:space="preserve">超額配股權行使股數（公告另一數字）</t>
  </si>
  <si>
    <r>
      <rPr>
        <sz val="10"/>
        <color rgb="FF000000"/>
        <rFont val="Noto Sans CJK SC"/>
        <family val="2"/>
      </rPr>
      <t xml:space="preserve">公司公告（經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讀取）</t>
    </r>
  </si>
  <si>
    <r>
      <rPr>
        <sz val="10"/>
        <color rgb="FF000000"/>
        <rFont val="Noto Sans CJK SC"/>
        <family val="2"/>
      </rPr>
      <t xml:space="preserve">「超額配股權獲悉數行使…發行額外</t>
    </r>
    <r>
      <rPr>
        <sz val="10"/>
        <color rgb="FF000000"/>
        <rFont val="Arial"/>
        <family val="0"/>
        <charset val="1"/>
      </rPr>
      <t xml:space="preserve">5,623,900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股」；與股數勾稽差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股，疑誤植或讀取誤差</t>
    </r>
  </si>
  <si>
    <t xml:space="preserve">SRC_ZP_522</t>
  </si>
  <si>
    <t xml:space="preserve">ipo_net_incl_overallot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</si>
  <si>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淨額（含超額配股權）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</si>
  <si>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</t>
    </r>
  </si>
  <si>
    <r>
      <rPr>
        <sz val="10"/>
        <color rgb="FF000000"/>
        <rFont val="Noto Sans CJK SC"/>
        <family val="2"/>
      </rPr>
      <t xml:space="preserve">「全球發售（包括超額配股權獲行使）的所得款項淨額總額約為</t>
    </r>
    <r>
      <rPr>
        <sz val="10"/>
        <color rgb="FF000000"/>
        <rFont val="Arial"/>
        <family val="0"/>
        <charset val="1"/>
      </rPr>
      <t xml:space="preserve">4,896.2</t>
    </r>
    <r>
      <rPr>
        <sz val="10"/>
        <color rgb="FF000000"/>
        <rFont val="Noto Sans CJK SC"/>
        <family val="2"/>
      </rPr>
      <t xml:space="preserve">百萬港元」；截至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已悉數動用</t>
    </r>
  </si>
  <si>
    <t xml:space="preserve">SRC_ZP_523</t>
  </si>
  <si>
    <t xml:space="preserve">ipo_cornerstone_total</t>
  </si>
  <si>
    <r>
      <rPr>
        <sz val="10"/>
        <color rgb="FF000000"/>
        <rFont val="Noto Sans CJK SC"/>
        <family val="2"/>
      </rPr>
      <t xml:space="preserve">基石投資者認購總額（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家）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</si>
  <si>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億</t>
    </r>
  </si>
  <si>
    <t xml:space="preserve">2026-01</t>
  </si>
  <si>
    <t xml:space="preserve">鉅亨網</t>
  </si>
  <si>
    <t xml:space="preserve">https://news.cnyes.com/news/id/6292807</t>
  </si>
  <si>
    <r>
      <rPr>
        <sz val="10"/>
        <color rgb="FF000000"/>
        <rFont val="Noto Sans CJK SC"/>
        <family val="2"/>
      </rPr>
      <t xml:space="preserve">「合共認購</t>
    </r>
    <r>
      <rPr>
        <sz val="10"/>
        <color rgb="FF000000"/>
        <rFont val="Arial"/>
        <family val="0"/>
        <charset val="1"/>
      </rPr>
      <t xml:space="preserve">29.8</t>
    </r>
    <r>
      <rPr>
        <sz val="10"/>
        <color rgb="FF000000"/>
        <rFont val="Noto Sans CJK SC"/>
        <family val="2"/>
      </rPr>
      <t xml:space="preserve">億港元」約占發售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JSC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JinYi</t>
    </r>
    <r>
      <rPr>
        <sz val="10"/>
        <color rgb="FF000000"/>
        <rFont val="Noto Sans CJK SC"/>
        <family val="2"/>
      </rPr>
      <t xml:space="preserve">、高毅、泰康人壽、廣發基金等；個別金額未載</t>
    </r>
  </si>
  <si>
    <t xml:space="preserve">SRC_ZP_524</t>
  </si>
  <si>
    <t xml:space="preserve">ipo_hk_oversub</t>
  </si>
  <si>
    <t xml:space="preserve">香港公開發售超額認購倍數</t>
  </si>
  <si>
    <t xml:space="preserve">中國日報網</t>
  </si>
  <si>
    <t xml:space="preserve">https://cn.chinadaily.com.cn/a/202601/08/WS695f5b9da310942cc499a93e.html</t>
  </si>
  <si>
    <r>
      <rPr>
        <sz val="10"/>
        <color rgb="FF000000"/>
        <rFont val="Noto Sans CJK SC"/>
        <family val="2"/>
      </rPr>
      <t xml:space="preserve">公開發售 </t>
    </r>
    <r>
      <rPr>
        <sz val="10"/>
        <color rgb="FF000000"/>
        <rFont val="Arial"/>
        <family val="0"/>
        <charset val="1"/>
      </rPr>
      <t xml:space="preserve">1,159.46 </t>
    </r>
    <r>
      <rPr>
        <sz val="10"/>
        <color rgb="FF000000"/>
        <rFont val="Noto Sans CJK SC"/>
        <family val="2"/>
      </rPr>
      <t xml:space="preserve">倍；國際發售 </t>
    </r>
    <r>
      <rPr>
        <sz val="10"/>
        <color rgb="FF000000"/>
        <rFont val="Arial"/>
        <family val="0"/>
        <charset val="1"/>
      </rPr>
      <t xml:space="preserve">15.28 </t>
    </r>
    <r>
      <rPr>
        <sz val="10"/>
        <color rgb="FF000000"/>
        <rFont val="Noto Sans CJK SC"/>
        <family val="2"/>
      </rPr>
      <t xml:space="preserve">倍</t>
    </r>
  </si>
  <si>
    <t xml:space="preserve">SRC_ZP_525</t>
  </si>
  <si>
    <t xml:space="preserve">ipo_proceeds_use_rd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</si>
  <si>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用途：通用大模型研發占比</t>
    </r>
  </si>
  <si>
    <t xml:space="preserve">澎湃新聞</t>
  </si>
  <si>
    <t xml:space="preserve">https://www.thepaper.cn/newsDetail_forward_32280640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</si>
  <si>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、合作夥伴與戰投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、營運資金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</si>
  <si>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SRC_ZP_526</t>
  </si>
  <si>
    <t xml:space="preserve">ipo_shares_post</t>
  </si>
  <si>
    <t xml:space="preserve">上市後已發行股份總數（超額配股前）</t>
  </si>
  <si>
    <r>
      <rPr>
        <sz val="10"/>
        <color rgb="FF000000"/>
        <rFont val="Noto Sans CJK SC"/>
        <family val="2"/>
      </rPr>
      <t xml:space="preserve">上市後已發行 </t>
    </r>
    <r>
      <rPr>
        <sz val="10"/>
        <color rgb="FF000000"/>
        <rFont val="Arial"/>
        <family val="0"/>
        <charset val="1"/>
      </rPr>
      <t xml:space="preserve">440,230,190 </t>
    </r>
    <r>
      <rPr>
        <sz val="10"/>
        <color rgb="FF000000"/>
        <rFont val="Noto Sans CJK SC"/>
        <family val="2"/>
      </rPr>
      <t xml:space="preserve">股</t>
    </r>
  </si>
  <si>
    <t xml:space="preserve">SRC_ZP_527</t>
  </si>
  <si>
    <t xml:space="preserve">ipo_offer_mktcap</t>
  </si>
  <si>
    <t xml:space="preserve">按發售價計算市值</t>
  </si>
  <si>
    <r>
      <rPr>
        <sz val="10"/>
        <color rgb="FF000000"/>
        <rFont val="Noto Sans CJK SC"/>
        <family val="2"/>
      </rPr>
      <t xml:space="preserve">鉅亨網（</t>
    </r>
    <r>
      <rPr>
        <sz val="10"/>
        <color rgb="FF000000"/>
        <rFont val="Arial"/>
        <family val="0"/>
        <charset val="1"/>
      </rPr>
      <t xml:space="preserve">511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116.20×440,230,190</t>
    </r>
  </si>
  <si>
    <t xml:space="preserve">計算</t>
  </si>
  <si>
    <r>
      <rPr>
        <sz val="10"/>
        <color rgb="FF000000"/>
        <rFont val="Noto Sans CJK SC"/>
        <family val="2"/>
      </rPr>
      <t xml:space="preserve">媒體「發行市值達</t>
    </r>
    <r>
      <rPr>
        <sz val="10"/>
        <color rgb="FF000000"/>
        <rFont val="Arial"/>
        <family val="0"/>
        <charset val="1"/>
      </rPr>
      <t xml:space="preserve">511</t>
    </r>
    <r>
      <rPr>
        <sz val="10"/>
        <color rgb="FF000000"/>
        <rFont val="Noto Sans CJK SC"/>
        <family val="2"/>
      </rPr>
      <t xml:space="preserve">億」；計算值 </t>
    </r>
    <r>
      <rPr>
        <sz val="10"/>
        <color rgb="FF000000"/>
        <rFont val="Arial"/>
        <family val="0"/>
        <charset val="1"/>
      </rPr>
      <t xml:space="preserve">511.55 </t>
    </r>
    <r>
      <rPr>
        <sz val="10"/>
        <color rgb="FF000000"/>
        <rFont val="Noto Sans CJK SC"/>
        <family val="2"/>
      </rPr>
      <t xml:space="preserve">億港元</t>
    </r>
  </si>
  <si>
    <t xml:space="preserve">SRC_ZP_528</t>
  </si>
  <si>
    <t xml:space="preserve">ipo_day1_open_mktcap</t>
  </si>
  <si>
    <r>
      <rPr>
        <sz val="10"/>
        <color rgb="FF000000"/>
        <rFont val="Noto Sans CJK SC"/>
        <family val="2"/>
      </rPr>
      <t xml:space="preserve">上市首日開盤市值（線索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</si>
  <si>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＝開盤價 </t>
    </r>
    <r>
      <rPr>
        <sz val="10"/>
        <color rgb="FF000000"/>
        <rFont val="Arial"/>
        <family val="0"/>
        <charset val="1"/>
      </rPr>
      <t xml:space="preserve">120.00×440,230,190</t>
    </r>
    <r>
      <rPr>
        <sz val="10"/>
        <color rgb="FF000000"/>
        <rFont val="Noto Sans CJK SC"/>
        <family val="2"/>
      </rPr>
      <t xml:space="preserve">；開盤價見證券時報</t>
    </r>
  </si>
  <si>
    <t xml:space="preserve">https://www.stcn.com/article/detail/3580246.html</t>
  </si>
  <si>
    <r>
      <rPr>
        <sz val="10"/>
        <color rgb="FF000000"/>
        <rFont val="Noto Sans CJK SC"/>
        <family val="2"/>
      </rPr>
      <t xml:space="preserve">開盤「報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股」；線索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億即開盤市值，非收盤</t>
    </r>
  </si>
  <si>
    <t xml:space="preserve">SRC_ZP_529</t>
  </si>
  <si>
    <t xml:space="preserve">ipo_day1_close</t>
  </si>
  <si>
    <t xml:space="preserve">上市首日收盤價</t>
  </si>
  <si>
    <t xml:space="preserve">證券時報</t>
  </si>
  <si>
    <t xml:space="preserve">市場數據</t>
  </si>
  <si>
    <r>
      <rPr>
        <sz val="10"/>
        <color rgb="FF000000"/>
        <rFont val="Noto Sans CJK SC"/>
        <family val="2"/>
      </rPr>
      <t xml:space="preserve">「收報</t>
    </r>
    <r>
      <rPr>
        <sz val="10"/>
        <color rgb="FF000000"/>
        <rFont val="Arial"/>
        <family val="0"/>
        <charset val="1"/>
      </rPr>
      <t xml:space="preserve">131.5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股」，漲 </t>
    </r>
    <r>
      <rPr>
        <sz val="10"/>
        <color rgb="FF000000"/>
        <rFont val="Arial"/>
        <family val="0"/>
        <charset val="1"/>
      </rPr>
      <t xml:space="preserve">13.17%</t>
    </r>
    <r>
      <rPr>
        <sz val="10"/>
        <color rgb="FF000000"/>
        <rFont val="Noto Sans CJK SC"/>
        <family val="2"/>
      </rPr>
      <t xml:space="preserve">；盤中低 </t>
    </r>
    <r>
      <rPr>
        <sz val="10"/>
        <color rgb="FF000000"/>
        <rFont val="Arial"/>
        <family val="0"/>
        <charset val="1"/>
      </rPr>
      <t xml:space="preserve">116.10</t>
    </r>
  </si>
  <si>
    <t xml:space="preserve">SRC_ZP_530</t>
  </si>
  <si>
    <t xml:space="preserve">ipo_day1_close_mktcap</t>
  </si>
  <si>
    <t xml:space="preserve">上市首日收盤市值</t>
  </si>
  <si>
    <r>
      <rPr>
        <sz val="10"/>
        <color rgb="FF000000"/>
        <rFont val="Noto Sans CJK SC"/>
        <family val="2"/>
      </rPr>
      <t xml:space="preserve">「總市值達</t>
    </r>
    <r>
      <rPr>
        <sz val="10"/>
        <color rgb="FF000000"/>
        <rFont val="Arial"/>
        <family val="0"/>
        <charset val="1"/>
      </rPr>
      <t xml:space="preserve">578.9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131.5×440,230,190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吻合</t>
    </r>
  </si>
  <si>
    <t xml:space="preserve">SRC_ZP_531</t>
  </si>
  <si>
    <t xml:space="preserve">ipo_day1_close_mktcap_b</t>
  </si>
  <si>
    <t xml:space="preserve">上市首日收盤市值（另一說）</t>
  </si>
  <si>
    <t xml:space="preserve">https://www.mrjjxw.com/articles/2026-06-22/4432957.html</t>
  </si>
  <si>
    <t xml:space="preserve">2026-06-22</t>
  </si>
  <si>
    <t xml:space="preserve">市場數據（媒體）</t>
  </si>
  <si>
    <r>
      <rPr>
        <sz val="10"/>
        <color rgb="FF000000"/>
        <rFont val="Noto Sans CJK SC"/>
        <family val="2"/>
      </rPr>
      <t xml:space="preserve">「市值約</t>
    </r>
    <r>
      <rPr>
        <sz val="10"/>
        <color rgb="FF000000"/>
        <rFont val="Arial"/>
        <family val="0"/>
        <charset val="1"/>
      </rPr>
      <t xml:space="preserve">586</t>
    </r>
    <r>
      <rPr>
        <sz val="10"/>
        <color rgb="FF000000"/>
        <rFont val="Noto Sans CJK SC"/>
        <family val="2"/>
      </rPr>
      <t xml:space="preserve">億港元」；與 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差異未說明，以證券時報為主</t>
    </r>
  </si>
  <si>
    <t xml:space="preserve">SRC_ZP_532</t>
  </si>
  <si>
    <t xml:space="preserve">placing1_price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</si>
  <si>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</t>
    </r>
  </si>
  <si>
    <t xml:space="preserve">2026-07-09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</si>
  <si>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</si>
  <si>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r>
      <rPr>
        <sz val="10"/>
        <color rgb="FF000000"/>
        <rFont val="Noto Sans CJK SC"/>
        <family val="2"/>
      </rPr>
      <t xml:space="preserve">「按配售價每股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1,588.00</t>
    </r>
    <r>
      <rPr>
        <sz val="10"/>
        <color rgb="FF000000"/>
        <rFont val="Noto Sans CJK SC"/>
        <family val="2"/>
      </rPr>
      <t xml:space="preserve">港元配發及發行合共</t>
    </r>
    <r>
      <rPr>
        <sz val="10"/>
        <color rgb="FF000000"/>
        <rFont val="Arial"/>
        <family val="0"/>
        <charset val="1"/>
      </rPr>
      <t xml:space="preserve">19,780,000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</si>
  <si>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SRC_ZP_533</t>
  </si>
  <si>
    <t xml:space="preserve">placing1_shares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</si>
  <si>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配售股數</t>
    </r>
  </si>
  <si>
    <t xml:space="preserve">2026-07-13</t>
  </si>
  <si>
    <r>
      <rPr>
        <sz val="10"/>
        <color rgb="FF000000"/>
        <rFont val="Noto Sans CJK SC"/>
        <family val="2"/>
      </rPr>
      <t xml:space="preserve">智譜翌日披露報表 </t>
    </r>
    <r>
      <rPr>
        <sz val="10"/>
        <color rgb="FF000000"/>
        <rFont val="Arial"/>
        <family val="0"/>
        <charset val="1"/>
      </rPr>
      <t xml:space="preserve">FF305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</si>
  <si>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https://pdf.dfcfw.com/pdf/H2_AN202607141826942427_1.pdf</t>
  </si>
  <si>
    <t xml:space="preserve">2026-07-14</t>
  </si>
  <si>
    <t xml:space="preserve">公司公告（東方財富鏡像）</t>
  </si>
  <si>
    <r>
      <rPr>
        <sz val="10"/>
        <color rgb="FF000000"/>
        <rFont val="Noto Sans CJK SC"/>
        <family val="2"/>
      </rPr>
      <t xml:space="preserve">總股數 </t>
    </r>
    <r>
      <rPr>
        <sz val="10"/>
        <color rgb="FF000000"/>
        <rFont val="Arial"/>
        <family val="0"/>
        <charset val="1"/>
      </rPr>
      <t xml:space="preserve">445,843,090→465,623,090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221,314,605→241,094,605</t>
    </r>
  </si>
  <si>
    <t xml:space="preserve">SRC_ZP_534</t>
  </si>
  <si>
    <t xml:space="preserve">placing1_discount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</si>
  <si>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配售價較前收盤折讓</t>
    </r>
  </si>
  <si>
    <t xml:space="preserve">2026-07-08</t>
  </si>
  <si>
    <t xml:space="preserve">中國金融信息網</t>
  </si>
  <si>
    <t xml:space="preserve">https://www.cnfin.com/gs-lb/detail/20260709/4437824_1.html</t>
  </si>
  <si>
    <t xml:space="preserve">媒體轉述公告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</si>
  <si>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7-08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1,825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12.99%</t>
    </r>
  </si>
  <si>
    <t xml:space="preserve">SRC_ZP_535</t>
  </si>
  <si>
    <t xml:space="preserve">placing1_gross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</si>
  <si>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配售所得款項總額</t>
    </r>
  </si>
  <si>
    <t xml:space="preserve">觀點網（轉述完成公告）</t>
  </si>
  <si>
    <t xml:space="preserve">https://www.guandian.hk/article/20260713/573061.html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</si>
  <si>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314.11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1,588×19,780,000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31,410.6 </t>
    </r>
    <r>
      <rPr>
        <sz val="10"/>
        <color rgb="FF000000"/>
        <rFont val="Noto Sans CJK SC"/>
        <family val="2"/>
      </rPr>
      <t xml:space="preserve">吻合</t>
    </r>
  </si>
  <si>
    <t xml:space="preserve">SRC_ZP_536</t>
  </si>
  <si>
    <t xml:space="preserve">placing1_net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</si>
  <si>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</si>
  <si>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31,374.95 </t>
    </r>
    <r>
      <rPr>
        <sz val="10"/>
        <color rgb="FF000000"/>
        <rFont val="Noto Sans CJK SC"/>
        <family val="2"/>
      </rPr>
      <t xml:space="preserve">百萬港元；觀點網「約</t>
    </r>
    <r>
      <rPr>
        <sz val="10"/>
        <color rgb="FF000000"/>
        <rFont val="Arial"/>
        <family val="0"/>
        <charset val="1"/>
      </rPr>
      <t xml:space="preserve">313.75</t>
    </r>
    <r>
      <rPr>
        <sz val="10"/>
        <color rgb="FF000000"/>
        <rFont val="Noto Sans CJK SC"/>
        <family val="2"/>
      </rPr>
      <t xml:space="preserve">億港元」一致；幣別為港幣</t>
    </r>
  </si>
  <si>
    <t xml:space="preserve">SRC_ZP_537</t>
  </si>
  <si>
    <t xml:space="preserve">placing1_net_b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</si>
  <si>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配售總額（線索：媒體稱人民幣 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億）</t>
    </r>
  </si>
  <si>
    <t xml:space="preserve">2026-07</t>
  </si>
  <si>
    <r>
      <rPr>
        <sz val="10"/>
        <color rgb="FF000000"/>
        <rFont val="Noto Sans CJK SC"/>
        <family val="2"/>
      </rPr>
      <t xml:space="preserve">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</t>
    </r>
  </si>
  <si>
    <t xml:space="preserve">公告只有港幣</t>
  </si>
  <si>
    <r>
      <rPr>
        <sz val="10"/>
        <color rgb="FF000000"/>
        <rFont val="Noto Sans CJK SC"/>
        <family val="2"/>
      </rPr>
      <t xml:space="preserve">公告總額 </t>
    </r>
    <r>
      <rPr>
        <sz val="10"/>
        <color rgb="FF000000"/>
        <rFont val="Arial"/>
        <family val="0"/>
        <charset val="1"/>
      </rPr>
      <t xml:space="preserve">314.11 </t>
    </r>
    <r>
      <rPr>
        <sz val="10"/>
        <color rgb="FF000000"/>
        <rFont val="Noto Sans CJK SC"/>
        <family val="2"/>
      </rPr>
      <t xml:space="preserve">億、淨額 </t>
    </r>
    <r>
      <rPr>
        <sz val="10"/>
        <color rgb="FF000000"/>
        <rFont val="Arial"/>
        <family val="0"/>
        <charset val="1"/>
      </rPr>
      <t xml:space="preserve">313.75 </t>
    </r>
    <r>
      <rPr>
        <sz val="10"/>
        <color rgb="FF000000"/>
        <rFont val="Noto Sans CJK SC"/>
        <family val="2"/>
      </rPr>
      <t xml:space="preserve">億，均為港幣；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億無原文可核，不登錄數值</t>
    </r>
  </si>
  <si>
    <t xml:space="preserve">SRC_ZP_538</t>
  </si>
  <si>
    <t xml:space="preserve">placing1_usd_media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</si>
  <si>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配售規模（媒體美元口徑）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</si>
  <si>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）</t>
    </r>
  </si>
  <si>
    <t xml:space="preserve">https://www.thestandard.com.hk/finance/article/336723/Chinas-Zhipu-AI-launches-US4-billion-Hong-Kong-shares-offering-term-sheet-shows</t>
  </si>
  <si>
    <r>
      <rPr>
        <sz val="10"/>
        <color rgb="FF000000"/>
        <rFont val="Noto Sans CJK SC"/>
        <family val="2"/>
      </rPr>
      <t xml:space="preserve">媒體引述 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（承銷方資料）</t>
    </r>
  </si>
  <si>
    <t xml:space="preserve">媒體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</si>
  <si>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around US$4 billion(HK$31.2 billion)</t>
    </r>
    <r>
      <rPr>
        <sz val="10"/>
        <color rgb="FF000000"/>
        <rFont val="Noto Sans CJK SC"/>
        <family val="2"/>
      </rPr>
      <t xml:space="preserve">」；價格區間 </t>
    </r>
    <r>
      <rPr>
        <sz val="10"/>
        <color rgb="FF000000"/>
        <rFont val="Arial"/>
        <family val="0"/>
        <charset val="1"/>
      </rPr>
      <t xml:space="preserve">1,588–1,698</t>
    </r>
  </si>
  <si>
    <t xml:space="preserve">SRC_ZP_539</t>
  </si>
  <si>
    <t xml:space="preserve">placing1_use_rd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</si>
  <si>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配售用途：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研發（含模型、人才、算力）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</si>
  <si>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Noto Sans CJK SC"/>
        <family val="2"/>
      </rPr>
      <t xml:space="preserve">、業務擴張／戰投／併購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、資本結構與營運資金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年底前用畢</t>
    </r>
  </si>
  <si>
    <t xml:space="preserve">SRC_ZP_540</t>
  </si>
  <si>
    <t xml:space="preserve">placing1_utilised_0831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</si>
  <si>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配售款截至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已動用</t>
    </r>
  </si>
  <si>
    <r>
      <rPr>
        <sz val="10"/>
        <color rgb="FF000000"/>
        <rFont val="Noto Sans CJK SC"/>
        <family val="2"/>
      </rPr>
      <t xml:space="preserve">已動用約 </t>
    </r>
    <r>
      <rPr>
        <sz val="10"/>
        <color rgb="FF000000"/>
        <rFont val="Arial"/>
        <family val="0"/>
        <charset val="1"/>
      </rPr>
      <t xml:space="preserve">10,954.80 </t>
    </r>
    <r>
      <rPr>
        <sz val="10"/>
        <color rgb="FF000000"/>
        <rFont val="Noto Sans CJK SC"/>
        <family val="2"/>
      </rPr>
      <t xml:space="preserve">百萬港元（</t>
    </r>
    <r>
      <rPr>
        <sz val="10"/>
        <color rgb="FF000000"/>
        <rFont val="Arial"/>
        <family val="0"/>
        <charset val="1"/>
      </rPr>
      <t xml:space="preserve">34.92%</t>
    </r>
    <r>
      <rPr>
        <sz val="10"/>
        <color rgb="FF000000"/>
        <rFont val="Noto Sans CJK SC"/>
        <family val="2"/>
      </rPr>
      <t xml:space="preserve">），未動用約 </t>
    </r>
    <r>
      <rPr>
        <sz val="10"/>
        <color rgb="FF000000"/>
        <rFont val="Arial"/>
        <family val="0"/>
        <charset val="1"/>
      </rPr>
      <t xml:space="preserve">20,420.15 </t>
    </r>
    <r>
      <rPr>
        <sz val="10"/>
        <color rgb="FF000000"/>
        <rFont val="Noto Sans CJK SC"/>
        <family val="2"/>
      </rPr>
      <t xml:space="preserve">百萬港元</t>
    </r>
  </si>
  <si>
    <t xml:space="preserve">SRC_ZP_541</t>
  </si>
  <si>
    <t xml:space="preserve">placing2_price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</si>
  <si>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配售價</t>
    </r>
  </si>
  <si>
    <t xml:space="preserve">2026-09-12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</si>
  <si>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9-11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793.00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9.96%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日均價 </t>
    </r>
    <r>
      <rPr>
        <sz val="10"/>
        <color rgb="FF000000"/>
        <rFont val="Arial"/>
        <family val="0"/>
        <charset val="1"/>
      </rPr>
      <t xml:space="preserve">891.90 </t>
    </r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19.95%</t>
    </r>
  </si>
  <si>
    <t xml:space="preserve">SRC_ZP_542</t>
  </si>
  <si>
    <t xml:space="preserve">placing2_shares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</si>
  <si>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配售股數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</si>
  <si>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公告；騰訊新聞（完成公告轉述）</t>
    </r>
  </si>
  <si>
    <t xml:space="preserve">https://news.qq.com/rain/a/20260918A09O8G00?id=20260918A09O8G00&amp;path=a&amp;app=news&amp;suid=&amp;redirect_pc=1</t>
  </si>
  <si>
    <t xml:space="preserve">2026-09-18</t>
  </si>
  <si>
    <t xml:space="preserve">公司公告（媒體轉述完成）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</si>
  <si>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2196.5</t>
    </r>
    <r>
      <rPr>
        <sz val="10"/>
        <color rgb="FF000000"/>
        <rFont val="Noto Sans CJK SC"/>
        <family val="2"/>
      </rPr>
      <t xml:space="preserve">萬股新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股」，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完成，占擴大後約 </t>
    </r>
    <r>
      <rPr>
        <sz val="10"/>
        <color rgb="FF000000"/>
        <rFont val="Arial"/>
        <family val="0"/>
        <charset val="1"/>
      </rPr>
      <t xml:space="preserve">4.50%</t>
    </r>
  </si>
  <si>
    <t xml:space="preserve">SRC_ZP_543</t>
  </si>
  <si>
    <t xml:space="preserve">placing2_gross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</si>
  <si>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配售所得款項總額</t>
    </r>
  </si>
  <si>
    <r>
      <rPr>
        <sz val="10"/>
        <color rgb="FF000000"/>
        <rFont val="Noto Sans CJK SC"/>
        <family val="2"/>
      </rPr>
      <t xml:space="preserve">總額約 </t>
    </r>
    <r>
      <rPr>
        <sz val="10"/>
        <color rgb="FF000000"/>
        <rFont val="Arial"/>
        <family val="0"/>
        <charset val="1"/>
      </rPr>
      <t xml:space="preserve">15,683.01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714×21,965,000 </t>
    </r>
    <r>
      <rPr>
        <sz val="10"/>
        <color rgb="FF000000"/>
        <rFont val="Noto Sans CJK SC"/>
        <family val="2"/>
      </rPr>
      <t xml:space="preserve">吻合</t>
    </r>
  </si>
  <si>
    <t xml:space="preserve">SRC_ZP_544</t>
  </si>
  <si>
    <t xml:space="preserve">placing2_net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</si>
  <si>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</si>
  <si>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15,664.13 </t>
    </r>
    <r>
      <rPr>
        <sz val="10"/>
        <color rgb="FF000000"/>
        <rFont val="Noto Sans CJK SC"/>
        <family val="2"/>
      </rPr>
      <t xml:space="preserve">百萬港元；完成公告「約</t>
    </r>
    <r>
      <rPr>
        <sz val="10"/>
        <color rgb="FF000000"/>
        <rFont val="Arial"/>
        <family val="0"/>
        <charset val="1"/>
      </rPr>
      <t xml:space="preserve">156.64</t>
    </r>
    <r>
      <rPr>
        <sz val="10"/>
        <color rgb="FF000000"/>
        <rFont val="Noto Sans CJK SC"/>
        <family val="2"/>
      </rPr>
      <t xml:space="preserve">億港元」一致</t>
    </r>
  </si>
  <si>
    <t xml:space="preserve">SRC_ZP_545</t>
  </si>
  <si>
    <t xml:space="preserve">cb_principal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</si>
  <si>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年到期美元結算零息可換股債券本金</t>
    </r>
  </si>
  <si>
    <r>
      <rPr>
        <sz val="10"/>
        <color rgb="FF000000"/>
        <rFont val="Arial"/>
        <family val="0"/>
        <charset val="1"/>
      </rPr>
      <t xml:space="preserve">2026-09-18 </t>
    </r>
    <r>
      <rPr>
        <sz val="10"/>
        <color rgb="FF000000"/>
        <rFont val="Noto Sans CJK SC"/>
        <family val="2"/>
      </rPr>
      <t xml:space="preserve">發行</t>
    </r>
  </si>
  <si>
    <r>
      <rPr>
        <sz val="10"/>
        <color rgb="FF000000"/>
        <rFont val="Noto Sans CJK SC"/>
        <family val="2"/>
      </rPr>
      <t xml:space="preserve">「本金總額為人民幣</t>
    </r>
    <r>
      <rPr>
        <sz val="10"/>
        <color rgb="FF000000"/>
        <rFont val="Arial"/>
        <family val="0"/>
        <charset val="1"/>
      </rPr>
      <t xml:space="preserve">201.4</t>
    </r>
    <r>
      <rPr>
        <sz val="10"/>
        <color rgb="FF000000"/>
        <rFont val="Noto Sans CJK SC"/>
        <family val="2"/>
      </rPr>
      <t xml:space="preserve">億元的債券」；人民幣計價、美元結算；發行價 </t>
    </r>
    <r>
      <rPr>
        <sz val="10"/>
        <color rgb="FF000000"/>
        <rFont val="Arial"/>
        <family val="0"/>
        <charset val="1"/>
      </rPr>
      <t xml:space="preserve">100.5%</t>
    </r>
  </si>
  <si>
    <t xml:space="preserve">SRC_ZP_546</t>
  </si>
  <si>
    <t xml:space="preserve">cb_gross_usd</t>
  </si>
  <si>
    <t xml:space="preserve">可換股債券所得款項總額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</si>
  <si>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3,015.64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23,648.44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</si>
  <si>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SRC_ZP_547</t>
  </si>
  <si>
    <t xml:space="preserve">cb_net_usd</t>
  </si>
  <si>
    <t xml:space="preserve">可換股債券所得款項淨額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</si>
  <si>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3,010.77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23,610.24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</si>
  <si>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SRC_ZP_548</t>
  </si>
  <si>
    <t xml:space="preserve">cb_conv_price</t>
  </si>
  <si>
    <t xml:space="preserve">可換股債券初始換股價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</si>
  <si>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793 </t>
    </r>
    <r>
      <rPr>
        <sz val="10"/>
        <color rgb="FF000000"/>
        <rFont val="Noto Sans CJK SC"/>
        <family val="2"/>
      </rPr>
      <t xml:space="preserve">溢價 </t>
    </r>
    <r>
      <rPr>
        <sz val="10"/>
        <color rgb="FF000000"/>
        <rFont val="Arial"/>
        <family val="0"/>
        <charset val="1"/>
      </rPr>
      <t xml:space="preserve">12.55%</t>
    </r>
    <r>
      <rPr>
        <sz val="10"/>
        <color rgb="FF000000"/>
        <rFont val="Noto Sans CJK SC"/>
        <family val="2"/>
      </rPr>
      <t xml:space="preserve">；換股期自 </t>
    </r>
    <r>
      <rPr>
        <sz val="10"/>
        <color rgb="FF000000"/>
        <rFont val="Arial"/>
        <family val="0"/>
        <charset val="1"/>
      </rPr>
      <t xml:space="preserve">2027-07-01</t>
    </r>
    <r>
      <rPr>
        <sz val="10"/>
        <color rgb="FF000000"/>
        <rFont val="Noto Sans CJK SC"/>
        <family val="2"/>
      </rPr>
      <t xml:space="preserve">；到期 </t>
    </r>
    <r>
      <rPr>
        <sz val="10"/>
        <color rgb="FF000000"/>
        <rFont val="Arial"/>
        <family val="0"/>
        <charset val="1"/>
      </rPr>
      <t xml:space="preserve">2027-09-16</t>
    </r>
    <r>
      <rPr>
        <sz val="10"/>
        <color rgb="FF000000"/>
        <rFont val="Noto Sans CJK SC"/>
        <family val="2"/>
      </rPr>
      <t xml:space="preserve">；票息 </t>
    </r>
    <r>
      <rPr>
        <sz val="10"/>
        <color rgb="FF000000"/>
        <rFont val="Arial"/>
        <family val="0"/>
        <charset val="1"/>
      </rPr>
      <t xml:space="preserve">0</t>
    </r>
  </si>
  <si>
    <t xml:space="preserve">SRC_ZP_549</t>
  </si>
  <si>
    <t xml:space="preserve">cb_conv_shares</t>
  </si>
  <si>
    <t xml:space="preserve">可換股債券初始換股股數</t>
  </si>
  <si>
    <r>
      <rPr>
        <sz val="10"/>
        <color rgb="FF000000"/>
        <rFont val="Noto Sans CJK SC"/>
        <family val="2"/>
      </rPr>
      <t xml:space="preserve">約占配售及轉換後 </t>
    </r>
    <r>
      <rPr>
        <sz val="10"/>
        <color rgb="FF000000"/>
        <rFont val="Arial"/>
        <family val="0"/>
        <charset val="1"/>
      </rPr>
      <t xml:space="preserve">5.36%</t>
    </r>
    <r>
      <rPr>
        <sz val="10"/>
        <color rgb="FF000000"/>
        <rFont val="Noto Sans CJK SC"/>
        <family val="2"/>
      </rPr>
      <t xml:space="preserve">；全面攤薄總股數 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</si>
  <si>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SRC_ZP_550</t>
  </si>
  <si>
    <t xml:space="preserve">placing2_cb_use_rd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</si>
  <si>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配售＋可轉債用途：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研發、訓練推論、算力基建、人才</t>
    </r>
  </si>
  <si>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SC"/>
        <family val="2"/>
      </rPr>
      <t xml:space="preserve">研發與算力、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擴張／戰投／併購、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Noto Sans CJK SC"/>
        <family val="2"/>
      </rPr>
      <t xml:space="preserve">資本結構與營運資金；</t>
    </r>
    <r>
      <rPr>
        <sz val="10"/>
        <color rgb="FF000000"/>
        <rFont val="Arial"/>
        <family val="0"/>
        <charset val="1"/>
      </rPr>
      <t xml:space="preserve">2028-06-30 </t>
    </r>
    <r>
      <rPr>
        <sz val="10"/>
        <color rgb="FF000000"/>
        <rFont val="Noto Sans CJK SC"/>
        <family val="2"/>
      </rPr>
      <t xml:space="preserve">前用畢</t>
    </r>
  </si>
  <si>
    <t xml:space="preserve">SRC_ZP_551</t>
  </si>
  <si>
    <t xml:space="preserve">placing2_cb_total_hkd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</si>
  <si>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配售＋可轉債合計集資</t>
    </r>
  </si>
  <si>
    <r>
      <rPr>
        <sz val="10"/>
        <color rgb="FF000000"/>
        <rFont val="Noto Sans CJK SC"/>
        <family val="2"/>
      </rPr>
      <t xml:space="preserve">香港</t>
    </r>
    <r>
      <rPr>
        <sz val="10"/>
        <color rgb="FF000000"/>
        <rFont val="Arial"/>
        <family val="0"/>
        <charset val="1"/>
      </rPr>
      <t xml:space="preserve">01</t>
    </r>
  </si>
  <si>
    <r>
      <rPr>
        <sz val="10"/>
        <color rgb="FF000000"/>
        <rFont val="Arial"/>
        <family val="0"/>
        <charset val="1"/>
      </rPr>
      <t xml:space="preserve">https://global.hk01.com/</t>
    </r>
    <r>
      <rPr>
        <sz val="10"/>
        <color rgb="FF000000"/>
        <rFont val="Noto Sans CJK SC"/>
        <family val="2"/>
      </rPr>
      <t xml:space="preserve">财经快讯</t>
    </r>
    <r>
      <rPr>
        <sz val="10"/>
        <color rgb="FF000000"/>
        <rFont val="Arial"/>
        <family val="0"/>
        <charset val="1"/>
      </rPr>
      <t xml:space="preserve">/60389638/7</t>
    </r>
    <r>
      <rPr>
        <sz val="10"/>
        <color rgb="FF000000"/>
        <rFont val="Noto Sans CJK SC"/>
        <family val="2"/>
      </rPr>
      <t xml:space="preserve">月解禁抽水逾</t>
    </r>
    <r>
      <rPr>
        <sz val="10"/>
        <color rgb="FF000000"/>
        <rFont val="Arial"/>
        <family val="0"/>
        <charset val="1"/>
      </rPr>
      <t xml:space="preserve">310</t>
    </r>
    <r>
      <rPr>
        <sz val="10"/>
        <color rgb="FF000000"/>
        <rFont val="Noto Sans CJK SC"/>
        <family val="2"/>
      </rPr>
      <t xml:space="preserve">亿后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智谱火速再配股兼发债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合共筹</t>
    </r>
    <r>
      <rPr>
        <sz val="10"/>
        <color rgb="FF000000"/>
        <rFont val="Arial"/>
        <family val="0"/>
        <charset val="1"/>
      </rPr>
      <t xml:space="preserve">393</t>
    </r>
    <r>
      <rPr>
        <sz val="10"/>
        <color rgb="FF000000"/>
        <rFont val="Noto Sans CJK SC"/>
        <family val="2"/>
      </rPr>
      <t xml:space="preserve">亿</t>
    </r>
  </si>
  <si>
    <t xml:space="preserve">媒體加總（總額口徑）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</si>
  <si>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393.31</t>
    </r>
    <r>
      <rPr>
        <sz val="10"/>
        <color rgb="FF000000"/>
        <rFont val="Noto Sans CJK SC"/>
        <family val="2"/>
      </rPr>
      <t xml:space="preserve">億港元」＝</t>
    </r>
    <r>
      <rPr>
        <sz val="10"/>
        <color rgb="FF000000"/>
        <rFont val="Arial"/>
        <family val="0"/>
        <charset val="1"/>
      </rPr>
      <t xml:space="preserve">156.83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236.48</t>
    </r>
    <r>
      <rPr>
        <sz val="10"/>
        <color rgb="FF000000"/>
        <rFont val="Noto Sans CJK SC"/>
        <family val="2"/>
      </rPr>
      <t xml:space="preserve">；公司電話會稱「約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億美元」</t>
    </r>
  </si>
  <si>
    <t xml:space="preserve">SRC_ZP_552</t>
  </si>
  <si>
    <t xml:space="preserve">bank_loans_1h26_cm</t>
  </si>
  <si>
    <t xml:space="preserve">銀行貸款總額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</si>
  <si>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百萬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</si>
  <si>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</si>
  <si>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https://www.hkexnews.hk/listedco/listconews/sehk/2026/0831/2026083101540_c.pdf</t>
  </si>
  <si>
    <t xml:space="preserve">未經審計（已審閱）</t>
  </si>
  <si>
    <r>
      <rPr>
        <sz val="10"/>
        <color rgb="FF000000"/>
        <rFont val="Noto Sans CJK SC"/>
        <family val="2"/>
      </rPr>
      <t xml:space="preserve">「銀行貸款總額為人民幣</t>
    </r>
    <r>
      <rPr>
        <sz val="10"/>
        <color rgb="FF000000"/>
        <rFont val="Arial"/>
        <family val="0"/>
        <charset val="1"/>
      </rPr>
      <t xml:space="preserve">2,224.8</t>
    </r>
    <r>
      <rPr>
        <sz val="10"/>
        <color rgb="FF000000"/>
        <rFont val="Noto Sans CJK SC"/>
        <family val="2"/>
      </rPr>
      <t xml:space="preserve">百萬元」；帶息、主要人民幣、無擔保</t>
    </r>
  </si>
  <si>
    <t xml:space="preserve">SRC_ZP_553</t>
  </si>
  <si>
    <t xml:space="preserve">bank_loans_fy25_cm</t>
  </si>
  <si>
    <t xml:space="preserve">經審計（比較數）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</si>
  <si>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為人民幣 </t>
    </r>
    <r>
      <rPr>
        <sz val="10"/>
        <color rgb="FF000000"/>
        <rFont val="Arial"/>
        <family val="0"/>
        <charset val="1"/>
      </rPr>
      <t xml:space="preserve">689.5 </t>
    </r>
    <r>
      <rPr>
        <sz val="10"/>
        <color rgb="FF000000"/>
        <rFont val="Noto Sans CJK SC"/>
        <family val="2"/>
      </rPr>
      <t xml:space="preserve">百萬元</t>
    </r>
  </si>
  <si>
    <t xml:space="preserve">SRC_ZP_554</t>
  </si>
  <si>
    <t xml:space="preserve">gearing_1h26</t>
  </si>
  <si>
    <r>
      <rPr>
        <sz val="10"/>
        <color rgb="FF000000"/>
        <rFont val="Noto Sans CJK SC"/>
        <family val="2"/>
      </rPr>
      <t xml:space="preserve">資本負債比率（銀行貸款＋租賃負債）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權益</t>
    </r>
  </si>
  <si>
    <r>
      <rPr>
        <sz val="10"/>
        <color rgb="FF000000"/>
        <rFont val="Noto Sans CJK SC"/>
        <family val="2"/>
      </rPr>
      <t xml:space="preserve">權益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人民幣 </t>
    </r>
    <r>
      <rPr>
        <sz val="10"/>
        <color rgb="FF000000"/>
        <rFont val="Arial"/>
        <family val="0"/>
        <charset val="1"/>
      </rPr>
      <t xml:space="preserve">4,429.6 </t>
    </r>
    <r>
      <rPr>
        <sz val="10"/>
        <color rgb="FF000000"/>
        <rFont val="Noto Sans CJK SC"/>
        <family val="2"/>
      </rPr>
      <t xml:space="preserve">百萬元（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-8,111.0</t>
    </r>
    <r>
      <rPr>
        <sz val="10"/>
        <color rgb="FF000000"/>
        <rFont val="Noto Sans CJK SC"/>
        <family val="2"/>
      </rPr>
      <t xml:space="preserve">）</t>
    </r>
  </si>
  <si>
    <t xml:space="preserve">SRC_ZP_555</t>
  </si>
  <si>
    <t xml:space="preserve">ma_hongzuan_consideration</t>
  </si>
  <si>
    <r>
      <rPr>
        <sz val="10"/>
        <color rgb="FF000000"/>
        <rFont val="Noto Sans CJK SC"/>
        <family val="2"/>
      </rPr>
      <t xml:space="preserve">收購北京紅鑽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總代價（上限）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</si>
  <si>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中期業績公告；投資界</t>
    </r>
  </si>
  <si>
    <r>
      <rPr>
        <sz val="10"/>
        <color rgb="FF000000"/>
        <rFont val="Noto Sans CJK SC"/>
        <family val="2"/>
      </rPr>
      <t xml:space="preserve">「以不超過人民幣</t>
    </r>
    <r>
      <rPr>
        <sz val="10"/>
        <color rgb="FF000000"/>
        <rFont val="Arial"/>
        <family val="0"/>
        <charset val="1"/>
      </rPr>
      <t xml:space="preserve">360.52</t>
    </r>
    <r>
      <rPr>
        <sz val="10"/>
        <color rgb="FF000000"/>
        <rFont val="Noto Sans CJK SC"/>
        <family val="2"/>
      </rPr>
      <t xml:space="preserve">百萬元的總代價收購北京紅鑽的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股權」；現金</t>
    </r>
  </si>
  <si>
    <t xml:space="preserve">SRC_ZP_556</t>
  </si>
  <si>
    <t xml:space="preserve">ma_hongzuan_equity_cash</t>
  </si>
  <si>
    <r>
      <rPr>
        <sz val="10"/>
        <color rgb="FF000000"/>
        <rFont val="Noto Sans CJK SC"/>
        <family val="2"/>
      </rPr>
      <t xml:space="preserve">北京紅鑽：股權現金對價（另承接債務約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億元）</t>
    </r>
  </si>
  <si>
    <t xml:space="preserve">https://news.pedaily.cn/202604/562789.shtml</t>
  </si>
  <si>
    <r>
      <rPr>
        <sz val="10"/>
        <color rgb="FF000000"/>
        <rFont val="Noto Sans CJK SC"/>
        <family val="2"/>
      </rPr>
      <t xml:space="preserve">股權 </t>
    </r>
    <r>
      <rPr>
        <sz val="10"/>
        <color rgb="FF000000"/>
        <rFont val="Arial"/>
        <family val="0"/>
        <charset val="1"/>
      </rPr>
      <t xml:space="preserve">8,162 </t>
    </r>
    <r>
      <rPr>
        <sz val="10"/>
        <color rgb="FF000000"/>
        <rFont val="Noto Sans CJK SC"/>
        <family val="2"/>
      </rPr>
      <t xml:space="preserve">萬元＋債務安排約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億元；標的為海淀鑽石大廈（約 </t>
    </r>
    <r>
      <rPr>
        <sz val="10"/>
        <color rgb="FF000000"/>
        <rFont val="Arial"/>
        <family val="0"/>
        <charset val="1"/>
      </rPr>
      <t xml:space="preserve">2.27 </t>
    </r>
    <r>
      <rPr>
        <sz val="10"/>
        <color rgb="FF000000"/>
        <rFont val="Noto Sans CJK SC"/>
        <family val="2"/>
      </rPr>
      <t xml:space="preserve">萬平方米），自用辦公</t>
    </r>
  </si>
  <si>
    <t xml:space="preserve">SRC_ZP_557</t>
  </si>
  <si>
    <t xml:space="preserve">capex_1h26_hongzuan</t>
  </si>
  <si>
    <t xml:space="preserve">資本支出（含紅鑽物業）</t>
  </si>
  <si>
    <r>
      <rPr>
        <sz val="10"/>
        <color rgb="FF000000"/>
        <rFont val="Arial"/>
        <family val="0"/>
        <charset val="1"/>
      </rPr>
      <t xml:space="preserve">1H25 53.7→1H26 390.6 </t>
    </r>
    <r>
      <rPr>
        <sz val="10"/>
        <color rgb="FF000000"/>
        <rFont val="Noto Sans CJK SC"/>
        <family val="2"/>
      </rPr>
      <t xml:space="preserve">百萬元，「主要由於…收購北京紅鑽」；即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3.91 </t>
    </r>
    <r>
      <rPr>
        <sz val="10"/>
        <color rgb="FF000000"/>
        <rFont val="Noto Sans CJK SC"/>
        <family val="2"/>
      </rPr>
      <t xml:space="preserve">億主要非算力</t>
    </r>
  </si>
  <si>
    <t xml:space="preserve">SRC_ZP_558</t>
  </si>
  <si>
    <t xml:space="preserve">ma_zkjh_stake</t>
  </si>
  <si>
    <t xml:space="preserve">收購中科加禾持股比例</t>
  </si>
  <si>
    <t xml:space="preserve">投資界（引企查查）</t>
  </si>
  <si>
    <t xml:space="preserve">https://news.pedaily.cn/202607/566757.shtml</t>
  </si>
  <si>
    <t xml:space="preserve">媒體引工商登記（非公司公告）</t>
  </si>
  <si>
    <t xml:space="preserve">工商登記</t>
  </si>
  <si>
    <r>
      <rPr>
        <sz val="10"/>
        <color rgb="FF000000"/>
        <rFont val="Noto Sans CJK SC"/>
        <family val="2"/>
      </rPr>
      <t xml:space="preserve">「持股約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」；創始人崔慧敏降至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；交易金額「未獲得披露」</t>
    </r>
  </si>
  <si>
    <t xml:space="preserve">SRC_ZP_559</t>
  </si>
  <si>
    <t xml:space="preserve">ma_zkjh_consideration</t>
  </si>
  <si>
    <t xml:space="preserve">收購中科加禾對價</t>
  </si>
  <si>
    <t xml:space="preserve">RMB</t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</si>
  <si>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</t>
    </r>
  </si>
  <si>
    <t xml:space="preserve">https://www.sfccn.com/2026/7-21/2OMDE1MjBfMjE4NjM2OQ.html</t>
  </si>
  <si>
    <t xml:space="preserve">3</t>
  </si>
  <si>
    <r>
      <rPr>
        <sz val="10"/>
        <color rgb="FF000000"/>
        <rFont val="Noto Sans CJK SC"/>
        <family val="2"/>
      </rPr>
      <t xml:space="preserve">只稱「數億元人民幣」；</t>
    </r>
    <r>
      <rPr>
        <sz val="10"/>
        <color rgb="FF000000"/>
        <rFont val="Arial"/>
        <family val="0"/>
        <charset val="1"/>
      </rPr>
      <t xml:space="preserve">2.92 </t>
    </r>
    <r>
      <rPr>
        <sz val="10"/>
        <color rgb="FF000000"/>
        <rFont val="Noto Sans CJK SC"/>
        <family val="2"/>
      </rPr>
      <t xml:space="preserve">億未核得（見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）；標的為異構算力軟體棧／編譯</t>
    </r>
  </si>
  <si>
    <t xml:space="preserve">SRC_ZP_560</t>
  </si>
  <si>
    <t xml:space="preserve">shares_total_0630</t>
  </si>
  <si>
    <t xml:space="preserve">已發行股份總數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</si>
  <si>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月報表（</t>
    </r>
    <r>
      <rPr>
        <sz val="10"/>
        <color rgb="FF000000"/>
        <rFont val="Arial"/>
        <family val="0"/>
        <charset val="1"/>
      </rPr>
      <t xml:space="preserve">2026-06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</si>
  <si>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https://pdf.dfcfw.com/pdf/H2_AN202607071826772191_1.pdf</t>
  </si>
  <si>
    <t xml:space="preserve">2026-07-07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</si>
  <si>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</t>
    </r>
    <r>
      <rPr>
        <sz val="10"/>
        <color rgb="FF000000"/>
        <rFont val="Noto Sans CJK SC"/>
        <family val="2"/>
      </rPr>
      <t xml:space="preserve">＋非上市股份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；面值 </t>
    </r>
    <r>
      <rPr>
        <sz val="10"/>
        <color rgb="FF000000"/>
        <rFont val="Arial"/>
        <family val="0"/>
        <charset val="1"/>
      </rPr>
      <t xml:space="preserve">RMB 0.1</t>
    </r>
  </si>
  <si>
    <t xml:space="preserve">SRC_ZP_561</t>
  </si>
  <si>
    <t xml:space="preserve">shares_h_0630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</si>
  <si>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股數</t>
    </r>
  </si>
  <si>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新股 </t>
    </r>
    <r>
      <rPr>
        <sz val="10"/>
        <color rgb="FF000000"/>
        <rFont val="Arial"/>
        <family val="0"/>
        <charset val="1"/>
      </rPr>
      <t xml:space="preserve">43,032,400 </t>
    </r>
    <r>
      <rPr>
        <sz val="10"/>
        <color rgb="FF000000"/>
        <rFont val="Noto Sans CJK SC"/>
        <family val="2"/>
      </rPr>
      <t xml:space="preserve">與全流通轉換股（推算 </t>
    </r>
    <r>
      <rPr>
        <sz val="10"/>
        <color rgb="FF000000"/>
        <rFont val="Arial"/>
        <family val="0"/>
        <charset val="1"/>
      </rPr>
      <t xml:space="preserve">178,282,205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</si>
  <si>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SRC_ZP_562</t>
  </si>
  <si>
    <t xml:space="preserve">shares_unlisted</t>
  </si>
  <si>
    <t xml:space="preserve">非上市股份數</t>
  </si>
  <si>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465,623,090 </t>
    </r>
    <r>
      <rPr>
        <sz val="10"/>
        <color rgb="FF000000"/>
        <rFont val="Noto Sans CJK SC"/>
        <family val="2"/>
      </rPr>
      <t xml:space="preserve">股的 </t>
    </r>
    <r>
      <rPr>
        <sz val="10"/>
        <color rgb="FF000000"/>
        <rFont val="Arial"/>
        <family val="0"/>
        <charset val="1"/>
      </rPr>
      <t xml:space="preserve">48.22%</t>
    </r>
  </si>
  <si>
    <t xml:space="preserve">SRC_ZP_563</t>
  </si>
  <si>
    <t xml:space="preserve">shares_total_post_placing2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</si>
  <si>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配售完成後已發行股份總數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</si>
  <si>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公告（股權架構表「緊隨配售完成後」）</t>
    </r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</si>
  <si>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263,059,605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）＋非上市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；全面攤薄（含可轉債）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</si>
  <si>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SRC_ZP_564</t>
  </si>
  <si>
    <t xml:space="preserve">holder_founder_group_pct</t>
  </si>
  <si>
    <t xml:space="preserve">最大股東集團（北京鏈湃、劉德兵、唐杰等）持股</t>
  </si>
  <si>
    <r>
      <rPr>
        <sz val="10"/>
        <color rgb="FF000000"/>
        <rFont val="Noto Sans CJK SC"/>
        <family val="2"/>
      </rPr>
      <t xml:space="preserve">非上市 </t>
    </r>
    <r>
      <rPr>
        <sz val="10"/>
        <color rgb="FF000000"/>
        <rFont val="Arial"/>
        <family val="0"/>
        <charset val="1"/>
      </rPr>
      <t xml:space="preserve">123,042,373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26.43%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10,001,857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2.15%</t>
    </r>
    <r>
      <rPr>
        <sz val="10"/>
        <color rgb="FF000000"/>
        <rFont val="Noto Sans CJK SC"/>
        <family val="2"/>
      </rPr>
      <t xml:space="preserve">）；配售後 </t>
    </r>
    <r>
      <rPr>
        <sz val="10"/>
        <color rgb="FF000000"/>
        <rFont val="Arial"/>
        <family val="0"/>
        <charset val="1"/>
      </rPr>
      <t xml:space="preserve">27.28%</t>
    </r>
  </si>
  <si>
    <t xml:space="preserve">SRC_ZP_565</t>
  </si>
  <si>
    <t xml:space="preserve">holder_founder_group_preipo</t>
  </si>
  <si>
    <t xml:space="preserve">控股股東一致行動集團持股（上市前）</t>
  </si>
  <si>
    <r>
      <rPr>
        <sz val="10"/>
        <color rgb="FF000000"/>
        <rFont val="Noto Sans CJK SC"/>
        <family val="2"/>
      </rPr>
      <t xml:space="preserve">北京鏈湃、劉德兵、唐杰、李涓子、許斌、張海峰、慧惠、智登合計約 </t>
    </r>
    <r>
      <rPr>
        <sz val="10"/>
        <color rgb="FF000000"/>
        <rFont val="Arial"/>
        <family val="0"/>
        <charset val="1"/>
      </rPr>
      <t xml:space="preserve">33.03%</t>
    </r>
  </si>
  <si>
    <t xml:space="preserve">SRC_ZP_566</t>
  </si>
  <si>
    <t xml:space="preserve">holder_junlian_preipo</t>
  </si>
  <si>
    <t xml:space="preserve">君聯資本持股（上市前）</t>
  </si>
  <si>
    <r>
      <rPr>
        <sz val="10"/>
        <color rgb="FF000000"/>
        <rFont val="Noto Sans CJK SC"/>
        <family val="2"/>
      </rPr>
      <t xml:space="preserve">慧惠 </t>
    </r>
    <r>
      <rPr>
        <sz val="10"/>
        <color rgb="FF000000"/>
        <rFont val="Arial"/>
        <family val="0"/>
        <charset val="1"/>
      </rPr>
      <t xml:space="preserve">9.8%</t>
    </r>
    <r>
      <rPr>
        <sz val="10"/>
        <color rgb="FF000000"/>
        <rFont val="Noto Sans CJK SC"/>
        <family val="2"/>
      </rPr>
      <t xml:space="preserve">、北京鏈湃 </t>
    </r>
    <r>
      <rPr>
        <sz val="10"/>
        <color rgb="FF000000"/>
        <rFont val="Arial"/>
        <family val="0"/>
        <charset val="1"/>
      </rPr>
      <t xml:space="preserve">8.45%</t>
    </r>
    <r>
      <rPr>
        <sz val="10"/>
        <color rgb="FF000000"/>
        <rFont val="Noto Sans CJK SC"/>
        <family val="2"/>
      </rPr>
      <t xml:space="preserve">、智登 </t>
    </r>
    <r>
      <rPr>
        <sz val="10"/>
        <color rgb="FF000000"/>
        <rFont val="Arial"/>
        <family val="0"/>
        <charset val="1"/>
      </rPr>
      <t xml:space="preserve">6.75%</t>
    </r>
    <r>
      <rPr>
        <sz val="10"/>
        <color rgb="FF000000"/>
        <rFont val="Noto Sans CJK SC"/>
        <family val="2"/>
      </rPr>
      <t xml:space="preserve">、君聯 </t>
    </r>
    <r>
      <rPr>
        <sz val="10"/>
        <color rgb="FF000000"/>
        <rFont val="Arial"/>
        <family val="0"/>
        <charset val="1"/>
      </rPr>
      <t xml:space="preserve">6.73%</t>
    </r>
    <r>
      <rPr>
        <sz val="10"/>
        <color rgb="FF000000"/>
        <rFont val="Noto Sans CJK SC"/>
        <family val="2"/>
      </rPr>
      <t xml:space="preserve">、美團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、啟明 </t>
    </r>
    <r>
      <rPr>
        <sz val="10"/>
        <color rgb="FF000000"/>
        <rFont val="Arial"/>
        <family val="0"/>
        <charset val="1"/>
      </rPr>
      <t xml:space="preserve">2.49%</t>
    </r>
  </si>
  <si>
    <t xml:space="preserve">SRC_ZP_567</t>
  </si>
  <si>
    <t xml:space="preserve">holder_meituan_preipo</t>
  </si>
  <si>
    <t xml:space="preserve">美團持股（上市前）</t>
  </si>
  <si>
    <r>
      <rPr>
        <sz val="10"/>
        <color rgb="FF000000"/>
        <rFont val="Noto Sans CJK SC"/>
        <family val="2"/>
      </rPr>
      <t xml:space="preserve">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；阿里、騰訊、小米持股比例未取得</t>
    </r>
  </si>
  <si>
    <t xml:space="preserve">SRC_ZP_568</t>
  </si>
  <si>
    <t xml:space="preserve">lockup_2027_01</t>
  </si>
  <si>
    <r>
      <rPr>
        <sz val="10"/>
        <color rgb="FF000000"/>
        <rFont val="Arial"/>
        <family val="0"/>
        <charset val="1"/>
      </rPr>
      <t xml:space="preserve">2027-01-08 </t>
    </r>
    <r>
      <rPr>
        <sz val="10"/>
        <color rgb="FF000000"/>
        <rFont val="Noto Sans CJK SC"/>
        <family val="2"/>
      </rPr>
      <t xml:space="preserve">解禁（創辦人、早期投資人）占總股本</t>
    </r>
  </si>
  <si>
    <t xml:space="preserve">2027-01-08</t>
  </si>
  <si>
    <t xml:space="preserve">媒體估算</t>
  </si>
  <si>
    <r>
      <rPr>
        <sz val="10"/>
        <color rgb="FF000000"/>
        <rFont val="Noto Sans CJK SC"/>
        <family val="2"/>
      </rPr>
      <t xml:space="preserve">「接近總股本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2026-07-08 </t>
    </r>
    <r>
      <rPr>
        <sz val="10"/>
        <color rgb="FF000000"/>
        <rFont val="Noto Sans CJK SC"/>
        <family val="2"/>
      </rPr>
      <t xml:space="preserve">解禁約 </t>
    </r>
    <r>
      <rPr>
        <sz val="10"/>
        <color rgb="FF000000"/>
        <rFont val="Arial"/>
        <family val="0"/>
        <charset val="1"/>
      </rPr>
      <t xml:space="preserve">2,568 </t>
    </r>
    <r>
      <rPr>
        <sz val="10"/>
        <color rgb="FF000000"/>
        <rFont val="Noto Sans CJK SC"/>
        <family val="2"/>
      </rPr>
      <t xml:space="preserve">萬股（基石 </t>
    </r>
    <r>
      <rPr>
        <sz val="10"/>
        <color rgb="FF000000"/>
        <rFont val="Arial"/>
        <family val="0"/>
        <charset val="1"/>
      </rPr>
      <t xml:space="preserve">1,199 </t>
    </r>
    <r>
      <rPr>
        <sz val="10"/>
        <color rgb="FF000000"/>
        <rFont val="Noto Sans CJK SC"/>
        <family val="2"/>
      </rPr>
      <t xml:space="preserve">萬＋部分上市前股）</t>
    </r>
  </si>
  <si>
    <t xml:space="preserve">SRC_ZP_569</t>
  </si>
  <si>
    <t xml:space="preserve">price_20261007</t>
  </si>
  <si>
    <t xml:space="preserve">收盤價</t>
  </si>
  <si>
    <t xml:space="preserve">2026-10-07</t>
  </si>
  <si>
    <t xml:space="preserve">老虎證券行情頁</t>
  </si>
  <si>
    <t xml:space="preserve">https://www.itiger.com/hans/stock/02513/news</t>
  </si>
  <si>
    <r>
      <rPr>
        <sz val="10"/>
        <color rgb="FF000000"/>
        <rFont val="Arial"/>
        <family val="0"/>
        <charset val="1"/>
      </rPr>
      <t xml:space="preserve">696.00</t>
    </r>
    <r>
      <rPr>
        <sz val="10"/>
        <color rgb="FF000000"/>
        <rFont val="Noto Sans CJK SC"/>
        <family val="2"/>
      </rPr>
      <t xml:space="preserve">，跌 </t>
    </r>
    <r>
      <rPr>
        <sz val="10"/>
        <color rgb="FF000000"/>
        <rFont val="Arial"/>
        <family val="0"/>
        <charset val="1"/>
      </rPr>
      <t xml:space="preserve">2.73%</t>
    </r>
    <r>
      <rPr>
        <sz val="10"/>
        <color rgb="FF000000"/>
        <rFont val="Noto Sans CJK SC"/>
        <family val="2"/>
      </rPr>
      <t xml:space="preserve">；前收 </t>
    </r>
    <r>
      <rPr>
        <sz val="10"/>
        <color rgb="FF000000"/>
        <rFont val="Arial"/>
        <family val="0"/>
        <charset val="1"/>
      </rPr>
      <t xml:space="preserve">715.50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10-06</t>
    </r>
    <r>
      <rPr>
        <sz val="10"/>
        <color rgb="FF000000"/>
        <rFont val="Noto Sans CJK SC"/>
        <family val="2"/>
      </rPr>
      <t xml:space="preserve">）</t>
    </r>
  </si>
  <si>
    <t xml:space="preserve">SRC_ZP_570</t>
  </si>
  <si>
    <t xml:space="preserve">price_20261002</t>
  </si>
  <si>
    <r>
      <rPr>
        <sz val="10"/>
        <color rgb="FF000000"/>
        <rFont val="Noto Sans CJK SC"/>
        <family val="2"/>
      </rPr>
      <t xml:space="preserve">收盤價（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頁）</t>
    </r>
  </si>
  <si>
    <t xml:space="preserve">2026-10-02/03</t>
  </si>
  <si>
    <t xml:space="preserve">Investing.com</t>
  </si>
  <si>
    <t xml:space="preserve">https://www.investing.com/equities/knowledge-atlas-tech-joint-stock</t>
  </si>
  <si>
    <t xml:space="preserve">2026-10-03</t>
  </si>
  <si>
    <r>
      <rPr>
        <sz val="10"/>
        <color rgb="FF000000"/>
        <rFont val="Noto Sans CJK SC"/>
        <family val="2"/>
      </rPr>
      <t xml:space="preserve">頁面寫 </t>
    </r>
    <r>
      <rPr>
        <sz val="10"/>
        <color rgb="FF000000"/>
        <rFont val="Arial"/>
        <family val="0"/>
        <charset val="1"/>
      </rPr>
      <t xml:space="preserve">626.50</t>
    </r>
    <r>
      <rPr>
        <sz val="10"/>
        <color rgb="FF000000"/>
        <rFont val="Noto Sans CJK SC"/>
        <family val="2"/>
      </rPr>
      <t xml:space="preserve">；市值 </t>
    </r>
    <r>
      <rPr>
        <sz val="10"/>
        <color rgb="FF000000"/>
        <rFont val="Arial"/>
        <family val="0"/>
        <charset val="1"/>
      </rPr>
      <t xml:space="preserve">291.71B </t>
    </r>
    <r>
      <rPr>
        <sz val="10"/>
        <color rgb="FF000000"/>
        <rFont val="Noto Sans CJK SC"/>
        <family val="2"/>
      </rPr>
      <t xml:space="preserve">以過時股數 </t>
    </r>
    <r>
      <rPr>
        <sz val="10"/>
        <color rgb="FF000000"/>
        <rFont val="Arial"/>
        <family val="0"/>
        <charset val="1"/>
      </rPr>
      <t xml:space="preserve">465.62M </t>
    </r>
    <r>
      <rPr>
        <sz val="10"/>
        <color rgb="FF000000"/>
        <rFont val="Noto Sans CJK SC"/>
        <family val="2"/>
      </rPr>
      <t xml:space="preserve">計算</t>
    </r>
  </si>
  <si>
    <t xml:space="preserve">SRC_ZP_571</t>
  </si>
  <si>
    <t xml:space="preserve">mktcap_20261007</t>
  </si>
  <si>
    <t xml:space="preserve">總市值</t>
  </si>
  <si>
    <r>
      <rPr>
        <sz val="10"/>
        <color rgb="FF000000"/>
        <rFont val="Noto Sans CJK SC"/>
        <family val="2"/>
      </rPr>
      <t xml:space="preserve">頁面「</t>
    </r>
    <r>
      <rPr>
        <sz val="10"/>
        <color rgb="FF000000"/>
        <rFont val="Arial"/>
        <family val="0"/>
        <charset val="1"/>
      </rPr>
      <t xml:space="preserve">3,396.48</t>
    </r>
    <r>
      <rPr>
        <sz val="10"/>
        <color rgb="FF000000"/>
        <rFont val="Noto Sans CJK SC"/>
        <family val="2"/>
      </rPr>
      <t xml:space="preserve">億」，未註幣別（港股報價，推定港幣）</t>
    </r>
  </si>
  <si>
    <t xml:space="preserve">SRC_ZP_572</t>
  </si>
  <si>
    <t xml:space="preserve">mktcap_20261007_b</t>
  </si>
  <si>
    <t xml:space="preserve">總市值（按公告股數計算）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</si>
  <si>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696.00×487,588,090</t>
    </r>
  </si>
  <si>
    <r>
      <rPr>
        <sz val="10"/>
        <color rgb="FF000000"/>
        <rFont val="Noto Sans CJK SC"/>
        <family val="2"/>
      </rPr>
      <t xml:space="preserve">計算（含非上市股份，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股＋非上市同價）</t>
    </r>
  </si>
  <si>
    <r>
      <rPr>
        <sz val="10"/>
        <color rgb="FF000000"/>
        <rFont val="Noto Sans CJK SC"/>
        <family val="2"/>
      </rPr>
      <t xml:space="preserve">與老虎差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億，可能老虎股數口徑不同；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股市值＝</t>
    </r>
    <r>
      <rPr>
        <sz val="10"/>
        <color rgb="FF000000"/>
        <rFont val="Arial"/>
        <family val="0"/>
        <charset val="1"/>
      </rPr>
      <t xml:space="preserve">696×263,059,605</t>
    </r>
  </si>
  <si>
    <t xml:space="preserve">SRC_ZP_573</t>
  </si>
  <si>
    <t xml:space="preserve">hi_52w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</si>
  <si>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週最高（盤中）</t>
    </r>
  </si>
  <si>
    <t xml:space="preserve">老虎證券行情頁；每日經濟新聞</t>
  </si>
  <si>
    <r>
      <rPr>
        <sz val="10"/>
        <color rgb="FF000000"/>
        <rFont val="Arial"/>
        <family val="0"/>
        <charset val="1"/>
      </rPr>
      <t xml:space="preserve">6-22 </t>
    </r>
    <r>
      <rPr>
        <sz val="10"/>
        <color rgb="FF000000"/>
        <rFont val="Noto Sans CJK SC"/>
        <family val="2"/>
      </rPr>
      <t xml:space="preserve">盤中 </t>
    </r>
    <r>
      <rPr>
        <sz val="10"/>
        <color rgb="FF000000"/>
        <rFont val="Arial"/>
        <family val="0"/>
        <charset val="1"/>
      </rPr>
      <t xml:space="preserve">2,980</t>
    </r>
    <r>
      <rPr>
        <sz val="10"/>
        <color rgb="FF000000"/>
        <rFont val="Noto Sans CJK SC"/>
        <family val="2"/>
      </rPr>
      <t xml:space="preserve">，市值約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萬億港元；</t>
    </r>
    <r>
      <rPr>
        <sz val="10"/>
        <color rgb="FF000000"/>
        <rFont val="Arial"/>
        <family val="0"/>
        <charset val="1"/>
      </rPr>
      <t xml:space="preserve">6-11 </t>
    </r>
    <r>
      <rPr>
        <sz val="10"/>
        <color rgb="FF000000"/>
        <rFont val="Noto Sans CJK SC"/>
        <family val="2"/>
      </rPr>
      <t xml:space="preserve">低點 </t>
    </r>
    <r>
      <rPr>
        <sz val="10"/>
        <color rgb="FF000000"/>
        <rFont val="Arial"/>
        <family val="0"/>
        <charset val="1"/>
      </rPr>
      <t xml:space="preserve">1,061</t>
    </r>
  </si>
  <si>
    <t xml:space="preserve">SRC_ZP_574</t>
  </si>
  <si>
    <t xml:space="preserve">lo_52w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</si>
  <si>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週最低（上市首日盤中）</t>
    </r>
  </si>
  <si>
    <r>
      <rPr>
        <sz val="10"/>
        <color rgb="FF000000"/>
        <rFont val="Noto Sans CJK SC"/>
        <family val="2"/>
      </rPr>
      <t xml:space="preserve">老虎證券行情頁；</t>
    </r>
    <r>
      <rPr>
        <sz val="10"/>
        <color rgb="FF000000"/>
        <rFont val="Arial"/>
        <family val="0"/>
        <charset val="1"/>
      </rPr>
      <t xml:space="preserve">Investing.com</t>
    </r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</si>
  <si>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週區間 </t>
    </r>
    <r>
      <rPr>
        <sz val="10"/>
        <color rgb="FF000000"/>
        <rFont val="Arial"/>
        <family val="0"/>
        <charset val="1"/>
      </rPr>
      <t xml:space="preserve">116.10–2,980.00</t>
    </r>
  </si>
  <si>
    <t xml:space="preserve">SRC_ZP_575</t>
  </si>
  <si>
    <t xml:space="preserve">price_20260721</t>
  </si>
  <si>
    <t xml:space="preserve">收購中科加禾當日股價</t>
  </si>
  <si>
    <t xml:space="preserve">https://wallstreetcn.com/articles/3777553</t>
  </si>
  <si>
    <t xml:space="preserve">市場數據（午後報價）</t>
  </si>
  <si>
    <r>
      <rPr>
        <sz val="10"/>
        <color rgb="FF000000"/>
        <rFont val="Noto Sans CJK SC"/>
        <family val="2"/>
      </rPr>
      <t xml:space="preserve">「報</t>
    </r>
    <r>
      <rPr>
        <sz val="10"/>
        <color rgb="FF000000"/>
        <rFont val="Arial"/>
        <family val="0"/>
        <charset val="1"/>
      </rPr>
      <t xml:space="preserve">1232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股」，單日漲 </t>
    </r>
    <r>
      <rPr>
        <sz val="10"/>
        <color rgb="FF000000"/>
        <rFont val="Arial"/>
        <family val="0"/>
        <charset val="1"/>
      </rPr>
      <t xml:space="preserve">38.35%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28.49%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7-20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19.56%</t>
    </r>
  </si>
  <si>
    <t xml:space="preserve">SRC_ZP_576</t>
  </si>
  <si>
    <t xml:space="preserve">mgmt_arr_guidance_ye26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</si>
  <si>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</t>
    </r>
  </si>
  <si>
    <t xml:space="preserve">2026-12</t>
  </si>
  <si>
    <t xml:space="preserve">證券日報（同花順轉載）—投資人電話會</t>
  </si>
  <si>
    <r>
      <rPr>
        <sz val="10"/>
        <color rgb="FF000000"/>
        <rFont val="Noto Sans CJK SC"/>
        <family val="2"/>
      </rPr>
      <t xml:space="preserve">智譜（剛完成配售與可轉債；上市後股價、</t>
    </r>
    <r>
      <rPr>
        <sz val="10"/>
        <color rgb="FF000000"/>
        <rFont val="Arial"/>
        <family val="0"/>
        <charset val="1"/>
      </rPr>
      <t xml:space="preserve">2027-07 </t>
    </r>
    <r>
      <rPr>
        <sz val="10"/>
        <color rgb="FF000000"/>
        <rFont val="Noto Sans CJK SC"/>
        <family val="2"/>
      </rPr>
      <t xml:space="preserve">起換股）</t>
    </r>
  </si>
  <si>
    <r>
      <rPr>
        <sz val="10"/>
        <color rgb="FF000000"/>
        <rFont val="Noto Sans CJK SC"/>
        <family val="2"/>
      </rPr>
      <t xml:space="preserve">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億美元」；當時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</t>
    </r>
  </si>
  <si>
    <t xml:space="preserve">SRC_ZP_577</t>
  </si>
  <si>
    <t xml:space="preserve">mgmt_arr_guidance_prior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</si>
  <si>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指引（上調前）</t>
    </r>
  </si>
  <si>
    <t xml:space="preserve">證券日報（同花順轉載）</t>
  </si>
  <si>
    <t xml:space="preserve">智譜</t>
  </si>
  <si>
    <r>
      <rPr>
        <sz val="10"/>
        <color rgb="FF000000"/>
        <rFont val="Noto Sans CJK SC"/>
        <family val="2"/>
      </rPr>
      <t xml:space="preserve">先前指引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億美元（招商證券國際亦稱「預期年底年化收入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億美元」）</t>
    </r>
  </si>
  <si>
    <t xml:space="preserve">SRC_ZP_578</t>
  </si>
  <si>
    <t xml:space="preserve">mgmt_arr_current_0916</t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</si>
  <si>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</si>
  <si>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r>
      <rPr>
        <sz val="10"/>
        <color rgb="FF000000"/>
        <rFont val="Noto Sans CJK SC"/>
        <family val="2"/>
      </rPr>
      <t xml:space="preserve">管理層口徑（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定義未揭露）</t>
    </r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</si>
  <si>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億美元（財聯社）</t>
    </r>
  </si>
  <si>
    <t xml:space="preserve">SRC_ZP_579</t>
  </si>
  <si>
    <t xml:space="preserve">mgmt_arr_aug_api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</si>
  <si>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月收入年化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</si>
  <si>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t xml:space="preserve">財聯社（中期業績會）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</si>
  <si>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億美元；週收入</t>
    </r>
    <r>
      <rPr>
        <sz val="10"/>
        <color rgb="FF000000"/>
        <rFont val="Arial"/>
        <family val="0"/>
        <charset val="1"/>
      </rPr>
      <t xml:space="preserve">×52 </t>
    </r>
    <r>
      <rPr>
        <sz val="10"/>
        <color rgb="FF000000"/>
        <rFont val="Noto Sans CJK SC"/>
        <family val="2"/>
      </rPr>
      <t xml:space="preserve">激進口徑超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億美元</t>
    </r>
  </si>
  <si>
    <t xml:space="preserve">SRC_ZP_580</t>
  </si>
  <si>
    <t xml:space="preserve">mgmt_inference_cost_cut</t>
  </si>
  <si>
    <r>
      <rPr>
        <sz val="10"/>
        <color rgb="FF000000"/>
        <rFont val="Noto Sans CJK SC"/>
        <family val="2"/>
      </rPr>
      <t xml:space="preserve">年初至今每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推論成本降幅（管理層）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</si>
  <si>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</si>
  <si>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萬級國產晶片」部署使單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推論成本下降約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（轉述）</t>
    </r>
  </si>
  <si>
    <t xml:space="preserve">SRC_ZP_581</t>
  </si>
  <si>
    <t xml:space="preserve">mgmt_profit_target</t>
  </si>
  <si>
    <t xml:space="preserve">管理層獲利時點量化目標</t>
  </si>
  <si>
    <t xml:space="preserve">年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</si>
  <si>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中期業績公告「未來展望」</t>
    </r>
  </si>
  <si>
    <t xml:space="preserve">質化</t>
  </si>
  <si>
    <t xml:space="preserve">展望無獲利或毛利目標；僅稱「毛利率有望企穩回升」（企業智能體分部）</t>
  </si>
  <si>
    <t xml:space="preserve">SRC_ZP_582</t>
  </si>
  <si>
    <t xml:space="preserve">cons_rev_fy26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</si>
  <si>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</si>
  <si>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</si>
  <si>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位分析師）</t>
    </r>
  </si>
  <si>
    <t xml:space="preserve">https://simplywall.st/stocks/hk/software/shsc-2513/zai-shares/future</t>
  </si>
  <si>
    <t xml:space="preserve">2026-10-06</t>
  </si>
  <si>
    <r>
      <rPr>
        <sz val="10"/>
        <color rgb="FF000000"/>
        <rFont val="Noto Sans CJK SC"/>
        <family val="2"/>
      </rPr>
      <t xml:space="preserve">券商（承銷、交易誘因；中金、國泰君安為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配售承銷）</t>
    </r>
  </si>
  <si>
    <t xml:space="preserve">共識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</si>
  <si>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6,048 </t>
    </r>
    <r>
      <rPr>
        <sz val="10"/>
        <color rgb="FF000000"/>
        <rFont val="Noto Sans CJK SC"/>
        <family val="2"/>
      </rPr>
      <t xml:space="preserve">百萬元；淨利 </t>
    </r>
    <r>
      <rPr>
        <sz val="10"/>
        <color rgb="FF000000"/>
        <rFont val="Arial"/>
        <family val="0"/>
        <charset val="1"/>
      </rPr>
      <t xml:space="preserve">-4,594</t>
    </r>
  </si>
  <si>
    <t xml:space="preserve">SRC_ZP_583</t>
  </si>
  <si>
    <t xml:space="preserve">cons_rev_fy27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</si>
  <si>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FY2027</t>
    </r>
  </si>
  <si>
    <t xml:space="preserve">FY2027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</si>
  <si>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位）</t>
    </r>
  </si>
  <si>
    <t xml:space="preserve">券商（承銷、交易誘因）</t>
  </si>
  <si>
    <r>
      <rPr>
        <sz val="10"/>
        <color rgb="FF000000"/>
        <rFont val="Arial"/>
        <family val="0"/>
        <charset val="1"/>
      </rPr>
      <t xml:space="preserve">FY2027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18,013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-4,072</t>
    </r>
  </si>
  <si>
    <t xml:space="preserve">SRC_ZP_584</t>
  </si>
  <si>
    <t xml:space="preserve">cons_rev_fy28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</si>
  <si>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FY2028</t>
    </r>
  </si>
  <si>
    <t xml:space="preserve">FY2028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</si>
  <si>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位）</t>
    </r>
  </si>
  <si>
    <r>
      <rPr>
        <sz val="10"/>
        <color rgb="FF000000"/>
        <rFont val="Arial"/>
        <family val="0"/>
        <charset val="1"/>
      </rPr>
      <t xml:space="preserve">FY2028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37,900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-882</t>
    </r>
  </si>
  <si>
    <t xml:space="preserve">SRC_ZP_585</t>
  </si>
  <si>
    <t xml:space="preserve">cons_ni_fy26</t>
  </si>
  <si>
    <r>
      <rPr>
        <sz val="10"/>
        <color rgb="FF000000"/>
        <rFont val="Noto Sans CJK SC"/>
        <family val="2"/>
      </rPr>
      <t xml:space="preserve">共識淨利 </t>
    </r>
    <r>
      <rPr>
        <sz val="10"/>
        <color rgb="FF000000"/>
        <rFont val="Arial"/>
        <family val="0"/>
        <charset val="1"/>
      </rPr>
      <t xml:space="preserve">FY2026</t>
    </r>
  </si>
  <si>
    <t xml:space="preserve">Simply Wall St</t>
  </si>
  <si>
    <r>
      <rPr>
        <sz val="10"/>
        <color rgb="FF000000"/>
        <rFont val="Arial"/>
        <family val="0"/>
        <charset val="1"/>
      </rPr>
      <t xml:space="preserve">FY2027 -4,072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FY2028 -882</t>
    </r>
  </si>
  <si>
    <t xml:space="preserve">SRC_ZP_586</t>
  </si>
  <si>
    <t xml:space="preserve">cons_rev_fy26_b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</si>
  <si>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初）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</si>
  <si>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</si>
  <si>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轉載，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位）</t>
    </r>
  </si>
  <si>
    <t xml:space="preserve">https://www.webull.com/news/15528566565184512</t>
  </si>
  <si>
    <t xml:space="preserve">2026-09-06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</si>
  <si>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CN¥6.1b</t>
    </r>
    <r>
      <rPr>
        <sz val="10"/>
        <color rgb="FF000000"/>
        <rFont val="Noto Sans CJK SC"/>
        <family val="2"/>
      </rPr>
      <t xml:space="preserve">」，前值 </t>
    </r>
    <r>
      <rPr>
        <sz val="10"/>
        <color rgb="FF000000"/>
        <rFont val="Arial"/>
        <family val="0"/>
        <charset val="1"/>
      </rPr>
      <t xml:space="preserve">CN¥4.0b</t>
    </r>
  </si>
  <si>
    <t xml:space="preserve">SRC_ZP_587</t>
  </si>
  <si>
    <t xml:space="preserve">cons_tp_avg</t>
  </si>
  <si>
    <t xml:space="preserve">共識平均目標價</t>
  </si>
  <si>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位：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買入、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持有、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賣出）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</si>
  <si>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個月目標價 </t>
    </r>
    <r>
      <rPr>
        <sz val="10"/>
        <color rgb="FF000000"/>
        <rFont val="Arial"/>
        <family val="0"/>
        <charset val="1"/>
      </rPr>
      <t xml:space="preserve">1,567.30 </t>
    </r>
    <r>
      <rPr>
        <sz val="10"/>
        <color rgb="FF000000"/>
        <rFont val="Noto Sans CJK SC"/>
        <family val="2"/>
      </rPr>
      <t xml:space="preserve">港元，評級共識「買入」</t>
    </r>
  </si>
  <si>
    <t xml:space="preserve">SRC_ZP_588</t>
  </si>
  <si>
    <t xml:space="preserve">cons_tp_avg_b</t>
  </si>
  <si>
    <r>
      <rPr>
        <sz val="10"/>
        <color rgb="FF000000"/>
        <rFont val="Noto Sans CJK SC"/>
        <family val="2"/>
      </rPr>
      <t xml:space="preserve">共識目標價（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，以 </t>
    </r>
    <r>
      <rPr>
        <sz val="10"/>
        <color rgb="FF000000"/>
        <rFont val="Arial"/>
        <family val="0"/>
        <charset val="1"/>
      </rPr>
      <t xml:space="preserve">CN¥ </t>
    </r>
    <r>
      <rPr>
        <sz val="10"/>
        <color rgb="FF000000"/>
        <rFont val="Noto Sans CJK SC"/>
        <family val="2"/>
      </rPr>
      <t xml:space="preserve">標示）</t>
    </r>
  </si>
  <si>
    <r>
      <rPr>
        <sz val="10"/>
        <color rgb="FF000000"/>
        <rFont val="Arial"/>
        <family val="0"/>
        <charset val="1"/>
      </rPr>
      <t xml:space="preserve">CNY</t>
    </r>
    <r>
      <rPr>
        <sz val="10"/>
        <color rgb="FF000000"/>
        <rFont val="Noto Sans CJK SC"/>
        <family val="2"/>
      </rPr>
      <t xml:space="preserve">／股（頁面標示）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</si>
  <si>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轉載）</t>
    </r>
  </si>
  <si>
    <t xml:space="preserve">券商</t>
  </si>
  <si>
    <r>
      <rPr>
        <sz val="10"/>
        <color rgb="FF000000"/>
        <rFont val="Noto Sans CJK SC"/>
        <family val="2"/>
      </rPr>
      <t xml:space="preserve">頁面以「</t>
    </r>
    <r>
      <rPr>
        <sz val="10"/>
        <color rgb="FF000000"/>
        <rFont val="Arial"/>
        <family val="0"/>
        <charset val="1"/>
      </rPr>
      <t xml:space="preserve">CN¥1,427</t>
    </r>
    <r>
      <rPr>
        <sz val="10"/>
        <color rgb="FF000000"/>
        <rFont val="Noto Sans CJK SC"/>
        <family val="2"/>
      </rPr>
      <t xml:space="preserve">」標示（區間 </t>
    </r>
    <r>
      <rPr>
        <sz val="10"/>
        <color rgb="FF000000"/>
        <rFont val="Arial"/>
        <family val="0"/>
        <charset val="1"/>
      </rPr>
      <t xml:space="preserve">549–1,928</t>
    </r>
    <r>
      <rPr>
        <sz val="10"/>
        <color rgb="FF000000"/>
        <rFont val="Noto Sans CJK SC"/>
        <family val="2"/>
      </rPr>
      <t xml:space="preserve">）；幣別疑為平台換算，與 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港幣口徑不可直比</t>
    </r>
  </si>
  <si>
    <t xml:space="preserve">SRC_ZP_589</t>
  </si>
  <si>
    <t xml:space="preserve">broker_gs_tp</t>
  </si>
  <si>
    <t xml:space="preserve">高盛目標價（中性→買入）</t>
  </si>
  <si>
    <t xml:space="preserve">2026-10-05</t>
  </si>
  <si>
    <t xml:space="preserve">財聯社（東方財富轉載）</t>
  </si>
  <si>
    <t xml:space="preserve">https://finance.eastmoney.com/a/202610053888577065.html</t>
  </si>
  <si>
    <t xml:space="preserve">高盛（交易誘因）</t>
  </si>
  <si>
    <r>
      <rPr>
        <sz val="10"/>
        <color rgb="FF000000"/>
        <rFont val="Noto Sans CJK SC"/>
        <family val="2"/>
      </rPr>
      <t xml:space="preserve">「從中性上調至買入 目標價為</t>
    </r>
    <r>
      <rPr>
        <sz val="10"/>
        <color rgb="FF000000"/>
        <rFont val="Arial"/>
        <family val="0"/>
        <charset val="1"/>
      </rPr>
      <t xml:space="preserve">1560</t>
    </r>
    <r>
      <rPr>
        <sz val="10"/>
        <color rgb="FF000000"/>
        <rFont val="Noto Sans CJK SC"/>
        <family val="2"/>
      </rPr>
      <t xml:space="preserve">港元」；上漲空間 </t>
    </r>
    <r>
      <rPr>
        <sz val="10"/>
        <color rgb="FF000000"/>
        <rFont val="Arial"/>
        <family val="0"/>
        <charset val="1"/>
      </rPr>
      <t xml:space="preserve">149%</t>
    </r>
  </si>
  <si>
    <t xml:space="preserve">SRC_ZP_590</t>
  </si>
  <si>
    <t xml:space="preserve">broker_cmsi_tp</t>
  </si>
  <si>
    <t xml:space="preserve">招商證券國際目標價（增持）</t>
  </si>
  <si>
    <t xml:space="preserve">2026-09-02</t>
  </si>
  <si>
    <r>
      <rPr>
        <sz val="10"/>
        <color rgb="FF000000"/>
        <rFont val="Noto Sans CJK SC"/>
        <family val="2"/>
      </rPr>
      <t xml:space="preserve">同花順（轉財聞，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生成稿）</t>
    </r>
  </si>
  <si>
    <t xml:space="preserve">https://stock.10jqka.com.cn/20260902/c679525880.shtml</t>
  </si>
  <si>
    <t xml:space="preserve">招商證券國際（交易誘因）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</si>
  <si>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1,282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；稱最快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年盈虧平衡</t>
    </r>
  </si>
  <si>
    <t xml:space="preserve">SRC_ZP_591</t>
  </si>
  <si>
    <t xml:space="preserve">broker_guosen_rev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</si>
  <si>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</si>
  <si>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）</t>
    </r>
  </si>
  <si>
    <t xml:space="preserve">FY2026–FY2028</t>
  </si>
  <si>
    <r>
      <rPr>
        <sz val="10"/>
        <color rgb="FF000000"/>
        <rFont val="Noto Sans CJK SC"/>
        <family val="2"/>
      </rPr>
      <t xml:space="preserve">格隆匯（國信證券 </t>
    </r>
    <r>
      <rPr>
        <sz val="10"/>
        <color rgb="FF000000"/>
        <rFont val="Arial"/>
        <family val="0"/>
        <charset val="1"/>
      </rPr>
      <t xml:space="preserve">26H1 </t>
    </r>
    <r>
      <rPr>
        <sz val="10"/>
        <color rgb="FF000000"/>
        <rFont val="Noto Sans CJK SC"/>
        <family val="2"/>
      </rPr>
      <t xml:space="preserve">點評）</t>
    </r>
  </si>
  <si>
    <t xml:space="preserve">國信證券（交易誘因）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</si>
  <si>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344 </t>
    </r>
    <r>
      <rPr>
        <sz val="10"/>
        <color rgb="FF000000"/>
        <rFont val="Noto Sans CJK SC"/>
        <family val="2"/>
      </rPr>
      <t xml:space="preserve">億元；歸母淨利 </t>
    </r>
    <r>
      <rPr>
        <sz val="10"/>
        <color rgb="FF000000"/>
        <rFont val="Arial"/>
        <family val="0"/>
        <charset val="1"/>
      </rPr>
      <t xml:space="preserve">-36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-30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億元；優於大市；</t>
    </r>
    <r>
      <rPr>
        <sz val="10"/>
        <color rgb="FF000000"/>
        <rFont val="Arial"/>
        <family val="0"/>
        <charset val="1"/>
      </rPr>
      <t xml:space="preserve">2026 PS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倍</t>
    </r>
  </si>
  <si>
    <t xml:space="preserve">SRC_ZP_592</t>
  </si>
  <si>
    <t xml:space="preserve">broker_guozheng_rev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</si>
  <si>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</si>
  <si>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t xml:space="preserve">格隆匯（國證國際首次覆蓋）</t>
  </si>
  <si>
    <t xml:space="preserve">https://m.gelonghui.com/news/5270015</t>
  </si>
  <si>
    <t xml:space="preserve">2026-07-15</t>
  </si>
  <si>
    <t xml:space="preserve">國證國際（交易誘因）</t>
  </si>
  <si>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251 </t>
    </r>
    <r>
      <rPr>
        <sz val="10"/>
        <color rgb="FF000000"/>
        <rFont val="Noto Sans CJK SC"/>
        <family val="2"/>
      </rPr>
      <t xml:space="preserve">億元；經調整淨虧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億；目標價 </t>
    </r>
    <r>
      <rPr>
        <sz val="10"/>
        <color rgb="FF000000"/>
        <rFont val="Arial"/>
        <family val="0"/>
        <charset val="1"/>
      </rPr>
      <t xml:space="preserve">2,043 </t>
    </r>
    <r>
      <rPr>
        <sz val="10"/>
        <color rgb="FF000000"/>
        <rFont val="Noto Sans CJK SC"/>
        <family val="2"/>
      </rPr>
      <t xml:space="preserve">港元；</t>
    </r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2027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80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PS</t>
    </r>
    <r>
      <rPr>
        <sz val="10"/>
        <color rgb="FF000000"/>
        <rFont val="Noto Sans CJK SC"/>
        <family val="2"/>
      </rPr>
      <t xml:space="preserve">）</t>
    </r>
  </si>
  <si>
    <t xml:space="preserve">SRC_ZP_593</t>
  </si>
  <si>
    <t xml:space="preserve">broker_daiwa_tp</t>
  </si>
  <si>
    <t xml:space="preserve">大和目標價（首次買入）</t>
  </si>
  <si>
    <t xml:space="preserve">2026-08-12</t>
  </si>
  <si>
    <t xml:space="preserve">同花順</t>
  </si>
  <si>
    <t xml:space="preserve">https://stock.10jqka.com.cn/20260812/c678896247.shtml</t>
  </si>
  <si>
    <t xml:space="preserve">大和（交易誘因）</t>
  </si>
  <si>
    <r>
      <rPr>
        <sz val="10"/>
        <color rgb="FF000000"/>
        <rFont val="Noto Sans CJK SC"/>
        <family val="2"/>
      </rPr>
      <t xml:space="preserve">營收由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7.24 </t>
    </r>
    <r>
      <rPr>
        <sz val="10"/>
        <color rgb="FF000000"/>
        <rFont val="Noto Sans CJK SC"/>
        <family val="2"/>
      </rPr>
      <t xml:space="preserve">億升至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億元人民幣（</t>
    </r>
    <r>
      <rPr>
        <sz val="10"/>
        <color rgb="FF000000"/>
        <rFont val="Arial"/>
        <family val="0"/>
        <charset val="1"/>
      </rPr>
      <t xml:space="preserve">CAGR 185%</t>
    </r>
    <r>
      <rPr>
        <sz val="10"/>
        <color rgb="FF000000"/>
        <rFont val="Noto Sans CJK SC"/>
        <family val="2"/>
      </rPr>
      <t xml:space="preserve">）</t>
    </r>
  </si>
  <si>
    <t xml:space="preserve">SRC_ZP_594</t>
  </si>
  <si>
    <t xml:space="preserve">broker_jpm_tp</t>
  </si>
  <si>
    <t xml:space="preserve">摩根大通目標價（增持）</t>
  </si>
  <si>
    <t xml:space="preserve">格隆匯</t>
  </si>
  <si>
    <t xml:space="preserve">https://m.gelonghui.com/news/5264523</t>
  </si>
  <si>
    <t xml:space="preserve">摩根大通（交易誘因）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</si>
  <si>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1,800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；文中年份由上下文推定 </t>
    </r>
    <r>
      <rPr>
        <sz val="10"/>
        <color rgb="FF000000"/>
        <rFont val="Arial"/>
        <family val="0"/>
        <charset val="1"/>
      </rPr>
      <t xml:space="preserve">2026</t>
    </r>
  </si>
  <si>
    <t xml:space="preserve">SRC_ZP_595</t>
  </si>
  <si>
    <t xml:space="preserve">peer_mmx_price_20261007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</si>
  <si>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股價</t>
    </r>
  </si>
  <si>
    <t xml:space="preserve">2026-10-07 13:56</t>
  </si>
  <si>
    <t xml:space="preserve">https://www.itiger.com/hant/stock/00100/news</t>
  </si>
  <si>
    <t xml:space="preserve">市場數據（盤中，非收盤）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</si>
  <si>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週高 </t>
    </r>
    <r>
      <rPr>
        <sz val="10"/>
        <color rgb="FF000000"/>
        <rFont val="Arial"/>
        <family val="0"/>
        <charset val="1"/>
      </rPr>
      <t xml:space="preserve">1,330</t>
    </r>
    <r>
      <rPr>
        <sz val="10"/>
        <color rgb="FF000000"/>
        <rFont val="Noto Sans CJK SC"/>
        <family val="2"/>
      </rPr>
      <t xml:space="preserve">、低 </t>
    </r>
    <r>
      <rPr>
        <sz val="10"/>
        <color rgb="FF000000"/>
        <rFont val="Arial"/>
        <family val="0"/>
        <charset val="1"/>
      </rPr>
      <t xml:space="preserve">186.20</t>
    </r>
  </si>
  <si>
    <t xml:space="preserve">SRC_ZP_596</t>
  </si>
  <si>
    <t xml:space="preserve">peer_mmx_mktcap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</si>
  <si>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總市值</t>
    </r>
  </si>
  <si>
    <r>
      <rPr>
        <sz val="10"/>
        <color rgb="FF000000"/>
        <rFont val="Arial"/>
        <family val="0"/>
        <charset val="1"/>
      </rPr>
      <t xml:space="preserve">236×352,480,183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類）＝</t>
    </r>
    <r>
      <rPr>
        <sz val="10"/>
        <color rgb="FF000000"/>
        <rFont val="Arial"/>
        <family val="0"/>
        <charset val="1"/>
      </rPr>
      <t xml:space="preserve">831.9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勾稽相符</t>
    </r>
  </si>
  <si>
    <t xml:space="preserve">SRC_ZP_597</t>
  </si>
  <si>
    <t xml:space="preserve">peer_mmx_shares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</si>
  <si>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已發行股份（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271,377,649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81,102,534</t>
    </r>
    <r>
      <rPr>
        <sz val="10"/>
        <color rgb="FF000000"/>
        <rFont val="Noto Sans CJK SC"/>
        <family val="2"/>
      </rPr>
      <t xml:space="preserve">）</t>
    </r>
  </si>
  <si>
    <t xml:space="preserve">2026-09-30</t>
  </si>
  <si>
    <r>
      <rPr>
        <sz val="10"/>
        <color rgb="FF000000"/>
        <rFont val="Arial"/>
        <family val="0"/>
        <charset val="1"/>
      </rPr>
      <t xml:space="preserve">MiniMax FF301 </t>
    </r>
    <r>
      <rPr>
        <sz val="10"/>
        <color rgb="FF000000"/>
        <rFont val="Noto Sans CJK SC"/>
        <family val="2"/>
      </rPr>
      <t xml:space="preserve">月報表</t>
    </r>
  </si>
  <si>
    <t xml:space="preserve">https://pdf.dfcfw.com/pdf/H2_AN202610021830089929_1.pdf</t>
  </si>
  <si>
    <t xml:space="preserve">2026-10-02</t>
  </si>
  <si>
    <r>
      <rPr>
        <sz val="10"/>
        <color rgb="FF000000"/>
        <rFont val="Noto Sans CJK SC"/>
        <family val="2"/>
      </rPr>
      <t xml:space="preserve">合計為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類不上市</t>
    </r>
  </si>
  <si>
    <t xml:space="preserve">SRC_ZP_598</t>
  </si>
  <si>
    <t xml:space="preserve">peer_mmx_rev_fy25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</si>
  <si>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</si>
  <si>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MiniMax 2025 </t>
    </r>
    <r>
      <rPr>
        <sz val="10"/>
        <color rgb="FF000000"/>
        <rFont val="Noto Sans CJK SC"/>
        <family val="2"/>
      </rPr>
      <t xml:space="preserve">全年業績新聞稿</t>
    </r>
  </si>
  <si>
    <t xml:space="preserve">https://www.minimax.io/news/minimax-global-announces-full-year-2025-financial-results</t>
  </si>
  <si>
    <t xml:space="preserve">2026-03-02</t>
  </si>
  <si>
    <t xml:space="preserve">經審計（業績公告）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</si>
  <si>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Total revenue increased by 158.9%…to US$79.0 million</t>
    </r>
    <r>
      <rPr>
        <sz val="10"/>
        <color rgb="FF000000"/>
        <rFont val="Noto Sans CJK SC"/>
        <family val="2"/>
      </rPr>
      <t xml:space="preserve">」；毛利率 </t>
    </r>
    <r>
      <rPr>
        <sz val="10"/>
        <color rgb="FF000000"/>
        <rFont val="Arial"/>
        <family val="0"/>
        <charset val="1"/>
      </rPr>
      <t xml:space="preserve">25.4%</t>
    </r>
  </si>
  <si>
    <t xml:space="preserve">SRC_ZP_599</t>
  </si>
  <si>
    <t xml:space="preserve">peer_mmx_nl_fy25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</si>
  <si>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</si>
  <si>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1,871.6 </t>
    </r>
    <r>
      <rPr>
        <sz val="10"/>
        <color rgb="FF000000"/>
        <rFont val="Noto Sans CJK SC"/>
        <family val="2"/>
      </rPr>
      <t xml:space="preserve">百萬美元（含優先股公允值變動）；經調整淨虧 </t>
    </r>
    <r>
      <rPr>
        <sz val="10"/>
        <color rgb="FF000000"/>
        <rFont val="Arial"/>
        <family val="0"/>
        <charset val="1"/>
      </rPr>
      <t xml:space="preserve">250.9</t>
    </r>
  </si>
  <si>
    <t xml:space="preserve">SRC_ZP_600</t>
  </si>
  <si>
    <t xml:space="preserve">peer_mmx_adjnl_fy25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</si>
  <si>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經調整淨虧損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</si>
  <si>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IFRS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</si>
  <si>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Adjusted net loss was US$250.9 million</t>
    </r>
    <r>
      <rPr>
        <sz val="10"/>
        <color rgb="FF000000"/>
        <rFont val="Noto Sans CJK SC"/>
        <family val="2"/>
      </rPr>
      <t xml:space="preserve">」；年末現金類 </t>
    </r>
    <r>
      <rPr>
        <sz val="10"/>
        <color rgb="FF000000"/>
        <rFont val="Arial"/>
        <family val="0"/>
        <charset val="1"/>
      </rPr>
      <t xml:space="preserve">1,050.3 </t>
    </r>
    <r>
      <rPr>
        <sz val="10"/>
        <color rgb="FF000000"/>
        <rFont val="Noto Sans CJK SC"/>
        <family val="2"/>
      </rPr>
      <t xml:space="preserve">百萬美元</t>
    </r>
  </si>
  <si>
    <t xml:space="preserve">SRC_ZP_601</t>
  </si>
  <si>
    <t xml:space="preserve">peer_mmx_rev_1h26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</si>
  <si>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1H2026</t>
    </r>
  </si>
  <si>
    <r>
      <rPr>
        <sz val="10"/>
        <color rgb="FF000000"/>
        <rFont val="Noto Sans CJK SC"/>
        <family val="2"/>
      </rPr>
      <t xml:space="preserve">老虎（轉 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中期業績）</t>
    </r>
  </si>
  <si>
    <t xml:space="preserve">https://www.itiger.com/news/1169167557</t>
  </si>
  <si>
    <t xml:space="preserve">未經審計（媒體轉述）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</si>
  <si>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revenue climbing 283.10%…to US$116.57 million</t>
    </r>
    <r>
      <rPr>
        <sz val="10"/>
        <color rgb="FF000000"/>
        <rFont val="Noto Sans CJK SC"/>
        <family val="2"/>
      </rPr>
      <t xml:space="preserve">」</t>
    </r>
  </si>
  <si>
    <t xml:space="preserve">SRC_ZP_602</t>
  </si>
  <si>
    <t xml:space="preserve">peer_mmx_nl_1h26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</si>
  <si>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1H2026</t>
    </r>
  </si>
  <si>
    <t xml:space="preserve">未經審計</t>
  </si>
  <si>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357.99 </t>
    </r>
    <r>
      <rPr>
        <sz val="10"/>
        <color rgb="FF000000"/>
        <rFont val="Noto Sans CJK SC"/>
        <family val="2"/>
      </rPr>
      <t xml:space="preserve">百萬美元；經調整淨虧 </t>
    </r>
    <r>
      <rPr>
        <sz val="10"/>
        <color rgb="FF000000"/>
        <rFont val="Arial"/>
        <family val="0"/>
        <charset val="1"/>
      </rPr>
      <t xml:space="preserve">293.03</t>
    </r>
  </si>
  <si>
    <t xml:space="preserve">SRC_ZP_603</t>
  </si>
  <si>
    <t xml:space="preserve">peer_mmx_cash_1h26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</si>
  <si>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現金、等價物及短期投資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</si>
  <si>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US$1.32 billion as of 30 June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Noto Sans CJK SC"/>
        <family val="2"/>
      </rPr>
      <t xml:space="preserve">計算需匯率（模型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</si>
  <si>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SRC_ZP_604</t>
  </si>
  <si>
    <t xml:space="preserve">peer_mmx_ev_rev</t>
  </si>
  <si>
    <r>
      <rPr>
        <sz val="10"/>
        <color rgb="FF000000"/>
        <rFont val="Arial"/>
        <family val="0"/>
        <charset val="1"/>
      </rPr>
      <t xml:space="preserve">MiniMax EV</t>
    </r>
    <r>
      <rPr>
        <sz val="10"/>
        <color rgb="FF000000"/>
        <rFont val="Noto Sans CJK SC"/>
        <family val="2"/>
      </rPr>
      <t xml:space="preserve">／營收（</t>
    </r>
    <r>
      <rPr>
        <sz val="10"/>
        <color rgb="FF000000"/>
        <rFont val="Arial"/>
        <family val="0"/>
        <charset val="1"/>
      </rPr>
      <t xml:space="preserve">TTM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</si>
  <si>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（待模型以 </t>
    </r>
    <r>
      <rPr>
        <sz val="10"/>
        <color rgb="FF000000"/>
        <rFont val="Arial"/>
        <family val="0"/>
        <charset val="1"/>
      </rPr>
      <t xml:space="preserve">INP </t>
    </r>
    <r>
      <rPr>
        <sz val="10"/>
        <color rgb="FF000000"/>
        <rFont val="Noto Sans CJK SC"/>
        <family val="2"/>
      </rPr>
      <t xml:space="preserve">匯率計算）</t>
    </r>
  </si>
  <si>
    <r>
      <rPr>
        <sz val="10"/>
        <color rgb="FF000000"/>
        <rFont val="Noto Sans CJK SC"/>
        <family val="2"/>
      </rPr>
      <t xml:space="preserve">規則禁自行換匯；公式＝</t>
    </r>
    <r>
      <rPr>
        <sz val="10"/>
        <color rgb="FF000000"/>
        <rFont val="Arial"/>
        <family val="0"/>
        <charset val="1"/>
      </rPr>
      <t xml:space="preserve">(830.72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HKD÷HKD/USD−13.2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USD)÷TTM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2H25 </t>
    </r>
    <r>
      <rPr>
        <sz val="10"/>
        <color rgb="FF000000"/>
        <rFont val="Noto Sans CJK SC"/>
        <family val="2"/>
      </rPr>
      <t xml:space="preserve">需推算）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</si>
  <si>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</si>
  <si>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具名區（同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名：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SRC_DEM_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）：值（藍字）由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讀出寫入。本模型公式只引用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名稱或本頁儲存格。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</si>
  <si>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</si>
  <si>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</si>
  <si>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</si>
  <si>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</si>
  <si>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</si>
  <si>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</si>
  <si>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</si>
  <si>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</si>
  <si>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</si>
  <si>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</si>
  <si>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</si>
  <si>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</si>
  <si>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</si>
  <si>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</si>
  <si>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</si>
  <si>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</si>
  <si>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</si>
  <si>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</si>
  <si>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</si>
  <si>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</si>
  <si>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</si>
  <si>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</si>
  <si>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</si>
  <si>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</si>
  <si>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</si>
  <si>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</si>
  <si>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</si>
  <si>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</si>
  <si>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</si>
  <si>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</si>
  <si>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</si>
  <si>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</si>
  <si>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</si>
  <si>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</si>
  <si>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</si>
  <si>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</si>
  <si>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</si>
  <si>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</si>
  <si>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</si>
  <si>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</si>
  <si>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</si>
  <si>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</si>
  <si>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</si>
  <si>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</si>
  <si>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</si>
  <si>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</si>
  <si>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</si>
  <si>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</si>
  <si>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</si>
  <si>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</si>
  <si>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</si>
  <si>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</si>
  <si>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</si>
  <si>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</si>
  <si>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</si>
  <si>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</si>
  <si>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</si>
  <si>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</si>
  <si>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</si>
  <si>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</si>
  <si>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</si>
  <si>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</si>
  <si>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</si>
  <si>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</si>
  <si>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</si>
  <si>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</si>
  <si>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</si>
  <si>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</si>
  <si>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</si>
  <si>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</si>
  <si>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</si>
  <si>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</si>
  <si>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</si>
  <si>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</si>
  <si>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</si>
  <si>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</si>
  <si>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</si>
  <si>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</si>
  <si>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</si>
  <si>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</si>
  <si>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</si>
  <si>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</si>
  <si>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</si>
  <si>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</si>
  <si>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</si>
  <si>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</si>
  <si>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</si>
  <si>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</si>
  <si>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</si>
  <si>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</si>
  <si>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</si>
  <si>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</si>
  <si>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</si>
  <si>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</si>
  <si>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</si>
  <si>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</si>
  <si>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</si>
  <si>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</si>
  <si>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</si>
  <si>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</si>
  <si>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</si>
  <si>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</si>
  <si>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</si>
  <si>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</si>
  <si>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</si>
  <si>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</si>
  <si>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</si>
  <si>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</si>
  <si>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</si>
  <si>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</si>
  <si>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</si>
  <si>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</si>
  <si>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</si>
  <si>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</si>
  <si>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</si>
  <si>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</si>
  <si>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</si>
  <si>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</si>
  <si>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</si>
  <si>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</si>
  <si>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</si>
  <si>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</si>
  <si>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</si>
  <si>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$B</t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</si>
  <si>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</si>
  <si>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</si>
  <si>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</si>
  <si>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</si>
  <si>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</si>
  <si>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</si>
  <si>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</si>
  <si>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</si>
  <si>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</si>
  <si>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</si>
  <si>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</si>
  <si>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</si>
  <si>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GW</t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</si>
  <si>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</si>
  <si>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</si>
  <si>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</si>
  <si>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</si>
  <si>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</si>
  <si>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</si>
  <si>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</si>
  <si>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</si>
  <si>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</si>
  <si>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</si>
  <si>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</si>
  <si>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</si>
  <si>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</si>
  <si>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</si>
  <si>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</si>
  <si>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</si>
  <si>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</si>
  <si>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</si>
  <si>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</si>
  <si>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</si>
  <si>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</si>
  <si>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</si>
  <si>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</si>
  <si>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</si>
  <si>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</si>
  <si>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</si>
  <si>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</si>
  <si>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</si>
  <si>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</si>
  <si>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</si>
  <si>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</si>
  <si>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</si>
  <si>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</si>
  <si>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</si>
  <si>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</si>
  <si>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</si>
  <si>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</si>
  <si>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</si>
  <si>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</si>
  <si>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</si>
  <si>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</si>
  <si>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</si>
  <si>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</si>
  <si>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</si>
  <si>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</si>
  <si>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</si>
  <si>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</si>
  <si>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</si>
  <si>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</si>
  <si>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</si>
  <si>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</si>
  <si>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</si>
  <si>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</si>
  <si>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</si>
  <si>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</si>
  <si>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</si>
  <si>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</si>
  <si>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</si>
  <si>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</si>
  <si>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</si>
  <si>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</si>
  <si>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</si>
  <si>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</si>
  <si>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</si>
  <si>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</si>
  <si>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</si>
  <si>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</si>
  <si>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</si>
  <si>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</si>
  <si>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</si>
  <si>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</si>
  <si>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</si>
  <si>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</si>
  <si>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</si>
  <si>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</si>
  <si>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</si>
  <si>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</si>
  <si>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</si>
  <si>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Cap_In!54</t>
    </r>
  </si>
  <si>
    <t xml:space="preserve">TK_RD_CapIn_GLM53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</si>
  <si>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：新鮮輸入、快取輸入、輸出（國際站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）、尖峰離峰、能力指數（</t>
    </r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</si>
  <si>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；指數</t>
    </r>
  </si>
  <si>
    <t xml:space="preserve">讀表（非具名）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</si>
  <si>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Cap_In!55</t>
    </r>
  </si>
  <si>
    <t xml:space="preserve">TK_RD_CapIn_GLM53Flash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</si>
  <si>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</si>
  <si>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Price_Frontier!14</t>
    </r>
  </si>
  <si>
    <t xml:space="preserve">TK_RD_PF_GLM53_Mix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</si>
  <si>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：參考請求混合單價（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參考請求）（</t>
    </r>
    <r>
      <rPr>
        <sz val="10"/>
        <color rgb="FF000000"/>
        <rFont val="Arial"/>
        <family val="0"/>
        <charset val="1"/>
      </rPr>
      <t xml:space="preserve">Price_Frontier!H14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</si>
  <si>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Price_Frontier!15</t>
    </r>
  </si>
  <si>
    <t xml:space="preserve">TK_RD_PF_GLM53Flash_Mix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</si>
  <si>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Price_Frontier!H15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</si>
  <si>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Price_Frontier!31</t>
    </r>
  </si>
  <si>
    <t xml:space="preserve">TK_RD_PF_ChinaFront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</si>
  <si>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；無合格者為文字）（</t>
    </r>
    <r>
      <rPr>
        <sz val="10"/>
        <color rgb="FF000000"/>
        <rFont val="Arial"/>
        <family val="0"/>
        <charset val="1"/>
      </rPr>
      <t xml:space="preserve">Price_Frontier!C31</t>
    </r>
    <r>
      <rPr>
        <sz val="10"/>
        <color rgb="FF000000"/>
        <rFont val="Noto Sans CJK SC"/>
        <family val="2"/>
      </rPr>
      <t xml:space="preserve">，標籤『中國廠商 合格者最低 混合單價』）</t>
    </r>
  </si>
  <si>
    <t xml:space="preserve">無合格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</si>
  <si>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Price_Frontier!32</t>
    </r>
  </si>
  <si>
    <t xml:space="preserve">TK_RD_PF_ChinaFrontModel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</si>
  <si>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表：中國合格前緣模型名（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Price_Frontier!C32</t>
    </r>
    <r>
      <rPr>
        <sz val="10"/>
        <color rgb="FF000000"/>
        <rFont val="Noto Sans CJK SC"/>
        <family val="2"/>
      </rPr>
      <t xml:space="preserve">，標籤『中國廠商 合格者最低 模型』）</t>
    </r>
  </si>
  <si>
    <t xml:space="preserve">文字</t>
  </si>
  <si>
    <t xml:space="preserve">GLM-5.3-Flash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</si>
  <si>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Price_Frontier!33</t>
    </r>
  </si>
  <si>
    <t xml:space="preserve">TK_RD_PF_ChinaVsOAI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</si>
  <si>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Price_Frontier!C33</t>
    </r>
    <r>
      <rPr>
        <sz val="10"/>
        <color rgb="FF000000"/>
        <rFont val="Noto Sans CJK SC"/>
        <family val="2"/>
      </rPr>
      <t xml:space="preserve">，標籤『中國合格者最低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層級模型』）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</si>
  <si>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命題輸出快照（美元；只被 </t>
    </r>
    <r>
      <rPr>
        <b val="true"/>
        <sz val="13"/>
        <rFont val="Arial"/>
        <family val="0"/>
        <charset val="1"/>
      </rPr>
      <t xml:space="preserve">Checks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Arial"/>
        <family val="0"/>
        <charset val="1"/>
      </rPr>
      <t xml:space="preserve">HTML </t>
    </r>
    <r>
      <rPr>
        <b val="true"/>
        <sz val="13"/>
        <rFont val="Noto Sans CJK SC"/>
        <family val="2"/>
      </rPr>
      <t xml:space="preserve">引用，規格 </t>
    </r>
    <r>
      <rPr>
        <b val="true"/>
        <sz val="13"/>
        <rFont val="Arial"/>
        <family val="0"/>
        <charset val="1"/>
      </rPr>
      <t xml:space="preserve">D26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</si>
  <si>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Excel </t>
    </r>
    <r>
      <rPr>
        <sz val="9"/>
        <color rgb="FF595959"/>
        <rFont val="Noto Sans CJK SC"/>
        <family val="2"/>
      </rPr>
      <t xml:space="preserve">的具名範圍讀出（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重算後快取值）。本頁不參與任何計算；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掃描其他頁公式不得含 </t>
    </r>
    <r>
      <rPr>
        <sz val="9"/>
        <color rgb="FF595959"/>
        <rFont val="Arial"/>
        <family val="0"/>
        <charset val="1"/>
      </rPr>
      <t xml:space="preserve">OAI_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</si>
  <si>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OpenAI Excel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</si>
  <si>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</si>
  <si>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t xml:space="preserve">SHA-256</t>
  </si>
  <si>
    <t xml:space="preserve">34fc34a7ea2c18e8f608356ca462d8bd208496ca61780589b559fd2efc6597fe</t>
  </si>
  <si>
    <t xml:space="preserve">來源分支與提交</t>
  </si>
  <si>
    <t xml:space="preserve">claude/openai-s6-release@e91df57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</si>
  <si>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</si>
  <si>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2025</t>
  </si>
  <si>
    <t xml:space="preserve">2027</t>
  </si>
  <si>
    <t xml:space="preserve">2028</t>
  </si>
  <si>
    <t xml:space="preserve">2029</t>
  </si>
  <si>
    <t xml:space="preserve">2030</t>
  </si>
  <si>
    <t xml:space="preserve">REV_Gross</t>
  </si>
  <si>
    <t xml:space="preserve">OAI_REV_Gross</t>
  </si>
  <si>
    <t xml:space="preserve">營收總額（未截頂）</t>
  </si>
  <si>
    <t xml:space="preserve">REV_NetCapped</t>
  </si>
  <si>
    <t xml:space="preserve">OAI_REV_NetCapped</t>
  </si>
  <si>
    <t xml:space="preserve">營收淨額（容量截頂後）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</si>
  <si>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</si>
  <si>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</si>
  <si>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</si>
  <si>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</si>
  <si>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CMP_InfGW_Eff</t>
  </si>
  <si>
    <t xml:space="preserve">OAI_CMP_InfGW_Eff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</si>
  <si>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</si>
  <si>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</si>
  <si>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</si>
  <si>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</si>
  <si>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COST_Compute</t>
  </si>
  <si>
    <t xml:space="preserve">OAI_COST_Compute</t>
  </si>
  <si>
    <t xml:space="preserve">算力成本（現金）</t>
  </si>
  <si>
    <t xml:space="preserve">COST_FullCash</t>
  </si>
  <si>
    <t xml:space="preserve">OAI_COST_FullCash</t>
  </si>
  <si>
    <t xml:space="preserve">全成本（現金，含股權報酬）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</si>
  <si>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</si>
  <si>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</si>
  <si>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</si>
  <si>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$B/GW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</si>
  <si>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</si>
  <si>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</si>
  <si>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</si>
  <si>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</si>
  <si>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</si>
  <si>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</si>
  <si>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</si>
  <si>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</si>
  <si>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</si>
  <si>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比例</t>
  </si>
  <si>
    <t xml:space="preserve">FND_FCF</t>
  </si>
  <si>
    <t xml:space="preserve">OAI_FND_FCF</t>
  </si>
  <si>
    <t xml:space="preserve">自由現金流</t>
  </si>
  <si>
    <t xml:space="preserve">FND_ExtNeed</t>
  </si>
  <si>
    <t xml:space="preserve">OAI_FND_ExtNeed</t>
  </si>
  <si>
    <t xml:space="preserve">外部資金需求（單年）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</si>
  <si>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</si>
  <si>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</si>
  <si>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</si>
  <si>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假設輸入（藍字）：值、低、高、標記、依據、區間理由；匯率與單位換算定義常數（</t>
    </r>
    <r>
      <rPr>
        <b val="true"/>
        <sz val="13"/>
        <rFont val="Arial"/>
        <family val="0"/>
        <charset val="1"/>
      </rPr>
      <t xml:space="preserve">D23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</si>
  <si>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長表格式：一列一個參數（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索引）。來源 </t>
    </r>
    <r>
      <rPr>
        <sz val="9"/>
        <color rgb="FF595959"/>
        <rFont val="Arial"/>
        <family val="0"/>
        <charset val="1"/>
      </rPr>
      <t xml:space="preserve">data/zhipu_inputs.yaml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INP_nnn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依鍵發出，穩定不重用。</t>
    </r>
  </si>
  <si>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寫明參照（如『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』）與差異；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寫明依據；兩者一律給區間。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＝定義常數或規格決策（低＝值＝高）。</t>
    </r>
  </si>
  <si>
    <t xml:space="preserve">INP_ID</t>
  </si>
  <si>
    <t xml:space="preserve">參數</t>
  </si>
  <si>
    <t xml:space="preserve">依據</t>
  </si>
  <si>
    <t xml:space="preserve">區間理由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</si>
  <si>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</si>
  <si>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</si>
  <si>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year_2025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</si>
  <si>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</si>
  <si>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</si>
  <si>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</si>
  <si>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</si>
  <si>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</t>
  </si>
  <si>
    <t xml:space="preserve">INP_002</t>
  </si>
  <si>
    <t xml:space="preserve">year_2026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</si>
  <si>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</si>
  <si>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驅動（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</si>
  <si>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INP_003</t>
  </si>
  <si>
    <t xml:space="preserve">year_2027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</si>
  <si>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</si>
  <si>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INP_004</t>
  </si>
  <si>
    <t xml:space="preserve">year_2028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</si>
  <si>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</si>
  <si>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INP_005</t>
  </si>
  <si>
    <t xml:space="preserve">year_2029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</si>
  <si>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</si>
  <si>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INP_006</t>
  </si>
  <si>
    <t xml:space="preserve">year_2030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</si>
  <si>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</si>
  <si>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INP_007</t>
  </si>
  <si>
    <t xml:space="preserve">days_year</t>
  </si>
  <si>
    <t xml:space="preserve">每年天數（定義常數）</t>
  </si>
  <si>
    <t xml:space="preserve">天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</si>
  <si>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INP_251</t>
    </r>
  </si>
  <si>
    <t xml:space="preserve">INP_008</t>
  </si>
  <si>
    <t xml:space="preserve">days_1h26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</si>
  <si>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上半年天數（定義常數）</t>
    </r>
  </si>
  <si>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06-30</t>
    </r>
  </si>
  <si>
    <t xml:space="preserve">INP_009</t>
  </si>
  <si>
    <t xml:space="preserve">days_2h26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</si>
  <si>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下半年天數（定義常數）</t>
    </r>
  </si>
  <si>
    <t xml:space="preserve">2H2026</t>
  </si>
  <si>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</si>
  <si>
    <t xml:space="preserve">INP_010</t>
  </si>
  <si>
    <t xml:space="preserve">months_year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</si>
  <si>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</si>
  <si>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</si>
  <si>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INP_252</t>
    </r>
  </si>
  <si>
    <t xml:space="preserve">INP_011</t>
  </si>
  <si>
    <t xml:space="preserve">months_half</t>
  </si>
  <si>
    <t xml:space="preserve">每半年月數（定義常數）</t>
  </si>
  <si>
    <t xml:space="preserve">INP_012</t>
  </si>
  <si>
    <t xml:space="preserve">months_qtr</t>
  </si>
  <si>
    <t xml:space="preserve">每季月數（定義常數）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</si>
  <si>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季付價換算每月</t>
    </r>
  </si>
  <si>
    <t xml:space="preserve">INP_013</t>
  </si>
  <si>
    <t xml:space="preserve">halves_year</t>
  </si>
  <si>
    <t xml:space="preserve">每年半年數（定義常數）</t>
  </si>
  <si>
    <t xml:space="preserve">半年值年化、半年平均</t>
  </si>
  <si>
    <t xml:space="preserve">INP_014</t>
  </si>
  <si>
    <t xml:space="preserve">pct</t>
  </si>
  <si>
    <t xml:space="preserve">百分比換算除數（定義常數）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</si>
  <si>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／比例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</si>
  <si>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登錄者換成比例</t>
    </r>
  </si>
  <si>
    <t xml:space="preserve">INP_015</t>
  </si>
  <si>
    <t xml:space="preserve">div_rev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</si>
  <si>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億元 的除數（定義常數）</t>
    </r>
  </si>
  <si>
    <r>
      <rPr>
        <sz val="10"/>
        <color rgb="FF000000"/>
        <rFont val="Arial"/>
        <family val="0"/>
        <charset val="1"/>
      </rPr>
      <t xml:space="preserve">1T × 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10^6 </t>
    </r>
    <r>
      <rPr>
        <sz val="10"/>
        <color rgb="FF000000"/>
        <rFont val="Noto Sans CJK SC"/>
        <family val="2"/>
      </rPr>
      <t xml:space="preserve">元＝</t>
    </r>
    <r>
      <rPr>
        <sz val="10"/>
        <color rgb="FF000000"/>
        <rFont val="Arial"/>
        <family val="0"/>
        <charset val="1"/>
      </rPr>
      <t xml:space="preserve">0.01 </t>
    </r>
    <r>
      <rPr>
        <sz val="10"/>
        <color rgb="FF000000"/>
        <rFont val="Noto Sans CJK SC"/>
        <family val="2"/>
      </rPr>
      <t xml:space="preserve">億元</t>
    </r>
  </si>
  <si>
    <t xml:space="preserve">INP_016</t>
  </si>
  <si>
    <t xml:space="preserve">div_wan_m_t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</si>
  <si>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</si>
  <si>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10^4 × 10^6 ÷ 10^12</t>
  </si>
  <si>
    <t xml:space="preserve">INP_017</t>
  </si>
  <si>
    <t xml:space="preserve">div_wan_yuan_yi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</si>
  <si>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元 → 億元 的除數（定義常數）</t>
    </r>
  </si>
  <si>
    <t xml:space="preserve">10^4 × 1 ÷ 10^8</t>
  </si>
  <si>
    <t xml:space="preserve">INP_018</t>
  </si>
  <si>
    <t xml:space="preserve">div_m_k_t</t>
  </si>
  <si>
    <r>
      <rPr>
        <sz val="10"/>
        <color rgb="FF000000"/>
        <rFont val="Noto Sans CJK SC"/>
        <family val="2"/>
      </rPr>
      <t xml:space="preserve">單位換算：百萬人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</si>
  <si>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10^6 × 10^3 ÷ 10^12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INP_239 B→T</t>
    </r>
    <r>
      <rPr>
        <sz val="10"/>
        <color rgb="FF000000"/>
        <rFont val="Noto Sans CJK SC"/>
        <family val="2"/>
      </rPr>
      <t xml:space="preserve">）</t>
    </r>
  </si>
  <si>
    <t xml:space="preserve">INP_019</t>
  </si>
  <si>
    <t xml:space="preserve">div_k_m</t>
  </si>
  <si>
    <r>
      <rPr>
        <sz val="10"/>
        <color rgb="FF000000"/>
        <rFont val="Noto Sans CJK SC"/>
        <family val="2"/>
      </rPr>
      <t xml:space="preserve">單位換算：千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</si>
  <si>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INP_020</t>
  </si>
  <si>
    <t xml:space="preserve">div_mn_yi</t>
  </si>
  <si>
    <t xml:space="preserve">單位換算：百萬元 → 億元 的除數（定義常數）</t>
  </si>
  <si>
    <t xml:space="preserve">券商與公告以百萬元登錄者</t>
  </si>
  <si>
    <t xml:space="preserve">INP_021</t>
  </si>
  <si>
    <t xml:space="preserve">mul_bn_yi</t>
  </si>
  <si>
    <t xml:space="preserve">單位換算：十億 → 億 的乘數（定義常數）</t>
  </si>
  <si>
    <r>
      <rPr>
        <sz val="10"/>
        <color rgb="FF000000"/>
        <rFont val="Noto Sans CJK SC"/>
        <family val="2"/>
      </rPr>
      <t xml:space="preserve">美元十億登錄者（管理層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</t>
    </r>
  </si>
  <si>
    <t xml:space="preserve">INP_022</t>
  </si>
  <si>
    <t xml:space="preserve">windows_day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</si>
  <si>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小時額度窗口數（定義常數）</t>
    </r>
  </si>
  <si>
    <t xml:space="preserve">個／日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</si>
  <si>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5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額度以每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小時計，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</t>
    </r>
  </si>
  <si>
    <t xml:space="preserve">INP_023</t>
  </si>
  <si>
    <t xml:space="preserve">fx_usdcny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</si>
  <si>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</si>
  <si>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元／美元</t>
  </si>
  <si>
    <r>
      <rPr>
        <sz val="10"/>
        <color rgb="FF000000"/>
        <rFont val="Noto Sans CJK SC"/>
        <family val="2"/>
      </rPr>
      <t xml:space="preserve">中國外匯交易中心 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 </t>
    </r>
    <r>
      <rPr>
        <sz val="10"/>
        <color rgb="FF000000"/>
        <rFont val="Arial"/>
        <family val="0"/>
        <charset val="1"/>
      </rPr>
      <t xml:space="preserve">6.7399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FX168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日人民幣中間價列表〉，</t>
    </r>
    <r>
      <rPr>
        <sz val="10"/>
        <color rgb="FF000000"/>
        <rFont val="Arial"/>
        <family val="0"/>
        <charset val="1"/>
      </rPr>
      <t xml:space="preserve">hk.investing.com/news/forex-news/article-1676979</t>
    </r>
    <r>
      <rPr>
        <sz val="10"/>
        <color rgb="FF000000"/>
        <rFont val="Noto Sans CJK SC"/>
        <family val="2"/>
      </rPr>
      <t xml:space="preserve">；擷取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國慶休市）；基準固定不外推</t>
    </r>
  </si>
  <si>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</t>
    </r>
  </si>
  <si>
    <t xml:space="preserve">INP_024</t>
  </si>
  <si>
    <t xml:space="preserve">fx_hkdcny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</si>
  <si>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</si>
  <si>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元／港元</t>
  </si>
  <si>
    <r>
      <rPr>
        <sz val="10"/>
        <color rgb="FF000000"/>
        <rFont val="Noto Sans CJK SC"/>
        <family val="2"/>
      </rPr>
      <t xml:space="preserve">同上，港元中間價 </t>
    </r>
    <r>
      <rPr>
        <sz val="10"/>
        <color rgb="FF000000"/>
        <rFont val="Arial"/>
        <family val="0"/>
        <charset val="1"/>
      </rPr>
      <t xml:space="preserve">0.85923</t>
    </r>
  </si>
  <si>
    <t xml:space="preserve">INP_025</t>
  </si>
  <si>
    <t xml:space="preserve">long_ctx_share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</si>
  <si>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長上下文（輸入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</si>
  <si>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t xml:space="preserve">Assumed</t>
  </si>
  <si>
    <r>
      <rPr>
        <sz val="10"/>
        <color rgb="FF000000"/>
        <rFont val="Noto Sans CJK SC"/>
        <family val="2"/>
      </rPr>
      <t xml:space="preserve">牌價依輸入長度分檔（</t>
    </r>
    <r>
      <rPr>
        <sz val="10"/>
        <color rgb="FF000000"/>
        <rFont val="Arial"/>
        <family val="0"/>
        <charset val="1"/>
      </rPr>
      <t xml:space="preserve">SRC_ZP_290–316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317–325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以外的開發者流量以代理與程式碼為大宗、上下文長；公司未揭露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</si>
  <si>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（以對話為主）～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（幾乎全為代理）</t>
    </r>
  </si>
  <si>
    <t xml:space="preserve">INP_026</t>
  </si>
  <si>
    <t xml:space="preserve">days_era47_1h26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</si>
  <si>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</si>
  <si>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）前的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天數</t>
    </r>
  </si>
  <si>
    <t xml:space="preserve">由發布日推得</t>
  </si>
  <si>
    <t xml:space="preserve">INP_027</t>
  </si>
  <si>
    <t xml:space="preserve">days_era5_1h26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</si>
  <si>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04-06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</si>
  <si>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SRC_ZP_392</t>
    </r>
    <r>
      <rPr>
        <sz val="10"/>
        <color rgb="FF000000"/>
        <rFont val="Noto Sans CJK SC"/>
        <family val="2"/>
      </rPr>
      <t xml:space="preserve">）</t>
    </r>
  </si>
  <si>
    <t xml:space="preserve">INP_028</t>
  </si>
  <si>
    <t xml:space="preserve">days_flash_2h26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</si>
  <si>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</si>
  <si>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SRC_ZP_396</t>
    </r>
    <r>
      <rPr>
        <sz val="10"/>
        <color rgb="FF000000"/>
        <rFont val="Noto Sans CJK SC"/>
        <family val="2"/>
      </rPr>
      <t xml:space="preserve">）起；之前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牌價計</t>
    </r>
  </si>
  <si>
    <t xml:space="preserve">INP_029</t>
  </si>
  <si>
    <t xml:space="preserve">out_share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</si>
  <si>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</si>
  <si>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）；差異：智譜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以程式碼代理為主，輸入（含快取）占比較高，取較低值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</si>
  <si>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（長上下文代理）～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（對話與生成）</t>
    </r>
  </si>
  <si>
    <t xml:space="preserve">INP_030</t>
  </si>
  <si>
    <t xml:space="preserve">cache_hit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</si>
  <si>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快取命中率（輸入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</si>
  <si>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）；智譜快取價約輸入價 </t>
    </r>
    <r>
      <rPr>
        <sz val="10"/>
        <color rgb="FF000000"/>
        <rFont val="Arial"/>
        <family val="0"/>
        <charset val="1"/>
      </rPr>
      <t xml:space="preserve">20–25%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SRC_ZP_284–331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</si>
  <si>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</si>
  <si>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INP_031</t>
  </si>
  <si>
    <t xml:space="preserve">discount_free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</si>
  <si>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折扣與免費額度比例（牌價→實收）</t>
    </r>
  </si>
  <si>
    <r>
      <rPr>
        <sz val="10"/>
        <color rgb="FF000000"/>
        <rFont val="Arial"/>
        <family val="0"/>
        <charset val="1"/>
      </rPr>
      <t xml:space="preserve">OpenAI v0.6 INP_030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；智譜另有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五折（</t>
    </r>
    <r>
      <rPr>
        <sz val="10"/>
        <color rgb="FF000000"/>
        <rFont val="Arial"/>
        <family val="0"/>
        <charset val="1"/>
      </rPr>
      <t xml:space="preserve">SRC_ZP_332</t>
    </r>
    <r>
      <rPr>
        <sz val="10"/>
        <color rgb="FF000000"/>
        <rFont val="Noto Sans CJK SC"/>
        <family val="2"/>
      </rPr>
      <t xml:space="preserve">）、新用戶贈送額度、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限時五折、企業協議價，取較高值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</si>
  <si>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</si>
  <si>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INP_032</t>
  </si>
  <si>
    <t xml:space="preserve">sol_share_2025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</si>
  <si>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</si>
  <si>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主力旗艦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Air </t>
    </r>
    <r>
      <rPr>
        <sz val="10"/>
        <color rgb="FF000000"/>
        <rFont val="Noto Sans CJK SC"/>
        <family val="2"/>
      </rPr>
      <t xml:space="preserve">系列（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）價格低一個數量級；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GLM-5.2 </t>
    </r>
    <r>
      <rPr>
        <sz val="10"/>
        <color rgb="FF000000"/>
        <rFont val="Noto Sans CJK SC"/>
        <family val="2"/>
      </rPr>
      <t xml:space="preserve">單一型號占全平台 </t>
    </r>
    <r>
      <rPr>
        <sz val="10"/>
        <color rgb="FF000000"/>
        <rFont val="Arial"/>
        <family val="0"/>
        <charset val="1"/>
      </rPr>
      <t xml:space="preserve">5.5%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份額找不到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</si>
  <si>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</t>
    </r>
  </si>
  <si>
    <t xml:space="preserve">INP_033</t>
  </si>
  <si>
    <t xml:space="preserve">sol_share_2026</t>
  </si>
  <si>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推出後旗艦占比上升（呼叫需求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SRC_ZP_421 </t>
    </r>
    <r>
      <rPr>
        <sz val="10"/>
        <color rgb="FF000000"/>
        <rFont val="Noto Sans CJK SC"/>
        <family val="2"/>
      </rPr>
      <t xml:space="preserve">只作方向）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</si>
  <si>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0.85</t>
    </r>
  </si>
  <si>
    <t xml:space="preserve">INP_034</t>
  </si>
  <si>
    <t xml:space="preserve">sol_share_2027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</si>
  <si>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</si>
  <si>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亦以最後一值延伸）</t>
    </r>
  </si>
  <si>
    <t xml:space="preserve">INP_035</t>
  </si>
  <si>
    <t xml:space="preserve">px_chg_sol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</si>
  <si>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Sol</t>
    </r>
  </si>
  <si>
    <t xml:space="preserve">比例／年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</si>
  <si>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／年）；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INP_022 mid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）；智譜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實際漲價（</t>
    </r>
    <r>
      <rPr>
        <sz val="10"/>
        <color rgb="FF000000"/>
        <rFont val="Arial"/>
        <family val="0"/>
        <charset val="1"/>
      </rPr>
      <t xml:space="preserve">+83%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SRC_ZP_346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347</t>
    </r>
    <r>
      <rPr>
        <sz val="10"/>
        <color rgb="FF000000"/>
        <rFont val="Noto Sans CJK SC"/>
        <family val="2"/>
      </rPr>
      <t xml:space="preserve">）故上緣放寬到 </t>
    </r>
    <r>
      <rPr>
        <sz val="10"/>
        <color rgb="FF000000"/>
        <rFont val="Arial"/>
        <family val="0"/>
        <charset val="1"/>
      </rPr>
      <t xml:space="preserve">+20%</t>
    </r>
  </si>
  <si>
    <r>
      <rPr>
        <sz val="10"/>
        <color rgb="FF000000"/>
        <rFont val="Arial"/>
        <family val="0"/>
        <charset val="1"/>
      </rPr>
      <t xml:space="preserve">−40%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（工作單）</t>
    </r>
  </si>
  <si>
    <t xml:space="preserve">INP_036</t>
  </si>
  <si>
    <t xml:space="preserve">px_chg_luna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</si>
  <si>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</si>
  <si>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INP_023 low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</si>
  <si>
    <t xml:space="preserve">INP_037</t>
  </si>
  <si>
    <t xml:space="preserve">tpt_base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</si>
  <si>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</si>
  <si>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／任務</t>
    </r>
  </si>
  <si>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以程式碼代理為主，每任務上下文較長；只影響任務數與每任務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</si>
  <si>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</si>
  <si>
    <t xml:space="preserve">INP_038</t>
  </si>
  <si>
    <t xml:space="preserve">g_task_2h26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</si>
  <si>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</si>
  <si>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t xml:space="preserve">比例／半年</t>
  </si>
  <si>
    <r>
      <rPr>
        <sz val="10"/>
        <color rgb="FF000000"/>
        <rFont val="Noto Sans CJK SC"/>
        <family val="2"/>
      </rPr>
      <t xml:space="preserve">實際值參考（</t>
    </r>
    <r>
      <rPr>
        <sz val="10"/>
        <color rgb="FF000000"/>
        <rFont val="Arial"/>
        <family val="0"/>
        <charset val="1"/>
      </rPr>
      <t xml:space="preserve">Demand </t>
    </r>
    <r>
      <rPr>
        <sz val="10"/>
        <color rgb="FF000000"/>
        <rFont val="Noto Sans CJK SC"/>
        <family val="2"/>
      </rPr>
      <t xml:space="preserve">對照列 </t>
    </r>
    <r>
      <rPr>
        <sz val="10"/>
        <color rgb="FF000000"/>
        <rFont val="Arial"/>
        <family val="0"/>
        <charset val="1"/>
      </rPr>
      <t xml:space="preserve">D33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1H26 ÷ 2H25 </t>
    </r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實際營收 </t>
    </r>
    <r>
      <rPr>
        <sz val="10"/>
        <color rgb="FF000000"/>
        <rFont val="Arial"/>
        <family val="0"/>
        <charset val="1"/>
      </rPr>
      <t xml:space="preserve">5.1 </t>
    </r>
    <r>
      <rPr>
        <sz val="10"/>
        <color rgb="FF000000"/>
        <rFont val="Noto Sans CJK SC"/>
        <family val="2"/>
      </rPr>
      <t xml:space="preserve">倍，除以模型組合有效單價 </t>
    </r>
    <r>
      <rPr>
        <sz val="10"/>
        <color rgb="FF000000"/>
        <rFont val="Arial"/>
        <family val="0"/>
        <charset val="1"/>
      </rPr>
      <t xml:space="preserve">1.58 </t>
    </r>
    <r>
      <rPr>
        <sz val="10"/>
        <color rgb="FF000000"/>
        <rFont val="Noto Sans CJK SC"/>
        <family val="2"/>
      </rPr>
      <t xml:space="preserve">倍，量約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倍（＋</t>
    </r>
    <r>
      <rPr>
        <sz val="10"/>
        <color rgb="FF000000"/>
        <rFont val="Arial"/>
        <family val="0"/>
        <charset val="1"/>
      </rPr>
      <t xml:space="preserve">224%</t>
    </r>
    <r>
      <rPr>
        <sz val="10"/>
        <color rgb="FF000000"/>
        <rFont val="Noto Sans CJK SC"/>
        <family val="2"/>
      </rPr>
      <t xml:space="preserve">）；取放緩至＋</t>
    </r>
    <r>
      <rPr>
        <sz val="10"/>
        <color rgb="FF000000"/>
        <rFont val="Arial"/>
        <family val="0"/>
        <charset val="1"/>
      </rPr>
      <t xml:space="preserve">130%</t>
    </r>
    <r>
      <rPr>
        <sz val="10"/>
        <color rgb="FF000000"/>
        <rFont val="Noto Sans CJK SC"/>
        <family val="2"/>
      </rPr>
      <t xml:space="preserve">（保守）；不使用公司『較年初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倍』與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說法（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</si>
  <si>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（成長快速放緩）～</t>
    </r>
    <r>
      <rPr>
        <sz val="10"/>
        <color rgb="FF000000"/>
        <rFont val="Arial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（約延續 </t>
    </r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動能）</t>
    </r>
  </si>
  <si>
    <t xml:space="preserve">INP_039</t>
  </si>
  <si>
    <t xml:space="preserve">g_tpt_2h26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</si>
  <si>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</si>
  <si>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）的半年約當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</si>
  <si>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</si>
  <si>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INP_040</t>
  </si>
  <si>
    <t xml:space="preserve">g_task_2027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</si>
  <si>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</si>
  <si>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+45%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；智譜基期小、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成長極快，取較高值；年對年（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全年基數）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</si>
  <si>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×0.5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×2</t>
    </r>
  </si>
  <si>
    <t xml:space="preserve">INP_041</t>
  </si>
  <si>
    <t xml:space="preserve">g_task_2028</t>
  </si>
  <si>
    <r>
      <rPr>
        <sz val="10"/>
        <color rgb="FF000000"/>
        <rFont val="Arial"/>
        <family val="0"/>
        <charset val="1"/>
      </rPr>
      <t xml:space="preserve">OpenAI v0.6 INP_035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+35%</t>
    </r>
    <r>
      <rPr>
        <sz val="10"/>
        <color rgb="FF000000"/>
        <rFont val="Noto Sans CJK SC"/>
        <family val="2"/>
      </rPr>
      <t xml:space="preserve">）；同上</t>
    </r>
  </si>
  <si>
    <t xml:space="preserve">INP_042</t>
  </si>
  <si>
    <t xml:space="preserve">g_task_2029</t>
  </si>
  <si>
    <r>
      <rPr>
        <sz val="10"/>
        <color rgb="FF000000"/>
        <rFont val="Arial"/>
        <family val="0"/>
        <charset val="1"/>
      </rPr>
      <t xml:space="preserve">OpenAI v0.6 INP_036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+25%</t>
    </r>
    <r>
      <rPr>
        <sz val="10"/>
        <color rgb="FF000000"/>
        <rFont val="Noto Sans CJK SC"/>
        <family val="2"/>
      </rPr>
      <t xml:space="preserve">）；同上</t>
    </r>
  </si>
  <si>
    <t xml:space="preserve">INP_043</t>
  </si>
  <si>
    <t xml:space="preserve">g_task_2030</t>
  </si>
  <si>
    <r>
      <rPr>
        <sz val="10"/>
        <color rgb="FF000000"/>
        <rFont val="Arial"/>
        <family val="0"/>
        <charset val="1"/>
      </rPr>
      <t xml:space="preserve">OpenAI v0.6 INP_037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）；同上</t>
    </r>
  </si>
  <si>
    <t xml:space="preserve">INP_044</t>
  </si>
  <si>
    <t xml:space="preserve">g_tpt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</si>
  <si>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年增率（不含價格）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</si>
  <si>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）；下緣放寬到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額度已限制每任務用量）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</si>
  <si>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0.25</t>
    </r>
  </si>
  <si>
    <t xml:space="preserve">INP_045</t>
  </si>
  <si>
    <t xml:space="preserve">el_task</t>
  </si>
  <si>
    <t xml:space="preserve">價格彈性：任務數</t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</si>
  <si>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</si>
  <si>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</si>
  <si>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）；智譜自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起套用（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</si>
  <si>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INP_046</t>
  </si>
  <si>
    <t xml:space="preserve">el_tpt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</si>
  <si>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</si>
  <si>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</si>
  <si>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INP_047</t>
  </si>
  <si>
    <t xml:space="preserve">free_api_ratio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</si>
  <si>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</si>
  <si>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長期免費（</t>
    </r>
    <r>
      <rPr>
        <sz val="10"/>
        <color rgb="FF000000"/>
        <rFont val="Arial"/>
        <family val="0"/>
        <charset val="1"/>
      </rPr>
      <t xml:space="preserve">SRC_ZP_333</t>
    </r>
    <r>
      <rPr>
        <sz val="10"/>
        <color rgb="FF000000"/>
        <rFont val="Noto Sans CJK SC"/>
        <family val="2"/>
      </rPr>
      <t xml:space="preserve">）；免費型號耗算力不產生營收（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）；占比找不到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</si>
  <si>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</si>
  <si>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INP_048</t>
  </si>
  <si>
    <t xml:space="preserve">cp_subs_r1h26</t>
  </si>
  <si>
    <r>
      <rPr>
        <sz val="10"/>
        <color rgb="FF000000"/>
        <rFont val="Arial"/>
        <family val="0"/>
        <charset val="1"/>
      </rPr>
      <t xml:space="preserve">Coding Plan 1H26 </t>
    </r>
    <r>
      <rPr>
        <sz val="10"/>
        <color rgb="FF000000"/>
        <rFont val="Noto Sans CJK SC"/>
        <family val="2"/>
      </rPr>
      <t xml:space="preserve">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付費開發者數（</t>
    </r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</si>
  <si>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時點（</t>
    </r>
    <r>
      <rPr>
        <sz val="10"/>
        <color rgb="FF000000"/>
        <rFont val="Arial"/>
        <family val="0"/>
        <charset val="1"/>
      </rPr>
      <t xml:space="preserve">SRC_ZP_402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實際值，非目標），位於上半年中點；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收入未單列、無法由營收倒推（工作單：查無則給區間）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</si>
  <si>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（年初基數低）～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（上半年後段快速成長；呼叫量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倍說法只作方向）</t>
    </r>
  </si>
  <si>
    <t xml:space="preserve">INP_049</t>
  </si>
  <si>
    <t xml:space="preserve">cp_subs_r2025</t>
  </si>
  <si>
    <r>
      <rPr>
        <sz val="10"/>
        <color rgb="FF000000"/>
        <rFont val="Arial"/>
        <family val="0"/>
        <charset val="1"/>
      </rPr>
      <t xml:space="preserve">Coding Plan 2025 </t>
    </r>
    <r>
      <rPr>
        <sz val="10"/>
        <color rgb="FF000000"/>
        <rFont val="Noto Sans CJK SC"/>
        <family val="2"/>
      </rPr>
      <t xml:space="preserve">全年平均付費訂閱者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</si>
  <si>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Arial"/>
        <family val="0"/>
        <charset val="1"/>
      </rPr>
      <t xml:space="preserve">2025-09-01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SRC_ZP_354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只有四個月；全年平均＝四個月平均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</si>
  <si>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</si>
  <si>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INP_050</t>
  </si>
  <si>
    <t xml:space="preserve">cp_g_2h26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</si>
  <si>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</si>
  <si>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起限額與舊套餐停續（</t>
    </r>
    <r>
      <rPr>
        <sz val="10"/>
        <color rgb="FF000000"/>
        <rFont val="Arial"/>
        <family val="0"/>
        <charset val="1"/>
      </rPr>
      <t xml:space="preserve">SRC_ZP_353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376</t>
    </r>
    <r>
      <rPr>
        <sz val="10"/>
        <color rgb="FF000000"/>
        <rFont val="Noto Sans CJK SC"/>
        <family val="2"/>
      </rPr>
      <t xml:space="preserve">）抑制成長；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國際站漲價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</si>
  <si>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1.5</t>
    </r>
  </si>
  <si>
    <t xml:space="preserve">INP_051</t>
  </si>
  <si>
    <t xml:space="preserve">cp_g_2027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</si>
  <si>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訂閱者年增率</t>
    </r>
  </si>
  <si>
    <t xml:space="preserve">程式碼代理訂閱市場擴張；無可觀察資料</t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</si>
  <si>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</si>
  <si>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INP_052</t>
  </si>
  <si>
    <t xml:space="preserve">cp_g_2028</t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</si>
  <si>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</t>
    </r>
  </si>
  <si>
    <t xml:space="preserve">INP_053</t>
  </si>
  <si>
    <t xml:space="preserve">cp_g_2029</t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</si>
  <si>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</si>
  <si>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INP_054</t>
  </si>
  <si>
    <t xml:space="preserve">cp_g_2030</t>
  </si>
  <si>
    <t xml:space="preserve">INP_055</t>
  </si>
  <si>
    <t xml:space="preserve">cp_mix_lite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</si>
  <si>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占訂閱者</t>
    </r>
  </si>
  <si>
    <t xml:space="preserve">入門方案通常占多數；公司未揭露</t>
  </si>
  <si>
    <t xml:space="preserve">INP_056</t>
  </si>
  <si>
    <t xml:space="preserve">cp_mix_pro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</si>
  <si>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占訂閱者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</si>
  <si>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（不另輸入）</t>
    </r>
  </si>
  <si>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0.45</t>
    </r>
  </si>
  <si>
    <t xml:space="preserve">INP_057</t>
  </si>
  <si>
    <t xml:space="preserve">cp_intl_share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</si>
  <si>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國際站訂閱者占比</t>
    </r>
  </si>
  <si>
    <r>
      <rPr>
        <sz val="10"/>
        <color rgb="FF000000"/>
        <rFont val="Noto Sans CJK SC"/>
        <family val="2"/>
      </rPr>
      <t xml:space="preserve">用戶覆蓋 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個國家與地區（</t>
    </r>
    <r>
      <rPr>
        <sz val="10"/>
        <color rgb="FF000000"/>
        <rFont val="Arial"/>
        <family val="0"/>
        <charset val="1"/>
      </rPr>
      <t xml:space="preserve">SRC_ZP_408</t>
    </r>
    <r>
      <rPr>
        <sz val="10"/>
        <color rgb="FF000000"/>
        <rFont val="Noto Sans CJK SC"/>
        <family val="2"/>
      </rPr>
      <t xml:space="preserve">）；海外營收占比未揭露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</si>
  <si>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0.5</t>
    </r>
  </si>
  <si>
    <t xml:space="preserve">INP_058</t>
  </si>
  <si>
    <t xml:space="preserve">cp_bill_disc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</si>
  <si>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季付／年付折扣加權（牌價月付→實收）</t>
    </r>
  </si>
  <si>
    <r>
      <rPr>
        <sz val="10"/>
        <color rgb="FF000000"/>
        <rFont val="Noto Sans CJK SC"/>
        <family val="2"/>
      </rPr>
      <t xml:space="preserve">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折、包年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折（</t>
    </r>
    <r>
      <rPr>
        <sz val="10"/>
        <color rgb="FF000000"/>
        <rFont val="Arial"/>
        <family val="0"/>
        <charset val="1"/>
      </rPr>
      <t xml:space="preserve">SRC_ZP_356–364</t>
    </r>
    <r>
      <rPr>
        <sz val="10"/>
        <color rgb="FF000000"/>
        <rFont val="Noto Sans CJK SC"/>
        <family val="2"/>
      </rPr>
      <t xml:space="preserve">）；國際站季付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、年付 −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</si>
  <si>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（多為月付）～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（多為年付）</t>
    </r>
  </si>
  <si>
    <t xml:space="preserve">INP_059</t>
  </si>
  <si>
    <t xml:space="preserve">cp_px_chg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</si>
  <si>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方案價格年變動率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</si>
  <si>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兩次漲價後維持；無資料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</si>
  <si>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</si>
  <si>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INP_060</t>
  </si>
  <si>
    <t xml:space="preserve">cp_util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</si>
  <si>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額度使用率（平均每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小時窗口用掉的額度比例）</t>
    </r>
  </si>
  <si>
    <r>
      <rPr>
        <sz val="10"/>
        <color rgb="FF000000"/>
        <rFont val="Noto Sans CJK SC"/>
        <family val="2"/>
      </rPr>
      <t xml:space="preserve">額度為上限（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）；多數訂閱者不會每個窗口用滿</t>
    </r>
  </si>
  <si>
    <t xml:space="preserve">INP_061</t>
  </si>
  <si>
    <t xml:space="preserve">cp_calls_prompt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</si>
  <si>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模型呼叫次數</t>
    </r>
  </si>
  <si>
    <r>
      <rPr>
        <sz val="10"/>
        <color rgb="FF000000"/>
        <rFont val="Arial"/>
        <family val="0"/>
        <charset val="1"/>
      </rPr>
      <t xml:space="preserve">SRC_ZP_379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的中點（公司估計，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</si>
  <si>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區間</t>
    </r>
  </si>
  <si>
    <t xml:space="preserve">INP_062</t>
  </si>
  <si>
    <t xml:space="preserve">cp_ktok_call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</si>
  <si>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每次模型呼叫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</si>
  <si>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／次</t>
    </r>
  </si>
  <si>
    <t xml:space="preserve">程式碼代理每次呼叫攜帶專案上下文；找不到智譜數據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</si>
  <si>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40</t>
    </r>
  </si>
  <si>
    <t xml:space="preserve">INP_063</t>
  </si>
  <si>
    <t xml:space="preserve">cp_sol_share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</si>
  <si>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</si>
  <si>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主要呼叫 </t>
    </r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旗艦（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</si>
  <si>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</si>
  <si>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INP_064</t>
  </si>
  <si>
    <t xml:space="preserve">qy_mau_2025</t>
  </si>
  <si>
    <t xml:space="preserve">智譜清言月活用戶</t>
  </si>
  <si>
    <t xml:space="preserve">百萬人</t>
  </si>
  <si>
    <r>
      <rPr>
        <sz val="10"/>
        <color rgb="FF000000"/>
        <rFont val="Arial"/>
        <family val="0"/>
        <charset val="1"/>
      </rPr>
      <t xml:space="preserve">QuestMobile 2026Q1 </t>
    </r>
    <r>
      <rPr>
        <sz val="10"/>
        <color rgb="FF000000"/>
        <rFont val="Noto Sans CJK SC"/>
        <family val="2"/>
      </rPr>
      <t xml:space="preserve">未進月活前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SRC_ZP_434</t>
    </r>
    <r>
      <rPr>
        <sz val="10"/>
        <color rgb="FF000000"/>
        <rFont val="Noto Sans CJK SC"/>
        <family val="2"/>
      </rPr>
      <t xml:space="preserve">），無絕對值；取低值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</si>
  <si>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30</t>
    </r>
  </si>
  <si>
    <t xml:space="preserve">INP_065</t>
  </si>
  <si>
    <t xml:space="preserve">qy_g</t>
  </si>
  <si>
    <t xml:space="preserve">智譜清言月活年增率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</si>
  <si>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</si>
  <si>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公司重心轉向 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</si>
  <si>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+50%</t>
    </r>
  </si>
  <si>
    <t xml:space="preserve">INP_066</t>
  </si>
  <si>
    <t xml:space="preserve">qy_tasks</t>
  </si>
  <si>
    <t xml:space="preserve">智譜清言每月活用戶每日任務數</t>
  </si>
  <si>
    <t xml:space="preserve">任務／日</t>
  </si>
  <si>
    <r>
      <rPr>
        <sz val="10"/>
        <color rgb="FF000000"/>
        <rFont val="Arial"/>
        <family val="0"/>
        <charset val="1"/>
      </rPr>
      <t xml:space="preserve">OpenAI v0.6 INP_102–103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，以週活為分母）；差異：清言以月活為分母、含低頻用戶，取較低值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</si>
  <si>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</t>
    </r>
  </si>
  <si>
    <t xml:space="preserve">INP_067</t>
  </si>
  <si>
    <t xml:space="preserve">qy_ktok_task</t>
  </si>
  <si>
    <r>
      <rPr>
        <sz val="10"/>
        <color rgb="FF000000"/>
        <rFont val="Noto Sans CJK SC"/>
        <family val="2"/>
      </rPr>
      <t xml:space="preserve">智譜清言每任務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</si>
  <si>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INP_112–113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2–2.94 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</si>
  <si>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</t>
    </r>
  </si>
  <si>
    <t xml:space="preserve">INP_068</t>
  </si>
  <si>
    <t xml:space="preserve">qy_sol_share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</si>
  <si>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</si>
  <si>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端多以輕量模型服務</t>
    </r>
  </si>
  <si>
    <t xml:space="preserve">INP_069</t>
  </si>
  <si>
    <t xml:space="preserve">onprem_k_2h26</t>
  </si>
  <si>
    <r>
      <rPr>
        <sz val="10"/>
        <color rgb="FF000000"/>
        <rFont val="Noto Sans CJK SC"/>
        <family val="2"/>
      </rPr>
      <t xml:space="preserve">本地化部署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同比延續係數（</t>
    </r>
    <r>
      <rPr>
        <sz val="10"/>
        <color rgb="FF000000"/>
        <rFont val="Arial"/>
        <family val="0"/>
        <charset val="1"/>
      </rPr>
      <t xml:space="preserve">2H26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2H25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＋係數 </t>
    </r>
    <r>
      <rPr>
        <sz val="10"/>
        <color rgb="FF000000"/>
        <rFont val="Arial"/>
        <family val="0"/>
        <charset val="1"/>
      </rPr>
      <t xml:space="preserve">× 1H26 </t>
    </r>
    <r>
      <rPr>
        <sz val="10"/>
        <color rgb="FF000000"/>
        <rFont val="Noto Sans CJK SC"/>
        <family val="2"/>
      </rPr>
      <t xml:space="preserve">同比））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</si>
  <si>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實際，各業務線分開（企業級通用大模型 </t>
    </r>
    <r>
      <rPr>
        <sz val="10"/>
        <color rgb="FF000000"/>
        <rFont val="Arial"/>
        <family val="0"/>
        <charset val="1"/>
      </rPr>
      <t xml:space="preserve">1H </t>
    </r>
    <r>
      <rPr>
        <sz val="10"/>
        <color rgb="FF000000"/>
        <rFont val="Noto Sans CJK SC"/>
        <family val="2"/>
      </rPr>
      <t xml:space="preserve">同比 −</t>
    </r>
    <r>
      <rPr>
        <sz val="10"/>
        <color rgb="FF000000"/>
        <rFont val="Arial"/>
        <family val="0"/>
        <charset val="1"/>
      </rPr>
      <t xml:space="preserve">54.6%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＝下半年延續上半年各線同比，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＝下半年持平於 </t>
    </r>
    <r>
      <rPr>
        <sz val="10"/>
        <color rgb="FF000000"/>
        <rFont val="Arial"/>
        <family val="0"/>
        <charset val="1"/>
      </rPr>
      <t xml:space="preserve">2H25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</si>
  <si>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</t>
    </r>
  </si>
  <si>
    <t xml:space="preserve">INP_070</t>
  </si>
  <si>
    <t xml:space="preserve">onprem_g</t>
  </si>
  <si>
    <t xml:space="preserve">本地化部署營收年增率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</si>
  <si>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</t>
    </r>
  </si>
  <si>
    <t xml:space="preserve">工作單</t>
  </si>
  <si>
    <t xml:space="preserve">INP_071</t>
  </si>
  <si>
    <t xml:space="preserve">ads_rev</t>
  </si>
  <si>
    <t xml:space="preserve">廣告營收</t>
  </si>
  <si>
    <t xml:space="preserve">全期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</si>
  <si>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：無廣告業務揭露</t>
    </r>
  </si>
  <si>
    <t xml:space="preserve">無業務</t>
  </si>
  <si>
    <t xml:space="preserve">INP_072</t>
  </si>
  <si>
    <t xml:space="preserve">cap_placeholder</t>
  </si>
  <si>
    <r>
      <rPr>
        <sz val="10"/>
        <color rgb="FF000000"/>
        <rFont val="Noto Sans CJK SC"/>
        <family val="2"/>
      </rPr>
      <t xml:space="preserve">容量上限係數（佔位；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後取代）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</si>
  <si>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步：先以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佔位，只回乘雲端營收</t>
    </r>
  </si>
  <si>
    <t xml:space="preserve">佔位</t>
  </si>
  <si>
    <t xml:space="preserve">INP_073</t>
  </si>
  <si>
    <t xml:space="preserve">arr_warn</t>
  </si>
  <si>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門檻（模型年化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ARR − 1 </t>
    </r>
    <r>
      <rPr>
        <sz val="10"/>
        <color rgb="FF000000"/>
        <rFont val="Noto Sans CJK SC"/>
        <family val="2"/>
      </rPr>
      <t xml:space="preserve">的絕對值）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</si>
  <si>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 &gt;25%</t>
    </r>
    <r>
      <rPr>
        <sz val="10"/>
        <color rgb="FF000000"/>
        <rFont val="Noto Sans CJK SC"/>
        <family val="2"/>
      </rPr>
      <t xml:space="preserve">）</t>
    </r>
  </si>
  <si>
    <t xml:space="preserve">規格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</si>
  <si>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按量計費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GLM Coding Plan </t>
    </r>
    <r>
      <rPr>
        <b val="true"/>
        <sz val="13"/>
        <rFont val="Noto Sans CJK SC"/>
        <family val="2"/>
      </rPr>
      <t xml:space="preserve">訂閱者與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、智譜清言（免費）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；輸出 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（層級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Luna 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</si>
  <si>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為校準期：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＝（開放平台及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實際營收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估計營收）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組合有效單價（規格 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；單價為驅動、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為倒推）。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）。本地化部署不耗智譜算力，不進本頁（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</si>
  <si>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訂閱者單位萬人；清言用戶百萬人；任務數十億。容量上限於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；本頁不截頂。</t>
    </r>
  </si>
  <si>
    <t xml:space="preserve">編號</t>
  </si>
  <si>
    <t xml:space="preserve">年度</t>
  </si>
  <si>
    <r>
      <rPr>
        <b val="true"/>
        <sz val="10"/>
        <rFont val="Arial"/>
        <family val="0"/>
        <charset val="1"/>
      </rPr>
      <t xml:space="preserve">1H2026</t>
    </r>
    <r>
      <rPr>
        <b val="true"/>
        <sz val="10"/>
        <rFont val="Noto Sans CJK SC"/>
        <family val="2"/>
      </rPr>
      <t xml:space="preserve">（實際）</t>
    </r>
  </si>
  <si>
    <r>
      <rPr>
        <b val="true"/>
        <sz val="10"/>
        <rFont val="Arial"/>
        <family val="0"/>
        <charset val="1"/>
      </rPr>
      <t xml:space="preserve">2H2026</t>
    </r>
    <r>
      <rPr>
        <b val="true"/>
        <sz val="10"/>
        <rFont val="Noto Sans CJK SC"/>
        <family val="2"/>
      </rPr>
      <t xml:space="preserve">（驅動）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</si>
  <si>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按量計費（開放平台及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扣除 </t>
    </r>
    <r>
      <rPr>
        <b val="true"/>
        <sz val="10"/>
        <rFont val="Arial"/>
        <family val="0"/>
        <charset val="1"/>
      </rPr>
      <t xml:space="preserve">Coding Plan</t>
    </r>
    <r>
      <rPr>
        <b val="true"/>
        <sz val="10"/>
        <rFont val="Noto Sans CJK SC"/>
        <family val="2"/>
      </rPr>
      <t xml:space="preserve">）</t>
    </r>
  </si>
  <si>
    <t xml:space="preserve">D01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</si>
  <si>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</si>
  <si>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 ÷ 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 ÷ 2H26</t>
    </r>
    <r>
      <rPr>
        <sz val="9"/>
        <color rgb="FF595959"/>
        <rFont val="Noto Sans CJK SC"/>
        <family val="2"/>
      </rPr>
      <t xml:space="preserve">（最新價格水準）；之後逐年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</si>
  <si>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</si>
  <si>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</si>
  <si>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（每任務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全年任務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</si>
  <si>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</si>
  <si>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</si>
  <si>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</si>
  <si>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全年為基期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</si>
  <si>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</si>
  <si>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</si>
  <si>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：按量計費營收（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估計）</t>
    </r>
    <r>
      <rPr>
        <sz val="9"/>
        <color rgb="FF595959"/>
        <rFont val="Arial"/>
        <family val="0"/>
        <charset val="1"/>
      </rPr>
      <t xml:space="preserve">× 100 ÷ </t>
    </r>
    <r>
      <rPr>
        <sz val="9"/>
        <color rgb="FF595959"/>
        <rFont val="Noto Sans CJK SC"/>
        <family val="2"/>
      </rPr>
      <t xml:space="preserve">組合有效單價（元／百萬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×100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</si>
  <si>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</si>
  <si>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</si>
  <si>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</si>
  <si>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</si>
  <si>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</si>
  <si>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D07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</si>
  <si>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；耗算力無營收）</t>
    </r>
  </si>
  <si>
    <r>
      <rPr>
        <sz val="9"/>
        <color rgb="FF595959"/>
        <rFont val="Arial"/>
        <family val="0"/>
        <charset val="1"/>
      </rPr>
      <t xml:space="preserve">GLM-4.7-Flash </t>
    </r>
    <r>
      <rPr>
        <sz val="9"/>
        <color rgb="FF595959"/>
        <rFont val="Noto Sans CJK SC"/>
        <family val="2"/>
      </rPr>
      <t xml:space="preserve">等免費型號（</t>
    </r>
    <r>
      <rPr>
        <sz val="9"/>
        <color rgb="FF595959"/>
        <rFont val="Arial"/>
        <family val="0"/>
        <charset val="1"/>
      </rPr>
      <t xml:space="preserve">SRC_ZP_333</t>
    </r>
    <r>
      <rPr>
        <sz val="9"/>
        <color rgb="FF595959"/>
        <rFont val="Noto Sans CJK SC"/>
        <family val="2"/>
      </rPr>
      <t xml:space="preserve">）＝付費 </t>
    </r>
    <r>
      <rPr>
        <sz val="9"/>
        <color rgb="FF595959"/>
        <rFont val="Arial"/>
        <family val="0"/>
        <charset val="1"/>
      </rPr>
      <t xml:space="preserve">API token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：免費型號單列）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</si>
  <si>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GLM Coding Plan</t>
    </r>
    <r>
      <rPr>
        <b val="true"/>
        <sz val="10"/>
        <rFont val="Noto Sans CJK SC"/>
        <family val="2"/>
      </rPr>
      <t xml:space="preserve">（訂閱者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每訂閱者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；收入在開放平台及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內，</t>
    </r>
    <r>
      <rPr>
        <b val="true"/>
        <sz val="10"/>
        <rFont val="Arial"/>
        <family val="0"/>
        <charset val="1"/>
      </rPr>
      <t xml:space="preserve">D2r</t>
    </r>
    <r>
      <rPr>
        <b val="true"/>
        <sz val="10"/>
        <rFont val="Noto Sans CJK SC"/>
        <family val="2"/>
      </rPr>
      <t xml:space="preserve">）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</si>
  <si>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</si>
  <si>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付費訂閱者（期間平均）</t>
    </r>
  </si>
  <si>
    <t xml:space="preserve">萬人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</si>
  <si>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付費開發者 </t>
    </r>
    <r>
      <rPr>
        <sz val="9"/>
        <color rgb="FF595959"/>
        <rFont val="Arial"/>
        <family val="0"/>
        <charset val="1"/>
      </rPr>
      <t xml:space="preserve">24.2 </t>
    </r>
    <r>
      <rPr>
        <sz val="9"/>
        <color rgb="FF595959"/>
        <rFont val="Noto Sans CJK SC"/>
        <family val="2"/>
      </rPr>
      <t xml:space="preserve">萬（</t>
    </r>
    <r>
      <rPr>
        <sz val="9"/>
        <color rgb="FF595959"/>
        <rFont val="Arial"/>
        <family val="0"/>
        <charset val="1"/>
      </rPr>
      <t xml:space="preserve">SRC_ZP_402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倍數（營收未單列，無法倒推；工作單：給區間）；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欄＝兩個半年平均；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</si>
  <si>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</si>
  <si>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</si>
  <si>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方案組合（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</si>
  <si>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</si>
  <si>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Pro</t>
    </r>
  </si>
  <si>
    <t xml:space="preserve">D11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</si>
  <si>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Max</t>
    </r>
  </si>
  <si>
    <t xml:space="preserve">D12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</si>
  <si>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</si>
  <si>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／日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</si>
  <si>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小時額度（</t>
    </r>
    <r>
      <rPr>
        <sz val="9"/>
        <color rgb="FF595959"/>
        <rFont val="Arial"/>
        <family val="0"/>
        <charset val="1"/>
      </rPr>
      <t xml:space="preserve">SRC_ZP_376–378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每日窗口數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額度使用率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prompt </t>
    </r>
    <r>
      <rPr>
        <sz val="9"/>
        <color rgb="FF595959"/>
        <rFont val="Noto Sans CJK SC"/>
        <family val="2"/>
      </rPr>
      <t xml:space="preserve">呼叫次數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每次呼叫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1000</t>
    </r>
  </si>
  <si>
    <t xml:space="preserve">D13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</si>
  <si>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</si>
  <si>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D14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</si>
  <si>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</si>
  <si>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</si>
  <si>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</si>
  <si>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M → T</t>
    </r>
    <r>
      <rPr>
        <sz val="9"/>
        <color rgb="FF595959"/>
        <rFont val="Noto Sans CJK SC"/>
        <family val="2"/>
      </rPr>
      <t xml:space="preserve">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</si>
  <si>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</si>
  <si>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</si>
  <si>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</si>
  <si>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</si>
  <si>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</si>
  <si>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合計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</si>
  <si>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</si>
  <si>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</si>
  <si>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GLM-5.x </t>
    </r>
    <r>
      <rPr>
        <sz val="9"/>
        <color rgb="FF595959"/>
        <rFont val="Noto Sans CJK SC"/>
        <family val="2"/>
      </rPr>
      <t xml:space="preserve">旗艦為主（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）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</si>
  <si>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</si>
  <si>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</si>
  <si>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三、智譜清言（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端；無單列收入，免費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耗算力；年度）</t>
    </r>
  </si>
  <si>
    <t xml:space="preserve">D21</t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</si>
  <si>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QuestMobile </t>
    </r>
    <r>
      <rPr>
        <sz val="9"/>
        <color rgb="FF595959"/>
        <rFont val="Noto Sans CJK SC"/>
        <family val="2"/>
      </rPr>
      <t xml:space="preserve">未進前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SRC_ZP_434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區間）；之後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</si>
  <si>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D22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</si>
  <si>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</si>
  <si>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用戶（百萬）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× K → T</t>
    </r>
    <r>
      <rPr>
        <sz val="9"/>
        <color rgb="FF595959"/>
        <rFont val="Noto Sans CJK SC"/>
        <family val="2"/>
      </rPr>
      <t xml:space="preserve">）</t>
    </r>
  </si>
  <si>
    <t xml:space="preserve">D23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</si>
  <si>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</si>
  <si>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D24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</si>
  <si>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</si>
  <si>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Z3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</si>
  <si>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</si>
  <si>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</si>
  <si>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Sol</t>
    </r>
  </si>
  <si>
    <t xml:space="preserve">D26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</si>
  <si>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</si>
  <si>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Luna</t>
    </r>
  </si>
  <si>
    <t xml:space="preserve">D27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</si>
  <si>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</si>
  <si>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Sol</t>
    </r>
  </si>
  <si>
    <t xml:space="preserve">D28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</si>
  <si>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</si>
  <si>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型號</t>
    </r>
  </si>
  <si>
    <t xml:space="preserve">D29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</si>
  <si>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</si>
  <si>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</si>
  <si>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</si>
  <si>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D31</t>
  </si>
  <si>
    <t xml:space="preserve">五、對照（只列差距，不校準）</t>
  </si>
  <si>
    <t xml:space="preserve">D32</t>
  </si>
  <si>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實際隱含量成長（營收倍數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模型單價倍數）</t>
    </r>
  </si>
  <si>
    <r>
      <rPr>
        <sz val="9"/>
        <color rgb="FF595959"/>
        <rFont val="Noto Sans CJK SC"/>
        <family val="2"/>
      </rPr>
      <t xml:space="preserve">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÷ 2H25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）實際營收，除以 </t>
    </r>
    <r>
      <rPr>
        <sz val="9"/>
        <color rgb="FF595959"/>
        <rFont val="Arial"/>
        <family val="0"/>
        <charset val="1"/>
      </rPr>
      <t xml:space="preserve">1H26 ÷ 2025 </t>
    </r>
    <r>
      <rPr>
        <sz val="9"/>
        <color rgb="FF595959"/>
        <rFont val="Noto Sans CJK SC"/>
        <family val="2"/>
      </rPr>
      <t xml:space="preserve">組合有效單價；</t>
    </r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任務數成長的參考（實際值，非公司說法）</t>
    </r>
  </si>
  <si>
    <t xml:space="preserve">D33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</si>
  <si>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÷ 1H26 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</si>
  <si>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MaaS token </t>
    </r>
    <r>
      <rPr>
        <sz val="9"/>
        <color rgb="FF595959"/>
        <rFont val="Noto Sans CJK SC"/>
        <family val="2"/>
      </rPr>
      <t xml:space="preserve">呼叫量『較年初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倍以上』（</t>
    </r>
    <r>
      <rPr>
        <sz val="9"/>
        <color rgb="FF595959"/>
        <rFont val="Arial"/>
        <family val="0"/>
        <charset val="1"/>
      </rPr>
      <t xml:space="preserve">SRC_ZP_410</t>
    </r>
    <r>
      <rPr>
        <sz val="9"/>
        <color rgb="FF595959"/>
        <rFont val="Noto Sans CJK SC"/>
        <family val="2"/>
      </rPr>
      <t xml:space="preserve">；基期為年初時點，口徑不同）</t>
    </r>
  </si>
  <si>
    <t xml:space="preserve">D34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</si>
  <si>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token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</si>
  <si>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；只對照，不反推（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</si>
  <si>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</si>
  <si>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天數</t>
    </r>
  </si>
  <si>
    <r>
      <rPr>
        <sz val="9"/>
        <color rgb="FF595959"/>
        <rFont val="Noto Sans CJK SC"/>
        <family val="2"/>
      </rPr>
      <t xml:space="preserve">對照：招股章程 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SRC_ZP_413</t>
    </r>
    <r>
      <rPr>
        <sz val="9"/>
        <color rgb="FF595959"/>
        <rFont val="Noto Sans CJK SC"/>
        <family val="2"/>
      </rPr>
      <t xml:space="preserve">；口徑可能含全部雲端與免費）</t>
    </r>
  </si>
  <si>
    <t xml:space="preserve">D36</t>
  </si>
  <si>
    <r>
      <rPr>
        <sz val="10"/>
        <color rgb="FF000000"/>
        <rFont val="Noto Sans CJK SC"/>
        <family val="2"/>
      </rPr>
      <t xml:space="preserve">公司揭露：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</si>
  <si>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</si>
  <si>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（日均 </t>
    </r>
    <r>
      <rPr>
        <sz val="10"/>
        <color rgb="FF000000"/>
        <rFont val="Arial"/>
        <family val="0"/>
        <charset val="1"/>
      </rPr>
      <t xml:space="preserve">4.2T 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</si>
  <si>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類比 </t>
    </r>
    <r>
      <rPr>
        <sz val="9"/>
        <color rgb="FF595959"/>
        <rFont val="Arial"/>
        <family val="0"/>
        <charset val="1"/>
      </rPr>
      <t xml:space="preserve">OpenAI v0.6 DEM_ApiBilledRatio2025</t>
    </r>
    <r>
      <rPr>
        <sz val="9"/>
        <color rgb="FF595959"/>
        <rFont val="Noto Sans CJK SC"/>
        <family val="2"/>
      </rPr>
      <t xml:space="preserve">：揭露量多為免費、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與折扣流量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</si>
  <si>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營收：①開放平台及 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（按量計費＋</t>
    </r>
    <r>
      <rPr>
        <b val="true"/>
        <sz val="13"/>
        <rFont val="Arial"/>
        <family val="0"/>
        <charset val="1"/>
      </rPr>
      <t xml:space="preserve">Coding Plan </t>
    </r>
    <r>
      <rPr>
        <b val="true"/>
        <sz val="13"/>
        <rFont val="Noto Sans CJK SC"/>
        <family val="2"/>
      </rPr>
      <t xml:space="preserve">子列）②企業級智能體 ③企業級通用大模型 ④技術服務及其他；總額＝淨額；雲端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本地化、企業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個人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</si>
  <si>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牌價；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GLM-4.7→GLM-5→GLM-5.1 </t>
    </r>
    <r>
      <rPr>
        <sz val="9"/>
        <color rgb="FF595959"/>
        <rFont val="Noto Sans CJK SC"/>
        <family val="2"/>
      </rPr>
      <t xml:space="preserve">依發布日天數加權；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GLM-4.5-Air→GLM-5.3-Flash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＋年變動率）。輸入價依長上下文占比混合兩檔。有效單價＝［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</si>
  <si>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億；牌價 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價格 元／月。②③④＝本地化部署分部（不耗智譜算力，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）。容量上限暫以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佔位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），只回乘雲端營收。</t>
    </r>
  </si>
  <si>
    <r>
      <rPr>
        <b val="true"/>
        <sz val="10"/>
        <rFont val="Noto Sans CJK SC"/>
        <family val="2"/>
      </rPr>
      <t xml:space="preserve">一、價格期間權重（由發布日推得的天數；</t>
    </r>
    <r>
      <rPr>
        <b val="true"/>
        <sz val="10"/>
        <rFont val="Arial"/>
        <family val="0"/>
        <charset val="1"/>
      </rPr>
      <t xml:space="preserve">Inputs Derived</t>
    </r>
    <r>
      <rPr>
        <b val="true"/>
        <sz val="10"/>
        <rFont val="Noto Sans CJK SC"/>
        <family val="2"/>
      </rPr>
      <t xml:space="preserve">）</t>
    </r>
  </si>
  <si>
    <t xml:space="preserve">R01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</si>
  <si>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</si>
  <si>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2026-01-01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02-11 ÷ 181 </t>
    </r>
    <r>
      <rPr>
        <sz val="9"/>
        <color rgb="FF595959"/>
        <rFont val="Noto Sans CJK SC"/>
        <family val="2"/>
      </rPr>
      <t xml:space="preserve">天</t>
    </r>
  </si>
  <si>
    <t xml:space="preserve">R02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</si>
  <si>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</si>
  <si>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2026-02-12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04-06 ÷ 181 </t>
    </r>
    <r>
      <rPr>
        <sz val="9"/>
        <color rgb="FF595959"/>
        <rFont val="Noto Sans CJK SC"/>
        <family val="2"/>
      </rPr>
      <t xml:space="preserve">天</t>
    </r>
  </si>
  <si>
    <t xml:space="preserve">R03</t>
  </si>
  <si>
    <r>
      <rPr>
        <sz val="10"/>
        <color rgb="FF000000"/>
        <rFont val="Arial"/>
        <family val="0"/>
        <charset val="1"/>
      </rPr>
      <t xml:space="preserve">1H26 GLM-5.1 </t>
    </r>
    <r>
      <rPr>
        <sz val="10"/>
        <color rgb="FF000000"/>
        <rFont val="Noto Sans CJK SC"/>
        <family val="2"/>
      </rPr>
      <t xml:space="preserve">期間占比（＝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前兩者）</t>
    </r>
  </si>
  <si>
    <r>
      <rPr>
        <sz val="9"/>
        <color rgb="FF595959"/>
        <rFont val="Arial"/>
        <family val="0"/>
        <charset val="1"/>
      </rPr>
      <t xml:space="preserve">2026-04-07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06-30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GLM-5.2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06-16 </t>
    </r>
    <r>
      <rPr>
        <sz val="9"/>
        <color rgb="FF595959"/>
        <rFont val="Noto Sans CJK SC"/>
        <family val="2"/>
      </rPr>
      <t xml:space="preserve">發布，牌價同 </t>
    </r>
    <r>
      <rPr>
        <sz val="9"/>
        <color rgb="FF595959"/>
        <rFont val="Arial"/>
        <family val="0"/>
        <charset val="1"/>
      </rPr>
      <t xml:space="preserve">GLM-5.1 ≥32K </t>
    </r>
    <r>
      <rPr>
        <sz val="9"/>
        <color rgb="FF595959"/>
        <rFont val="Noto Sans CJK SC"/>
        <family val="2"/>
      </rPr>
      <t xml:space="preserve">檔）</t>
    </r>
  </si>
  <si>
    <t xml:space="preserve">R04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</si>
  <si>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期間占比（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</si>
  <si>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2026-08-26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 ÷ 184 </t>
    </r>
    <r>
      <rPr>
        <sz val="9"/>
        <color rgb="FF595959"/>
        <rFont val="Noto Sans CJK SC"/>
        <family val="2"/>
      </rPr>
      <t xml:space="preserve">天；之前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計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</si>
  <si>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輸入／快取／輸出）</t>
    </r>
  </si>
  <si>
    <t xml:space="preserve">R05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</si>
  <si>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輸入牌價</t>
    </r>
  </si>
  <si>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</si>
  <si>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32K–200K </t>
    </r>
    <r>
      <rPr>
        <sz val="9"/>
        <color rgb="FF595959"/>
        <rFont val="Noto Sans CJK SC"/>
        <family val="2"/>
      </rPr>
      <t xml:space="preserve">檔，依長上下文占比混合）；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：期間加權 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 1M </t>
    </r>
    <r>
      <rPr>
        <sz val="9"/>
        <color rgb="FF595959"/>
        <rFont val="Noto Sans CJK SC"/>
        <family val="2"/>
      </rPr>
      <t xml:space="preserve">全量；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欄為兩個半年的平均（顯示用）</t>
    </r>
  </si>
  <si>
    <t xml:space="preserve">R06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</si>
  <si>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快取命中輸入牌價</t>
    </r>
  </si>
  <si>
    <t xml:space="preserve">R07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</si>
  <si>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輸出牌價</t>
    </r>
  </si>
  <si>
    <t xml:space="preserve">R08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</si>
  <si>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</si>
  <si>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32K–128K </t>
    </r>
    <r>
      <rPr>
        <sz val="9"/>
        <color rgb="FF595959"/>
        <rFont val="Noto Sans CJK SC"/>
        <family val="2"/>
      </rPr>
      <t xml:space="preserve">檔混合）；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08-26 </t>
    </r>
    <r>
      <rPr>
        <sz val="9"/>
        <color rgb="FF595959"/>
        <rFont val="Noto Sans CJK SC"/>
        <family val="2"/>
      </rPr>
      <t xml:space="preserve">起）期間加權；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</si>
  <si>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R09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</si>
  <si>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快取命中輸入牌價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</si>
  <si>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</si>
  <si>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</si>
  <si>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三、有效單價（元／百萬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；含快取、輸出占比、折扣與免費額度）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</si>
  <si>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</si>
  <si>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有效單價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</si>
  <si>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</si>
  <si>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</si>
  <si>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有效單價</t>
    </r>
  </si>
  <si>
    <t xml:space="preserve">R13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</si>
  <si>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</si>
  <si>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</t>
    </r>
  </si>
  <si>
    <t xml:space="preserve">R14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</si>
  <si>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</si>
  <si>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D24</t>
    </r>
    <r>
      <rPr>
        <sz val="9"/>
        <color rgb="FF595959"/>
        <rFont val="Noto Sans CJK SC"/>
        <family val="2"/>
      </rPr>
      <t xml:space="preserve">：無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級）</t>
    </r>
  </si>
  <si>
    <t xml:space="preserve">R15</t>
  </si>
  <si>
    <t xml:space="preserve">組合有效單價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</si>
  <si>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欄＝全年按量計費營收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</si>
  <si>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GLM Coding Plan </t>
    </r>
    <r>
      <rPr>
        <b val="true"/>
        <sz val="10"/>
        <rFont val="Noto Sans CJK SC"/>
        <family val="2"/>
      </rPr>
      <t xml:space="preserve">方案價格（元／月／訂閱者）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</si>
  <si>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</si>
  <si>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國內月付牌價</t>
    </r>
  </si>
  <si>
    <t xml:space="preserve">元／月</t>
  </si>
  <si>
    <r>
      <rPr>
        <sz val="9"/>
        <color rgb="FF595959"/>
        <rFont val="Arial"/>
        <family val="0"/>
        <charset val="1"/>
      </rPr>
      <t xml:space="preserve">2026-02-12 </t>
    </r>
    <r>
      <rPr>
        <sz val="9"/>
        <color rgb="FF595959"/>
        <rFont val="Noto Sans CJK SC"/>
        <family val="2"/>
      </rPr>
      <t xml:space="preserve">漲價後（</t>
    </r>
    <r>
      <rPr>
        <sz val="9"/>
        <color rgb="FF595959"/>
        <rFont val="Arial"/>
        <family val="0"/>
        <charset val="1"/>
      </rPr>
      <t xml:space="preserve">SRC_ZP_356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359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</t>
    </r>
  </si>
  <si>
    <t xml:space="preserve">R17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</si>
  <si>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國際站月價（換人民幣）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</si>
  <si>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 </t>
    </r>
    <r>
      <rPr>
        <sz val="9"/>
        <color rgb="FF595959"/>
        <rFont val="Noto Sans CJK SC"/>
        <family val="2"/>
      </rPr>
      <t xml:space="preserve">季付價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SRC_ZP_373–375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起牌價（</t>
    </r>
    <r>
      <rPr>
        <sz val="9"/>
        <color rgb="FF595959"/>
        <rFont val="Arial"/>
        <family val="0"/>
        <charset val="1"/>
      </rPr>
      <t xml:space="preserve">SRC_ZP_367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× USD/CNY</t>
    </r>
  </si>
  <si>
    <t xml:space="preserve">R18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</si>
  <si>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有效月價（實收）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</si>
  <si>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國際占比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國內＋國際占比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國際］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季／年付折扣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漲價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SRC_ZP_350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</si>
  <si>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</si>
  <si>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國內月付牌價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</si>
  <si>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</si>
  <si>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</si>
  <si>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</si>
  <si>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</si>
  <si>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</si>
  <si>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國內月付牌價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</si>
  <si>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</si>
  <si>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</si>
  <si>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</si>
  <si>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</si>
  <si>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R25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</si>
  <si>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</t>
    </r>
  </si>
  <si>
    <t xml:space="preserve">R26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</si>
  <si>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</si>
  <si>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R27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</si>
  <si>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</t>
    </r>
  </si>
  <si>
    <t xml:space="preserve">不另輸入</t>
  </si>
  <si>
    <t xml:space="preserve">R28</t>
  </si>
  <si>
    <t xml:space="preserve">每訂閱者加權有效月價</t>
  </si>
  <si>
    <r>
      <rPr>
        <b val="true"/>
        <sz val="10"/>
        <rFont val="Noto Sans CJK SC"/>
        <family val="2"/>
      </rPr>
      <t xml:space="preserve">五、營收（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</si>
  <si>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</si>
  <si>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</si>
  <si>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有效月價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10,000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元 → 億）</t>
    </r>
  </si>
  <si>
    <t xml:space="preserve">R30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</si>
  <si>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Pro</t>
    </r>
  </si>
  <si>
    <t xml:space="preserve">R31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</si>
  <si>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Max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</si>
  <si>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</si>
  <si>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子列合計（訂閱）</t>
    </r>
  </si>
  <si>
    <r>
      <rPr>
        <sz val="9"/>
        <color rgb="FF595959"/>
        <rFont val="Noto Sans CJK SC"/>
        <family val="2"/>
      </rPr>
      <t xml:space="preserve">財報歸入開放平台及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）；本模型以訂閱者驅動</t>
    </r>
  </si>
  <si>
    <t xml:space="preserve">R33</t>
  </si>
  <si>
    <r>
      <rPr>
        <sz val="10"/>
        <color rgb="FF000000"/>
        <rFont val="Noto Sans CJK SC"/>
        <family val="2"/>
      </rPr>
      <t xml:space="preserve">校準：按量計費營收＝開放平台及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 −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</si>
  <si>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（年報）、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（中期公告）；按量計費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由此倒推（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</si>
  <si>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</si>
  <si>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</si>
  <si>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 × </t>
    </r>
    <r>
      <rPr>
        <sz val="9"/>
        <color rgb="FF595959"/>
        <rFont val="Noto Sans CJK SC"/>
        <family val="2"/>
      </rPr>
      <t xml:space="preserve">元</t>
    </r>
    <r>
      <rPr>
        <sz val="9"/>
        <color rgb="FF595959"/>
        <rFont val="Arial"/>
        <family val="0"/>
        <charset val="1"/>
      </rPr>
      <t xml:space="preserve">/M → </t>
    </r>
    <r>
      <rPr>
        <sz val="9"/>
        <color rgb="FF595959"/>
        <rFont val="Noto Sans CJK SC"/>
        <family val="2"/>
      </rPr>
      <t xml:space="preserve">億）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</si>
  <si>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</si>
  <si>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</si>
  <si>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</si>
  <si>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按量計費合計</t>
    </r>
  </si>
  <si>
    <t xml:space="preserve">校準期恆等於上方校準列</t>
  </si>
  <si>
    <t xml:space="preserve">R37</t>
  </si>
  <si>
    <r>
      <rPr>
        <sz val="10"/>
        <color rgb="FF000000"/>
        <rFont val="Noto Sans CJK SC"/>
        <family val="2"/>
      </rPr>
      <t xml:space="preserve">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（按量計費＋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</si>
  <si>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＝雲端部署分部（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</t>
    </r>
  </si>
  <si>
    <t xml:space="preserve">R38</t>
  </si>
  <si>
    <t xml:space="preserve">②企業級智能體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</si>
  <si>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延續係數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＋延續係數 </t>
    </r>
    <r>
      <rPr>
        <sz val="9"/>
        <color rgb="FF595959"/>
        <rFont val="Arial"/>
        <family val="0"/>
        <charset val="1"/>
      </rPr>
      <t xml:space="preserve">× 1H26 ÷ 1H25</t>
    </r>
    <r>
      <rPr>
        <sz val="9"/>
        <color rgb="FF595959"/>
        <rFont val="Noto Sans CJK SC"/>
        <family val="2"/>
      </rPr>
      <t xml:space="preserve">］（工作單：依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實際、各線分開）；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</si>
  <si>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R39</t>
  </si>
  <si>
    <t xml:space="preserve">③企業級通用大模型</t>
  </si>
  <si>
    <t xml:space="preserve">R40</t>
  </si>
  <si>
    <r>
      <rPr>
        <sz val="10"/>
        <color rgb="FF000000"/>
        <rFont val="Noto Sans CJK SC"/>
        <family val="2"/>
      </rPr>
      <t xml:space="preserve">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</t>
    </r>
  </si>
  <si>
    <t xml:space="preserve">R41</t>
  </si>
  <si>
    <t xml:space="preserve">本地化部署分部（②＋③＋④；不耗智譜算力）</t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</si>
  <si>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：不進 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、不受容量上限截頂</t>
    </r>
  </si>
  <si>
    <t xml:space="preserve">R42</t>
  </si>
  <si>
    <t xml:space="preserve">廣告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</si>
  <si>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D3</t>
    </r>
    <r>
      <rPr>
        <sz val="9"/>
        <color rgb="FF595959"/>
        <rFont val="Noto Sans CJK SC"/>
        <family val="2"/>
      </rPr>
      <t xml:space="preserve">：無廣告業務（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</si>
  <si>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R43</t>
  </si>
  <si>
    <t xml:space="preserve">營收總額（①＋本地化＋廣告）</t>
  </si>
  <si>
    <t xml:space="preserve">未截頂</t>
  </si>
  <si>
    <t xml:space="preserve">R44</t>
  </si>
  <si>
    <r>
      <rPr>
        <sz val="10"/>
        <color rgb="FF000000"/>
        <rFont val="Noto Sans CJK SC"/>
        <family val="2"/>
      </rPr>
      <t xml:space="preserve">營收淨額（＝總額；無雲端夥伴分成，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</si>
  <si>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REV_PartnerShare </t>
    </r>
    <r>
      <rPr>
        <sz val="9"/>
        <color rgb="FF595959"/>
        <rFont val="Noto Sans CJK SC"/>
        <family val="2"/>
      </rPr>
      <t xml:space="preserve">不建</t>
    </r>
  </si>
  <si>
    <t xml:space="preserve">R45</t>
  </si>
  <si>
    <t xml:space="preserve">雲端營收（①；跑在智譜算力上）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</si>
  <si>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：②③④屬本地化部署分部；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端收入在④內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</si>
  <si>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</si>
  <si>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容量上限係數（佔位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</si>
  <si>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 Decision </t>
    </r>
    <r>
      <rPr>
        <sz val="9"/>
        <color rgb="FF595959"/>
        <rFont val="Noto Sans CJK SC"/>
        <family val="2"/>
      </rPr>
      <t xml:space="preserve">佔位</t>
    </r>
  </si>
  <si>
    <t xml:space="preserve">R47</t>
  </si>
  <si>
    <r>
      <rPr>
        <sz val="10"/>
        <color rgb="FF000000"/>
        <rFont val="Noto Sans CJK SC"/>
        <family val="2"/>
      </rPr>
      <t xml:space="preserve">營收總額（截頂後）＝雲端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係數＋本地化＋廣告</t>
    </r>
  </si>
  <si>
    <r>
      <rPr>
        <sz val="9"/>
        <color rgb="FF595959"/>
        <rFont val="Noto Sans CJK SC"/>
        <family val="2"/>
      </rPr>
      <t xml:space="preserve">容量上限只回乘雲端營收（工作單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步）</t>
    </r>
  </si>
  <si>
    <t xml:space="preserve">R48</t>
  </si>
  <si>
    <t xml:space="preserve">營收淨額（截頂後）</t>
  </si>
  <si>
    <t xml:space="preserve">R49</t>
  </si>
  <si>
    <t xml:space="preserve">企業（按量計費＋本地化部署）</t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</si>
  <si>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：企業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個人；按量計費以企業與開發者為主，歸企業</t>
    </r>
  </si>
  <si>
    <t xml:space="preserve">R50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</si>
  <si>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</si>
  <si>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以個人開發者為主；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端清言收入在④內未拆，歸企業列（資料缺口）</t>
    </r>
  </si>
  <si>
    <t xml:space="preserve">R51</t>
  </si>
  <si>
    <r>
      <rPr>
        <sz val="10"/>
        <color rgb="FF000000"/>
        <rFont val="Noto Sans CJK SC"/>
        <family val="2"/>
      </rPr>
      <t xml:space="preserve">檢查：企業＋個人＋廣告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</si>
  <si>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R52</t>
  </si>
  <si>
    <t xml:space="preserve">雲端占總額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</si>
  <si>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87%</t>
    </r>
    <r>
      <rPr>
        <sz val="9"/>
        <color rgb="FF595959"/>
        <rFont val="Noto Sans CJK SC"/>
        <family val="2"/>
      </rPr>
      <t xml:space="preserve">（財報）</t>
    </r>
  </si>
  <si>
    <t xml:space="preserve">R53</t>
  </si>
  <si>
    <t xml:space="preserve">總額年增率</t>
  </si>
  <si>
    <r>
      <rPr>
        <b val="true"/>
        <sz val="10"/>
        <rFont val="Noto Sans CJK SC"/>
        <family val="2"/>
      </rPr>
      <t xml:space="preserve">六、校準差距（應為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）與對照（公司說法、</t>
    </r>
    <r>
      <rPr>
        <b val="true"/>
        <sz val="10"/>
        <rFont val="Arial"/>
        <family val="0"/>
        <charset val="1"/>
      </rPr>
      <t xml:space="preserve">TK</t>
    </r>
    <r>
      <rPr>
        <b val="true"/>
        <sz val="10"/>
        <rFont val="Noto Sans CJK SC"/>
        <family val="2"/>
      </rPr>
      <t xml:space="preserve">、未校準值；只列差距，不反推）</t>
    </r>
  </si>
  <si>
    <t xml:space="preserve">R54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</si>
  <si>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年報）</t>
    </r>
  </si>
  <si>
    <t xml:space="preserve">R55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</si>
  <si>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中期公告）</t>
    </r>
  </si>
  <si>
    <t xml:space="preserve">R56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</si>
  <si>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校準差距：②企業級智能體（模型 − 年報）</t>
    </r>
  </si>
  <si>
    <t xml:space="preserve">R57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</si>
  <si>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校準差距：②企業級智能體（模型 − 中期公告）</t>
    </r>
  </si>
  <si>
    <t xml:space="preserve">R58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</si>
  <si>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校準差距：③企業級通用大模型（模型 − 年報）</t>
    </r>
  </si>
  <si>
    <t xml:space="preserve">R59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</si>
  <si>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校準差距：③企業級通用大模型（模型 − 中期公告）</t>
    </r>
  </si>
  <si>
    <t xml:space="preserve">R60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</si>
  <si>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年報）</t>
    </r>
  </si>
  <si>
    <t xml:space="preserve">R61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</si>
  <si>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中期公告）</t>
    </r>
  </si>
  <si>
    <t xml:space="preserve">R62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</si>
  <si>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校準差距：營收總額（模型 − 年報）</t>
    </r>
  </si>
  <si>
    <t xml:space="preserve">R63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</si>
  <si>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校準差距：營收總額（模型 − 中期公告）</t>
    </r>
  </si>
  <si>
    <r>
      <rPr>
        <sz val="9"/>
        <color rgb="FF595959"/>
        <rFont val="Noto Sans CJK SC"/>
        <family val="2"/>
      </rPr>
      <t xml:space="preserve">公告以千元四捨五入至億元四位小數：四線合計 </t>
    </r>
    <r>
      <rPr>
        <sz val="9"/>
        <color rgb="FF595959"/>
        <rFont val="Arial"/>
        <family val="0"/>
        <charset val="1"/>
      </rPr>
      <t xml:space="preserve">9.53892 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</si>
  <si>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R64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</si>
  <si>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 ①：日均 </t>
    </r>
    <r>
      <rPr>
        <sz val="10"/>
        <color rgb="FF000000"/>
        <rFont val="Arial"/>
        <family val="0"/>
        <charset val="1"/>
      </rPr>
      <t xml:space="preserve">4.2T × 365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100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Coding Plan</t>
    </r>
  </si>
  <si>
    <r>
      <rPr>
        <sz val="9"/>
        <color rgb="FF595959"/>
        <rFont val="Noto Sans CJK SC"/>
        <family val="2"/>
      </rPr>
      <t xml:space="preserve">自下而上口徑（假設揭露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全數按有效單價計費）</t>
    </r>
  </si>
  <si>
    <t xml:space="preserve">R65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</si>
  <si>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 − 年報 ①</t>
    </r>
  </si>
  <si>
    <r>
      <rPr>
        <sz val="9"/>
        <color rgb="FF595959"/>
        <rFont val="Noto Sans CJK SC"/>
        <family val="2"/>
      </rPr>
      <t xml:space="preserve">差距大＝揭露量多為免費、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或年末時點</t>
    </r>
  </si>
  <si>
    <t xml:space="preserve">R66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</si>
  <si>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</si>
  <si>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SRC_ZP_347</t>
    </r>
    <r>
      <rPr>
        <sz val="9"/>
        <color rgb="FF595959"/>
        <rFont val="Noto Sans CJK SC"/>
        <family val="2"/>
      </rPr>
      <t xml:space="preserve">）</t>
    </r>
  </si>
  <si>
    <t xml:space="preserve">R67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</si>
  <si>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</si>
  <si>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SRC_ZP_346</t>
    </r>
    <r>
      <rPr>
        <sz val="9"/>
        <color rgb="FF595959"/>
        <rFont val="Noto Sans CJK SC"/>
        <family val="2"/>
      </rPr>
      <t xml:space="preserve">，截至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</si>
  <si>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</si>
  <si>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</si>
  <si>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；實現平均售價口徑（收入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），只對照</t>
    </r>
  </si>
  <si>
    <t xml:space="preserve">R69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</si>
  <si>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</si>
  <si>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</t>
    </r>
  </si>
  <si>
    <t xml:space="preserve">R70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</si>
  <si>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雲端營收年化（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</si>
  <si>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MaaS ARR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</si>
  <si>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R71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</si>
  <si>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月度年化）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</si>
  <si>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</si>
  <si>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R72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</si>
  <si>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</si>
  <si>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</si>
  <si>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</si>
  <si>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營收總額年化（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</si>
  <si>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對照全業務 </t>
    </r>
    <r>
      <rPr>
        <sz val="9"/>
        <color rgb="FF595959"/>
        <rFont val="Arial"/>
        <family val="0"/>
        <charset val="1"/>
      </rPr>
      <t xml:space="preserve">ARR</t>
    </r>
  </si>
  <si>
    <t xml:space="preserve">R74</t>
  </si>
  <si>
    <r>
      <rPr>
        <sz val="10"/>
        <color rgb="FF000000"/>
        <rFont val="Noto Sans CJK SC"/>
        <family val="2"/>
      </rPr>
      <t xml:space="preserve">公司說法：全業務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</si>
  <si>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</si>
  <si>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</si>
  <si>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</si>
  <si>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</si>
  <si>
    <t xml:space="preserve">R76</t>
  </si>
  <si>
    <r>
      <rPr>
        <sz val="10"/>
        <color rgb="FF000000"/>
        <rFont val="Noto Sans CJK SC"/>
        <family val="2"/>
      </rPr>
      <t xml:space="preserve">分析師共識營收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</si>
  <si>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（券商交易誘因）；只對照</t>
    </r>
  </si>
  <si>
    <t xml:space="preserve">R77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</si>
  <si>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共識</t>
    </r>
  </si>
  <si>
    <t xml:space="preserve">R78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</si>
  <si>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人民幣輸入牌價</t>
    </r>
  </si>
  <si>
    <r>
      <rPr>
        <sz val="9"/>
        <color rgb="FF595959"/>
        <rFont val="Arial"/>
        <family val="0"/>
        <charset val="1"/>
      </rPr>
      <t xml:space="preserve">Tokenomics Cap_In F </t>
    </r>
    <r>
      <rPr>
        <sz val="9"/>
        <color rgb="FF595959"/>
        <rFont val="Noto Sans CJK SC"/>
        <family val="2"/>
      </rPr>
      <t xml:space="preserve">表（讀表）；國際站美元價換人民幣後對國內牌價</t>
    </r>
  </si>
  <si>
    <t xml:space="preserve">R79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</si>
  <si>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國際站輸出價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人民幣輸出牌價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</si>
  <si>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</si>
  <si>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</si>
  <si>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B </t>
    </r>
    <r>
      <rPr>
        <sz val="9"/>
        <color rgb="FF595959"/>
        <rFont val="Noto Sans CJK SC"/>
        <family val="2"/>
      </rPr>
      <t xml:space="preserve">表（讀表；前緣模型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參考請求混合口徑，未扣折扣</t>
    </r>
  </si>
  <si>
    <t xml:space="preserve">R81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</si>
  <si>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參考請求混合單價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</si>
  <si>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A </t>
    </r>
    <r>
      <rPr>
        <sz val="9"/>
        <color rgb="FF595959"/>
        <rFont val="Noto Sans CJK SC"/>
        <family val="2"/>
      </rPr>
      <t xml:space="preserve">表（讀表，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參考請求）</t>
    </r>
  </si>
  <si>
    <t xml:space="preserve">R82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</si>
  <si>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混合單價（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</si>
  <si>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口徑：本模型含快取、輸出占比與折扣；只列差距</t>
  </si>
  <si>
    <t xml:space="preserve">R83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</si>
  <si>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</si>
  <si>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Checks — v0.1-Z2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</si>
  <si>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：超出門檻只提示（不計入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固定，新檢查取下一號，退役號碼不重用。期望值為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寫入的常數。</t>
    </r>
  </si>
  <si>
    <t xml:space="preserve">檢查項</t>
  </si>
  <si>
    <t xml:space="preserve">值（公式）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</si>
  <si>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</si>
  <si>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</si>
  <si>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</si>
  <si>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</si>
  <si>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Z1 </t>
    </r>
    <r>
      <rPr>
        <sz val="9"/>
        <color rgb="FF595959"/>
        <rFont val="Noto Sans CJK SC"/>
        <family val="2"/>
      </rPr>
      <t xml:space="preserve">資料報告所列 </t>
    </r>
    <r>
      <rPr>
        <sz val="9"/>
        <color rgb="FF595959"/>
        <rFont val="Arial"/>
        <family val="0"/>
        <charset val="1"/>
      </rPr>
      <t xml:space="preserve">604 </t>
    </r>
    <r>
      <rPr>
        <sz val="9"/>
        <color rgb="FF595959"/>
        <rFont val="Noto Sans CJK SC"/>
        <family val="2"/>
      </rPr>
      <t xml:space="preserve">筆（</t>
    </r>
    <r>
      <rPr>
        <sz val="9"/>
        <color rgb="FF595959"/>
        <rFont val="Arial"/>
        <family val="0"/>
        <charset val="1"/>
      </rPr>
      <t xml:space="preserve">SRC_ZP_001–604</t>
    </r>
    <r>
      <rPr>
        <sz val="9"/>
        <color rgb="FF595959"/>
        <rFont val="Noto Sans CJK SC"/>
        <family val="2"/>
      </rPr>
      <t xml:space="preserve">）</t>
    </r>
  </si>
  <si>
    <t xml:space="preserve">C02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</si>
  <si>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無數值列數（日期、事件、找不到數值的說明列）</t>
    </r>
  </si>
  <si>
    <r>
      <rPr>
        <sz val="9"/>
        <color rgb="FF595959"/>
        <rFont val="Noto Sans CJK SC"/>
        <family val="2"/>
      </rPr>
      <t xml:space="preserve">值、低、高皆空的列數；與 </t>
    </r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一致（列被誤刪或誤填時轉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</si>
  <si>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</si>
  <si>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缺出處列數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</si>
  <si>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</si>
  <si>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區間順序異常列數（低 ≤ 值 ≤ 高）</t>
    </r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</si>
  <si>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</si>
  <si>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</si>
  <si>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data/zhipu_inputs.yaml</t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</si>
  <si>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</si>
  <si>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</si>
  <si>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</si>
  <si>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C07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</si>
  <si>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</si>
  <si>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</si>
  <si>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</si>
  <si>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具名名稱數（同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</t>
    </r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</si>
  <si>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</si>
  <si>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</si>
  <si>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讀表列數（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Price_Frontier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列與中國合格前緣）</t>
    </r>
  </si>
  <si>
    <r>
      <rPr>
        <sz val="9"/>
        <color rgb="FF595959"/>
        <rFont val="Noto Sans CJK SC"/>
        <family val="2"/>
      </rPr>
      <t xml:space="preserve">以列標籤讀表；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改版找不到標籤時狀態轉 </t>
    </r>
    <r>
      <rPr>
        <sz val="9"/>
        <color rgb="FF595959"/>
        <rFont val="Arial"/>
        <family val="0"/>
        <charset val="1"/>
      </rPr>
      <t xml:space="preserve">MISSING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</si>
  <si>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</si>
  <si>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</si>
  <si>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</si>
  <si>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快照版本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</si>
  <si>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master 3dd1216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tools/check_tk_snapshot.py </t>
    </r>
    <r>
      <rPr>
        <sz val="9"/>
        <color rgb="FF595959"/>
        <rFont val="Noto Sans CJK SC"/>
        <family val="2"/>
      </rPr>
      <t xml:space="preserve">結果見報告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</si>
  <si>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</si>
  <si>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已取值列數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</si>
  <si>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命題輸出（美元）</t>
    </r>
  </si>
  <si>
    <t xml:space="preserve">C13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</si>
  <si>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</si>
  <si>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OAI_Link </t>
    </r>
    <r>
      <rPr>
        <sz val="9"/>
        <color rgb="FF595959"/>
        <rFont val="Noto Sans CJK SC"/>
        <family val="2"/>
      </rPr>
      <t xml:space="preserve">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引用；值為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</si>
  <si>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C14</t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</si>
  <si>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</si>
  <si>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</si>
  <si>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</si>
  <si>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</si>
  <si>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Arial"/>
        <family val="0"/>
        <charset val="1"/>
      </rPr>
      <t xml:space="preserve">①API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）②③④ 模型 − 年報；按量計費為倒推項，恆為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</si>
  <si>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C16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</si>
  <si>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</si>
  <si>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模型 − 中期公告</t>
  </si>
  <si>
    <t xml:space="preserve">C17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</si>
  <si>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</si>
  <si>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四線合計＝年報總額 </t>
    </r>
    <r>
      <rPr>
        <sz val="9"/>
        <color rgb="FF595959"/>
        <rFont val="Arial"/>
        <family val="0"/>
        <charset val="1"/>
      </rPr>
      <t xml:space="preserve">7.2433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</si>
  <si>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</si>
  <si>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億；公告四捨五入容差 </t>
    </r>
    <r>
      <rPr>
        <sz val="10"/>
        <color rgb="FF000000"/>
        <rFont val="Arial"/>
        <family val="0"/>
        <charset val="1"/>
      </rPr>
      <t xml:space="preserve">0.0005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</si>
  <si>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四線合計 </t>
    </r>
    <r>
      <rPr>
        <sz val="9"/>
        <color rgb="FF595959"/>
        <rFont val="Arial"/>
        <family val="0"/>
        <charset val="1"/>
      </rPr>
      <t xml:space="preserve">9.53892</t>
    </r>
    <r>
      <rPr>
        <sz val="9"/>
        <color rgb="FF595959"/>
        <rFont val="Noto Sans CJK SC"/>
        <family val="2"/>
      </rPr>
      <t xml:space="preserve">（千元加總）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</si>
  <si>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C19</t>
  </si>
  <si>
    <r>
      <rPr>
        <sz val="10"/>
        <color rgb="FF000000"/>
        <rFont val="Noto Sans CJK SC"/>
        <family val="2"/>
      </rPr>
      <t xml:space="preserve">分部合計＝總營收（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＋本地化＋廣告 − 總額；各期絕對值合計）</t>
    </r>
  </si>
  <si>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2H26</t>
    </r>
  </si>
  <si>
    <t xml:space="preserve">C20</t>
  </si>
  <si>
    <t xml:space="preserve">企業＋個人＋廣告 − 總額（各期絕對值合計）</t>
  </si>
  <si>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彙總列</t>
    </r>
  </si>
  <si>
    <t xml:space="preserve">C21</t>
  </si>
  <si>
    <r>
      <rPr>
        <sz val="10"/>
        <color rgb="FF000000"/>
        <rFont val="Noto Sans CJK SC"/>
        <family val="2"/>
      </rPr>
      <t xml:space="preserve">校準期按量計費營收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的期數（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估計超過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</si>
  <si>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使估計值超過財報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</si>
  <si>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C22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</si>
  <si>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層級拆分前後總量不一致的年數（相對差 </t>
    </r>
    <r>
      <rPr>
        <sz val="10"/>
        <color rgb="FF000000"/>
        <rFont val="Arial"/>
        <family val="0"/>
        <charset val="1"/>
      </rPr>
      <t xml:space="preserve">&gt;1e-9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</si>
  <si>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＋清言＋免費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＝ 付費＋免費（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拆分前後）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</si>
  <si>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</si>
  <si>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 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</si>
  <si>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Arial"/>
        <family val="0"/>
        <charset val="1"/>
      </rPr>
      <t xml:space="preserve">Inputs Lite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 ≤ 1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</si>
  <si>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</si>
  <si>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層級組合 </t>
    </r>
    <r>
      <rPr>
        <sz val="10"/>
        <color rgb="FF000000"/>
        <rFont val="Arial"/>
        <family val="0"/>
        <charset val="1"/>
      </rPr>
      <t xml:space="preserve">Sol ∉[0,1] </t>
    </r>
    <r>
      <rPr>
        <sz val="10"/>
        <color rgb="FF000000"/>
        <rFont val="Noto Sans CJK SC"/>
        <family val="2"/>
      </rPr>
      <t xml:space="preserve">的期數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</si>
  <si>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</si>
  <si>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價格期間權重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＜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（天數超過半年）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</si>
  <si>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期間天數</t>
    </r>
  </si>
  <si>
    <t xml:space="preserve">C26</t>
  </si>
  <si>
    <r>
      <rPr>
        <sz val="10"/>
        <color rgb="FF000000"/>
        <rFont val="Noto Sans CJK SC"/>
        <family val="2"/>
      </rPr>
      <t xml:space="preserve">本地化部署延續係數 ∉</t>
    </r>
    <r>
      <rPr>
        <sz val="10"/>
        <color rgb="FF000000"/>
        <rFont val="Arial"/>
        <family val="0"/>
        <charset val="1"/>
      </rPr>
      <t xml:space="preserve">[0,1]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</si>
  <si>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＝下半年持平、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＝延續上半年同比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</si>
  <si>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</si>
  <si>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任務數或每任務 </t>
    </r>
    <r>
      <rPr>
        <sz val="10"/>
        <color rgb="FF000000"/>
        <rFont val="Arial"/>
        <family val="0"/>
        <charset val="1"/>
      </rPr>
      <t xml:space="preserve">token ≤0 </t>
    </r>
    <r>
      <rPr>
        <sz val="10"/>
        <color rgb="FF000000"/>
        <rFont val="Noto Sans CJK SC"/>
        <family val="2"/>
      </rPr>
      <t xml:space="preserve">的期數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</si>
  <si>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</si>
  <si>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年化雲端營收 </t>
    </r>
    <r>
      <rPr>
        <sz val="10"/>
        <color rgb="FF000000"/>
        <rFont val="Arial"/>
        <family val="0"/>
        <charset val="1"/>
      </rPr>
      <t xml:space="preserve">÷ 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US$16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</si>
  <si>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只對照、不反推參數；原因見報告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</si>
  <si>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</si>
  <si>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年化總營收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US$18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</si>
  <si>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t xml:space="preserve">C30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</si>
  <si>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</si>
  <si>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t xml:space="preserve">INFO</t>
  </si>
  <si>
    <r>
      <rPr>
        <sz val="9"/>
        <color rgb="FF595959"/>
        <rFont val="Noto Sans CJK SC"/>
        <family val="2"/>
      </rPr>
      <t xml:space="preserve">公司稱平均售價較年初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（實現售價口徑）；報告討論</t>
    </r>
  </si>
  <si>
    <t xml:space="preserve">C31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</si>
  <si>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</si>
  <si>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r>
      <rPr>
        <sz val="9"/>
        <color rgb="FF595959"/>
        <rFont val="Noto Sans CJK SC"/>
        <family val="2"/>
      </rPr>
      <t xml:space="preserve">公司稱較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</si>
  <si>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</si>
  <si>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÷ 1H26 API token</t>
    </r>
  </si>
  <si>
    <r>
      <rPr>
        <sz val="9"/>
        <color rgb="FF595959"/>
        <rFont val="Noto Sans CJK SC"/>
        <family val="2"/>
      </rPr>
      <t xml:space="preserve">公司稱 </t>
    </r>
    <r>
      <rPr>
        <sz val="9"/>
        <color rgb="FF595959"/>
        <rFont val="Arial"/>
        <family val="0"/>
        <charset val="1"/>
      </rPr>
      <t xml:space="preserve">MaaS </t>
    </r>
    <r>
      <rPr>
        <sz val="9"/>
        <color rgb="FF595959"/>
        <rFont val="Noto Sans CJK SC"/>
        <family val="2"/>
      </rPr>
      <t xml:space="preserve">呼叫量較年初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倍以上（時點對時點，口徑不同）</t>
    </r>
  </si>
  <si>
    <t xml:space="preserve">C33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</si>
  <si>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實際隱含量成長（倍）</t>
    </r>
  </si>
  <si>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 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（＋</t>
    </r>
    <r>
      <rPr>
        <sz val="9"/>
        <color rgb="FF595959"/>
        <rFont val="Arial"/>
        <family val="0"/>
        <charset val="1"/>
      </rPr>
      <t xml:space="preserve">130%</t>
    </r>
    <r>
      <rPr>
        <sz val="9"/>
        <color rgb="FF595959"/>
        <rFont val="Noto Sans CJK SC"/>
        <family val="2"/>
      </rPr>
      <t xml:space="preserve">）的參考</t>
    </r>
  </si>
  <si>
    <t xml:space="preserve">C34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</si>
  <si>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</si>
  <si>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 </t>
    </r>
    <r>
      <rPr>
        <sz val="9"/>
        <color rgb="FF595959"/>
        <rFont val="Noto Sans CJK SC"/>
        <family val="2"/>
      </rPr>
      <t xml:space="preserve">全數按有效單價計的假想營收 − 年報</t>
    </r>
  </si>
  <si>
    <t xml:space="preserve">C35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</si>
  <si>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計費比例（按量計費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揭露日均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</si>
  <si>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</si>
  <si>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分析師共識（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</si>
  <si>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60.48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</si>
  <si>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C37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</si>
  <si>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GLM-5.3 </t>
    </r>
    <r>
      <rPr>
        <sz val="10"/>
        <color rgb="FF000000"/>
        <rFont val="Noto Sans CJK SC"/>
        <family val="2"/>
      </rPr>
      <t xml:space="preserve">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</si>
  <si>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TK_Link </t>
    </r>
    <r>
      <rPr>
        <sz val="9"/>
        <color rgb="FF595959"/>
        <rFont val="Noto Sans CJK SC"/>
        <family val="2"/>
      </rPr>
      <t xml:space="preserve">讀表列</t>
    </r>
  </si>
  <si>
    <t xml:space="preserve">C38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</si>
  <si>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Luna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</si>
  <si>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t xml:space="preserve">C39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</si>
  <si>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</si>
  <si>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；只並排（</t>
    </r>
    <r>
      <rPr>
        <sz val="9"/>
        <color rgb="FF595959"/>
        <rFont val="Arial"/>
        <family val="0"/>
        <charset val="1"/>
      </rPr>
      <t xml:space="preserve">Z5 HTML</t>
    </r>
    <r>
      <rPr>
        <sz val="9"/>
        <color rgb="FF595959"/>
        <rFont val="Noto Sans CJK SC"/>
        <family val="2"/>
      </rPr>
      <t xml:space="preserve">）</t>
    </r>
  </si>
  <si>
    <t xml:space="preserve">C40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</si>
  <si>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營收總額（截頂後，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</si>
  <si>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C41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</si>
  <si>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</si>
  <si>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供 </t>
    </r>
    <r>
      <rPr>
        <sz val="9"/>
        <color rgb="FF595959"/>
        <rFont val="Arial"/>
        <family val="0"/>
        <charset val="1"/>
      </rPr>
      <t xml:space="preserve">Z3</t>
    </r>
  </si>
  <si>
    <t xml:space="preserve">C42</t>
  </si>
  <si>
    <r>
      <rPr>
        <sz val="10"/>
        <color rgb="FF000000"/>
        <rFont val="Noto Sans CJK SC"/>
        <family val="2"/>
      </rPr>
      <t xml:space="preserve">容量上限係數佔位值（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前恆為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</si>
  <si>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CHK_Errors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</si>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</sst>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3" t="s">
        <v>4</v>
      </c>
      <c r="B5" s="5" t="s">
        <v>5</v>
      </c>
    </row>
    <row r="6" customFormat="false" ht="29.85" hidden="false" customHeight="false" outlineLevel="0" collapsed="false">
      <c r="A6" s="6" t="s">
        <v>6</v>
      </c>
      <c r="B6" s="5" t="s">
        <v>7</v>
      </c>
    </row>
    <row r="7" customFormat="false" ht="29.85" hidden="false" customHeight="false" outlineLevel="0" collapsed="false">
      <c r="A7" s="6" t="s">
        <v>8</v>
      </c>
      <c r="B7" s="4" t="s">
        <v>9</v>
      </c>
    </row>
    <row r="8" customFormat="false" ht="29.85" hidden="false" customHeight="false" outlineLevel="0" collapsed="false">
      <c r="A8" s="6" t="s">
        <v>10</v>
      </c>
      <c r="B8" s="4" t="s">
        <v>11</v>
      </c>
    </row>
    <row r="9" customFormat="false" ht="29.85" hidden="false" customHeight="false" outlineLevel="0" collapsed="false">
      <c r="A9" s="6" t="s">
        <v>12</v>
      </c>
      <c r="B9" s="4" t="s">
        <v>13</v>
      </c>
    </row>
    <row r="10" customFormat="false" ht="15" hidden="false" customHeight="false" outlineLevel="0" collapsed="false">
      <c r="A10" s="6" t="s">
        <v>14</v>
      </c>
      <c r="B10" s="4" t="s">
        <v>15</v>
      </c>
    </row>
    <row r="11" customFormat="false" ht="29.85" hidden="false" customHeight="false" outlineLevel="0" collapsed="false">
      <c r="A11" s="6" t="s">
        <v>16</v>
      </c>
      <c r="B11" s="5" t="s">
        <v>17</v>
      </c>
    </row>
    <row r="12" customFormat="false" ht="44" hidden="false" customHeight="false" outlineLevel="0" collapsed="false">
      <c r="A12" s="6" t="s">
        <v>18</v>
      </c>
      <c r="B12" s="5" t="s">
        <v>19</v>
      </c>
    </row>
    <row r="13" customFormat="false" ht="15" hidden="false" customHeight="false" outlineLevel="0" collapsed="false">
      <c r="A13" s="6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20.1" hidden="false" customHeight="false" outlineLevel="0" collapsed="false">
      <c r="A1" s="7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4" customFormat="false" ht="44" hidden="false" customHeight="false" outlineLevel="0" collapsed="false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40</v>
      </c>
      <c r="M4" s="9" t="s">
        <v>22</v>
      </c>
      <c r="N4" s="9" t="s">
        <v>41</v>
      </c>
      <c r="O4" s="9" t="s">
        <v>42</v>
      </c>
      <c r="P4" s="9" t="s">
        <v>43</v>
      </c>
      <c r="Q4" s="9" t="s">
        <v>44</v>
      </c>
      <c r="R4" s="9" t="s">
        <v>45</v>
      </c>
      <c r="S4" s="9" t="s">
        <v>46</v>
      </c>
      <c r="T4" s="9" t="s">
        <v>47</v>
      </c>
      <c r="U4" s="9" t="s">
        <v>48</v>
      </c>
      <c r="V4" s="9" t="s">
        <v>49</v>
      </c>
      <c r="W4" s="9" t="s">
        <v>50</v>
      </c>
      <c r="X4" s="9" t="s">
        <v>51</v>
      </c>
    </row>
    <row r="5" customFormat="false" ht="15" hidden="false" customHeight="false" outlineLevel="0" collapsed="false">
      <c r="A5" s="10" t="s">
        <v>52</v>
      </c>
      <c r="B5" s="10" t="s">
        <v>53</v>
      </c>
      <c r="C5" s="11" t="s">
        <v>54</v>
      </c>
      <c r="D5" s="12" t="n">
        <v>0.5741</v>
      </c>
      <c r="E5" s="12"/>
      <c r="F5" s="12"/>
      <c r="G5" s="10" t="s">
        <v>55</v>
      </c>
      <c r="H5" s="10" t="s">
        <v>56</v>
      </c>
      <c r="I5" s="11" t="s">
        <v>57</v>
      </c>
      <c r="J5" s="10" t="s">
        <v>58</v>
      </c>
      <c r="K5" s="10" t="s">
        <v>59</v>
      </c>
      <c r="L5" s="10" t="s">
        <v>60</v>
      </c>
      <c r="M5" s="10" t="s">
        <v>61</v>
      </c>
      <c r="N5" s="10"/>
      <c r="O5" s="11" t="s">
        <v>62</v>
      </c>
      <c r="P5" s="10" t="s">
        <v>63</v>
      </c>
      <c r="Q5" s="11" t="s">
        <v>64</v>
      </c>
      <c r="R5" s="11" t="s">
        <v>65</v>
      </c>
      <c r="S5" s="11" t="s">
        <v>66</v>
      </c>
      <c r="T5" s="11" t="s">
        <v>67</v>
      </c>
      <c r="U5" s="10" t="n">
        <f aca="false">IF(AND($D5="",$E5="",$F5=""),1,0)</f>
        <v>0</v>
      </c>
      <c r="V5" s="10" t="n">
        <f aca="false">IF(OR($I5="",$I5="—"),1,0)</f>
        <v>0</v>
      </c>
      <c r="W5" s="10" t="n">
        <f aca="false">IF(AND(ISNUMBER($D5),ISNUMBER($E5)),IF($E5&gt;$D5,1,0),0)+IF(AND(ISNUMBER($D5),ISNUMBER($F5)),IF($D5&gt;$F5,1,0),0)+IF(AND(ISNUMBER($E5),ISNUMBER($F5)),IF($E5&gt;$F5,1,0),0)</f>
        <v>0</v>
      </c>
      <c r="X5" s="13" t="s">
        <v>68</v>
      </c>
    </row>
    <row r="6" customFormat="false" ht="15" hidden="false" customHeight="false" outlineLevel="0" collapsed="false">
      <c r="A6" s="10" t="s">
        <v>69</v>
      </c>
      <c r="B6" s="10" t="s">
        <v>70</v>
      </c>
      <c r="C6" s="11" t="s">
        <v>54</v>
      </c>
      <c r="D6" s="12" t="n">
        <v>1.2454</v>
      </c>
      <c r="E6" s="12"/>
      <c r="F6" s="12"/>
      <c r="G6" s="10" t="s">
        <v>55</v>
      </c>
      <c r="H6" s="10" t="s">
        <v>71</v>
      </c>
      <c r="I6" s="11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/>
      <c r="O6" s="11" t="s">
        <v>62</v>
      </c>
      <c r="P6" s="10" t="s">
        <v>63</v>
      </c>
      <c r="Q6" s="11" t="s">
        <v>64</v>
      </c>
      <c r="R6" s="11" t="s">
        <v>65</v>
      </c>
      <c r="S6" s="11" t="s">
        <v>66</v>
      </c>
      <c r="T6" s="11" t="s">
        <v>72</v>
      </c>
      <c r="U6" s="10" t="n">
        <f aca="false">IF(AND($D6="",$E6="",$F6=""),1,0)</f>
        <v>0</v>
      </c>
      <c r="V6" s="10" t="n">
        <f aca="false">IF(OR($I6="",$I6="—"),1,0)</f>
        <v>0</v>
      </c>
      <c r="W6" s="10" t="n">
        <f aca="false">IF(AND(ISNUMBER($D6),ISNUMBER($E6)),IF($E6&gt;$D6,1,0),0)+IF(AND(ISNUMBER($D6),ISNUMBER($F6)),IF($D6&gt;$F6,1,0),0)+IF(AND(ISNUMBER($E6),ISNUMBER($F6)),IF($E6&gt;$F6,1,0),0)</f>
        <v>0</v>
      </c>
      <c r="X6" s="13" t="s">
        <v>68</v>
      </c>
    </row>
    <row r="7" customFormat="false" ht="15" hidden="false" customHeight="false" outlineLevel="0" collapsed="false">
      <c r="A7" s="10" t="s">
        <v>73</v>
      </c>
      <c r="B7" s="10" t="s">
        <v>74</v>
      </c>
      <c r="C7" s="11" t="s">
        <v>54</v>
      </c>
      <c r="D7" s="12" t="n">
        <v>3.1241</v>
      </c>
      <c r="E7" s="12"/>
      <c r="F7" s="12"/>
      <c r="G7" s="10" t="s">
        <v>55</v>
      </c>
      <c r="H7" s="10" t="s">
        <v>75</v>
      </c>
      <c r="I7" s="11" t="s">
        <v>57</v>
      </c>
      <c r="J7" s="10" t="s">
        <v>58</v>
      </c>
      <c r="K7" s="10" t="s">
        <v>59</v>
      </c>
      <c r="L7" s="10" t="s">
        <v>60</v>
      </c>
      <c r="M7" s="10" t="s">
        <v>61</v>
      </c>
      <c r="N7" s="10"/>
      <c r="O7" s="11" t="s">
        <v>62</v>
      </c>
      <c r="P7" s="10" t="s">
        <v>63</v>
      </c>
      <c r="Q7" s="11" t="s">
        <v>64</v>
      </c>
      <c r="R7" s="11" t="s">
        <v>65</v>
      </c>
      <c r="S7" s="11" t="s">
        <v>66</v>
      </c>
      <c r="T7" s="11" t="s">
        <v>76</v>
      </c>
      <c r="U7" s="10" t="n">
        <f aca="false">IF(AND($D7="",$E7="",$F7=""),1,0)</f>
        <v>0</v>
      </c>
      <c r="V7" s="10" t="n">
        <f aca="false">IF(OR($I7="",$I7="—"),1,0)</f>
        <v>0</v>
      </c>
      <c r="W7" s="10" t="n">
        <f aca="false">IF(AND(ISNUMBER($D7),ISNUMBER($E7)),IF($E7&gt;$D7,1,0),0)+IF(AND(ISNUMBER($D7),ISNUMBER($F7)),IF($D7&gt;$F7,1,0),0)+IF(AND(ISNUMBER($E7),ISNUMBER($F7)),IF($E7&gt;$F7,1,0),0)</f>
        <v>0</v>
      </c>
      <c r="X7" s="13" t="s">
        <v>68</v>
      </c>
    </row>
    <row r="8" customFormat="false" ht="15" hidden="false" customHeight="false" outlineLevel="0" collapsed="false">
      <c r="A8" s="10" t="s">
        <v>77</v>
      </c>
      <c r="B8" s="10" t="s">
        <v>78</v>
      </c>
      <c r="C8" s="11" t="s">
        <v>54</v>
      </c>
      <c r="D8" s="12" t="n">
        <v>0.4491</v>
      </c>
      <c r="E8" s="12"/>
      <c r="F8" s="12"/>
      <c r="G8" s="10" t="s">
        <v>55</v>
      </c>
      <c r="H8" s="10" t="s">
        <v>79</v>
      </c>
      <c r="I8" s="11" t="s">
        <v>57</v>
      </c>
      <c r="J8" s="10" t="s">
        <v>58</v>
      </c>
      <c r="K8" s="10" t="s">
        <v>59</v>
      </c>
      <c r="L8" s="10" t="s">
        <v>60</v>
      </c>
      <c r="M8" s="10" t="s">
        <v>61</v>
      </c>
      <c r="N8" s="10"/>
      <c r="O8" s="11" t="s">
        <v>80</v>
      </c>
      <c r="P8" s="10" t="s">
        <v>63</v>
      </c>
      <c r="Q8" s="11" t="s">
        <v>64</v>
      </c>
      <c r="R8" s="11" t="s">
        <v>65</v>
      </c>
      <c r="S8" s="11" t="s">
        <v>66</v>
      </c>
      <c r="T8" s="11" t="s">
        <v>81</v>
      </c>
      <c r="U8" s="10" t="n">
        <f aca="false">IF(AND($D8="",$E8="",$F8=""),1,0)</f>
        <v>0</v>
      </c>
      <c r="V8" s="10" t="n">
        <f aca="false">IF(OR($I8="",$I8="—"),1,0)</f>
        <v>0</v>
      </c>
      <c r="W8" s="10" t="n">
        <f aca="false">IF(AND(ISNUMBER($D8),ISNUMBER($E8)),IF($E8&gt;$D8,1,0),0)+IF(AND(ISNUMBER($D8),ISNUMBER($F8)),IF($D8&gt;$F8,1,0),0)+IF(AND(ISNUMBER($E8),ISNUMBER($F8)),IF($E8&gt;$F8,1,0),0)</f>
        <v>0</v>
      </c>
      <c r="X8" s="13" t="s">
        <v>68</v>
      </c>
    </row>
    <row r="9" customFormat="false" ht="15" hidden="false" customHeight="false" outlineLevel="0" collapsed="false">
      <c r="A9" s="10" t="s">
        <v>82</v>
      </c>
      <c r="B9" s="10" t="s">
        <v>83</v>
      </c>
      <c r="C9" s="11" t="s">
        <v>54</v>
      </c>
      <c r="D9" s="12" t="n">
        <v>1.9088</v>
      </c>
      <c r="E9" s="12"/>
      <c r="F9" s="12"/>
      <c r="G9" s="10" t="s">
        <v>55</v>
      </c>
      <c r="H9" s="10" t="s">
        <v>84</v>
      </c>
      <c r="I9" s="11" t="s">
        <v>57</v>
      </c>
      <c r="J9" s="10" t="s">
        <v>58</v>
      </c>
      <c r="K9" s="10" t="s">
        <v>59</v>
      </c>
      <c r="L9" s="10" t="s">
        <v>60</v>
      </c>
      <c r="M9" s="10" t="s">
        <v>61</v>
      </c>
      <c r="N9" s="10"/>
      <c r="O9" s="11" t="s">
        <v>62</v>
      </c>
      <c r="P9" s="10" t="s">
        <v>63</v>
      </c>
      <c r="Q9" s="11" t="s">
        <v>64</v>
      </c>
      <c r="R9" s="11" t="s">
        <v>65</v>
      </c>
      <c r="S9" s="11" t="s">
        <v>66</v>
      </c>
      <c r="T9" s="11" t="s">
        <v>85</v>
      </c>
      <c r="U9" s="10" t="n">
        <f aca="false">IF(AND($D9="",$E9="",$F9=""),1,0)</f>
        <v>0</v>
      </c>
      <c r="V9" s="10" t="n">
        <f aca="false">IF(OR($I9="",$I9="—"),1,0)</f>
        <v>0</v>
      </c>
      <c r="W9" s="10" t="n">
        <f aca="false">IF(AND(ISNUMBER($D9),ISNUMBER($E9)),IF($E9&gt;$D9,1,0),0)+IF(AND(ISNUMBER($D9),ISNUMBER($F9)),IF($D9&gt;$F9,1,0),0)+IF(AND(ISNUMBER($E9),ISNUMBER($F9)),IF($E9&gt;$F9,1,0),0)</f>
        <v>0</v>
      </c>
      <c r="X9" s="13" t="s">
        <v>68</v>
      </c>
    </row>
    <row r="10" customFormat="false" ht="15" hidden="false" customHeight="false" outlineLevel="0" collapsed="false">
      <c r="A10" s="10" t="s">
        <v>86</v>
      </c>
      <c r="B10" s="10" t="s">
        <v>87</v>
      </c>
      <c r="C10" s="11" t="s">
        <v>88</v>
      </c>
      <c r="D10" s="12" t="n">
        <v>0.5482</v>
      </c>
      <c r="E10" s="12"/>
      <c r="F10" s="12"/>
      <c r="G10" s="10" t="s">
        <v>55</v>
      </c>
      <c r="H10" s="10" t="s">
        <v>56</v>
      </c>
      <c r="I10" s="11" t="s">
        <v>57</v>
      </c>
      <c r="J10" s="10" t="s">
        <v>58</v>
      </c>
      <c r="K10" s="10" t="s">
        <v>59</v>
      </c>
      <c r="L10" s="10" t="s">
        <v>60</v>
      </c>
      <c r="M10" s="10" t="s">
        <v>61</v>
      </c>
      <c r="N10" s="10"/>
      <c r="O10" s="11" t="s">
        <v>62</v>
      </c>
      <c r="P10" s="10" t="s">
        <v>63</v>
      </c>
      <c r="Q10" s="11" t="s">
        <v>64</v>
      </c>
      <c r="R10" s="11" t="s">
        <v>65</v>
      </c>
      <c r="S10" s="11" t="s">
        <v>66</v>
      </c>
      <c r="T10" s="11" t="s">
        <v>89</v>
      </c>
      <c r="U10" s="10" t="n">
        <f aca="false">IF(AND($D10="",$E10="",$F10=""),1,0)</f>
        <v>0</v>
      </c>
      <c r="V10" s="10" t="n">
        <f aca="false">IF(OR($I10="",$I10="—"),1,0)</f>
        <v>0</v>
      </c>
      <c r="W10" s="10" t="n">
        <f aca="false">IF(AND(ISNUMBER($D10),ISNUMBER($E10)),IF($E10&gt;$D10,1,0),0)+IF(AND(ISNUMBER($D10),ISNUMBER($F10)),IF($D10&gt;$F10,1,0),0)+IF(AND(ISNUMBER($E10),ISNUMBER($F10)),IF($E10&gt;$F10,1,0),0)</f>
        <v>0</v>
      </c>
      <c r="X10" s="13" t="s">
        <v>68</v>
      </c>
    </row>
    <row r="11" customFormat="false" ht="15" hidden="false" customHeight="false" outlineLevel="0" collapsed="false">
      <c r="A11" s="10" t="s">
        <v>90</v>
      </c>
      <c r="B11" s="10" t="s">
        <v>91</v>
      </c>
      <c r="C11" s="11" t="s">
        <v>88</v>
      </c>
      <c r="D11" s="12" t="n">
        <v>1.1261</v>
      </c>
      <c r="E11" s="12"/>
      <c r="F11" s="12"/>
      <c r="G11" s="10" t="s">
        <v>55</v>
      </c>
      <c r="H11" s="10" t="s">
        <v>71</v>
      </c>
      <c r="I11" s="11" t="s">
        <v>57</v>
      </c>
      <c r="J11" s="10" t="s">
        <v>58</v>
      </c>
      <c r="K11" s="10" t="s">
        <v>59</v>
      </c>
      <c r="L11" s="10" t="s">
        <v>60</v>
      </c>
      <c r="M11" s="10" t="s">
        <v>61</v>
      </c>
      <c r="N11" s="10"/>
      <c r="O11" s="11" t="s">
        <v>62</v>
      </c>
      <c r="P11" s="10" t="s">
        <v>63</v>
      </c>
      <c r="Q11" s="11" t="s">
        <v>64</v>
      </c>
      <c r="R11" s="11" t="s">
        <v>65</v>
      </c>
      <c r="S11" s="11" t="s">
        <v>66</v>
      </c>
      <c r="T11" s="11" t="s">
        <v>92</v>
      </c>
      <c r="U11" s="10" t="n">
        <f aca="false">IF(AND($D11="",$E11="",$F11=""),1,0)</f>
        <v>0</v>
      </c>
      <c r="V11" s="10" t="n">
        <f aca="false">IF(OR($I11="",$I11="—"),1,0)</f>
        <v>0</v>
      </c>
      <c r="W11" s="10" t="n">
        <f aca="false">IF(AND(ISNUMBER($D11),ISNUMBER($E11)),IF($E11&gt;$D11,1,0),0)+IF(AND(ISNUMBER($D11),ISNUMBER($F11)),IF($D11&gt;$F11,1,0),0)+IF(AND(ISNUMBER($E11),ISNUMBER($F11)),IF($E11&gt;$F11,1,0),0)</f>
        <v>0</v>
      </c>
      <c r="X11" s="13" t="s">
        <v>68</v>
      </c>
    </row>
    <row r="12" customFormat="false" ht="15" hidden="false" customHeight="false" outlineLevel="0" collapsed="false">
      <c r="A12" s="10" t="s">
        <v>93</v>
      </c>
      <c r="B12" s="10" t="s">
        <v>94</v>
      </c>
      <c r="C12" s="11" t="s">
        <v>88</v>
      </c>
      <c r="D12" s="12" t="n">
        <v>2.6393</v>
      </c>
      <c r="E12" s="12"/>
      <c r="F12" s="12"/>
      <c r="G12" s="10" t="s">
        <v>55</v>
      </c>
      <c r="H12" s="10" t="s">
        <v>75</v>
      </c>
      <c r="I12" s="11" t="s">
        <v>57</v>
      </c>
      <c r="J12" s="10" t="s">
        <v>58</v>
      </c>
      <c r="K12" s="10" t="s">
        <v>59</v>
      </c>
      <c r="L12" s="10" t="s">
        <v>60</v>
      </c>
      <c r="M12" s="10" t="s">
        <v>61</v>
      </c>
      <c r="N12" s="10"/>
      <c r="O12" s="11" t="s">
        <v>62</v>
      </c>
      <c r="P12" s="10" t="s">
        <v>63</v>
      </c>
      <c r="Q12" s="11" t="s">
        <v>64</v>
      </c>
      <c r="R12" s="11" t="s">
        <v>65</v>
      </c>
      <c r="S12" s="11" t="s">
        <v>66</v>
      </c>
      <c r="T12" s="11" t="s">
        <v>95</v>
      </c>
      <c r="U12" s="10" t="n">
        <f aca="false">IF(AND($D12="",$E12="",$F12=""),1,0)</f>
        <v>0</v>
      </c>
      <c r="V12" s="10" t="n">
        <f aca="false">IF(OR($I12="",$I12="—"),1,0)</f>
        <v>0</v>
      </c>
      <c r="W12" s="10" t="n">
        <f aca="false">IF(AND(ISNUMBER($D12),ISNUMBER($E12)),IF($E12&gt;$D12,1,0),0)+IF(AND(ISNUMBER($D12),ISNUMBER($F12)),IF($D12&gt;$F12,1,0),0)+IF(AND(ISNUMBER($E12),ISNUMBER($F12)),IF($E12&gt;$F12,1,0),0)</f>
        <v>0</v>
      </c>
      <c r="X12" s="13" t="s">
        <v>68</v>
      </c>
    </row>
    <row r="13" customFormat="false" ht="15" hidden="false" customHeight="false" outlineLevel="0" collapsed="false">
      <c r="A13" s="10" t="s">
        <v>96</v>
      </c>
      <c r="B13" s="10" t="s">
        <v>97</v>
      </c>
      <c r="C13" s="11" t="s">
        <v>88</v>
      </c>
      <c r="D13" s="12" t="n">
        <v>0.2681</v>
      </c>
      <c r="E13" s="12"/>
      <c r="F13" s="12"/>
      <c r="G13" s="10" t="s">
        <v>55</v>
      </c>
      <c r="H13" s="10" t="s">
        <v>79</v>
      </c>
      <c r="I13" s="11" t="s">
        <v>57</v>
      </c>
      <c r="J13" s="10" t="s">
        <v>58</v>
      </c>
      <c r="K13" s="10" t="s">
        <v>59</v>
      </c>
      <c r="L13" s="10" t="s">
        <v>60</v>
      </c>
      <c r="M13" s="10" t="s">
        <v>61</v>
      </c>
      <c r="N13" s="10"/>
      <c r="O13" s="11" t="s">
        <v>80</v>
      </c>
      <c r="P13" s="10" t="s">
        <v>63</v>
      </c>
      <c r="Q13" s="11" t="s">
        <v>64</v>
      </c>
      <c r="R13" s="11" t="s">
        <v>65</v>
      </c>
      <c r="S13" s="11" t="s">
        <v>66</v>
      </c>
      <c r="T13" s="11" t="s">
        <v>98</v>
      </c>
      <c r="U13" s="10" t="n">
        <f aca="false">IF(AND($D13="",$E13="",$F13=""),1,0)</f>
        <v>0</v>
      </c>
      <c r="V13" s="10" t="n">
        <f aca="false">IF(OR($I13="",$I13="—"),1,0)</f>
        <v>0</v>
      </c>
      <c r="W13" s="10" t="n">
        <f aca="false">IF(AND(ISNUMBER($D13),ISNUMBER($E13)),IF($E13&gt;$D13,1,0),0)+IF(AND(ISNUMBER($D13),ISNUMBER($F13)),IF($D13&gt;$F13,1,0),0)+IF(AND(ISNUMBER($E13),ISNUMBER($F13)),IF($E13&gt;$F13,1,0),0)</f>
        <v>0</v>
      </c>
      <c r="X13" s="13" t="s">
        <v>68</v>
      </c>
    </row>
    <row r="14" customFormat="false" ht="15" hidden="false" customHeight="false" outlineLevel="0" collapsed="false">
      <c r="A14" s="10" t="s">
        <v>99</v>
      </c>
      <c r="B14" s="10" t="s">
        <v>100</v>
      </c>
      <c r="C14" s="11" t="s">
        <v>88</v>
      </c>
      <c r="D14" s="12" t="n">
        <v>1.6178</v>
      </c>
      <c r="E14" s="12"/>
      <c r="F14" s="12"/>
      <c r="G14" s="10" t="s">
        <v>55</v>
      </c>
      <c r="H14" s="10" t="s">
        <v>84</v>
      </c>
      <c r="I14" s="11" t="s">
        <v>57</v>
      </c>
      <c r="J14" s="10" t="s">
        <v>58</v>
      </c>
      <c r="K14" s="10" t="s">
        <v>59</v>
      </c>
      <c r="L14" s="10" t="s">
        <v>60</v>
      </c>
      <c r="M14" s="10" t="s">
        <v>61</v>
      </c>
      <c r="N14" s="10"/>
      <c r="O14" s="11" t="s">
        <v>62</v>
      </c>
      <c r="P14" s="10" t="s">
        <v>63</v>
      </c>
      <c r="Q14" s="11" t="s">
        <v>64</v>
      </c>
      <c r="R14" s="11" t="s">
        <v>65</v>
      </c>
      <c r="S14" s="11" t="s">
        <v>66</v>
      </c>
      <c r="T14" s="11" t="s">
        <v>101</v>
      </c>
      <c r="U14" s="10" t="n">
        <f aca="false">IF(AND($D14="",$E14="",$F14=""),1,0)</f>
        <v>0</v>
      </c>
      <c r="V14" s="10" t="n">
        <f aca="false">IF(OR($I14="",$I14="—"),1,0)</f>
        <v>0</v>
      </c>
      <c r="W14" s="10" t="n">
        <f aca="false">IF(AND(ISNUMBER($D14),ISNUMBER($E14)),IF($E14&gt;$D14,1,0),0)+IF(AND(ISNUMBER($D14),ISNUMBER($F14)),IF($D14&gt;$F14,1,0),0)+IF(AND(ISNUMBER($E14),ISNUMBER($F14)),IF($E14&gt;$F14,1,0),0)</f>
        <v>0</v>
      </c>
      <c r="X14" s="13" t="s">
        <v>68</v>
      </c>
    </row>
    <row r="15" customFormat="false" ht="15" hidden="false" customHeight="false" outlineLevel="0" collapsed="false">
      <c r="A15" s="10" t="s">
        <v>102</v>
      </c>
      <c r="B15" s="10" t="s">
        <v>103</v>
      </c>
      <c r="C15" s="11" t="s">
        <v>104</v>
      </c>
      <c r="D15" s="12" t="n">
        <v>0.0259</v>
      </c>
      <c r="E15" s="12"/>
      <c r="F15" s="12"/>
      <c r="G15" s="10" t="s">
        <v>55</v>
      </c>
      <c r="H15" s="10" t="s">
        <v>56</v>
      </c>
      <c r="I15" s="11" t="s">
        <v>57</v>
      </c>
      <c r="J15" s="10" t="s">
        <v>58</v>
      </c>
      <c r="K15" s="10" t="s">
        <v>59</v>
      </c>
      <c r="L15" s="10" t="s">
        <v>60</v>
      </c>
      <c r="M15" s="10" t="s">
        <v>61</v>
      </c>
      <c r="N15" s="10"/>
      <c r="O15" s="11" t="s">
        <v>62</v>
      </c>
      <c r="P15" s="10" t="s">
        <v>63</v>
      </c>
      <c r="Q15" s="11" t="s">
        <v>64</v>
      </c>
      <c r="R15" s="11" t="s">
        <v>65</v>
      </c>
      <c r="S15" s="11" t="s">
        <v>66</v>
      </c>
      <c r="T15" s="11" t="s">
        <v>105</v>
      </c>
      <c r="U15" s="10" t="n">
        <f aca="false">IF(AND($D15="",$E15="",$F15=""),1,0)</f>
        <v>0</v>
      </c>
      <c r="V15" s="10" t="n">
        <f aca="false">IF(OR($I15="",$I15="—"),1,0)</f>
        <v>0</v>
      </c>
      <c r="W15" s="10" t="n">
        <f aca="false">IF(AND(ISNUMBER($D15),ISNUMBER($E15)),IF($E15&gt;$D15,1,0),0)+IF(AND(ISNUMBER($D15),ISNUMBER($F15)),IF($D15&gt;$F15,1,0),0)+IF(AND(ISNUMBER($E15),ISNUMBER($F15)),IF($E15&gt;$F15,1,0),0)</f>
        <v>0</v>
      </c>
      <c r="X15" s="13" t="s">
        <v>68</v>
      </c>
    </row>
    <row r="16" customFormat="false" ht="15" hidden="false" customHeight="false" outlineLevel="0" collapsed="false">
      <c r="A16" s="10" t="s">
        <v>106</v>
      </c>
      <c r="B16" s="10" t="s">
        <v>107</v>
      </c>
      <c r="C16" s="11" t="s">
        <v>104</v>
      </c>
      <c r="D16" s="12" t="n">
        <v>0.1192</v>
      </c>
      <c r="E16" s="12"/>
      <c r="F16" s="12"/>
      <c r="G16" s="10" t="s">
        <v>55</v>
      </c>
      <c r="H16" s="10" t="s">
        <v>71</v>
      </c>
      <c r="I16" s="11" t="s">
        <v>57</v>
      </c>
      <c r="J16" s="10" t="s">
        <v>58</v>
      </c>
      <c r="K16" s="10" t="s">
        <v>59</v>
      </c>
      <c r="L16" s="10" t="s">
        <v>60</v>
      </c>
      <c r="M16" s="10" t="s">
        <v>61</v>
      </c>
      <c r="N16" s="10"/>
      <c r="O16" s="11" t="s">
        <v>62</v>
      </c>
      <c r="P16" s="10" t="s">
        <v>63</v>
      </c>
      <c r="Q16" s="11" t="s">
        <v>64</v>
      </c>
      <c r="R16" s="11" t="s">
        <v>65</v>
      </c>
      <c r="S16" s="11" t="s">
        <v>66</v>
      </c>
      <c r="T16" s="11" t="s">
        <v>108</v>
      </c>
      <c r="U16" s="10" t="n">
        <f aca="false">IF(AND($D16="",$E16="",$F16=""),1,0)</f>
        <v>0</v>
      </c>
      <c r="V16" s="10" t="n">
        <f aca="false">IF(OR($I16="",$I16="—"),1,0)</f>
        <v>0</v>
      </c>
      <c r="W16" s="10" t="n">
        <f aca="false">IF(AND(ISNUMBER($D16),ISNUMBER($E16)),IF($E16&gt;$D16,1,0),0)+IF(AND(ISNUMBER($D16),ISNUMBER($F16)),IF($D16&gt;$F16,1,0),0)+IF(AND(ISNUMBER($E16),ISNUMBER($F16)),IF($E16&gt;$F16,1,0),0)</f>
        <v>0</v>
      </c>
      <c r="X16" s="13" t="s">
        <v>68</v>
      </c>
    </row>
    <row r="17" customFormat="false" ht="15" hidden="false" customHeight="false" outlineLevel="0" collapsed="false">
      <c r="A17" s="10" t="s">
        <v>109</v>
      </c>
      <c r="B17" s="10" t="s">
        <v>110</v>
      </c>
      <c r="C17" s="11" t="s">
        <v>104</v>
      </c>
      <c r="D17" s="12" t="n">
        <v>0.4848</v>
      </c>
      <c r="E17" s="12"/>
      <c r="F17" s="12"/>
      <c r="G17" s="10" t="s">
        <v>55</v>
      </c>
      <c r="H17" s="10" t="s">
        <v>75</v>
      </c>
      <c r="I17" s="11" t="s">
        <v>57</v>
      </c>
      <c r="J17" s="10" t="s">
        <v>58</v>
      </c>
      <c r="K17" s="10" t="s">
        <v>59</v>
      </c>
      <c r="L17" s="10" t="s">
        <v>60</v>
      </c>
      <c r="M17" s="10" t="s">
        <v>61</v>
      </c>
      <c r="N17" s="10"/>
      <c r="O17" s="11" t="s">
        <v>62</v>
      </c>
      <c r="P17" s="10" t="s">
        <v>63</v>
      </c>
      <c r="Q17" s="11" t="s">
        <v>64</v>
      </c>
      <c r="R17" s="11" t="s">
        <v>65</v>
      </c>
      <c r="S17" s="11" t="s">
        <v>66</v>
      </c>
      <c r="T17" s="11" t="s">
        <v>111</v>
      </c>
      <c r="U17" s="10" t="n">
        <f aca="false">IF(AND($D17="",$E17="",$F17=""),1,0)</f>
        <v>0</v>
      </c>
      <c r="V17" s="10" t="n">
        <f aca="false">IF(OR($I17="",$I17="—"),1,0)</f>
        <v>0</v>
      </c>
      <c r="W17" s="10" t="n">
        <f aca="false">IF(AND(ISNUMBER($D17),ISNUMBER($E17)),IF($E17&gt;$D17,1,0),0)+IF(AND(ISNUMBER($D17),ISNUMBER($F17)),IF($D17&gt;$F17,1,0),0)+IF(AND(ISNUMBER($E17),ISNUMBER($F17)),IF($E17&gt;$F17,1,0),0)</f>
        <v>0</v>
      </c>
      <c r="X17" s="13" t="s">
        <v>68</v>
      </c>
    </row>
    <row r="18" customFormat="false" ht="15" hidden="false" customHeight="false" outlineLevel="0" collapsed="false">
      <c r="A18" s="10" t="s">
        <v>112</v>
      </c>
      <c r="B18" s="10" t="s">
        <v>113</v>
      </c>
      <c r="C18" s="11" t="s">
        <v>104</v>
      </c>
      <c r="D18" s="12" t="n">
        <v>0.181</v>
      </c>
      <c r="E18" s="12"/>
      <c r="F18" s="12"/>
      <c r="G18" s="10" t="s">
        <v>55</v>
      </c>
      <c r="H18" s="10" t="s">
        <v>79</v>
      </c>
      <c r="I18" s="11" t="s">
        <v>57</v>
      </c>
      <c r="J18" s="10" t="s">
        <v>58</v>
      </c>
      <c r="K18" s="10" t="s">
        <v>59</v>
      </c>
      <c r="L18" s="10" t="s">
        <v>60</v>
      </c>
      <c r="M18" s="10" t="s">
        <v>61</v>
      </c>
      <c r="N18" s="10"/>
      <c r="O18" s="11" t="s">
        <v>80</v>
      </c>
      <c r="P18" s="10" t="s">
        <v>63</v>
      </c>
      <c r="Q18" s="11" t="s">
        <v>64</v>
      </c>
      <c r="R18" s="11" t="s">
        <v>65</v>
      </c>
      <c r="S18" s="11" t="s">
        <v>66</v>
      </c>
      <c r="T18" s="11" t="s">
        <v>114</v>
      </c>
      <c r="U18" s="10" t="n">
        <f aca="false">IF(AND($D18="",$E18="",$F18=""),1,0)</f>
        <v>0</v>
      </c>
      <c r="V18" s="10" t="n">
        <f aca="false">IF(OR($I18="",$I18="—"),1,0)</f>
        <v>0</v>
      </c>
      <c r="W18" s="10" t="n">
        <f aca="false">IF(AND(ISNUMBER($D18),ISNUMBER($E18)),IF($E18&gt;$D18,1,0),0)+IF(AND(ISNUMBER($D18),ISNUMBER($F18)),IF($D18&gt;$F18,1,0),0)+IF(AND(ISNUMBER($E18),ISNUMBER($F18)),IF($E18&gt;$F18,1,0),0)</f>
        <v>0</v>
      </c>
      <c r="X18" s="13" t="s">
        <v>68</v>
      </c>
    </row>
    <row r="19" customFormat="false" ht="15" hidden="false" customHeight="false" outlineLevel="0" collapsed="false">
      <c r="A19" s="10" t="s">
        <v>115</v>
      </c>
      <c r="B19" s="10" t="s">
        <v>116</v>
      </c>
      <c r="C19" s="11" t="s">
        <v>104</v>
      </c>
      <c r="D19" s="12" t="n">
        <v>0.291</v>
      </c>
      <c r="E19" s="12"/>
      <c r="F19" s="12"/>
      <c r="G19" s="10" t="s">
        <v>55</v>
      </c>
      <c r="H19" s="10" t="s">
        <v>84</v>
      </c>
      <c r="I19" s="11" t="s">
        <v>57</v>
      </c>
      <c r="J19" s="10" t="s">
        <v>58</v>
      </c>
      <c r="K19" s="10" t="s">
        <v>59</v>
      </c>
      <c r="L19" s="10" t="s">
        <v>60</v>
      </c>
      <c r="M19" s="10" t="s">
        <v>61</v>
      </c>
      <c r="N19" s="10"/>
      <c r="O19" s="11" t="s">
        <v>62</v>
      </c>
      <c r="P19" s="10" t="s">
        <v>63</v>
      </c>
      <c r="Q19" s="11" t="s">
        <v>64</v>
      </c>
      <c r="R19" s="11" t="s">
        <v>65</v>
      </c>
      <c r="S19" s="11" t="s">
        <v>66</v>
      </c>
      <c r="T19" s="11" t="s">
        <v>117</v>
      </c>
      <c r="U19" s="10" t="n">
        <f aca="false">IF(AND($D19="",$E19="",$F19=""),1,0)</f>
        <v>0</v>
      </c>
      <c r="V19" s="10" t="n">
        <f aca="false">IF(OR($I19="",$I19="—"),1,0)</f>
        <v>0</v>
      </c>
      <c r="W19" s="10" t="n">
        <f aca="false">IF(AND(ISNUMBER($D19),ISNUMBER($E19)),IF($E19&gt;$D19,1,0),0)+IF(AND(ISNUMBER($D19),ISNUMBER($F19)),IF($D19&gt;$F19,1,0),0)+IF(AND(ISNUMBER($E19),ISNUMBER($F19)),IF($E19&gt;$F19,1,0),0)</f>
        <v>0</v>
      </c>
      <c r="X19" s="13" t="s">
        <v>68</v>
      </c>
    </row>
    <row r="20" customFormat="false" ht="15" hidden="false" customHeight="false" outlineLevel="0" collapsed="false">
      <c r="A20" s="10" t="s">
        <v>118</v>
      </c>
      <c r="B20" s="10" t="s">
        <v>119</v>
      </c>
      <c r="C20" s="11" t="s">
        <v>120</v>
      </c>
      <c r="D20" s="12" t="n">
        <v>0.2605</v>
      </c>
      <c r="E20" s="12"/>
      <c r="F20" s="12"/>
      <c r="G20" s="10" t="s">
        <v>55</v>
      </c>
      <c r="H20" s="10" t="s">
        <v>56</v>
      </c>
      <c r="I20" s="11" t="s">
        <v>57</v>
      </c>
      <c r="J20" s="10" t="s">
        <v>58</v>
      </c>
      <c r="K20" s="10" t="s">
        <v>59</v>
      </c>
      <c r="L20" s="10" t="s">
        <v>60</v>
      </c>
      <c r="M20" s="10" t="s">
        <v>61</v>
      </c>
      <c r="N20" s="10"/>
      <c r="O20" s="11" t="s">
        <v>62</v>
      </c>
      <c r="P20" s="10" t="s">
        <v>63</v>
      </c>
      <c r="Q20" s="11" t="s">
        <v>64</v>
      </c>
      <c r="R20" s="11" t="s">
        <v>65</v>
      </c>
      <c r="S20" s="11" t="s">
        <v>66</v>
      </c>
      <c r="T20" s="11" t="s">
        <v>121</v>
      </c>
      <c r="U20" s="10" t="n">
        <f aca="false">IF(AND($D20="",$E20="",$F20=""),1,0)</f>
        <v>0</v>
      </c>
      <c r="V20" s="10" t="n">
        <f aca="false">IF(OR($I20="",$I20="—"),1,0)</f>
        <v>0</v>
      </c>
      <c r="W20" s="10" t="n">
        <f aca="false">IF(AND(ISNUMBER($D20),ISNUMBER($E20)),IF($E20&gt;$D20,1,0),0)+IF(AND(ISNUMBER($D20),ISNUMBER($F20)),IF($D20&gt;$F20,1,0),0)+IF(AND(ISNUMBER($E20),ISNUMBER($F20)),IF($E20&gt;$F20,1,0),0)</f>
        <v>0</v>
      </c>
      <c r="X20" s="13" t="s">
        <v>68</v>
      </c>
    </row>
    <row r="21" customFormat="false" ht="15" hidden="false" customHeight="false" outlineLevel="0" collapsed="false">
      <c r="A21" s="10" t="s">
        <v>122</v>
      </c>
      <c r="B21" s="10" t="s">
        <v>123</v>
      </c>
      <c r="C21" s="11" t="s">
        <v>120</v>
      </c>
      <c r="D21" s="12" t="n">
        <v>0.4406</v>
      </c>
      <c r="E21" s="12"/>
      <c r="F21" s="12"/>
      <c r="G21" s="10" t="s">
        <v>55</v>
      </c>
      <c r="H21" s="10" t="s">
        <v>71</v>
      </c>
      <c r="I21" s="11" t="s">
        <v>57</v>
      </c>
      <c r="J21" s="10" t="s">
        <v>58</v>
      </c>
      <c r="K21" s="10" t="s">
        <v>59</v>
      </c>
      <c r="L21" s="10" t="s">
        <v>60</v>
      </c>
      <c r="M21" s="10" t="s">
        <v>61</v>
      </c>
      <c r="N21" s="10"/>
      <c r="O21" s="11" t="s">
        <v>62</v>
      </c>
      <c r="P21" s="10" t="s">
        <v>63</v>
      </c>
      <c r="Q21" s="11" t="s">
        <v>64</v>
      </c>
      <c r="R21" s="11" t="s">
        <v>65</v>
      </c>
      <c r="S21" s="11" t="s">
        <v>66</v>
      </c>
      <c r="T21" s="11" t="s">
        <v>124</v>
      </c>
      <c r="U21" s="10" t="n">
        <f aca="false">IF(AND($D21="",$E21="",$F21=""),1,0)</f>
        <v>0</v>
      </c>
      <c r="V21" s="10" t="n">
        <f aca="false">IF(OR($I21="",$I21="—"),1,0)</f>
        <v>0</v>
      </c>
      <c r="W21" s="10" t="n">
        <f aca="false">IF(AND(ISNUMBER($D21),ISNUMBER($E21)),IF($E21&gt;$D21,1,0),0)+IF(AND(ISNUMBER($D21),ISNUMBER($F21)),IF($D21&gt;$F21,1,0),0)+IF(AND(ISNUMBER($E21),ISNUMBER($F21)),IF($E21&gt;$F21,1,0),0)</f>
        <v>0</v>
      </c>
      <c r="X21" s="13" t="s">
        <v>68</v>
      </c>
    </row>
    <row r="22" customFormat="false" ht="15" hidden="false" customHeight="false" outlineLevel="0" collapsed="false">
      <c r="A22" s="10" t="s">
        <v>125</v>
      </c>
      <c r="B22" s="10" t="s">
        <v>126</v>
      </c>
      <c r="C22" s="11" t="s">
        <v>120</v>
      </c>
      <c r="D22" s="12" t="n">
        <v>1.3653</v>
      </c>
      <c r="E22" s="12"/>
      <c r="F22" s="12"/>
      <c r="G22" s="10" t="s">
        <v>55</v>
      </c>
      <c r="H22" s="10" t="s">
        <v>75</v>
      </c>
      <c r="I22" s="11" t="s">
        <v>57</v>
      </c>
      <c r="J22" s="10" t="s">
        <v>58</v>
      </c>
      <c r="K22" s="10" t="s">
        <v>59</v>
      </c>
      <c r="L22" s="10" t="s">
        <v>60</v>
      </c>
      <c r="M22" s="10" t="s">
        <v>61</v>
      </c>
      <c r="N22" s="10"/>
      <c r="O22" s="11" t="s">
        <v>62</v>
      </c>
      <c r="P22" s="10" t="s">
        <v>63</v>
      </c>
      <c r="Q22" s="11" t="s">
        <v>64</v>
      </c>
      <c r="R22" s="11" t="s">
        <v>65</v>
      </c>
      <c r="S22" s="11" t="s">
        <v>66</v>
      </c>
      <c r="T22" s="11" t="s">
        <v>127</v>
      </c>
      <c r="U22" s="10" t="n">
        <f aca="false">IF(AND($D22="",$E22="",$F22=""),1,0)</f>
        <v>0</v>
      </c>
      <c r="V22" s="10" t="n">
        <f aca="false">IF(OR($I22="",$I22="—"),1,0)</f>
        <v>0</v>
      </c>
      <c r="W22" s="10" t="n">
        <f aca="false">IF(AND(ISNUMBER($D22),ISNUMBER($E22)),IF($E22&gt;$D22,1,0),0)+IF(AND(ISNUMBER($D22),ISNUMBER($F22)),IF($D22&gt;$F22,1,0),0)+IF(AND(ISNUMBER($E22),ISNUMBER($F22)),IF($E22&gt;$F22,1,0),0)</f>
        <v>0</v>
      </c>
      <c r="X22" s="13" t="s">
        <v>68</v>
      </c>
    </row>
    <row r="23" customFormat="false" ht="15" hidden="false" customHeight="false" outlineLevel="0" collapsed="false">
      <c r="A23" s="10" t="s">
        <v>128</v>
      </c>
      <c r="B23" s="10" t="s">
        <v>129</v>
      </c>
      <c r="C23" s="11" t="s">
        <v>120</v>
      </c>
      <c r="D23" s="12" t="n">
        <v>0.2295</v>
      </c>
      <c r="E23" s="12"/>
      <c r="F23" s="12"/>
      <c r="G23" s="10" t="s">
        <v>55</v>
      </c>
      <c r="H23" s="10" t="s">
        <v>79</v>
      </c>
      <c r="I23" s="11" t="s">
        <v>57</v>
      </c>
      <c r="J23" s="10" t="s">
        <v>58</v>
      </c>
      <c r="K23" s="10" t="s">
        <v>59</v>
      </c>
      <c r="L23" s="10" t="s">
        <v>60</v>
      </c>
      <c r="M23" s="10" t="s">
        <v>61</v>
      </c>
      <c r="N23" s="10"/>
      <c r="O23" s="11" t="s">
        <v>80</v>
      </c>
      <c r="P23" s="10" t="s">
        <v>63</v>
      </c>
      <c r="Q23" s="11" t="s">
        <v>64</v>
      </c>
      <c r="R23" s="11" t="s">
        <v>65</v>
      </c>
      <c r="S23" s="11" t="s">
        <v>66</v>
      </c>
      <c r="T23" s="11" t="s">
        <v>130</v>
      </c>
      <c r="U23" s="10" t="n">
        <f aca="false">IF(AND($D23="",$E23="",$F23=""),1,0)</f>
        <v>0</v>
      </c>
      <c r="V23" s="10" t="n">
        <f aca="false">IF(OR($I23="",$I23="—"),1,0)</f>
        <v>0</v>
      </c>
      <c r="W23" s="10" t="n">
        <f aca="false">IF(AND(ISNUMBER($D23),ISNUMBER($E23)),IF($E23&gt;$D23,1,0),0)+IF(AND(ISNUMBER($D23),ISNUMBER($F23)),IF($D23&gt;$F23,1,0),0)+IF(AND(ISNUMBER($E23),ISNUMBER($F23)),IF($E23&gt;$F23,1,0),0)</f>
        <v>0</v>
      </c>
      <c r="X23" s="13" t="s">
        <v>68</v>
      </c>
    </row>
    <row r="24" customFormat="false" ht="15" hidden="false" customHeight="false" outlineLevel="0" collapsed="false">
      <c r="A24" s="10" t="s">
        <v>131</v>
      </c>
      <c r="B24" s="10" t="s">
        <v>132</v>
      </c>
      <c r="C24" s="11" t="s">
        <v>120</v>
      </c>
      <c r="D24" s="12" t="n">
        <v>0.9545</v>
      </c>
      <c r="E24" s="12"/>
      <c r="F24" s="12"/>
      <c r="G24" s="10" t="s">
        <v>55</v>
      </c>
      <c r="H24" s="10" t="s">
        <v>84</v>
      </c>
      <c r="I24" s="11" t="s">
        <v>57</v>
      </c>
      <c r="J24" s="10" t="s">
        <v>58</v>
      </c>
      <c r="K24" s="10" t="s">
        <v>59</v>
      </c>
      <c r="L24" s="10" t="s">
        <v>60</v>
      </c>
      <c r="M24" s="10" t="s">
        <v>61</v>
      </c>
      <c r="N24" s="10"/>
      <c r="O24" s="11" t="s">
        <v>62</v>
      </c>
      <c r="P24" s="10" t="s">
        <v>63</v>
      </c>
      <c r="Q24" s="11" t="s">
        <v>64</v>
      </c>
      <c r="R24" s="11" t="s">
        <v>65</v>
      </c>
      <c r="S24" s="11" t="s">
        <v>66</v>
      </c>
      <c r="T24" s="11" t="s">
        <v>133</v>
      </c>
      <c r="U24" s="10" t="n">
        <f aca="false">IF(AND($D24="",$E24="",$F24=""),1,0)</f>
        <v>0</v>
      </c>
      <c r="V24" s="10" t="n">
        <f aca="false">IF(OR($I24="",$I24="—"),1,0)</f>
        <v>0</v>
      </c>
      <c r="W24" s="10" t="n">
        <f aca="false">IF(AND(ISNUMBER($D24),ISNUMBER($E24)),IF($E24&gt;$D24,1,0),0)+IF(AND(ISNUMBER($D24),ISNUMBER($F24)),IF($D24&gt;$F24,1,0),0)+IF(AND(ISNUMBER($E24),ISNUMBER($F24)),IF($E24&gt;$F24,1,0),0)</f>
        <v>0</v>
      </c>
      <c r="X24" s="13" t="s">
        <v>68</v>
      </c>
    </row>
    <row r="25" customFormat="false" ht="15" hidden="false" customHeight="false" outlineLevel="0" collapsed="false">
      <c r="A25" s="10" t="s">
        <v>134</v>
      </c>
      <c r="B25" s="10" t="s">
        <v>135</v>
      </c>
      <c r="C25" s="11" t="s">
        <v>136</v>
      </c>
      <c r="D25" s="12" t="n">
        <v>0</v>
      </c>
      <c r="E25" s="12"/>
      <c r="F25" s="12"/>
      <c r="G25" s="10" t="s">
        <v>55</v>
      </c>
      <c r="H25" s="10" t="s">
        <v>56</v>
      </c>
      <c r="I25" s="11" t="s">
        <v>57</v>
      </c>
      <c r="J25" s="10" t="s">
        <v>58</v>
      </c>
      <c r="K25" s="10" t="s">
        <v>59</v>
      </c>
      <c r="L25" s="10" t="s">
        <v>60</v>
      </c>
      <c r="M25" s="10" t="s">
        <v>61</v>
      </c>
      <c r="N25" s="10"/>
      <c r="O25" s="11" t="s">
        <v>62</v>
      </c>
      <c r="P25" s="10" t="s">
        <v>63</v>
      </c>
      <c r="Q25" s="11" t="s">
        <v>64</v>
      </c>
      <c r="R25" s="11" t="s">
        <v>65</v>
      </c>
      <c r="S25" s="11" t="s">
        <v>66</v>
      </c>
      <c r="T25" s="11" t="s">
        <v>137</v>
      </c>
      <c r="U25" s="10" t="n">
        <f aca="false">IF(AND($D25="",$E25="",$F25=""),1,0)</f>
        <v>0</v>
      </c>
      <c r="V25" s="10" t="n">
        <f aca="false">IF(OR($I25="",$I25="—"),1,0)</f>
        <v>0</v>
      </c>
      <c r="W25" s="10" t="n">
        <f aca="false">IF(AND(ISNUMBER($D25),ISNUMBER($E25)),IF($E25&gt;$D25,1,0),0)+IF(AND(ISNUMBER($D25),ISNUMBER($F25)),IF($D25&gt;$F25,1,0),0)+IF(AND(ISNUMBER($E25),ISNUMBER($F25)),IF($E25&gt;$F25,1,0),0)</f>
        <v>0</v>
      </c>
      <c r="X25" s="13" t="s">
        <v>68</v>
      </c>
    </row>
    <row r="26" customFormat="false" ht="15" hidden="false" customHeight="false" outlineLevel="0" collapsed="false">
      <c r="A26" s="10" t="s">
        <v>138</v>
      </c>
      <c r="B26" s="10" t="s">
        <v>139</v>
      </c>
      <c r="C26" s="11" t="s">
        <v>136</v>
      </c>
      <c r="D26" s="12" t="n">
        <v>0.12</v>
      </c>
      <c r="E26" s="12"/>
      <c r="F26" s="12"/>
      <c r="G26" s="10" t="s">
        <v>55</v>
      </c>
      <c r="H26" s="10" t="s">
        <v>71</v>
      </c>
      <c r="I26" s="11" t="s">
        <v>57</v>
      </c>
      <c r="J26" s="10" t="s">
        <v>58</v>
      </c>
      <c r="K26" s="10" t="s">
        <v>59</v>
      </c>
      <c r="L26" s="10" t="s">
        <v>60</v>
      </c>
      <c r="M26" s="10" t="s">
        <v>61</v>
      </c>
      <c r="N26" s="10"/>
      <c r="O26" s="11" t="s">
        <v>62</v>
      </c>
      <c r="P26" s="10" t="s">
        <v>63</v>
      </c>
      <c r="Q26" s="11" t="s">
        <v>64</v>
      </c>
      <c r="R26" s="11" t="s">
        <v>65</v>
      </c>
      <c r="S26" s="11" t="s">
        <v>66</v>
      </c>
      <c r="T26" s="11" t="s">
        <v>140</v>
      </c>
      <c r="U26" s="10" t="n">
        <f aca="false">IF(AND($D26="",$E26="",$F26=""),1,0)</f>
        <v>0</v>
      </c>
      <c r="V26" s="10" t="n">
        <f aca="false">IF(OR($I26="",$I26="—"),1,0)</f>
        <v>0</v>
      </c>
      <c r="W26" s="10" t="n">
        <f aca="false">IF(AND(ISNUMBER($D26),ISNUMBER($E26)),IF($E26&gt;$D26,1,0),0)+IF(AND(ISNUMBER($D26),ISNUMBER($F26)),IF($D26&gt;$F26,1,0),0)+IF(AND(ISNUMBER($E26),ISNUMBER($F26)),IF($E26&gt;$F26,1,0),0)</f>
        <v>0</v>
      </c>
      <c r="X26" s="13" t="s">
        <v>68</v>
      </c>
    </row>
    <row r="27" customFormat="false" ht="15" hidden="false" customHeight="false" outlineLevel="0" collapsed="false">
      <c r="A27" s="10" t="s">
        <v>141</v>
      </c>
      <c r="B27" s="10" t="s">
        <v>142</v>
      </c>
      <c r="C27" s="11" t="s">
        <v>136</v>
      </c>
      <c r="D27" s="12" t="n">
        <v>0.3017</v>
      </c>
      <c r="E27" s="12"/>
      <c r="F27" s="12"/>
      <c r="G27" s="10" t="s">
        <v>55</v>
      </c>
      <c r="H27" s="10" t="s">
        <v>75</v>
      </c>
      <c r="I27" s="11" t="s">
        <v>57</v>
      </c>
      <c r="J27" s="10" t="s">
        <v>58</v>
      </c>
      <c r="K27" s="10" t="s">
        <v>59</v>
      </c>
      <c r="L27" s="10" t="s">
        <v>60</v>
      </c>
      <c r="M27" s="10" t="s">
        <v>61</v>
      </c>
      <c r="N27" s="10"/>
      <c r="O27" s="11" t="s">
        <v>62</v>
      </c>
      <c r="P27" s="10" t="s">
        <v>63</v>
      </c>
      <c r="Q27" s="11" t="s">
        <v>64</v>
      </c>
      <c r="R27" s="11" t="s">
        <v>65</v>
      </c>
      <c r="S27" s="11" t="s">
        <v>66</v>
      </c>
      <c r="T27" s="11" t="s">
        <v>143</v>
      </c>
      <c r="U27" s="10" t="n">
        <f aca="false">IF(AND($D27="",$E27="",$F27=""),1,0)</f>
        <v>0</v>
      </c>
      <c r="V27" s="10" t="n">
        <f aca="false">IF(OR($I27="",$I27="—"),1,0)</f>
        <v>0</v>
      </c>
      <c r="W27" s="10" t="n">
        <f aca="false">IF(AND(ISNUMBER($D27),ISNUMBER($E27)),IF($E27&gt;$D27,1,0),0)+IF(AND(ISNUMBER($D27),ISNUMBER($F27)),IF($D27&gt;$F27,1,0),0)+IF(AND(ISNUMBER($E27),ISNUMBER($F27)),IF($E27&gt;$F27,1,0),0)</f>
        <v>0</v>
      </c>
      <c r="X27" s="13" t="s">
        <v>68</v>
      </c>
    </row>
    <row r="28" customFormat="false" ht="15" hidden="false" customHeight="false" outlineLevel="0" collapsed="false">
      <c r="A28" s="10" t="s">
        <v>144</v>
      </c>
      <c r="B28" s="10" t="s">
        <v>145</v>
      </c>
      <c r="C28" s="11" t="s">
        <v>136</v>
      </c>
      <c r="D28" s="12" t="n">
        <v>0.0845</v>
      </c>
      <c r="E28" s="12"/>
      <c r="F28" s="12"/>
      <c r="G28" s="10" t="s">
        <v>55</v>
      </c>
      <c r="H28" s="10" t="s">
        <v>79</v>
      </c>
      <c r="I28" s="11" t="s">
        <v>57</v>
      </c>
      <c r="J28" s="10" t="s">
        <v>58</v>
      </c>
      <c r="K28" s="10" t="s">
        <v>59</v>
      </c>
      <c r="L28" s="10" t="s">
        <v>60</v>
      </c>
      <c r="M28" s="10" t="s">
        <v>61</v>
      </c>
      <c r="N28" s="10"/>
      <c r="O28" s="11" t="s">
        <v>80</v>
      </c>
      <c r="P28" s="10" t="s">
        <v>63</v>
      </c>
      <c r="Q28" s="11" t="s">
        <v>64</v>
      </c>
      <c r="R28" s="11" t="s">
        <v>65</v>
      </c>
      <c r="S28" s="11" t="s">
        <v>66</v>
      </c>
      <c r="T28" s="11" t="s">
        <v>146</v>
      </c>
      <c r="U28" s="10" t="n">
        <f aca="false">IF(AND($D28="",$E28="",$F28=""),1,0)</f>
        <v>0</v>
      </c>
      <c r="V28" s="10" t="n">
        <f aca="false">IF(OR($I28="",$I28="—"),1,0)</f>
        <v>0</v>
      </c>
      <c r="W28" s="10" t="n">
        <f aca="false">IF(AND(ISNUMBER($D28),ISNUMBER($E28)),IF($E28&gt;$D28,1,0),0)+IF(AND(ISNUMBER($D28),ISNUMBER($F28)),IF($D28&gt;$F28,1,0),0)+IF(AND(ISNUMBER($E28),ISNUMBER($F28)),IF($E28&gt;$F28,1,0),0)</f>
        <v>0</v>
      </c>
      <c r="X28" s="13" t="s">
        <v>68</v>
      </c>
    </row>
    <row r="29" customFormat="false" ht="15" hidden="false" customHeight="false" outlineLevel="0" collapsed="false">
      <c r="A29" s="10" t="s">
        <v>147</v>
      </c>
      <c r="B29" s="10" t="s">
        <v>148</v>
      </c>
      <c r="C29" s="11" t="s">
        <v>136</v>
      </c>
      <c r="D29" s="12" t="n">
        <v>0.3584</v>
      </c>
      <c r="E29" s="12"/>
      <c r="F29" s="12"/>
      <c r="G29" s="10" t="s">
        <v>55</v>
      </c>
      <c r="H29" s="10" t="s">
        <v>84</v>
      </c>
      <c r="I29" s="11" t="s">
        <v>57</v>
      </c>
      <c r="J29" s="10" t="s">
        <v>58</v>
      </c>
      <c r="K29" s="10" t="s">
        <v>59</v>
      </c>
      <c r="L29" s="10" t="s">
        <v>60</v>
      </c>
      <c r="M29" s="10" t="s">
        <v>61</v>
      </c>
      <c r="N29" s="10"/>
      <c r="O29" s="11" t="s">
        <v>62</v>
      </c>
      <c r="P29" s="10" t="s">
        <v>63</v>
      </c>
      <c r="Q29" s="11" t="s">
        <v>64</v>
      </c>
      <c r="R29" s="11" t="s">
        <v>65</v>
      </c>
      <c r="S29" s="11" t="s">
        <v>66</v>
      </c>
      <c r="T29" s="11" t="s">
        <v>149</v>
      </c>
      <c r="U29" s="10" t="n">
        <f aca="false">IF(AND($D29="",$E29="",$F29=""),1,0)</f>
        <v>0</v>
      </c>
      <c r="V29" s="10" t="n">
        <f aca="false">IF(OR($I29="",$I29="—"),1,0)</f>
        <v>0</v>
      </c>
      <c r="W29" s="10" t="n">
        <f aca="false">IF(AND(ISNUMBER($D29),ISNUMBER($E29)),IF($E29&gt;$D29,1,0),0)+IF(AND(ISNUMBER($D29),ISNUMBER($F29)),IF($D29&gt;$F29,1,0),0)+IF(AND(ISNUMBER($E29),ISNUMBER($F29)),IF($E29&gt;$F29,1,0),0)</f>
        <v>0</v>
      </c>
      <c r="X29" s="13" t="s">
        <v>68</v>
      </c>
    </row>
    <row r="30" customFormat="false" ht="15" hidden="false" customHeight="false" outlineLevel="0" collapsed="false">
      <c r="A30" s="10" t="s">
        <v>150</v>
      </c>
      <c r="B30" s="10" t="s">
        <v>151</v>
      </c>
      <c r="C30" s="11" t="s">
        <v>152</v>
      </c>
      <c r="D30" s="12" t="n">
        <v>0.1643</v>
      </c>
      <c r="E30" s="12"/>
      <c r="F30" s="12"/>
      <c r="G30" s="10" t="s">
        <v>55</v>
      </c>
      <c r="H30" s="10" t="s">
        <v>56</v>
      </c>
      <c r="I30" s="11" t="s">
        <v>57</v>
      </c>
      <c r="J30" s="10" t="s">
        <v>58</v>
      </c>
      <c r="K30" s="10" t="s">
        <v>59</v>
      </c>
      <c r="L30" s="10" t="s">
        <v>60</v>
      </c>
      <c r="M30" s="10" t="s">
        <v>61</v>
      </c>
      <c r="N30" s="10"/>
      <c r="O30" s="11" t="s">
        <v>62</v>
      </c>
      <c r="P30" s="10" t="s">
        <v>63</v>
      </c>
      <c r="Q30" s="11" t="s">
        <v>64</v>
      </c>
      <c r="R30" s="11" t="s">
        <v>65</v>
      </c>
      <c r="S30" s="11" t="s">
        <v>66</v>
      </c>
      <c r="T30" s="11" t="s">
        <v>153</v>
      </c>
      <c r="U30" s="10" t="n">
        <f aca="false">IF(AND($D30="",$E30="",$F30=""),1,0)</f>
        <v>0</v>
      </c>
      <c r="V30" s="10" t="n">
        <f aca="false">IF(OR($I30="",$I30="—"),1,0)</f>
        <v>0</v>
      </c>
      <c r="W30" s="10" t="n">
        <f aca="false">IF(AND(ISNUMBER($D30),ISNUMBER($E30)),IF($E30&gt;$D30,1,0),0)+IF(AND(ISNUMBER($D30),ISNUMBER($F30)),IF($D30&gt;$F30,1,0),0)+IF(AND(ISNUMBER($E30),ISNUMBER($F30)),IF($E30&gt;$F30,1,0),0)</f>
        <v>0</v>
      </c>
      <c r="X30" s="13" t="s">
        <v>68</v>
      </c>
    </row>
    <row r="31" customFormat="false" ht="15" hidden="false" customHeight="false" outlineLevel="0" collapsed="false">
      <c r="A31" s="10" t="s">
        <v>154</v>
      </c>
      <c r="B31" s="10" t="s">
        <v>155</v>
      </c>
      <c r="C31" s="11" t="s">
        <v>152</v>
      </c>
      <c r="D31" s="12" t="n">
        <v>0.1537</v>
      </c>
      <c r="E31" s="12"/>
      <c r="F31" s="12"/>
      <c r="G31" s="10" t="s">
        <v>55</v>
      </c>
      <c r="H31" s="10" t="s">
        <v>71</v>
      </c>
      <c r="I31" s="11" t="s">
        <v>57</v>
      </c>
      <c r="J31" s="10" t="s">
        <v>58</v>
      </c>
      <c r="K31" s="10" t="s">
        <v>59</v>
      </c>
      <c r="L31" s="10" t="s">
        <v>60</v>
      </c>
      <c r="M31" s="10" t="s">
        <v>61</v>
      </c>
      <c r="N31" s="10"/>
      <c r="O31" s="11" t="s">
        <v>62</v>
      </c>
      <c r="P31" s="10" t="s">
        <v>63</v>
      </c>
      <c r="Q31" s="11" t="s">
        <v>64</v>
      </c>
      <c r="R31" s="11" t="s">
        <v>65</v>
      </c>
      <c r="S31" s="11" t="s">
        <v>66</v>
      </c>
      <c r="T31" s="11" t="s">
        <v>156</v>
      </c>
      <c r="U31" s="10" t="n">
        <f aca="false">IF(AND($D31="",$E31="",$F31=""),1,0)</f>
        <v>0</v>
      </c>
      <c r="V31" s="10" t="n">
        <f aca="false">IF(OR($I31="",$I31="—"),1,0)</f>
        <v>0</v>
      </c>
      <c r="W31" s="10" t="n">
        <f aca="false">IF(AND(ISNUMBER($D31),ISNUMBER($E31)),IF($E31&gt;$D31,1,0),0)+IF(AND(ISNUMBER($D31),ISNUMBER($F31)),IF($D31&gt;$F31,1,0),0)+IF(AND(ISNUMBER($E31),ISNUMBER($F31)),IF($E31&gt;$F31,1,0),0)</f>
        <v>0</v>
      </c>
      <c r="X31" s="13" t="s">
        <v>68</v>
      </c>
    </row>
    <row r="32" customFormat="false" ht="15" hidden="false" customHeight="false" outlineLevel="0" collapsed="false">
      <c r="A32" s="10" t="s">
        <v>157</v>
      </c>
      <c r="B32" s="10" t="s">
        <v>158</v>
      </c>
      <c r="C32" s="11" t="s">
        <v>152</v>
      </c>
      <c r="D32" s="12" t="n">
        <v>0.7426</v>
      </c>
      <c r="E32" s="12"/>
      <c r="F32" s="12"/>
      <c r="G32" s="10" t="s">
        <v>55</v>
      </c>
      <c r="H32" s="10" t="s">
        <v>75</v>
      </c>
      <c r="I32" s="11" t="s">
        <v>57</v>
      </c>
      <c r="J32" s="10" t="s">
        <v>58</v>
      </c>
      <c r="K32" s="10" t="s">
        <v>59</v>
      </c>
      <c r="L32" s="10" t="s">
        <v>60</v>
      </c>
      <c r="M32" s="10" t="s">
        <v>61</v>
      </c>
      <c r="N32" s="10"/>
      <c r="O32" s="11" t="s">
        <v>62</v>
      </c>
      <c r="P32" s="10" t="s">
        <v>63</v>
      </c>
      <c r="Q32" s="11" t="s">
        <v>64</v>
      </c>
      <c r="R32" s="11" t="s">
        <v>65</v>
      </c>
      <c r="S32" s="11" t="s">
        <v>66</v>
      </c>
      <c r="T32" s="11" t="s">
        <v>159</v>
      </c>
      <c r="U32" s="10" t="n">
        <f aca="false">IF(AND($D32="",$E32="",$F32=""),1,0)</f>
        <v>0</v>
      </c>
      <c r="V32" s="10" t="n">
        <f aca="false">IF(OR($I32="",$I32="—"),1,0)</f>
        <v>0</v>
      </c>
      <c r="W32" s="10" t="n">
        <f aca="false">IF(AND(ISNUMBER($D32),ISNUMBER($E32)),IF($E32&gt;$D32,1,0),0)+IF(AND(ISNUMBER($D32),ISNUMBER($F32)),IF($D32&gt;$F32,1,0),0)+IF(AND(ISNUMBER($E32),ISNUMBER($F32)),IF($E32&gt;$F32,1,0),0)</f>
        <v>0</v>
      </c>
      <c r="X32" s="13" t="s">
        <v>68</v>
      </c>
    </row>
    <row r="33" customFormat="false" ht="15" hidden="false" customHeight="false" outlineLevel="0" collapsed="false">
      <c r="A33" s="10" t="s">
        <v>160</v>
      </c>
      <c r="B33" s="10" t="s">
        <v>161</v>
      </c>
      <c r="C33" s="11" t="s">
        <v>152</v>
      </c>
      <c r="D33" s="12" t="n">
        <v>0.1083</v>
      </c>
      <c r="E33" s="12"/>
      <c r="F33" s="12"/>
      <c r="G33" s="10" t="s">
        <v>55</v>
      </c>
      <c r="H33" s="10" t="s">
        <v>79</v>
      </c>
      <c r="I33" s="11" t="s">
        <v>57</v>
      </c>
      <c r="J33" s="10" t="s">
        <v>58</v>
      </c>
      <c r="K33" s="10" t="s">
        <v>59</v>
      </c>
      <c r="L33" s="10" t="s">
        <v>60</v>
      </c>
      <c r="M33" s="10" t="s">
        <v>61</v>
      </c>
      <c r="N33" s="10"/>
      <c r="O33" s="11" t="s">
        <v>80</v>
      </c>
      <c r="P33" s="10" t="s">
        <v>63</v>
      </c>
      <c r="Q33" s="11" t="s">
        <v>64</v>
      </c>
      <c r="R33" s="11" t="s">
        <v>65</v>
      </c>
      <c r="S33" s="11" t="s">
        <v>66</v>
      </c>
      <c r="T33" s="11" t="s">
        <v>162</v>
      </c>
      <c r="U33" s="10" t="n">
        <f aca="false">IF(AND($D33="",$E33="",$F33=""),1,0)</f>
        <v>0</v>
      </c>
      <c r="V33" s="10" t="n">
        <f aca="false">IF(OR($I33="",$I33="—"),1,0)</f>
        <v>0</v>
      </c>
      <c r="W33" s="10" t="n">
        <f aca="false">IF(AND(ISNUMBER($D33),ISNUMBER($E33)),IF($E33&gt;$D33,1,0),0)+IF(AND(ISNUMBER($D33),ISNUMBER($F33)),IF($D33&gt;$F33,1,0),0)+IF(AND(ISNUMBER($E33),ISNUMBER($F33)),IF($E33&gt;$F33,1,0),0)</f>
        <v>0</v>
      </c>
      <c r="X33" s="13" t="s">
        <v>68</v>
      </c>
    </row>
    <row r="34" customFormat="false" ht="15" hidden="false" customHeight="false" outlineLevel="0" collapsed="false">
      <c r="A34" s="10" t="s">
        <v>163</v>
      </c>
      <c r="B34" s="10" t="s">
        <v>164</v>
      </c>
      <c r="C34" s="11" t="s">
        <v>152</v>
      </c>
      <c r="D34" s="12" t="n">
        <v>0.3763</v>
      </c>
      <c r="E34" s="12"/>
      <c r="F34" s="12"/>
      <c r="G34" s="10" t="s">
        <v>55</v>
      </c>
      <c r="H34" s="10" t="s">
        <v>84</v>
      </c>
      <c r="I34" s="11" t="s">
        <v>57</v>
      </c>
      <c r="J34" s="10" t="s">
        <v>58</v>
      </c>
      <c r="K34" s="10" t="s">
        <v>59</v>
      </c>
      <c r="L34" s="10" t="s">
        <v>60</v>
      </c>
      <c r="M34" s="10" t="s">
        <v>61</v>
      </c>
      <c r="N34" s="10"/>
      <c r="O34" s="11" t="s">
        <v>62</v>
      </c>
      <c r="P34" s="10" t="s">
        <v>63</v>
      </c>
      <c r="Q34" s="11" t="s">
        <v>64</v>
      </c>
      <c r="R34" s="11" t="s">
        <v>65</v>
      </c>
      <c r="S34" s="11" t="s">
        <v>66</v>
      </c>
      <c r="T34" s="11" t="s">
        <v>165</v>
      </c>
      <c r="U34" s="10" t="n">
        <f aca="false">IF(AND($D34="",$E34="",$F34=""),1,0)</f>
        <v>0</v>
      </c>
      <c r="V34" s="10" t="n">
        <f aca="false">IF(OR($I34="",$I34="—"),1,0)</f>
        <v>0</v>
      </c>
      <c r="W34" s="10" t="n">
        <f aca="false">IF(AND(ISNUMBER($D34),ISNUMBER($E34)),IF($E34&gt;$D34,1,0),0)+IF(AND(ISNUMBER($D34),ISNUMBER($F34)),IF($D34&gt;$F34,1,0),0)+IF(AND(ISNUMBER($E34),ISNUMBER($F34)),IF($E34&gt;$F34,1,0),0)</f>
        <v>0</v>
      </c>
      <c r="X34" s="13" t="s">
        <v>68</v>
      </c>
    </row>
    <row r="35" customFormat="false" ht="15" hidden="false" customHeight="false" outlineLevel="0" collapsed="false">
      <c r="A35" s="10" t="s">
        <v>166</v>
      </c>
      <c r="B35" s="10" t="s">
        <v>167</v>
      </c>
      <c r="C35" s="11" t="s">
        <v>168</v>
      </c>
      <c r="D35" s="12" t="n">
        <v>0.3136</v>
      </c>
      <c r="E35" s="12"/>
      <c r="F35" s="12"/>
      <c r="G35" s="10" t="s">
        <v>55</v>
      </c>
      <c r="H35" s="10" t="s">
        <v>56</v>
      </c>
      <c r="I35" s="11" t="s">
        <v>57</v>
      </c>
      <c r="J35" s="10" t="s">
        <v>58</v>
      </c>
      <c r="K35" s="10" t="s">
        <v>59</v>
      </c>
      <c r="L35" s="10" t="s">
        <v>60</v>
      </c>
      <c r="M35" s="10" t="s">
        <v>61</v>
      </c>
      <c r="N35" s="10"/>
      <c r="O35" s="11" t="s">
        <v>62</v>
      </c>
      <c r="P35" s="10" t="s">
        <v>63</v>
      </c>
      <c r="Q35" s="11" t="s">
        <v>64</v>
      </c>
      <c r="R35" s="11" t="s">
        <v>65</v>
      </c>
      <c r="S35" s="11" t="s">
        <v>66</v>
      </c>
      <c r="T35" s="11" t="s">
        <v>169</v>
      </c>
      <c r="U35" s="10" t="n">
        <f aca="false">IF(AND($D35="",$E35="",$F35=""),1,0)</f>
        <v>0</v>
      </c>
      <c r="V35" s="10" t="n">
        <f aca="false">IF(OR($I35="",$I35="—"),1,0)</f>
        <v>0</v>
      </c>
      <c r="W35" s="10" t="n">
        <f aca="false">IF(AND(ISNUMBER($D35),ISNUMBER($E35)),IF($E35&gt;$D35,1,0),0)+IF(AND(ISNUMBER($D35),ISNUMBER($F35)),IF($D35&gt;$F35,1,0),0)+IF(AND(ISNUMBER($E35),ISNUMBER($F35)),IF($E35&gt;$F35,1,0),0)</f>
        <v>0</v>
      </c>
      <c r="X35" s="13" t="s">
        <v>68</v>
      </c>
    </row>
    <row r="36" customFormat="false" ht="15" hidden="false" customHeight="false" outlineLevel="0" collapsed="false">
      <c r="A36" s="10" t="s">
        <v>170</v>
      </c>
      <c r="B36" s="10" t="s">
        <v>171</v>
      </c>
      <c r="C36" s="11" t="s">
        <v>168</v>
      </c>
      <c r="D36" s="12" t="n">
        <v>0.8048</v>
      </c>
      <c r="E36" s="12"/>
      <c r="F36" s="12"/>
      <c r="G36" s="10" t="s">
        <v>55</v>
      </c>
      <c r="H36" s="10" t="s">
        <v>71</v>
      </c>
      <c r="I36" s="11" t="s">
        <v>57</v>
      </c>
      <c r="J36" s="10" t="s">
        <v>58</v>
      </c>
      <c r="K36" s="10" t="s">
        <v>59</v>
      </c>
      <c r="L36" s="10" t="s">
        <v>60</v>
      </c>
      <c r="M36" s="10" t="s">
        <v>61</v>
      </c>
      <c r="N36" s="10"/>
      <c r="O36" s="11" t="s">
        <v>62</v>
      </c>
      <c r="P36" s="10" t="s">
        <v>63</v>
      </c>
      <c r="Q36" s="11" t="s">
        <v>64</v>
      </c>
      <c r="R36" s="11" t="s">
        <v>65</v>
      </c>
      <c r="S36" s="11" t="s">
        <v>66</v>
      </c>
      <c r="T36" s="11" t="s">
        <v>172</v>
      </c>
      <c r="U36" s="10" t="n">
        <f aca="false">IF(AND($D36="",$E36="",$F36=""),1,0)</f>
        <v>0</v>
      </c>
      <c r="V36" s="10" t="n">
        <f aca="false">IF(OR($I36="",$I36="—"),1,0)</f>
        <v>0</v>
      </c>
      <c r="W36" s="10" t="n">
        <f aca="false">IF(AND(ISNUMBER($D36),ISNUMBER($E36)),IF($E36&gt;$D36,1,0),0)+IF(AND(ISNUMBER($D36),ISNUMBER($F36)),IF($D36&gt;$F36,1,0),0)+IF(AND(ISNUMBER($E36),ISNUMBER($F36)),IF($E36&gt;$F36,1,0),0)</f>
        <v>0</v>
      </c>
      <c r="X36" s="13" t="s">
        <v>68</v>
      </c>
    </row>
    <row r="37" customFormat="false" ht="15" hidden="false" customHeight="false" outlineLevel="0" collapsed="false">
      <c r="A37" s="10" t="s">
        <v>173</v>
      </c>
      <c r="B37" s="10" t="s">
        <v>174</v>
      </c>
      <c r="C37" s="11" t="s">
        <v>168</v>
      </c>
      <c r="D37" s="12" t="n">
        <v>1.7589</v>
      </c>
      <c r="E37" s="12"/>
      <c r="F37" s="12"/>
      <c r="G37" s="10" t="s">
        <v>55</v>
      </c>
      <c r="H37" s="10" t="s">
        <v>75</v>
      </c>
      <c r="I37" s="11" t="s">
        <v>57</v>
      </c>
      <c r="J37" s="10" t="s">
        <v>58</v>
      </c>
      <c r="K37" s="10" t="s">
        <v>59</v>
      </c>
      <c r="L37" s="10" t="s">
        <v>60</v>
      </c>
      <c r="M37" s="10" t="s">
        <v>61</v>
      </c>
      <c r="N37" s="10"/>
      <c r="O37" s="11" t="s">
        <v>62</v>
      </c>
      <c r="P37" s="10" t="s">
        <v>63</v>
      </c>
      <c r="Q37" s="11" t="s">
        <v>64</v>
      </c>
      <c r="R37" s="11" t="s">
        <v>65</v>
      </c>
      <c r="S37" s="11" t="s">
        <v>66</v>
      </c>
      <c r="T37" s="11" t="s">
        <v>175</v>
      </c>
      <c r="U37" s="10" t="n">
        <f aca="false">IF(AND($D37="",$E37="",$F37=""),1,0)</f>
        <v>0</v>
      </c>
      <c r="V37" s="10" t="n">
        <f aca="false">IF(OR($I37="",$I37="—"),1,0)</f>
        <v>0</v>
      </c>
      <c r="W37" s="10" t="n">
        <f aca="false">IF(AND(ISNUMBER($D37),ISNUMBER($E37)),IF($E37&gt;$D37,1,0),0)+IF(AND(ISNUMBER($D37),ISNUMBER($F37)),IF($D37&gt;$F37,1,0),0)+IF(AND(ISNUMBER($E37),ISNUMBER($F37)),IF($E37&gt;$F37,1,0),0)</f>
        <v>0</v>
      </c>
      <c r="X37" s="13" t="s">
        <v>68</v>
      </c>
    </row>
    <row r="38" customFormat="false" ht="15" hidden="false" customHeight="false" outlineLevel="0" collapsed="false">
      <c r="A38" s="10" t="s">
        <v>176</v>
      </c>
      <c r="B38" s="10" t="s">
        <v>177</v>
      </c>
      <c r="C38" s="11" t="s">
        <v>168</v>
      </c>
      <c r="D38" s="12" t="n">
        <v>0.2196</v>
      </c>
      <c r="E38" s="12"/>
      <c r="F38" s="12"/>
      <c r="G38" s="10" t="s">
        <v>55</v>
      </c>
      <c r="H38" s="10" t="s">
        <v>79</v>
      </c>
      <c r="I38" s="11" t="s">
        <v>57</v>
      </c>
      <c r="J38" s="10" t="s">
        <v>58</v>
      </c>
      <c r="K38" s="10" t="s">
        <v>59</v>
      </c>
      <c r="L38" s="10" t="s">
        <v>60</v>
      </c>
      <c r="M38" s="10" t="s">
        <v>61</v>
      </c>
      <c r="N38" s="10"/>
      <c r="O38" s="11" t="s">
        <v>80</v>
      </c>
      <c r="P38" s="10" t="s">
        <v>63</v>
      </c>
      <c r="Q38" s="11" t="s">
        <v>64</v>
      </c>
      <c r="R38" s="11" t="s">
        <v>65</v>
      </c>
      <c r="S38" s="11" t="s">
        <v>66</v>
      </c>
      <c r="T38" s="11" t="s">
        <v>178</v>
      </c>
      <c r="U38" s="10" t="n">
        <f aca="false">IF(AND($D38="",$E38="",$F38=""),1,0)</f>
        <v>0</v>
      </c>
      <c r="V38" s="10" t="n">
        <f aca="false">IF(OR($I38="",$I38="—"),1,0)</f>
        <v>0</v>
      </c>
      <c r="W38" s="10" t="n">
        <f aca="false">IF(AND(ISNUMBER($D38),ISNUMBER($E38)),IF($E38&gt;$D38,1,0),0)+IF(AND(ISNUMBER($D38),ISNUMBER($F38)),IF($D38&gt;$F38,1,0),0)+IF(AND(ISNUMBER($E38),ISNUMBER($F38)),IF($E38&gt;$F38,1,0),0)</f>
        <v>0</v>
      </c>
      <c r="X38" s="13" t="s">
        <v>68</v>
      </c>
    </row>
    <row r="39" customFormat="false" ht="15" hidden="false" customHeight="false" outlineLevel="0" collapsed="false">
      <c r="A39" s="10" t="s">
        <v>179</v>
      </c>
      <c r="B39" s="10" t="s">
        <v>180</v>
      </c>
      <c r="C39" s="11" t="s">
        <v>168</v>
      </c>
      <c r="D39" s="12" t="n">
        <v>0.9542</v>
      </c>
      <c r="E39" s="12"/>
      <c r="F39" s="12"/>
      <c r="G39" s="10" t="s">
        <v>55</v>
      </c>
      <c r="H39" s="10" t="s">
        <v>84</v>
      </c>
      <c r="I39" s="11" t="s">
        <v>57</v>
      </c>
      <c r="J39" s="10" t="s">
        <v>58</v>
      </c>
      <c r="K39" s="10" t="s">
        <v>59</v>
      </c>
      <c r="L39" s="10" t="s">
        <v>60</v>
      </c>
      <c r="M39" s="10" t="s">
        <v>61</v>
      </c>
      <c r="N39" s="10"/>
      <c r="O39" s="11" t="s">
        <v>62</v>
      </c>
      <c r="P39" s="10" t="s">
        <v>63</v>
      </c>
      <c r="Q39" s="11" t="s">
        <v>64</v>
      </c>
      <c r="R39" s="11" t="s">
        <v>65</v>
      </c>
      <c r="S39" s="11" t="s">
        <v>66</v>
      </c>
      <c r="T39" s="11" t="s">
        <v>181</v>
      </c>
      <c r="U39" s="10" t="n">
        <f aca="false">IF(AND($D39="",$E39="",$F39=""),1,0)</f>
        <v>0</v>
      </c>
      <c r="V39" s="10" t="n">
        <f aca="false">IF(OR($I39="",$I39="—"),1,0)</f>
        <v>0</v>
      </c>
      <c r="W39" s="10" t="n">
        <f aca="false">IF(AND(ISNUMBER($D39),ISNUMBER($E39)),IF($E39&gt;$D39,1,0),0)+IF(AND(ISNUMBER($D39),ISNUMBER($F39)),IF($D39&gt;$F39,1,0),0)+IF(AND(ISNUMBER($E39),ISNUMBER($F39)),IF($E39&gt;$F39,1,0),0)</f>
        <v>0</v>
      </c>
      <c r="X39" s="13" t="s">
        <v>68</v>
      </c>
    </row>
    <row r="40" customFormat="false" ht="15" hidden="false" customHeight="false" outlineLevel="0" collapsed="false">
      <c r="A40" s="10" t="s">
        <v>182</v>
      </c>
      <c r="B40" s="10" t="s">
        <v>183</v>
      </c>
      <c r="C40" s="11" t="s">
        <v>184</v>
      </c>
      <c r="D40" s="12" t="n">
        <v>0.2939</v>
      </c>
      <c r="E40" s="12"/>
      <c r="F40" s="12"/>
      <c r="G40" s="10" t="s">
        <v>55</v>
      </c>
      <c r="H40" s="10" t="s">
        <v>56</v>
      </c>
      <c r="I40" s="11" t="s">
        <v>57</v>
      </c>
      <c r="J40" s="10" t="s">
        <v>58</v>
      </c>
      <c r="K40" s="10" t="s">
        <v>59</v>
      </c>
      <c r="L40" s="10" t="s">
        <v>60</v>
      </c>
      <c r="M40" s="10" t="s">
        <v>61</v>
      </c>
      <c r="N40" s="10"/>
      <c r="O40" s="11" t="s">
        <v>62</v>
      </c>
      <c r="P40" s="10" t="s">
        <v>63</v>
      </c>
      <c r="Q40" s="11" t="s">
        <v>64</v>
      </c>
      <c r="R40" s="11" t="s">
        <v>65</v>
      </c>
      <c r="S40" s="11" t="s">
        <v>66</v>
      </c>
      <c r="T40" s="11" t="s">
        <v>185</v>
      </c>
      <c r="U40" s="10" t="n">
        <f aca="false">IF(AND($D40="",$E40="",$F40=""),1,0)</f>
        <v>0</v>
      </c>
      <c r="V40" s="10" t="n">
        <f aca="false">IF(OR($I40="",$I40="—"),1,0)</f>
        <v>0</v>
      </c>
      <c r="W40" s="10" t="n">
        <f aca="false">IF(AND(ISNUMBER($D40),ISNUMBER($E40)),IF($E40&gt;$D40,1,0),0)+IF(AND(ISNUMBER($D40),ISNUMBER($F40)),IF($D40&gt;$F40,1,0),0)+IF(AND(ISNUMBER($E40),ISNUMBER($F40)),IF($E40&gt;$F40,1,0),0)</f>
        <v>0</v>
      </c>
      <c r="X40" s="13" t="s">
        <v>68</v>
      </c>
    </row>
    <row r="41" customFormat="false" ht="15" hidden="false" customHeight="false" outlineLevel="0" collapsed="false">
      <c r="A41" s="10" t="s">
        <v>186</v>
      </c>
      <c r="B41" s="10" t="s">
        <v>187</v>
      </c>
      <c r="C41" s="11" t="s">
        <v>184</v>
      </c>
      <c r="D41" s="12" t="n">
        <v>0.7678</v>
      </c>
      <c r="E41" s="12"/>
      <c r="F41" s="12"/>
      <c r="G41" s="10" t="s">
        <v>55</v>
      </c>
      <c r="H41" s="10" t="s">
        <v>71</v>
      </c>
      <c r="I41" s="11" t="s">
        <v>57</v>
      </c>
      <c r="J41" s="10" t="s">
        <v>58</v>
      </c>
      <c r="K41" s="10" t="s">
        <v>59</v>
      </c>
      <c r="L41" s="10" t="s">
        <v>60</v>
      </c>
      <c r="M41" s="10" t="s">
        <v>61</v>
      </c>
      <c r="N41" s="10"/>
      <c r="O41" s="11" t="s">
        <v>62</v>
      </c>
      <c r="P41" s="10" t="s">
        <v>63</v>
      </c>
      <c r="Q41" s="11" t="s">
        <v>64</v>
      </c>
      <c r="R41" s="11" t="s">
        <v>65</v>
      </c>
      <c r="S41" s="11" t="s">
        <v>66</v>
      </c>
      <c r="T41" s="11" t="s">
        <v>188</v>
      </c>
      <c r="U41" s="10" t="n">
        <f aca="false">IF(AND($D41="",$E41="",$F41=""),1,0)</f>
        <v>0</v>
      </c>
      <c r="V41" s="10" t="n">
        <f aca="false">IF(OR($I41="",$I41="—"),1,0)</f>
        <v>0</v>
      </c>
      <c r="W41" s="10" t="n">
        <f aca="false">IF(AND(ISNUMBER($D41),ISNUMBER($E41)),IF($E41&gt;$D41,1,0),0)+IF(AND(ISNUMBER($D41),ISNUMBER($F41)),IF($D41&gt;$F41,1,0),0)+IF(AND(ISNUMBER($E41),ISNUMBER($F41)),IF($E41&gt;$F41,1,0),0)</f>
        <v>0</v>
      </c>
      <c r="X41" s="13" t="s">
        <v>68</v>
      </c>
    </row>
    <row r="42" customFormat="false" ht="15" hidden="false" customHeight="false" outlineLevel="0" collapsed="false">
      <c r="A42" s="10" t="s">
        <v>189</v>
      </c>
      <c r="B42" s="10" t="s">
        <v>190</v>
      </c>
      <c r="C42" s="11" t="s">
        <v>184</v>
      </c>
      <c r="D42" s="12" t="n">
        <v>1.7426</v>
      </c>
      <c r="E42" s="12"/>
      <c r="F42" s="12"/>
      <c r="G42" s="10" t="s">
        <v>55</v>
      </c>
      <c r="H42" s="10" t="s">
        <v>75</v>
      </c>
      <c r="I42" s="11" t="s">
        <v>57</v>
      </c>
      <c r="J42" s="10" t="s">
        <v>58</v>
      </c>
      <c r="K42" s="10" t="s">
        <v>59</v>
      </c>
      <c r="L42" s="10" t="s">
        <v>60</v>
      </c>
      <c r="M42" s="10" t="s">
        <v>61</v>
      </c>
      <c r="N42" s="10"/>
      <c r="O42" s="11" t="s">
        <v>62</v>
      </c>
      <c r="P42" s="10" t="s">
        <v>63</v>
      </c>
      <c r="Q42" s="11" t="s">
        <v>64</v>
      </c>
      <c r="R42" s="11" t="s">
        <v>65</v>
      </c>
      <c r="S42" s="11" t="s">
        <v>66</v>
      </c>
      <c r="T42" s="11" t="s">
        <v>191</v>
      </c>
      <c r="U42" s="10" t="n">
        <f aca="false">IF(AND($D42="",$E42="",$F42=""),1,0)</f>
        <v>0</v>
      </c>
      <c r="V42" s="10" t="n">
        <f aca="false">IF(OR($I42="",$I42="—"),1,0)</f>
        <v>0</v>
      </c>
      <c r="W42" s="10" t="n">
        <f aca="false">IF(AND(ISNUMBER($D42),ISNUMBER($E42)),IF($E42&gt;$D42,1,0),0)+IF(AND(ISNUMBER($D42),ISNUMBER($F42)),IF($D42&gt;$F42,1,0),0)+IF(AND(ISNUMBER($E42),ISNUMBER($F42)),IF($E42&gt;$F42,1,0),0)</f>
        <v>0</v>
      </c>
      <c r="X42" s="13" t="s">
        <v>68</v>
      </c>
    </row>
    <row r="43" customFormat="false" ht="15" hidden="false" customHeight="false" outlineLevel="0" collapsed="false">
      <c r="A43" s="10" t="s">
        <v>192</v>
      </c>
      <c r="B43" s="10" t="s">
        <v>193</v>
      </c>
      <c r="C43" s="11" t="s">
        <v>184</v>
      </c>
      <c r="D43" s="12" t="n">
        <v>0.1678</v>
      </c>
      <c r="E43" s="12"/>
      <c r="F43" s="12"/>
      <c r="G43" s="10" t="s">
        <v>55</v>
      </c>
      <c r="H43" s="10" t="s">
        <v>79</v>
      </c>
      <c r="I43" s="11" t="s">
        <v>57</v>
      </c>
      <c r="J43" s="10" t="s">
        <v>58</v>
      </c>
      <c r="K43" s="10" t="s">
        <v>59</v>
      </c>
      <c r="L43" s="10" t="s">
        <v>60</v>
      </c>
      <c r="M43" s="10" t="s">
        <v>61</v>
      </c>
      <c r="N43" s="10"/>
      <c r="O43" s="11" t="s">
        <v>80</v>
      </c>
      <c r="P43" s="10" t="s">
        <v>63</v>
      </c>
      <c r="Q43" s="11" t="s">
        <v>64</v>
      </c>
      <c r="R43" s="11" t="s">
        <v>65</v>
      </c>
      <c r="S43" s="11" t="s">
        <v>66</v>
      </c>
      <c r="T43" s="11" t="s">
        <v>194</v>
      </c>
      <c r="U43" s="10" t="n">
        <f aca="false">IF(AND($D43="",$E43="",$F43=""),1,0)</f>
        <v>0</v>
      </c>
      <c r="V43" s="10" t="n">
        <f aca="false">IF(OR($I43="",$I43="—"),1,0)</f>
        <v>0</v>
      </c>
      <c r="W43" s="10" t="n">
        <f aca="false">IF(AND(ISNUMBER($D43),ISNUMBER($E43)),IF($E43&gt;$D43,1,0),0)+IF(AND(ISNUMBER($D43),ISNUMBER($F43)),IF($D43&gt;$F43,1,0),0)+IF(AND(ISNUMBER($E43),ISNUMBER($F43)),IF($E43&gt;$F43,1,0),0)</f>
        <v>0</v>
      </c>
      <c r="X43" s="13" t="s">
        <v>68</v>
      </c>
    </row>
    <row r="44" customFormat="false" ht="15" hidden="false" customHeight="false" outlineLevel="0" collapsed="false">
      <c r="A44" s="10" t="s">
        <v>195</v>
      </c>
      <c r="B44" s="10" t="s">
        <v>196</v>
      </c>
      <c r="C44" s="11" t="s">
        <v>184</v>
      </c>
      <c r="D44" s="12" t="n">
        <v>0.9554</v>
      </c>
      <c r="E44" s="12"/>
      <c r="F44" s="12"/>
      <c r="G44" s="10" t="s">
        <v>55</v>
      </c>
      <c r="H44" s="10" t="s">
        <v>84</v>
      </c>
      <c r="I44" s="11" t="s">
        <v>57</v>
      </c>
      <c r="J44" s="10" t="s">
        <v>58</v>
      </c>
      <c r="K44" s="10" t="s">
        <v>59</v>
      </c>
      <c r="L44" s="10" t="s">
        <v>60</v>
      </c>
      <c r="M44" s="10" t="s">
        <v>61</v>
      </c>
      <c r="N44" s="10"/>
      <c r="O44" s="11" t="s">
        <v>62</v>
      </c>
      <c r="P44" s="10" t="s">
        <v>63</v>
      </c>
      <c r="Q44" s="11" t="s">
        <v>64</v>
      </c>
      <c r="R44" s="11" t="s">
        <v>65</v>
      </c>
      <c r="S44" s="11" t="s">
        <v>66</v>
      </c>
      <c r="T44" s="11" t="s">
        <v>197</v>
      </c>
      <c r="U44" s="10" t="n">
        <f aca="false">IF(AND($D44="",$E44="",$F44=""),1,0)</f>
        <v>0</v>
      </c>
      <c r="V44" s="10" t="n">
        <f aca="false">IF(OR($I44="",$I44="—"),1,0)</f>
        <v>0</v>
      </c>
      <c r="W44" s="10" t="n">
        <f aca="false">IF(AND(ISNUMBER($D44),ISNUMBER($E44)),IF($E44&gt;$D44,1,0),0)+IF(AND(ISNUMBER($D44),ISNUMBER($F44)),IF($D44&gt;$F44,1,0),0)+IF(AND(ISNUMBER($E44),ISNUMBER($F44)),IF($E44&gt;$F44,1,0),0)</f>
        <v>0</v>
      </c>
      <c r="X44" s="13" t="s">
        <v>68</v>
      </c>
    </row>
    <row r="45" customFormat="false" ht="15" hidden="false" customHeight="false" outlineLevel="0" collapsed="false">
      <c r="A45" s="10" t="s">
        <v>198</v>
      </c>
      <c r="B45" s="10" t="s">
        <v>199</v>
      </c>
      <c r="C45" s="11" t="s">
        <v>200</v>
      </c>
      <c r="D45" s="12" t="n">
        <v>0.0197</v>
      </c>
      <c r="E45" s="12"/>
      <c r="F45" s="12"/>
      <c r="G45" s="10" t="s">
        <v>55</v>
      </c>
      <c r="H45" s="10" t="s">
        <v>56</v>
      </c>
      <c r="I45" s="11" t="s">
        <v>57</v>
      </c>
      <c r="J45" s="10" t="s">
        <v>58</v>
      </c>
      <c r="K45" s="10" t="s">
        <v>59</v>
      </c>
      <c r="L45" s="10" t="s">
        <v>60</v>
      </c>
      <c r="M45" s="10" t="s">
        <v>61</v>
      </c>
      <c r="N45" s="10"/>
      <c r="O45" s="11" t="s">
        <v>62</v>
      </c>
      <c r="P45" s="10" t="s">
        <v>63</v>
      </c>
      <c r="Q45" s="11" t="s">
        <v>64</v>
      </c>
      <c r="R45" s="11" t="s">
        <v>65</v>
      </c>
      <c r="S45" s="11" t="s">
        <v>66</v>
      </c>
      <c r="T45" s="11" t="s">
        <v>201</v>
      </c>
      <c r="U45" s="10" t="n">
        <f aca="false">IF(AND($D45="",$E45="",$F45=""),1,0)</f>
        <v>0</v>
      </c>
      <c r="V45" s="10" t="n">
        <f aca="false">IF(OR($I45="",$I45="—"),1,0)</f>
        <v>0</v>
      </c>
      <c r="W45" s="10" t="n">
        <f aca="false">IF(AND(ISNUMBER($D45),ISNUMBER($E45)),IF($E45&gt;$D45,1,0),0)+IF(AND(ISNUMBER($D45),ISNUMBER($F45)),IF($D45&gt;$F45,1,0),0)+IF(AND(ISNUMBER($E45),ISNUMBER($F45)),IF($E45&gt;$F45,1,0),0)</f>
        <v>0</v>
      </c>
      <c r="X45" s="13" t="s">
        <v>68</v>
      </c>
    </row>
    <row r="46" customFormat="false" ht="15" hidden="false" customHeight="false" outlineLevel="0" collapsed="false">
      <c r="A46" s="10" t="s">
        <v>202</v>
      </c>
      <c r="B46" s="10" t="s">
        <v>203</v>
      </c>
      <c r="C46" s="11" t="s">
        <v>200</v>
      </c>
      <c r="D46" s="12" t="n">
        <v>0.037</v>
      </c>
      <c r="E46" s="12"/>
      <c r="F46" s="12"/>
      <c r="G46" s="10" t="s">
        <v>55</v>
      </c>
      <c r="H46" s="10" t="s">
        <v>71</v>
      </c>
      <c r="I46" s="11" t="s">
        <v>57</v>
      </c>
      <c r="J46" s="10" t="s">
        <v>58</v>
      </c>
      <c r="K46" s="10" t="s">
        <v>59</v>
      </c>
      <c r="L46" s="10" t="s">
        <v>60</v>
      </c>
      <c r="M46" s="10" t="s">
        <v>61</v>
      </c>
      <c r="N46" s="10"/>
      <c r="O46" s="11" t="s">
        <v>62</v>
      </c>
      <c r="P46" s="10" t="s">
        <v>63</v>
      </c>
      <c r="Q46" s="11" t="s">
        <v>64</v>
      </c>
      <c r="R46" s="11" t="s">
        <v>65</v>
      </c>
      <c r="S46" s="11" t="s">
        <v>66</v>
      </c>
      <c r="T46" s="11" t="s">
        <v>204</v>
      </c>
      <c r="U46" s="10" t="n">
        <f aca="false">IF(AND($D46="",$E46="",$F46=""),1,0)</f>
        <v>0</v>
      </c>
      <c r="V46" s="10" t="n">
        <f aca="false">IF(OR($I46="",$I46="—"),1,0)</f>
        <v>0</v>
      </c>
      <c r="W46" s="10" t="n">
        <f aca="false">IF(AND(ISNUMBER($D46),ISNUMBER($E46)),IF($E46&gt;$D46,1,0),0)+IF(AND(ISNUMBER($D46),ISNUMBER($F46)),IF($D46&gt;$F46,1,0),0)+IF(AND(ISNUMBER($E46),ISNUMBER($F46)),IF($E46&gt;$F46,1,0),0)</f>
        <v>0</v>
      </c>
      <c r="X46" s="13" t="s">
        <v>68</v>
      </c>
    </row>
    <row r="47" customFormat="false" ht="15" hidden="false" customHeight="false" outlineLevel="0" collapsed="false">
      <c r="A47" s="10" t="s">
        <v>205</v>
      </c>
      <c r="B47" s="10" t="s">
        <v>206</v>
      </c>
      <c r="C47" s="11" t="s">
        <v>200</v>
      </c>
      <c r="D47" s="12" t="n">
        <v>0.0163</v>
      </c>
      <c r="E47" s="12"/>
      <c r="F47" s="12"/>
      <c r="G47" s="10" t="s">
        <v>55</v>
      </c>
      <c r="H47" s="10" t="s">
        <v>75</v>
      </c>
      <c r="I47" s="11" t="s">
        <v>57</v>
      </c>
      <c r="J47" s="10" t="s">
        <v>58</v>
      </c>
      <c r="K47" s="10" t="s">
        <v>59</v>
      </c>
      <c r="L47" s="10" t="s">
        <v>60</v>
      </c>
      <c r="M47" s="10" t="s">
        <v>61</v>
      </c>
      <c r="N47" s="10"/>
      <c r="O47" s="11" t="s">
        <v>62</v>
      </c>
      <c r="P47" s="10" t="s">
        <v>63</v>
      </c>
      <c r="Q47" s="11" t="s">
        <v>64</v>
      </c>
      <c r="R47" s="11" t="s">
        <v>65</v>
      </c>
      <c r="S47" s="11" t="s">
        <v>66</v>
      </c>
      <c r="T47" s="11" t="s">
        <v>207</v>
      </c>
      <c r="U47" s="10" t="n">
        <f aca="false">IF(AND($D47="",$E47="",$F47=""),1,0)</f>
        <v>0</v>
      </c>
      <c r="V47" s="10" t="n">
        <f aca="false">IF(OR($I47="",$I47="—"),1,0)</f>
        <v>0</v>
      </c>
      <c r="W47" s="10" t="n">
        <f aca="false">IF(AND(ISNUMBER($D47),ISNUMBER($E47)),IF($E47&gt;$D47,1,0),0)+IF(AND(ISNUMBER($D47),ISNUMBER($F47)),IF($D47&gt;$F47,1,0),0)+IF(AND(ISNUMBER($E47),ISNUMBER($F47)),IF($E47&gt;$F47,1,0),0)</f>
        <v>0</v>
      </c>
      <c r="X47" s="13" t="s">
        <v>68</v>
      </c>
    </row>
    <row r="48" customFormat="false" ht="15" hidden="false" customHeight="false" outlineLevel="0" collapsed="false">
      <c r="A48" s="10" t="s">
        <v>208</v>
      </c>
      <c r="B48" s="10" t="s">
        <v>209</v>
      </c>
      <c r="C48" s="11" t="s">
        <v>200</v>
      </c>
      <c r="D48" s="12" t="n">
        <v>0.0518</v>
      </c>
      <c r="E48" s="12"/>
      <c r="F48" s="12"/>
      <c r="G48" s="10" t="s">
        <v>55</v>
      </c>
      <c r="H48" s="10" t="s">
        <v>79</v>
      </c>
      <c r="I48" s="11" t="s">
        <v>57</v>
      </c>
      <c r="J48" s="10" t="s">
        <v>58</v>
      </c>
      <c r="K48" s="10" t="s">
        <v>59</v>
      </c>
      <c r="L48" s="10" t="s">
        <v>60</v>
      </c>
      <c r="M48" s="10" t="s">
        <v>61</v>
      </c>
      <c r="N48" s="10"/>
      <c r="O48" s="11" t="s">
        <v>80</v>
      </c>
      <c r="P48" s="10" t="s">
        <v>63</v>
      </c>
      <c r="Q48" s="11" t="s">
        <v>64</v>
      </c>
      <c r="R48" s="11" t="s">
        <v>65</v>
      </c>
      <c r="S48" s="11" t="s">
        <v>66</v>
      </c>
      <c r="T48" s="11" t="s">
        <v>210</v>
      </c>
      <c r="U48" s="10" t="n">
        <f aca="false">IF(AND($D48="",$E48="",$F48=""),1,0)</f>
        <v>0</v>
      </c>
      <c r="V48" s="10" t="n">
        <f aca="false">IF(OR($I48="",$I48="—"),1,0)</f>
        <v>0</v>
      </c>
      <c r="W48" s="10" t="n">
        <f aca="false">IF(AND(ISNUMBER($D48),ISNUMBER($E48)),IF($E48&gt;$D48,1,0),0)+IF(AND(ISNUMBER($D48),ISNUMBER($F48)),IF($D48&gt;$F48,1,0),0)+IF(AND(ISNUMBER($E48),ISNUMBER($F48)),IF($E48&gt;$F48,1,0),0)</f>
        <v>0</v>
      </c>
      <c r="X48" s="13" t="s">
        <v>68</v>
      </c>
    </row>
    <row r="49" customFormat="false" ht="15" hidden="false" customHeight="false" outlineLevel="0" collapsed="false">
      <c r="A49" s="10" t="s">
        <v>211</v>
      </c>
      <c r="B49" s="10" t="s">
        <v>212</v>
      </c>
      <c r="C49" s="11" t="s">
        <v>200</v>
      </c>
      <c r="D49" s="12" t="n">
        <v>-0.0012</v>
      </c>
      <c r="E49" s="12"/>
      <c r="F49" s="12"/>
      <c r="G49" s="10" t="s">
        <v>55</v>
      </c>
      <c r="H49" s="10" t="s">
        <v>84</v>
      </c>
      <c r="I49" s="11" t="s">
        <v>57</v>
      </c>
      <c r="J49" s="10" t="s">
        <v>58</v>
      </c>
      <c r="K49" s="10" t="s">
        <v>59</v>
      </c>
      <c r="L49" s="10" t="s">
        <v>60</v>
      </c>
      <c r="M49" s="10" t="s">
        <v>61</v>
      </c>
      <c r="N49" s="10"/>
      <c r="O49" s="11" t="s">
        <v>62</v>
      </c>
      <c r="P49" s="10" t="s">
        <v>63</v>
      </c>
      <c r="Q49" s="11" t="s">
        <v>64</v>
      </c>
      <c r="R49" s="11" t="s">
        <v>65</v>
      </c>
      <c r="S49" s="11" t="s">
        <v>66</v>
      </c>
      <c r="T49" s="11" t="s">
        <v>213</v>
      </c>
      <c r="U49" s="10" t="n">
        <f aca="false">IF(AND($D49="",$E49="",$F49=""),1,0)</f>
        <v>0</v>
      </c>
      <c r="V49" s="10" t="n">
        <f aca="false">IF(OR($I49="",$I49="—"),1,0)</f>
        <v>0</v>
      </c>
      <c r="W49" s="10" t="n">
        <f aca="false">IF(AND(ISNUMBER($D49),ISNUMBER($E49)),IF($E49&gt;$D49,1,0),0)+IF(AND(ISNUMBER($D49),ISNUMBER($F49)),IF($D49&gt;$F49,1,0),0)+IF(AND(ISNUMBER($E49),ISNUMBER($F49)),IF($E49&gt;$F49,1,0),0)</f>
        <v>0</v>
      </c>
      <c r="X49" s="13" t="s">
        <v>68</v>
      </c>
    </row>
    <row r="50" customFormat="false" ht="15" hidden="false" customHeight="false" outlineLevel="0" collapsed="false">
      <c r="A50" s="10" t="s">
        <v>214</v>
      </c>
      <c r="B50" s="10" t="s">
        <v>215</v>
      </c>
      <c r="C50" s="11" t="s">
        <v>216</v>
      </c>
      <c r="D50" s="12" t="n">
        <v>0.8438</v>
      </c>
      <c r="E50" s="12"/>
      <c r="F50" s="12"/>
      <c r="G50" s="10" t="s">
        <v>55</v>
      </c>
      <c r="H50" s="10" t="s">
        <v>56</v>
      </c>
      <c r="I50" s="11" t="s">
        <v>57</v>
      </c>
      <c r="J50" s="10" t="s">
        <v>58</v>
      </c>
      <c r="K50" s="10" t="s">
        <v>59</v>
      </c>
      <c r="L50" s="10" t="s">
        <v>60</v>
      </c>
      <c r="M50" s="10" t="s">
        <v>61</v>
      </c>
      <c r="N50" s="10"/>
      <c r="O50" s="11" t="s">
        <v>62</v>
      </c>
      <c r="P50" s="10" t="s">
        <v>63</v>
      </c>
      <c r="Q50" s="11" t="s">
        <v>64</v>
      </c>
      <c r="R50" s="11" t="s">
        <v>65</v>
      </c>
      <c r="S50" s="11" t="s">
        <v>66</v>
      </c>
      <c r="T50" s="11" t="s">
        <v>217</v>
      </c>
      <c r="U50" s="10" t="n">
        <f aca="false">IF(AND($D50="",$E50="",$F50=""),1,0)</f>
        <v>0</v>
      </c>
      <c r="V50" s="10" t="n">
        <f aca="false">IF(OR($I50="",$I50="—"),1,0)</f>
        <v>0</v>
      </c>
      <c r="W50" s="10" t="n">
        <f aca="false">IF(AND(ISNUMBER($D50),ISNUMBER($E50)),IF($E50&gt;$D50,1,0),0)+IF(AND(ISNUMBER($D50),ISNUMBER($F50)),IF($D50&gt;$F50,1,0),0)+IF(AND(ISNUMBER($E50),ISNUMBER($F50)),IF($E50&gt;$F50,1,0),0)</f>
        <v>0</v>
      </c>
      <c r="X50" s="13" t="s">
        <v>68</v>
      </c>
    </row>
    <row r="51" customFormat="false" ht="15" hidden="false" customHeight="false" outlineLevel="0" collapsed="false">
      <c r="A51" s="10" t="s">
        <v>218</v>
      </c>
      <c r="B51" s="10" t="s">
        <v>219</v>
      </c>
      <c r="C51" s="11" t="s">
        <v>216</v>
      </c>
      <c r="D51" s="12" t="n">
        <v>5.2888</v>
      </c>
      <c r="E51" s="12"/>
      <c r="F51" s="12"/>
      <c r="G51" s="10" t="s">
        <v>55</v>
      </c>
      <c r="H51" s="10" t="s">
        <v>71</v>
      </c>
      <c r="I51" s="11" t="s">
        <v>57</v>
      </c>
      <c r="J51" s="10" t="s">
        <v>58</v>
      </c>
      <c r="K51" s="10" t="s">
        <v>59</v>
      </c>
      <c r="L51" s="10" t="s">
        <v>60</v>
      </c>
      <c r="M51" s="10" t="s">
        <v>61</v>
      </c>
      <c r="N51" s="10"/>
      <c r="O51" s="11" t="s">
        <v>62</v>
      </c>
      <c r="P51" s="10" t="s">
        <v>63</v>
      </c>
      <c r="Q51" s="11" t="s">
        <v>64</v>
      </c>
      <c r="R51" s="11" t="s">
        <v>65</v>
      </c>
      <c r="S51" s="11" t="s">
        <v>66</v>
      </c>
      <c r="T51" s="11" t="s">
        <v>220</v>
      </c>
      <c r="U51" s="10" t="n">
        <f aca="false">IF(AND($D51="",$E51="",$F51=""),1,0)</f>
        <v>0</v>
      </c>
      <c r="V51" s="10" t="n">
        <f aca="false">IF(OR($I51="",$I51="—"),1,0)</f>
        <v>0</v>
      </c>
      <c r="W51" s="10" t="n">
        <f aca="false">IF(AND(ISNUMBER($D51),ISNUMBER($E51)),IF($E51&gt;$D51,1,0),0)+IF(AND(ISNUMBER($D51),ISNUMBER($F51)),IF($D51&gt;$F51,1,0),0)+IF(AND(ISNUMBER($E51),ISNUMBER($F51)),IF($E51&gt;$F51,1,0),0)</f>
        <v>0</v>
      </c>
      <c r="X51" s="13" t="s">
        <v>68</v>
      </c>
    </row>
    <row r="52" customFormat="false" ht="15" hidden="false" customHeight="false" outlineLevel="0" collapsed="false">
      <c r="A52" s="10" t="s">
        <v>221</v>
      </c>
      <c r="B52" s="10" t="s">
        <v>222</v>
      </c>
      <c r="C52" s="11" t="s">
        <v>216</v>
      </c>
      <c r="D52" s="12" t="n">
        <v>21.9544</v>
      </c>
      <c r="E52" s="12"/>
      <c r="F52" s="12"/>
      <c r="G52" s="10" t="s">
        <v>55</v>
      </c>
      <c r="H52" s="10" t="s">
        <v>75</v>
      </c>
      <c r="I52" s="11" t="s">
        <v>57</v>
      </c>
      <c r="J52" s="10" t="s">
        <v>58</v>
      </c>
      <c r="K52" s="10" t="s">
        <v>59</v>
      </c>
      <c r="L52" s="10" t="s">
        <v>60</v>
      </c>
      <c r="M52" s="10" t="s">
        <v>61</v>
      </c>
      <c r="N52" s="10"/>
      <c r="O52" s="11" t="s">
        <v>62</v>
      </c>
      <c r="P52" s="10" t="s">
        <v>63</v>
      </c>
      <c r="Q52" s="11" t="s">
        <v>64</v>
      </c>
      <c r="R52" s="11" t="s">
        <v>65</v>
      </c>
      <c r="S52" s="11" t="s">
        <v>66</v>
      </c>
      <c r="T52" s="11" t="s">
        <v>223</v>
      </c>
      <c r="U52" s="10" t="n">
        <f aca="false">IF(AND($D52="",$E52="",$F52=""),1,0)</f>
        <v>0</v>
      </c>
      <c r="V52" s="10" t="n">
        <f aca="false">IF(OR($I52="",$I52="—"),1,0)</f>
        <v>0</v>
      </c>
      <c r="W52" s="10" t="n">
        <f aca="false">IF(AND(ISNUMBER($D52),ISNUMBER($E52)),IF($E52&gt;$D52,1,0),0)+IF(AND(ISNUMBER($D52),ISNUMBER($F52)),IF($D52&gt;$F52,1,0),0)+IF(AND(ISNUMBER($E52),ISNUMBER($F52)),IF($E52&gt;$F52,1,0),0)</f>
        <v>0</v>
      </c>
      <c r="X52" s="13" t="s">
        <v>68</v>
      </c>
    </row>
    <row r="53" customFormat="false" ht="15" hidden="false" customHeight="false" outlineLevel="0" collapsed="false">
      <c r="A53" s="10" t="s">
        <v>224</v>
      </c>
      <c r="B53" s="10" t="s">
        <v>225</v>
      </c>
      <c r="C53" s="11" t="s">
        <v>216</v>
      </c>
      <c r="D53" s="12" t="n">
        <v>8.5922</v>
      </c>
      <c r="E53" s="12"/>
      <c r="F53" s="12"/>
      <c r="G53" s="10" t="s">
        <v>55</v>
      </c>
      <c r="H53" s="10" t="s">
        <v>79</v>
      </c>
      <c r="I53" s="11" t="s">
        <v>57</v>
      </c>
      <c r="J53" s="10" t="s">
        <v>58</v>
      </c>
      <c r="K53" s="10" t="s">
        <v>59</v>
      </c>
      <c r="L53" s="10" t="s">
        <v>60</v>
      </c>
      <c r="M53" s="10" t="s">
        <v>61</v>
      </c>
      <c r="N53" s="10"/>
      <c r="O53" s="11" t="s">
        <v>80</v>
      </c>
      <c r="P53" s="10" t="s">
        <v>63</v>
      </c>
      <c r="Q53" s="11" t="s">
        <v>64</v>
      </c>
      <c r="R53" s="11" t="s">
        <v>65</v>
      </c>
      <c r="S53" s="11" t="s">
        <v>66</v>
      </c>
      <c r="T53" s="11" t="s">
        <v>226</v>
      </c>
      <c r="U53" s="10" t="n">
        <f aca="false">IF(AND($D53="",$E53="",$F53=""),1,0)</f>
        <v>0</v>
      </c>
      <c r="V53" s="10" t="n">
        <f aca="false">IF(OR($I53="",$I53="—"),1,0)</f>
        <v>0</v>
      </c>
      <c r="W53" s="10" t="n">
        <f aca="false">IF(AND(ISNUMBER($D53),ISNUMBER($E53)),IF($E53&gt;$D53,1,0),0)+IF(AND(ISNUMBER($D53),ISNUMBER($F53)),IF($D53&gt;$F53,1,0),0)+IF(AND(ISNUMBER($E53),ISNUMBER($F53)),IF($E53&gt;$F53,1,0),0)</f>
        <v>0</v>
      </c>
      <c r="X53" s="13" t="s">
        <v>68</v>
      </c>
    </row>
    <row r="54" customFormat="false" ht="15" hidden="false" customHeight="false" outlineLevel="0" collapsed="false">
      <c r="A54" s="10" t="s">
        <v>227</v>
      </c>
      <c r="B54" s="10" t="s">
        <v>228</v>
      </c>
      <c r="C54" s="11" t="s">
        <v>216</v>
      </c>
      <c r="D54" s="12" t="n">
        <v>15.9466</v>
      </c>
      <c r="E54" s="12"/>
      <c r="F54" s="12"/>
      <c r="G54" s="10" t="s">
        <v>55</v>
      </c>
      <c r="H54" s="10" t="s">
        <v>84</v>
      </c>
      <c r="I54" s="11" t="s">
        <v>57</v>
      </c>
      <c r="J54" s="10" t="s">
        <v>58</v>
      </c>
      <c r="K54" s="10" t="s">
        <v>59</v>
      </c>
      <c r="L54" s="10" t="s">
        <v>60</v>
      </c>
      <c r="M54" s="10" t="s">
        <v>61</v>
      </c>
      <c r="N54" s="10"/>
      <c r="O54" s="11" t="s">
        <v>62</v>
      </c>
      <c r="P54" s="10" t="s">
        <v>63</v>
      </c>
      <c r="Q54" s="11" t="s">
        <v>64</v>
      </c>
      <c r="R54" s="11" t="s">
        <v>65</v>
      </c>
      <c r="S54" s="11" t="s">
        <v>66</v>
      </c>
      <c r="T54" s="11" t="s">
        <v>229</v>
      </c>
      <c r="U54" s="10" t="n">
        <f aca="false">IF(AND($D54="",$E54="",$F54=""),1,0)</f>
        <v>0</v>
      </c>
      <c r="V54" s="10" t="n">
        <f aca="false">IF(OR($I54="",$I54="—"),1,0)</f>
        <v>0</v>
      </c>
      <c r="W54" s="10" t="n">
        <f aca="false">IF(AND(ISNUMBER($D54),ISNUMBER($E54)),IF($E54&gt;$D54,1,0),0)+IF(AND(ISNUMBER($D54),ISNUMBER($F54)),IF($D54&gt;$F54,1,0),0)+IF(AND(ISNUMBER($E54),ISNUMBER($F54)),IF($E54&gt;$F54,1,0),0)</f>
        <v>0</v>
      </c>
      <c r="X54" s="13" t="s">
        <v>68</v>
      </c>
    </row>
    <row r="55" customFormat="false" ht="15" hidden="false" customHeight="false" outlineLevel="0" collapsed="false">
      <c r="A55" s="10" t="s">
        <v>230</v>
      </c>
      <c r="B55" s="10" t="s">
        <v>231</v>
      </c>
      <c r="C55" s="11" t="s">
        <v>232</v>
      </c>
      <c r="D55" s="12" t="n">
        <v>0.1514</v>
      </c>
      <c r="E55" s="12"/>
      <c r="F55" s="12"/>
      <c r="G55" s="10" t="s">
        <v>55</v>
      </c>
      <c r="H55" s="10" t="s">
        <v>56</v>
      </c>
      <c r="I55" s="11" t="s">
        <v>57</v>
      </c>
      <c r="J55" s="10" t="s">
        <v>58</v>
      </c>
      <c r="K55" s="10" t="s">
        <v>59</v>
      </c>
      <c r="L55" s="10" t="s">
        <v>60</v>
      </c>
      <c r="M55" s="10" t="s">
        <v>61</v>
      </c>
      <c r="N55" s="10"/>
      <c r="O55" s="11" t="s">
        <v>62</v>
      </c>
      <c r="P55" s="10" t="s">
        <v>63</v>
      </c>
      <c r="Q55" s="11" t="s">
        <v>64</v>
      </c>
      <c r="R55" s="11" t="s">
        <v>65</v>
      </c>
      <c r="S55" s="11" t="s">
        <v>66</v>
      </c>
      <c r="T55" s="11" t="s">
        <v>233</v>
      </c>
      <c r="U55" s="10" t="n">
        <f aca="false">IF(AND($D55="",$E55="",$F55=""),1,0)</f>
        <v>0</v>
      </c>
      <c r="V55" s="10" t="n">
        <f aca="false">IF(OR($I55="",$I55="—"),1,0)</f>
        <v>0</v>
      </c>
      <c r="W55" s="10" t="n">
        <f aca="false">IF(AND(ISNUMBER($D55),ISNUMBER($E55)),IF($E55&gt;$D55,1,0),0)+IF(AND(ISNUMBER($D55),ISNUMBER($F55)),IF($D55&gt;$F55,1,0),0)+IF(AND(ISNUMBER($E55),ISNUMBER($F55)),IF($E55&gt;$F55,1,0),0)</f>
        <v>0</v>
      </c>
      <c r="X55" s="13" t="s">
        <v>68</v>
      </c>
    </row>
    <row r="56" customFormat="false" ht="15" hidden="false" customHeight="false" outlineLevel="0" collapsed="false">
      <c r="A56" s="10" t="s">
        <v>234</v>
      </c>
      <c r="B56" s="10" t="s">
        <v>235</v>
      </c>
      <c r="C56" s="11" t="s">
        <v>232</v>
      </c>
      <c r="D56" s="12" t="n">
        <v>1.012</v>
      </c>
      <c r="E56" s="12"/>
      <c r="F56" s="12"/>
      <c r="G56" s="10" t="s">
        <v>55</v>
      </c>
      <c r="H56" s="10" t="s">
        <v>71</v>
      </c>
      <c r="I56" s="11" t="s">
        <v>57</v>
      </c>
      <c r="J56" s="10" t="s">
        <v>58</v>
      </c>
      <c r="K56" s="10" t="s">
        <v>59</v>
      </c>
      <c r="L56" s="10" t="s">
        <v>60</v>
      </c>
      <c r="M56" s="10" t="s">
        <v>61</v>
      </c>
      <c r="N56" s="10"/>
      <c r="O56" s="11" t="s">
        <v>62</v>
      </c>
      <c r="P56" s="10" t="s">
        <v>63</v>
      </c>
      <c r="Q56" s="11" t="s">
        <v>64</v>
      </c>
      <c r="R56" s="11" t="s">
        <v>65</v>
      </c>
      <c r="S56" s="11" t="s">
        <v>66</v>
      </c>
      <c r="T56" s="11" t="s">
        <v>236</v>
      </c>
      <c r="U56" s="10" t="n">
        <f aca="false">IF(AND($D56="",$E56="",$F56=""),1,0)</f>
        <v>0</v>
      </c>
      <c r="V56" s="10" t="n">
        <f aca="false">IF(OR($I56="",$I56="—"),1,0)</f>
        <v>0</v>
      </c>
      <c r="W56" s="10" t="n">
        <f aca="false">IF(AND(ISNUMBER($D56),ISNUMBER($E56)),IF($E56&gt;$D56,1,0),0)+IF(AND(ISNUMBER($D56),ISNUMBER($F56)),IF($D56&gt;$F56,1,0),0)+IF(AND(ISNUMBER($E56),ISNUMBER($F56)),IF($E56&gt;$F56,1,0),0)</f>
        <v>0</v>
      </c>
      <c r="X56" s="13" t="s">
        <v>68</v>
      </c>
    </row>
    <row r="57" customFormat="false" ht="15" hidden="false" customHeight="false" outlineLevel="0" collapsed="false">
      <c r="A57" s="10" t="s">
        <v>237</v>
      </c>
      <c r="B57" s="10" t="s">
        <v>238</v>
      </c>
      <c r="C57" s="11" t="s">
        <v>232</v>
      </c>
      <c r="D57" s="12" t="n">
        <v>3.8748</v>
      </c>
      <c r="E57" s="12"/>
      <c r="F57" s="12"/>
      <c r="G57" s="10" t="s">
        <v>55</v>
      </c>
      <c r="H57" s="10" t="s">
        <v>75</v>
      </c>
      <c r="I57" s="11" t="s">
        <v>57</v>
      </c>
      <c r="J57" s="10" t="s">
        <v>58</v>
      </c>
      <c r="K57" s="10" t="s">
        <v>59</v>
      </c>
      <c r="L57" s="10" t="s">
        <v>60</v>
      </c>
      <c r="M57" s="10" t="s">
        <v>61</v>
      </c>
      <c r="N57" s="10"/>
      <c r="O57" s="11" t="s">
        <v>62</v>
      </c>
      <c r="P57" s="10" t="s">
        <v>63</v>
      </c>
      <c r="Q57" s="11" t="s">
        <v>64</v>
      </c>
      <c r="R57" s="11" t="s">
        <v>65</v>
      </c>
      <c r="S57" s="11" t="s">
        <v>66</v>
      </c>
      <c r="T57" s="11" t="s">
        <v>239</v>
      </c>
      <c r="U57" s="10" t="n">
        <f aca="false">IF(AND($D57="",$E57="",$F57=""),1,0)</f>
        <v>0</v>
      </c>
      <c r="V57" s="10" t="n">
        <f aca="false">IF(OR($I57="",$I57="—"),1,0)</f>
        <v>0</v>
      </c>
      <c r="W57" s="10" t="n">
        <f aca="false">IF(AND(ISNUMBER($D57),ISNUMBER($E57)),IF($E57&gt;$D57,1,0),0)+IF(AND(ISNUMBER($D57),ISNUMBER($F57)),IF($D57&gt;$F57,1,0),0)+IF(AND(ISNUMBER($E57),ISNUMBER($F57)),IF($E57&gt;$F57,1,0),0)</f>
        <v>0</v>
      </c>
      <c r="X57" s="13" t="s">
        <v>68</v>
      </c>
    </row>
    <row r="58" customFormat="false" ht="15" hidden="false" customHeight="false" outlineLevel="0" collapsed="false">
      <c r="A58" s="10" t="s">
        <v>240</v>
      </c>
      <c r="B58" s="10" t="s">
        <v>241</v>
      </c>
      <c r="C58" s="11" t="s">
        <v>232</v>
      </c>
      <c r="D58" s="12" t="n">
        <v>1.4419</v>
      </c>
      <c r="E58" s="12"/>
      <c r="F58" s="12"/>
      <c r="G58" s="10" t="s">
        <v>55</v>
      </c>
      <c r="H58" s="10" t="s">
        <v>79</v>
      </c>
      <c r="I58" s="11" t="s">
        <v>57</v>
      </c>
      <c r="J58" s="10" t="s">
        <v>58</v>
      </c>
      <c r="K58" s="10" t="s">
        <v>59</v>
      </c>
      <c r="L58" s="10" t="s">
        <v>60</v>
      </c>
      <c r="M58" s="10" t="s">
        <v>61</v>
      </c>
      <c r="N58" s="10"/>
      <c r="O58" s="11" t="s">
        <v>80</v>
      </c>
      <c r="P58" s="10" t="s">
        <v>63</v>
      </c>
      <c r="Q58" s="11" t="s">
        <v>64</v>
      </c>
      <c r="R58" s="11" t="s">
        <v>65</v>
      </c>
      <c r="S58" s="11" t="s">
        <v>66</v>
      </c>
      <c r="T58" s="11" t="s">
        <v>242</v>
      </c>
      <c r="U58" s="10" t="n">
        <f aca="false">IF(AND($D58="",$E58="",$F58=""),1,0)</f>
        <v>0</v>
      </c>
      <c r="V58" s="10" t="n">
        <f aca="false">IF(OR($I58="",$I58="—"),1,0)</f>
        <v>0</v>
      </c>
      <c r="W58" s="10" t="n">
        <f aca="false">IF(AND(ISNUMBER($D58),ISNUMBER($E58)),IF($E58&gt;$D58,1,0),0)+IF(AND(ISNUMBER($D58),ISNUMBER($F58)),IF($D58&gt;$F58,1,0),0)+IF(AND(ISNUMBER($E58),ISNUMBER($F58)),IF($E58&gt;$F58,1,0),0)</f>
        <v>0</v>
      </c>
      <c r="X58" s="13" t="s">
        <v>68</v>
      </c>
    </row>
    <row r="59" customFormat="false" ht="15" hidden="false" customHeight="false" outlineLevel="0" collapsed="false">
      <c r="A59" s="10" t="s">
        <v>243</v>
      </c>
      <c r="B59" s="10" t="s">
        <v>244</v>
      </c>
      <c r="C59" s="11" t="s">
        <v>232</v>
      </c>
      <c r="D59" s="12" t="n">
        <v>2.0857</v>
      </c>
      <c r="E59" s="12"/>
      <c r="F59" s="12"/>
      <c r="G59" s="10" t="s">
        <v>55</v>
      </c>
      <c r="H59" s="10" t="s">
        <v>84</v>
      </c>
      <c r="I59" s="11" t="s">
        <v>57</v>
      </c>
      <c r="J59" s="10" t="s">
        <v>58</v>
      </c>
      <c r="K59" s="10" t="s">
        <v>59</v>
      </c>
      <c r="L59" s="10" t="s">
        <v>60</v>
      </c>
      <c r="M59" s="10" t="s">
        <v>61</v>
      </c>
      <c r="N59" s="10"/>
      <c r="O59" s="11" t="s">
        <v>62</v>
      </c>
      <c r="P59" s="10" t="s">
        <v>63</v>
      </c>
      <c r="Q59" s="11" t="s">
        <v>64</v>
      </c>
      <c r="R59" s="11" t="s">
        <v>65</v>
      </c>
      <c r="S59" s="11" t="s">
        <v>66</v>
      </c>
      <c r="T59" s="11" t="s">
        <v>245</v>
      </c>
      <c r="U59" s="10" t="n">
        <f aca="false">IF(AND($D59="",$E59="",$F59=""),1,0)</f>
        <v>0</v>
      </c>
      <c r="V59" s="10" t="n">
        <f aca="false">IF(OR($I59="",$I59="—"),1,0)</f>
        <v>0</v>
      </c>
      <c r="W59" s="10" t="n">
        <f aca="false">IF(AND(ISNUMBER($D59),ISNUMBER($E59)),IF($E59&gt;$D59,1,0),0)+IF(AND(ISNUMBER($D59),ISNUMBER($F59)),IF($D59&gt;$F59,1,0),0)+IF(AND(ISNUMBER($E59),ISNUMBER($F59)),IF($E59&gt;$F59,1,0),0)</f>
        <v>0</v>
      </c>
      <c r="X59" s="13" t="s">
        <v>68</v>
      </c>
    </row>
    <row r="60" customFormat="false" ht="15" hidden="false" customHeight="false" outlineLevel="0" collapsed="false">
      <c r="A60" s="10" t="s">
        <v>246</v>
      </c>
      <c r="B60" s="10" t="s">
        <v>247</v>
      </c>
      <c r="C60" s="11" t="s">
        <v>248</v>
      </c>
      <c r="D60" s="12" t="n">
        <v>0.3232</v>
      </c>
      <c r="E60" s="12"/>
      <c r="F60" s="12"/>
      <c r="G60" s="10" t="s">
        <v>55</v>
      </c>
      <c r="H60" s="10" t="s">
        <v>56</v>
      </c>
      <c r="I60" s="11" t="s">
        <v>57</v>
      </c>
      <c r="J60" s="10" t="s">
        <v>58</v>
      </c>
      <c r="K60" s="10" t="s">
        <v>59</v>
      </c>
      <c r="L60" s="10" t="s">
        <v>60</v>
      </c>
      <c r="M60" s="10" t="s">
        <v>61</v>
      </c>
      <c r="N60" s="10"/>
      <c r="O60" s="11" t="s">
        <v>62</v>
      </c>
      <c r="P60" s="10" t="s">
        <v>63</v>
      </c>
      <c r="Q60" s="11" t="s">
        <v>64</v>
      </c>
      <c r="R60" s="11" t="s">
        <v>65</v>
      </c>
      <c r="S60" s="11" t="s">
        <v>66</v>
      </c>
      <c r="T60" s="11" t="s">
        <v>249</v>
      </c>
      <c r="U60" s="10" t="n">
        <f aca="false">IF(AND($D60="",$E60="",$F60=""),1,0)</f>
        <v>0</v>
      </c>
      <c r="V60" s="10" t="n">
        <f aca="false">IF(OR($I60="",$I60="—"),1,0)</f>
        <v>0</v>
      </c>
      <c r="W60" s="10" t="n">
        <f aca="false">IF(AND(ISNUMBER($D60),ISNUMBER($E60)),IF($E60&gt;$D60,1,0),0)+IF(AND(ISNUMBER($D60),ISNUMBER($F60)),IF($D60&gt;$F60,1,0),0)+IF(AND(ISNUMBER($E60),ISNUMBER($F60)),IF($E60&gt;$F60,1,0),0)</f>
        <v>0</v>
      </c>
      <c r="X60" s="13" t="s">
        <v>68</v>
      </c>
    </row>
    <row r="61" customFormat="false" ht="15" hidden="false" customHeight="false" outlineLevel="0" collapsed="false">
      <c r="A61" s="10" t="s">
        <v>250</v>
      </c>
      <c r="B61" s="10" t="s">
        <v>251</v>
      </c>
      <c r="C61" s="11" t="s">
        <v>248</v>
      </c>
      <c r="D61" s="12" t="n">
        <v>0.663</v>
      </c>
      <c r="E61" s="12"/>
      <c r="F61" s="12"/>
      <c r="G61" s="10" t="s">
        <v>55</v>
      </c>
      <c r="H61" s="10" t="s">
        <v>71</v>
      </c>
      <c r="I61" s="11" t="s">
        <v>57</v>
      </c>
      <c r="J61" s="10" t="s">
        <v>58</v>
      </c>
      <c r="K61" s="10" t="s">
        <v>59</v>
      </c>
      <c r="L61" s="10" t="s">
        <v>60</v>
      </c>
      <c r="M61" s="10" t="s">
        <v>61</v>
      </c>
      <c r="N61" s="10"/>
      <c r="O61" s="11" t="s">
        <v>62</v>
      </c>
      <c r="P61" s="10" t="s">
        <v>63</v>
      </c>
      <c r="Q61" s="11" t="s">
        <v>64</v>
      </c>
      <c r="R61" s="11" t="s">
        <v>65</v>
      </c>
      <c r="S61" s="11" t="s">
        <v>66</v>
      </c>
      <c r="T61" s="11" t="s">
        <v>252</v>
      </c>
      <c r="U61" s="10" t="n">
        <f aca="false">IF(AND($D61="",$E61="",$F61=""),1,0)</f>
        <v>0</v>
      </c>
      <c r="V61" s="10" t="n">
        <f aca="false">IF(OR($I61="",$I61="—"),1,0)</f>
        <v>0</v>
      </c>
      <c r="W61" s="10" t="n">
        <f aca="false">IF(AND(ISNUMBER($D61),ISNUMBER($E61)),IF($E61&gt;$D61,1,0),0)+IF(AND(ISNUMBER($D61),ISNUMBER($F61)),IF($D61&gt;$F61,1,0),0)+IF(AND(ISNUMBER($E61),ISNUMBER($F61)),IF($E61&gt;$F61,1,0),0)</f>
        <v>0</v>
      </c>
      <c r="X61" s="13" t="s">
        <v>68</v>
      </c>
    </row>
    <row r="62" customFormat="false" ht="15" hidden="false" customHeight="false" outlineLevel="0" collapsed="false">
      <c r="A62" s="10" t="s">
        <v>253</v>
      </c>
      <c r="B62" s="10" t="s">
        <v>254</v>
      </c>
      <c r="C62" s="11" t="s">
        <v>248</v>
      </c>
      <c r="D62" s="12" t="n">
        <v>1.336</v>
      </c>
      <c r="E62" s="12"/>
      <c r="F62" s="12"/>
      <c r="G62" s="10" t="s">
        <v>55</v>
      </c>
      <c r="H62" s="10" t="s">
        <v>75</v>
      </c>
      <c r="I62" s="11" t="s">
        <v>57</v>
      </c>
      <c r="J62" s="10" t="s">
        <v>58</v>
      </c>
      <c r="K62" s="10" t="s">
        <v>59</v>
      </c>
      <c r="L62" s="10" t="s">
        <v>60</v>
      </c>
      <c r="M62" s="10" t="s">
        <v>61</v>
      </c>
      <c r="N62" s="10"/>
      <c r="O62" s="11" t="s">
        <v>62</v>
      </c>
      <c r="P62" s="10" t="s">
        <v>63</v>
      </c>
      <c r="Q62" s="11" t="s">
        <v>64</v>
      </c>
      <c r="R62" s="11" t="s">
        <v>65</v>
      </c>
      <c r="S62" s="11" t="s">
        <v>66</v>
      </c>
      <c r="T62" s="11" t="s">
        <v>255</v>
      </c>
      <c r="U62" s="10" t="n">
        <f aca="false">IF(AND($D62="",$E62="",$F62=""),1,0)</f>
        <v>0</v>
      </c>
      <c r="V62" s="10" t="n">
        <f aca="false">IF(OR($I62="",$I62="—"),1,0)</f>
        <v>0</v>
      </c>
      <c r="W62" s="10" t="n">
        <f aca="false">IF(AND(ISNUMBER($D62),ISNUMBER($E62)),IF($E62&gt;$D62,1,0),0)+IF(AND(ISNUMBER($D62),ISNUMBER($F62)),IF($D62&gt;$F62,1,0),0)+IF(AND(ISNUMBER($E62),ISNUMBER($F62)),IF($E62&gt;$F62,1,0),0)</f>
        <v>0</v>
      </c>
      <c r="X62" s="13" t="s">
        <v>68</v>
      </c>
    </row>
    <row r="63" customFormat="false" ht="15" hidden="false" customHeight="false" outlineLevel="0" collapsed="false">
      <c r="A63" s="10" t="s">
        <v>256</v>
      </c>
      <c r="B63" s="10" t="s">
        <v>257</v>
      </c>
      <c r="C63" s="11" t="s">
        <v>248</v>
      </c>
      <c r="D63" s="12" t="n">
        <v>0.5145</v>
      </c>
      <c r="E63" s="12"/>
      <c r="F63" s="12"/>
      <c r="G63" s="10" t="s">
        <v>55</v>
      </c>
      <c r="H63" s="10" t="s">
        <v>79</v>
      </c>
      <c r="I63" s="11" t="s">
        <v>57</v>
      </c>
      <c r="J63" s="10" t="s">
        <v>58</v>
      </c>
      <c r="K63" s="10" t="s">
        <v>59</v>
      </c>
      <c r="L63" s="10" t="s">
        <v>60</v>
      </c>
      <c r="M63" s="10" t="s">
        <v>61</v>
      </c>
      <c r="N63" s="10"/>
      <c r="O63" s="11" t="s">
        <v>80</v>
      </c>
      <c r="P63" s="10" t="s">
        <v>63</v>
      </c>
      <c r="Q63" s="11" t="s">
        <v>64</v>
      </c>
      <c r="R63" s="11" t="s">
        <v>65</v>
      </c>
      <c r="S63" s="11" t="s">
        <v>66</v>
      </c>
      <c r="T63" s="11" t="s">
        <v>258</v>
      </c>
      <c r="U63" s="10" t="n">
        <f aca="false">IF(AND($D63="",$E63="",$F63=""),1,0)</f>
        <v>0</v>
      </c>
      <c r="V63" s="10" t="n">
        <f aca="false">IF(OR($I63="",$I63="—"),1,0)</f>
        <v>0</v>
      </c>
      <c r="W63" s="10" t="n">
        <f aca="false">IF(AND(ISNUMBER($D63),ISNUMBER($E63)),IF($E63&gt;$D63,1,0),0)+IF(AND(ISNUMBER($D63),ISNUMBER($F63)),IF($D63&gt;$F63,1,0),0)+IF(AND(ISNUMBER($E63),ISNUMBER($F63)),IF($E63&gt;$F63,1,0),0)</f>
        <v>0</v>
      </c>
      <c r="X63" s="13" t="s">
        <v>68</v>
      </c>
    </row>
    <row r="64" customFormat="false" ht="15" hidden="false" customHeight="false" outlineLevel="0" collapsed="false">
      <c r="A64" s="10" t="s">
        <v>259</v>
      </c>
      <c r="B64" s="10" t="s">
        <v>260</v>
      </c>
      <c r="C64" s="11" t="s">
        <v>248</v>
      </c>
      <c r="D64" s="12" t="n">
        <v>1.8517</v>
      </c>
      <c r="E64" s="12"/>
      <c r="F64" s="12"/>
      <c r="G64" s="10" t="s">
        <v>55</v>
      </c>
      <c r="H64" s="10" t="s">
        <v>84</v>
      </c>
      <c r="I64" s="11" t="s">
        <v>57</v>
      </c>
      <c r="J64" s="10" t="s">
        <v>58</v>
      </c>
      <c r="K64" s="10" t="s">
        <v>59</v>
      </c>
      <c r="L64" s="10" t="s">
        <v>60</v>
      </c>
      <c r="M64" s="10" t="s">
        <v>61</v>
      </c>
      <c r="N64" s="10"/>
      <c r="O64" s="11" t="s">
        <v>62</v>
      </c>
      <c r="P64" s="10" t="s">
        <v>63</v>
      </c>
      <c r="Q64" s="11" t="s">
        <v>64</v>
      </c>
      <c r="R64" s="11" t="s">
        <v>65</v>
      </c>
      <c r="S64" s="11" t="s">
        <v>66</v>
      </c>
      <c r="T64" s="11" t="s">
        <v>261</v>
      </c>
      <c r="U64" s="10" t="n">
        <f aca="false">IF(AND($D64="",$E64="",$F64=""),1,0)</f>
        <v>0</v>
      </c>
      <c r="V64" s="10" t="n">
        <f aca="false">IF(OR($I64="",$I64="—"),1,0)</f>
        <v>0</v>
      </c>
      <c r="W64" s="10" t="n">
        <f aca="false">IF(AND(ISNUMBER($D64),ISNUMBER($E64)),IF($E64&gt;$D64,1,0),0)+IF(AND(ISNUMBER($D64),ISNUMBER($F64)),IF($D64&gt;$F64,1,0),0)+IF(AND(ISNUMBER($E64),ISNUMBER($F64)),IF($E64&gt;$F64,1,0),0)</f>
        <v>0</v>
      </c>
      <c r="X64" s="13" t="s">
        <v>68</v>
      </c>
    </row>
    <row r="65" customFormat="false" ht="15" hidden="false" customHeight="false" outlineLevel="0" collapsed="false">
      <c r="A65" s="10" t="s">
        <v>262</v>
      </c>
      <c r="B65" s="10" t="s">
        <v>263</v>
      </c>
      <c r="C65" s="11" t="s">
        <v>264</v>
      </c>
      <c r="D65" s="12" t="n">
        <v>0.0178</v>
      </c>
      <c r="E65" s="12"/>
      <c r="F65" s="12"/>
      <c r="G65" s="10" t="s">
        <v>55</v>
      </c>
      <c r="H65" s="10" t="s">
        <v>56</v>
      </c>
      <c r="I65" s="11" t="s">
        <v>57</v>
      </c>
      <c r="J65" s="10" t="s">
        <v>58</v>
      </c>
      <c r="K65" s="10" t="s">
        <v>59</v>
      </c>
      <c r="L65" s="10" t="s">
        <v>60</v>
      </c>
      <c r="M65" s="10" t="s">
        <v>61</v>
      </c>
      <c r="N65" s="10"/>
      <c r="O65" s="11" t="s">
        <v>62</v>
      </c>
      <c r="P65" s="10" t="s">
        <v>63</v>
      </c>
      <c r="Q65" s="11" t="s">
        <v>64</v>
      </c>
      <c r="R65" s="11" t="s">
        <v>65</v>
      </c>
      <c r="S65" s="11" t="s">
        <v>66</v>
      </c>
      <c r="T65" s="11" t="s">
        <v>265</v>
      </c>
      <c r="U65" s="10" t="n">
        <f aca="false">IF(AND($D65="",$E65="",$F65=""),1,0)</f>
        <v>0</v>
      </c>
      <c r="V65" s="10" t="n">
        <f aca="false">IF(OR($I65="",$I65="—"),1,0)</f>
        <v>0</v>
      </c>
      <c r="W65" s="10" t="n">
        <f aca="false">IF(AND(ISNUMBER($D65),ISNUMBER($E65)),IF($E65&gt;$D65,1,0),0)+IF(AND(ISNUMBER($D65),ISNUMBER($F65)),IF($D65&gt;$F65,1,0),0)+IF(AND(ISNUMBER($E65),ISNUMBER($F65)),IF($E65&gt;$F65,1,0),0)</f>
        <v>0</v>
      </c>
      <c r="X65" s="13" t="s">
        <v>68</v>
      </c>
    </row>
    <row r="66" customFormat="false" ht="15" hidden="false" customHeight="false" outlineLevel="0" collapsed="false">
      <c r="A66" s="10" t="s">
        <v>266</v>
      </c>
      <c r="B66" s="10" t="s">
        <v>267</v>
      </c>
      <c r="C66" s="11" t="s">
        <v>264</v>
      </c>
      <c r="D66" s="12" t="n">
        <v>0.0997</v>
      </c>
      <c r="E66" s="12"/>
      <c r="F66" s="12"/>
      <c r="G66" s="10" t="s">
        <v>55</v>
      </c>
      <c r="H66" s="10" t="s">
        <v>71</v>
      </c>
      <c r="I66" s="11" t="s">
        <v>57</v>
      </c>
      <c r="J66" s="10" t="s">
        <v>58</v>
      </c>
      <c r="K66" s="10" t="s">
        <v>59</v>
      </c>
      <c r="L66" s="10" t="s">
        <v>60</v>
      </c>
      <c r="M66" s="10" t="s">
        <v>61</v>
      </c>
      <c r="N66" s="10"/>
      <c r="O66" s="11" t="s">
        <v>62</v>
      </c>
      <c r="P66" s="10" t="s">
        <v>63</v>
      </c>
      <c r="Q66" s="11" t="s">
        <v>64</v>
      </c>
      <c r="R66" s="11" t="s">
        <v>65</v>
      </c>
      <c r="S66" s="11" t="s">
        <v>66</v>
      </c>
      <c r="T66" s="11" t="s">
        <v>268</v>
      </c>
      <c r="U66" s="10" t="n">
        <f aca="false">IF(AND($D66="",$E66="",$F66=""),1,0)</f>
        <v>0</v>
      </c>
      <c r="V66" s="10" t="n">
        <f aca="false">IF(OR($I66="",$I66="—"),1,0)</f>
        <v>0</v>
      </c>
      <c r="W66" s="10" t="n">
        <f aca="false">IF(AND(ISNUMBER($D66),ISNUMBER($E66)),IF($E66&gt;$D66,1,0),0)+IF(AND(ISNUMBER($D66),ISNUMBER($F66)),IF($D66&gt;$F66,1,0),0)+IF(AND(ISNUMBER($E66),ISNUMBER($F66)),IF($E66&gt;$F66,1,0),0)</f>
        <v>0</v>
      </c>
      <c r="X66" s="13" t="s">
        <v>68</v>
      </c>
    </row>
    <row r="67" customFormat="false" ht="15" hidden="false" customHeight="false" outlineLevel="0" collapsed="false">
      <c r="A67" s="10" t="s">
        <v>269</v>
      </c>
      <c r="B67" s="10" t="s">
        <v>270</v>
      </c>
      <c r="C67" s="11" t="s">
        <v>264</v>
      </c>
      <c r="D67" s="12" t="n">
        <v>0.1928</v>
      </c>
      <c r="E67" s="12"/>
      <c r="F67" s="12"/>
      <c r="G67" s="10" t="s">
        <v>55</v>
      </c>
      <c r="H67" s="10" t="s">
        <v>75</v>
      </c>
      <c r="I67" s="11" t="s">
        <v>57</v>
      </c>
      <c r="J67" s="10" t="s">
        <v>58</v>
      </c>
      <c r="K67" s="10" t="s">
        <v>59</v>
      </c>
      <c r="L67" s="10" t="s">
        <v>60</v>
      </c>
      <c r="M67" s="10" t="s">
        <v>61</v>
      </c>
      <c r="N67" s="10"/>
      <c r="O67" s="11" t="s">
        <v>62</v>
      </c>
      <c r="P67" s="10" t="s">
        <v>63</v>
      </c>
      <c r="Q67" s="11" t="s">
        <v>64</v>
      </c>
      <c r="R67" s="11" t="s">
        <v>65</v>
      </c>
      <c r="S67" s="11" t="s">
        <v>66</v>
      </c>
      <c r="T67" s="11" t="s">
        <v>271</v>
      </c>
      <c r="U67" s="10" t="n">
        <f aca="false">IF(AND($D67="",$E67="",$F67=""),1,0)</f>
        <v>0</v>
      </c>
      <c r="V67" s="10" t="n">
        <f aca="false">IF(OR($I67="",$I67="—"),1,0)</f>
        <v>0</v>
      </c>
      <c r="W67" s="10" t="n">
        <f aca="false">IF(AND(ISNUMBER($D67),ISNUMBER($E67)),IF($E67&gt;$D67,1,0),0)+IF(AND(ISNUMBER($D67),ISNUMBER($F67)),IF($D67&gt;$F67,1,0),0)+IF(AND(ISNUMBER($E67),ISNUMBER($F67)),IF($E67&gt;$F67,1,0),0)</f>
        <v>0</v>
      </c>
      <c r="X67" s="13" t="s">
        <v>68</v>
      </c>
    </row>
    <row r="68" customFormat="false" ht="15" hidden="false" customHeight="false" outlineLevel="0" collapsed="false">
      <c r="A68" s="10" t="s">
        <v>272</v>
      </c>
      <c r="B68" s="10" t="s">
        <v>273</v>
      </c>
      <c r="C68" s="11" t="s">
        <v>264</v>
      </c>
      <c r="D68" s="12" t="n">
        <v>0.0417</v>
      </c>
      <c r="E68" s="12"/>
      <c r="F68" s="12"/>
      <c r="G68" s="10" t="s">
        <v>55</v>
      </c>
      <c r="H68" s="10" t="s">
        <v>79</v>
      </c>
      <c r="I68" s="11" t="s">
        <v>57</v>
      </c>
      <c r="J68" s="10" t="s">
        <v>58</v>
      </c>
      <c r="K68" s="10" t="s">
        <v>59</v>
      </c>
      <c r="L68" s="10" t="s">
        <v>60</v>
      </c>
      <c r="M68" s="10" t="s">
        <v>61</v>
      </c>
      <c r="N68" s="10"/>
      <c r="O68" s="11" t="s">
        <v>80</v>
      </c>
      <c r="P68" s="10" t="s">
        <v>63</v>
      </c>
      <c r="Q68" s="11" t="s">
        <v>64</v>
      </c>
      <c r="R68" s="11" t="s">
        <v>65</v>
      </c>
      <c r="S68" s="11" t="s">
        <v>66</v>
      </c>
      <c r="T68" s="11" t="s">
        <v>274</v>
      </c>
      <c r="U68" s="10" t="n">
        <f aca="false">IF(AND($D68="",$E68="",$F68=""),1,0)</f>
        <v>0</v>
      </c>
      <c r="V68" s="10" t="n">
        <f aca="false">IF(OR($I68="",$I68="—"),1,0)</f>
        <v>0</v>
      </c>
      <c r="W68" s="10" t="n">
        <f aca="false">IF(AND(ISNUMBER($D68),ISNUMBER($E68)),IF($E68&gt;$D68,1,0),0)+IF(AND(ISNUMBER($D68),ISNUMBER($F68)),IF($D68&gt;$F68,1,0),0)+IF(AND(ISNUMBER($E68),ISNUMBER($F68)),IF($E68&gt;$F68,1,0),0)</f>
        <v>0</v>
      </c>
      <c r="X68" s="13" t="s">
        <v>68</v>
      </c>
    </row>
    <row r="69" customFormat="false" ht="15" hidden="false" customHeight="false" outlineLevel="0" collapsed="false">
      <c r="A69" s="10" t="s">
        <v>275</v>
      </c>
      <c r="B69" s="10" t="s">
        <v>276</v>
      </c>
      <c r="C69" s="11" t="s">
        <v>264</v>
      </c>
      <c r="D69" s="12" t="n">
        <v>0.0461</v>
      </c>
      <c r="E69" s="12"/>
      <c r="F69" s="12"/>
      <c r="G69" s="10" t="s">
        <v>55</v>
      </c>
      <c r="H69" s="10" t="s">
        <v>84</v>
      </c>
      <c r="I69" s="11" t="s">
        <v>57</v>
      </c>
      <c r="J69" s="10" t="s">
        <v>58</v>
      </c>
      <c r="K69" s="10" t="s">
        <v>59</v>
      </c>
      <c r="L69" s="10" t="s">
        <v>60</v>
      </c>
      <c r="M69" s="10" t="s">
        <v>61</v>
      </c>
      <c r="N69" s="10"/>
      <c r="O69" s="11" t="s">
        <v>62</v>
      </c>
      <c r="P69" s="10" t="s">
        <v>63</v>
      </c>
      <c r="Q69" s="11" t="s">
        <v>64</v>
      </c>
      <c r="R69" s="11" t="s">
        <v>65</v>
      </c>
      <c r="S69" s="11" t="s">
        <v>66</v>
      </c>
      <c r="T69" s="11" t="s">
        <v>277</v>
      </c>
      <c r="U69" s="10" t="n">
        <f aca="false">IF(AND($D69="",$E69="",$F69=""),1,0)</f>
        <v>0</v>
      </c>
      <c r="V69" s="10" t="n">
        <f aca="false">IF(OR($I69="",$I69="—"),1,0)</f>
        <v>0</v>
      </c>
      <c r="W69" s="10" t="n">
        <f aca="false">IF(AND(ISNUMBER($D69),ISNUMBER($E69)),IF($E69&gt;$D69,1,0),0)+IF(AND(ISNUMBER($D69),ISNUMBER($F69)),IF($D69&gt;$F69,1,0),0)+IF(AND(ISNUMBER($E69),ISNUMBER($F69)),IF($E69&gt;$F69,1,0),0)</f>
        <v>0</v>
      </c>
      <c r="X69" s="13" t="s">
        <v>68</v>
      </c>
    </row>
    <row r="70" customFormat="false" ht="15" hidden="false" customHeight="false" outlineLevel="0" collapsed="false">
      <c r="A70" s="10" t="s">
        <v>278</v>
      </c>
      <c r="B70" s="10" t="s">
        <v>279</v>
      </c>
      <c r="C70" s="11" t="s">
        <v>280</v>
      </c>
      <c r="D70" s="12" t="n">
        <v>0.0569</v>
      </c>
      <c r="E70" s="12"/>
      <c r="F70" s="12"/>
      <c r="G70" s="10" t="s">
        <v>55</v>
      </c>
      <c r="H70" s="10" t="s">
        <v>56</v>
      </c>
      <c r="I70" s="11" t="s">
        <v>57</v>
      </c>
      <c r="J70" s="10" t="s">
        <v>58</v>
      </c>
      <c r="K70" s="10" t="s">
        <v>59</v>
      </c>
      <c r="L70" s="10" t="s">
        <v>60</v>
      </c>
      <c r="M70" s="10" t="s">
        <v>61</v>
      </c>
      <c r="N70" s="10"/>
      <c r="O70" s="11" t="s">
        <v>62</v>
      </c>
      <c r="P70" s="10" t="s">
        <v>63</v>
      </c>
      <c r="Q70" s="11" t="s">
        <v>64</v>
      </c>
      <c r="R70" s="11" t="s">
        <v>65</v>
      </c>
      <c r="S70" s="11" t="s">
        <v>66</v>
      </c>
      <c r="T70" s="11" t="s">
        <v>281</v>
      </c>
      <c r="U70" s="10" t="n">
        <f aca="false">IF(AND($D70="",$E70="",$F70=""),1,0)</f>
        <v>0</v>
      </c>
      <c r="V70" s="10" t="n">
        <f aca="false">IF(OR($I70="",$I70="—"),1,0)</f>
        <v>0</v>
      </c>
      <c r="W70" s="10" t="n">
        <f aca="false">IF(AND(ISNUMBER($D70),ISNUMBER($E70)),IF($E70&gt;$D70,1,0),0)+IF(AND(ISNUMBER($D70),ISNUMBER($F70)),IF($D70&gt;$F70,1,0),0)+IF(AND(ISNUMBER($E70),ISNUMBER($F70)),IF($E70&gt;$F70,1,0),0)</f>
        <v>0</v>
      </c>
      <c r="X70" s="13" t="s">
        <v>68</v>
      </c>
    </row>
    <row r="71" customFormat="false" ht="15" hidden="false" customHeight="false" outlineLevel="0" collapsed="false">
      <c r="A71" s="10" t="s">
        <v>282</v>
      </c>
      <c r="B71" s="10" t="s">
        <v>283</v>
      </c>
      <c r="C71" s="11" t="s">
        <v>280</v>
      </c>
      <c r="D71" s="12" t="n">
        <v>0.2633</v>
      </c>
      <c r="E71" s="12"/>
      <c r="F71" s="12"/>
      <c r="G71" s="10" t="s">
        <v>55</v>
      </c>
      <c r="H71" s="10" t="s">
        <v>71</v>
      </c>
      <c r="I71" s="11" t="s">
        <v>57</v>
      </c>
      <c r="J71" s="10" t="s">
        <v>58</v>
      </c>
      <c r="K71" s="10" t="s">
        <v>59</v>
      </c>
      <c r="L71" s="10" t="s">
        <v>60</v>
      </c>
      <c r="M71" s="10" t="s">
        <v>61</v>
      </c>
      <c r="N71" s="10"/>
      <c r="O71" s="11" t="s">
        <v>62</v>
      </c>
      <c r="P71" s="10" t="s">
        <v>63</v>
      </c>
      <c r="Q71" s="11" t="s">
        <v>64</v>
      </c>
      <c r="R71" s="11" t="s">
        <v>65</v>
      </c>
      <c r="S71" s="11" t="s">
        <v>66</v>
      </c>
      <c r="T71" s="11" t="s">
        <v>284</v>
      </c>
      <c r="U71" s="10" t="n">
        <f aca="false">IF(AND($D71="",$E71="",$F71=""),1,0)</f>
        <v>0</v>
      </c>
      <c r="V71" s="10" t="n">
        <f aca="false">IF(OR($I71="",$I71="—"),1,0)</f>
        <v>0</v>
      </c>
      <c r="W71" s="10" t="n">
        <f aca="false">IF(AND(ISNUMBER($D71),ISNUMBER($E71)),IF($E71&gt;$D71,1,0),0)+IF(AND(ISNUMBER($D71),ISNUMBER($F71)),IF($D71&gt;$F71,1,0),0)+IF(AND(ISNUMBER($E71),ISNUMBER($F71)),IF($E71&gt;$F71,1,0),0)</f>
        <v>0</v>
      </c>
      <c r="X71" s="13" t="s">
        <v>68</v>
      </c>
    </row>
    <row r="72" customFormat="false" ht="15" hidden="false" customHeight="false" outlineLevel="0" collapsed="false">
      <c r="A72" s="10" t="s">
        <v>285</v>
      </c>
      <c r="B72" s="10" t="s">
        <v>286</v>
      </c>
      <c r="C72" s="11" t="s">
        <v>280</v>
      </c>
      <c r="D72" s="12" t="n">
        <v>0.3832</v>
      </c>
      <c r="E72" s="12"/>
      <c r="F72" s="12"/>
      <c r="G72" s="10" t="s">
        <v>55</v>
      </c>
      <c r="H72" s="10" t="s">
        <v>75</v>
      </c>
      <c r="I72" s="11" t="s">
        <v>57</v>
      </c>
      <c r="J72" s="10" t="s">
        <v>58</v>
      </c>
      <c r="K72" s="10" t="s">
        <v>59</v>
      </c>
      <c r="L72" s="10" t="s">
        <v>60</v>
      </c>
      <c r="M72" s="10" t="s">
        <v>61</v>
      </c>
      <c r="N72" s="10"/>
      <c r="O72" s="11" t="s">
        <v>62</v>
      </c>
      <c r="P72" s="10" t="s">
        <v>63</v>
      </c>
      <c r="Q72" s="11" t="s">
        <v>64</v>
      </c>
      <c r="R72" s="11" t="s">
        <v>65</v>
      </c>
      <c r="S72" s="11" t="s">
        <v>66</v>
      </c>
      <c r="T72" s="11" t="s">
        <v>287</v>
      </c>
      <c r="U72" s="10" t="n">
        <f aca="false">IF(AND($D72="",$E72="",$F72=""),1,0)</f>
        <v>0</v>
      </c>
      <c r="V72" s="10" t="n">
        <f aca="false">IF(OR($I72="",$I72="—"),1,0)</f>
        <v>0</v>
      </c>
      <c r="W72" s="10" t="n">
        <f aca="false">IF(AND(ISNUMBER($D72),ISNUMBER($E72)),IF($E72&gt;$D72,1,0),0)+IF(AND(ISNUMBER($D72),ISNUMBER($F72)),IF($D72&gt;$F72,1,0),0)+IF(AND(ISNUMBER($E72),ISNUMBER($F72)),IF($E72&gt;$F72,1,0),0)</f>
        <v>0</v>
      </c>
      <c r="X72" s="13" t="s">
        <v>68</v>
      </c>
    </row>
    <row r="73" customFormat="false" ht="15" hidden="false" customHeight="false" outlineLevel="0" collapsed="false">
      <c r="A73" s="10" t="s">
        <v>288</v>
      </c>
      <c r="B73" s="10" t="s">
        <v>289</v>
      </c>
      <c r="C73" s="11" t="s">
        <v>280</v>
      </c>
      <c r="D73" s="12" t="n">
        <v>0.1221</v>
      </c>
      <c r="E73" s="12"/>
      <c r="F73" s="12"/>
      <c r="G73" s="10" t="s">
        <v>55</v>
      </c>
      <c r="H73" s="10" t="s">
        <v>79</v>
      </c>
      <c r="I73" s="11" t="s">
        <v>57</v>
      </c>
      <c r="J73" s="10" t="s">
        <v>58</v>
      </c>
      <c r="K73" s="10" t="s">
        <v>59</v>
      </c>
      <c r="L73" s="10" t="s">
        <v>60</v>
      </c>
      <c r="M73" s="10" t="s">
        <v>61</v>
      </c>
      <c r="N73" s="10"/>
      <c r="O73" s="11" t="s">
        <v>80</v>
      </c>
      <c r="P73" s="10" t="s">
        <v>63</v>
      </c>
      <c r="Q73" s="11" t="s">
        <v>64</v>
      </c>
      <c r="R73" s="11" t="s">
        <v>65</v>
      </c>
      <c r="S73" s="11" t="s">
        <v>66</v>
      </c>
      <c r="T73" s="11" t="s">
        <v>290</v>
      </c>
      <c r="U73" s="10" t="n">
        <f aca="false">IF(AND($D73="",$E73="",$F73=""),1,0)</f>
        <v>0</v>
      </c>
      <c r="V73" s="10" t="n">
        <f aca="false">IF(OR($I73="",$I73="—"),1,0)</f>
        <v>0</v>
      </c>
      <c r="W73" s="10" t="n">
        <f aca="false">IF(AND(ISNUMBER($D73),ISNUMBER($E73)),IF($E73&gt;$D73,1,0),0)+IF(AND(ISNUMBER($D73),ISNUMBER($F73)),IF($D73&gt;$F73,1,0),0)+IF(AND(ISNUMBER($E73),ISNUMBER($F73)),IF($E73&gt;$F73,1,0),0)</f>
        <v>0</v>
      </c>
      <c r="X73" s="13" t="s">
        <v>68</v>
      </c>
    </row>
    <row r="74" customFormat="false" ht="15" hidden="false" customHeight="false" outlineLevel="0" collapsed="false">
      <c r="A74" s="10" t="s">
        <v>291</v>
      </c>
      <c r="B74" s="10" t="s">
        <v>292</v>
      </c>
      <c r="C74" s="11" t="s">
        <v>280</v>
      </c>
      <c r="D74" s="12" t="n">
        <v>0.5327</v>
      </c>
      <c r="E74" s="12"/>
      <c r="F74" s="12"/>
      <c r="G74" s="10" t="s">
        <v>55</v>
      </c>
      <c r="H74" s="10" t="s">
        <v>84</v>
      </c>
      <c r="I74" s="11" t="s">
        <v>57</v>
      </c>
      <c r="J74" s="10" t="s">
        <v>58</v>
      </c>
      <c r="K74" s="10" t="s">
        <v>59</v>
      </c>
      <c r="L74" s="10" t="s">
        <v>60</v>
      </c>
      <c r="M74" s="10" t="s">
        <v>61</v>
      </c>
      <c r="N74" s="10"/>
      <c r="O74" s="11" t="s">
        <v>62</v>
      </c>
      <c r="P74" s="10" t="s">
        <v>63</v>
      </c>
      <c r="Q74" s="11" t="s">
        <v>64</v>
      </c>
      <c r="R74" s="11" t="s">
        <v>65</v>
      </c>
      <c r="S74" s="11" t="s">
        <v>66</v>
      </c>
      <c r="T74" s="11" t="s">
        <v>293</v>
      </c>
      <c r="U74" s="10" t="n">
        <f aca="false">IF(AND($D74="",$E74="",$F74=""),1,0)</f>
        <v>0</v>
      </c>
      <c r="V74" s="10" t="n">
        <f aca="false">IF(OR($I74="",$I74="—"),1,0)</f>
        <v>0</v>
      </c>
      <c r="W74" s="10" t="n">
        <f aca="false">IF(AND(ISNUMBER($D74),ISNUMBER($E74)),IF($E74&gt;$D74,1,0),0)+IF(AND(ISNUMBER($D74),ISNUMBER($F74)),IF($D74&gt;$F74,1,0),0)+IF(AND(ISNUMBER($E74),ISNUMBER($F74)),IF($E74&gt;$F74,1,0),0)</f>
        <v>0</v>
      </c>
      <c r="X74" s="13" t="s">
        <v>68</v>
      </c>
    </row>
    <row r="75" customFormat="false" ht="15" hidden="false" customHeight="false" outlineLevel="0" collapsed="false">
      <c r="A75" s="10" t="s">
        <v>294</v>
      </c>
      <c r="B75" s="10" t="s">
        <v>295</v>
      </c>
      <c r="C75" s="11" t="s">
        <v>296</v>
      </c>
      <c r="D75" s="12" t="n">
        <v>0.0102</v>
      </c>
      <c r="E75" s="12"/>
      <c r="F75" s="12"/>
      <c r="G75" s="10" t="s">
        <v>55</v>
      </c>
      <c r="H75" s="10" t="s">
        <v>56</v>
      </c>
      <c r="I75" s="11" t="s">
        <v>57</v>
      </c>
      <c r="J75" s="10" t="s">
        <v>58</v>
      </c>
      <c r="K75" s="10" t="s">
        <v>59</v>
      </c>
      <c r="L75" s="10" t="s">
        <v>60</v>
      </c>
      <c r="M75" s="10" t="s">
        <v>61</v>
      </c>
      <c r="N75" s="10"/>
      <c r="O75" s="11" t="s">
        <v>62</v>
      </c>
      <c r="P75" s="10" t="s">
        <v>63</v>
      </c>
      <c r="Q75" s="11" t="s">
        <v>64</v>
      </c>
      <c r="R75" s="11" t="s">
        <v>65</v>
      </c>
      <c r="S75" s="11" t="s">
        <v>66</v>
      </c>
      <c r="T75" s="11" t="s">
        <v>297</v>
      </c>
      <c r="U75" s="10" t="n">
        <f aca="false">IF(AND($D75="",$E75="",$F75=""),1,0)</f>
        <v>0</v>
      </c>
      <c r="V75" s="10" t="n">
        <f aca="false">IF(OR($I75="",$I75="—"),1,0)</f>
        <v>0</v>
      </c>
      <c r="W75" s="10" t="n">
        <f aca="false">IF(AND(ISNUMBER($D75),ISNUMBER($E75)),IF($E75&gt;$D75,1,0),0)+IF(AND(ISNUMBER($D75),ISNUMBER($F75)),IF($D75&gt;$F75,1,0),0)+IF(AND(ISNUMBER($E75),ISNUMBER($F75)),IF($E75&gt;$F75,1,0),0)</f>
        <v>0</v>
      </c>
      <c r="X75" s="13" t="s">
        <v>68</v>
      </c>
    </row>
    <row r="76" customFormat="false" ht="15" hidden="false" customHeight="false" outlineLevel="0" collapsed="false">
      <c r="A76" s="10" t="s">
        <v>298</v>
      </c>
      <c r="B76" s="10" t="s">
        <v>299</v>
      </c>
      <c r="C76" s="11" t="s">
        <v>296</v>
      </c>
      <c r="D76" s="12" t="n">
        <v>0.055</v>
      </c>
      <c r="E76" s="12"/>
      <c r="F76" s="12"/>
      <c r="G76" s="10" t="s">
        <v>55</v>
      </c>
      <c r="H76" s="10" t="s">
        <v>71</v>
      </c>
      <c r="I76" s="11" t="s">
        <v>57</v>
      </c>
      <c r="J76" s="10" t="s">
        <v>58</v>
      </c>
      <c r="K76" s="10" t="s">
        <v>59</v>
      </c>
      <c r="L76" s="10" t="s">
        <v>60</v>
      </c>
      <c r="M76" s="10" t="s">
        <v>61</v>
      </c>
      <c r="N76" s="10"/>
      <c r="O76" s="11" t="s">
        <v>62</v>
      </c>
      <c r="P76" s="10" t="s">
        <v>63</v>
      </c>
      <c r="Q76" s="11" t="s">
        <v>64</v>
      </c>
      <c r="R76" s="11" t="s">
        <v>65</v>
      </c>
      <c r="S76" s="11" t="s">
        <v>66</v>
      </c>
      <c r="T76" s="11" t="s">
        <v>300</v>
      </c>
      <c r="U76" s="10" t="n">
        <f aca="false">IF(AND($D76="",$E76="",$F76=""),1,0)</f>
        <v>0</v>
      </c>
      <c r="V76" s="10" t="n">
        <f aca="false">IF(OR($I76="",$I76="—"),1,0)</f>
        <v>0</v>
      </c>
      <c r="W76" s="10" t="n">
        <f aca="false">IF(AND(ISNUMBER($D76),ISNUMBER($E76)),IF($E76&gt;$D76,1,0),0)+IF(AND(ISNUMBER($D76),ISNUMBER($F76)),IF($D76&gt;$F76,1,0),0)+IF(AND(ISNUMBER($E76),ISNUMBER($F76)),IF($E76&gt;$F76,1,0),0)</f>
        <v>0</v>
      </c>
      <c r="X76" s="13" t="s">
        <v>68</v>
      </c>
    </row>
    <row r="77" customFormat="false" ht="15" hidden="false" customHeight="false" outlineLevel="0" collapsed="false">
      <c r="A77" s="10" t="s">
        <v>301</v>
      </c>
      <c r="B77" s="10" t="s">
        <v>302</v>
      </c>
      <c r="C77" s="11" t="s">
        <v>296</v>
      </c>
      <c r="D77" s="12" t="n">
        <v>0.2358</v>
      </c>
      <c r="E77" s="12"/>
      <c r="F77" s="12"/>
      <c r="G77" s="10" t="s">
        <v>55</v>
      </c>
      <c r="H77" s="10" t="s">
        <v>75</v>
      </c>
      <c r="I77" s="11" t="s">
        <v>57</v>
      </c>
      <c r="J77" s="10" t="s">
        <v>58</v>
      </c>
      <c r="K77" s="10" t="s">
        <v>59</v>
      </c>
      <c r="L77" s="10" t="s">
        <v>60</v>
      </c>
      <c r="M77" s="10" t="s">
        <v>61</v>
      </c>
      <c r="N77" s="10"/>
      <c r="O77" s="11" t="s">
        <v>62</v>
      </c>
      <c r="P77" s="10" t="s">
        <v>63</v>
      </c>
      <c r="Q77" s="11" t="s">
        <v>64</v>
      </c>
      <c r="R77" s="11" t="s">
        <v>65</v>
      </c>
      <c r="S77" s="11" t="s">
        <v>66</v>
      </c>
      <c r="T77" s="11" t="s">
        <v>303</v>
      </c>
      <c r="U77" s="10" t="n">
        <f aca="false">IF(AND($D77="",$E77="",$F77=""),1,0)</f>
        <v>0</v>
      </c>
      <c r="V77" s="10" t="n">
        <f aca="false">IF(OR($I77="",$I77="—"),1,0)</f>
        <v>0</v>
      </c>
      <c r="W77" s="10" t="n">
        <f aca="false">IF(AND(ISNUMBER($D77),ISNUMBER($E77)),IF($E77&gt;$D77,1,0),0)+IF(AND(ISNUMBER($D77),ISNUMBER($F77)),IF($D77&gt;$F77,1,0),0)+IF(AND(ISNUMBER($E77),ISNUMBER($F77)),IF($E77&gt;$F77,1,0),0)</f>
        <v>0</v>
      </c>
      <c r="X77" s="13" t="s">
        <v>68</v>
      </c>
    </row>
    <row r="78" customFormat="false" ht="15" hidden="false" customHeight="false" outlineLevel="0" collapsed="false">
      <c r="A78" s="10" t="s">
        <v>304</v>
      </c>
      <c r="B78" s="10" t="s">
        <v>305</v>
      </c>
      <c r="C78" s="11" t="s">
        <v>296</v>
      </c>
      <c r="D78" s="12" t="n">
        <v>0.0422</v>
      </c>
      <c r="E78" s="12"/>
      <c r="F78" s="12"/>
      <c r="G78" s="10" t="s">
        <v>55</v>
      </c>
      <c r="H78" s="10" t="s">
        <v>79</v>
      </c>
      <c r="I78" s="11" t="s">
        <v>57</v>
      </c>
      <c r="J78" s="10" t="s">
        <v>58</v>
      </c>
      <c r="K78" s="10" t="s">
        <v>59</v>
      </c>
      <c r="L78" s="10" t="s">
        <v>60</v>
      </c>
      <c r="M78" s="10" t="s">
        <v>61</v>
      </c>
      <c r="N78" s="10"/>
      <c r="O78" s="11" t="s">
        <v>80</v>
      </c>
      <c r="P78" s="10" t="s">
        <v>63</v>
      </c>
      <c r="Q78" s="11" t="s">
        <v>64</v>
      </c>
      <c r="R78" s="11" t="s">
        <v>65</v>
      </c>
      <c r="S78" s="11" t="s">
        <v>66</v>
      </c>
      <c r="T78" s="11" t="s">
        <v>306</v>
      </c>
      <c r="U78" s="10" t="n">
        <f aca="false">IF(AND($D78="",$E78="",$F78=""),1,0)</f>
        <v>0</v>
      </c>
      <c r="V78" s="10" t="n">
        <f aca="false">IF(OR($I78="",$I78="—"),1,0)</f>
        <v>0</v>
      </c>
      <c r="W78" s="10" t="n">
        <f aca="false">IF(AND(ISNUMBER($D78),ISNUMBER($E78)),IF($E78&gt;$D78,1,0),0)+IF(AND(ISNUMBER($D78),ISNUMBER($F78)),IF($D78&gt;$F78,1,0),0)+IF(AND(ISNUMBER($E78),ISNUMBER($F78)),IF($E78&gt;$F78,1,0),0)</f>
        <v>0</v>
      </c>
      <c r="X78" s="13" t="s">
        <v>68</v>
      </c>
    </row>
    <row r="79" customFormat="false" ht="15" hidden="false" customHeight="false" outlineLevel="0" collapsed="false">
      <c r="A79" s="10" t="s">
        <v>307</v>
      </c>
      <c r="B79" s="10" t="s">
        <v>308</v>
      </c>
      <c r="C79" s="11" t="s">
        <v>296</v>
      </c>
      <c r="D79" s="12" t="n">
        <v>1.5885</v>
      </c>
      <c r="E79" s="12"/>
      <c r="F79" s="12"/>
      <c r="G79" s="10" t="s">
        <v>55</v>
      </c>
      <c r="H79" s="10" t="s">
        <v>84</v>
      </c>
      <c r="I79" s="11" t="s">
        <v>57</v>
      </c>
      <c r="J79" s="10" t="s">
        <v>58</v>
      </c>
      <c r="K79" s="10" t="s">
        <v>59</v>
      </c>
      <c r="L79" s="10" t="s">
        <v>60</v>
      </c>
      <c r="M79" s="10" t="s">
        <v>61</v>
      </c>
      <c r="N79" s="10"/>
      <c r="O79" s="11" t="s">
        <v>62</v>
      </c>
      <c r="P79" s="10" t="s">
        <v>63</v>
      </c>
      <c r="Q79" s="11" t="s">
        <v>64</v>
      </c>
      <c r="R79" s="11" t="s">
        <v>65</v>
      </c>
      <c r="S79" s="11" t="s">
        <v>66</v>
      </c>
      <c r="T79" s="11" t="s">
        <v>309</v>
      </c>
      <c r="U79" s="10" t="n">
        <f aca="false">IF(AND($D79="",$E79="",$F79=""),1,0)</f>
        <v>0</v>
      </c>
      <c r="V79" s="10" t="n">
        <f aca="false">IF(OR($I79="",$I79="—"),1,0)</f>
        <v>0</v>
      </c>
      <c r="W79" s="10" t="n">
        <f aca="false">IF(AND(ISNUMBER($D79),ISNUMBER($E79)),IF($E79&gt;$D79,1,0),0)+IF(AND(ISNUMBER($D79),ISNUMBER($F79)),IF($D79&gt;$F79,1,0),0)+IF(AND(ISNUMBER($E79),ISNUMBER($F79)),IF($E79&gt;$F79,1,0),0)</f>
        <v>0</v>
      </c>
      <c r="X79" s="13" t="s">
        <v>68</v>
      </c>
    </row>
    <row r="80" customFormat="false" ht="15" hidden="false" customHeight="false" outlineLevel="0" collapsed="false">
      <c r="A80" s="10" t="s">
        <v>310</v>
      </c>
      <c r="B80" s="10" t="s">
        <v>311</v>
      </c>
      <c r="C80" s="11" t="s">
        <v>312</v>
      </c>
      <c r="D80" s="12" t="n">
        <v>1.4365</v>
      </c>
      <c r="E80" s="12"/>
      <c r="F80" s="12"/>
      <c r="G80" s="10" t="s">
        <v>55</v>
      </c>
      <c r="H80" s="10" t="s">
        <v>56</v>
      </c>
      <c r="I80" s="11" t="s">
        <v>57</v>
      </c>
      <c r="J80" s="10" t="s">
        <v>58</v>
      </c>
      <c r="K80" s="10" t="s">
        <v>59</v>
      </c>
      <c r="L80" s="10" t="s">
        <v>60</v>
      </c>
      <c r="M80" s="10" t="s">
        <v>61</v>
      </c>
      <c r="N80" s="10"/>
      <c r="O80" s="11" t="s">
        <v>62</v>
      </c>
      <c r="P80" s="10" t="s">
        <v>63</v>
      </c>
      <c r="Q80" s="11" t="s">
        <v>64</v>
      </c>
      <c r="R80" s="11" t="s">
        <v>65</v>
      </c>
      <c r="S80" s="11" t="s">
        <v>66</v>
      </c>
      <c r="T80" s="11" t="s">
        <v>313</v>
      </c>
      <c r="U80" s="10" t="n">
        <f aca="false">IF(AND($D80="",$E80="",$F80=""),1,0)</f>
        <v>0</v>
      </c>
      <c r="V80" s="10" t="n">
        <f aca="false">IF(OR($I80="",$I80="—"),1,0)</f>
        <v>0</v>
      </c>
      <c r="W80" s="10" t="n">
        <f aca="false">IF(AND(ISNUMBER($D80),ISNUMBER($E80)),IF($E80&gt;$D80,1,0),0)+IF(AND(ISNUMBER($D80),ISNUMBER($F80)),IF($D80&gt;$F80,1,0),0)+IF(AND(ISNUMBER($E80),ISNUMBER($F80)),IF($E80&gt;$F80,1,0),0)</f>
        <v>0</v>
      </c>
      <c r="X80" s="13" t="s">
        <v>68</v>
      </c>
    </row>
    <row r="81" customFormat="false" ht="15" hidden="false" customHeight="false" outlineLevel="0" collapsed="false">
      <c r="A81" s="10" t="s">
        <v>314</v>
      </c>
      <c r="B81" s="10" t="s">
        <v>315</v>
      </c>
      <c r="C81" s="11" t="s">
        <v>312</v>
      </c>
      <c r="D81" s="12" t="n">
        <v>7.8796</v>
      </c>
      <c r="E81" s="12"/>
      <c r="F81" s="12"/>
      <c r="G81" s="10" t="s">
        <v>55</v>
      </c>
      <c r="H81" s="10" t="s">
        <v>71</v>
      </c>
      <c r="I81" s="11" t="s">
        <v>57</v>
      </c>
      <c r="J81" s="10" t="s">
        <v>58</v>
      </c>
      <c r="K81" s="10" t="s">
        <v>59</v>
      </c>
      <c r="L81" s="10" t="s">
        <v>60</v>
      </c>
      <c r="M81" s="10" t="s">
        <v>61</v>
      </c>
      <c r="N81" s="10"/>
      <c r="O81" s="11" t="s">
        <v>62</v>
      </c>
      <c r="P81" s="10" t="s">
        <v>63</v>
      </c>
      <c r="Q81" s="11" t="s">
        <v>64</v>
      </c>
      <c r="R81" s="11" t="s">
        <v>65</v>
      </c>
      <c r="S81" s="11" t="s">
        <v>66</v>
      </c>
      <c r="T81" s="11" t="s">
        <v>316</v>
      </c>
      <c r="U81" s="10" t="n">
        <f aca="false">IF(AND($D81="",$E81="",$F81=""),1,0)</f>
        <v>0</v>
      </c>
      <c r="V81" s="10" t="n">
        <f aca="false">IF(OR($I81="",$I81="—"),1,0)</f>
        <v>0</v>
      </c>
      <c r="W81" s="10" t="n">
        <f aca="false">IF(AND(ISNUMBER($D81),ISNUMBER($E81)),IF($E81&gt;$D81,1,0),0)+IF(AND(ISNUMBER($D81),ISNUMBER($F81)),IF($D81&gt;$F81,1,0),0)+IF(AND(ISNUMBER($E81),ISNUMBER($F81)),IF($E81&gt;$F81,1,0),0)</f>
        <v>0</v>
      </c>
      <c r="X81" s="13" t="s">
        <v>68</v>
      </c>
    </row>
    <row r="82" customFormat="false" ht="15" hidden="false" customHeight="false" outlineLevel="0" collapsed="false">
      <c r="A82" s="10" t="s">
        <v>317</v>
      </c>
      <c r="B82" s="10" t="s">
        <v>318</v>
      </c>
      <c r="C82" s="11" t="s">
        <v>312</v>
      </c>
      <c r="D82" s="12" t="n">
        <v>29.5801</v>
      </c>
      <c r="E82" s="12"/>
      <c r="F82" s="12"/>
      <c r="G82" s="10" t="s">
        <v>55</v>
      </c>
      <c r="H82" s="10" t="s">
        <v>75</v>
      </c>
      <c r="I82" s="11" t="s">
        <v>57</v>
      </c>
      <c r="J82" s="10" t="s">
        <v>58</v>
      </c>
      <c r="K82" s="10" t="s">
        <v>59</v>
      </c>
      <c r="L82" s="10" t="s">
        <v>60</v>
      </c>
      <c r="M82" s="10" t="s">
        <v>61</v>
      </c>
      <c r="N82" s="10"/>
      <c r="O82" s="11" t="s">
        <v>62</v>
      </c>
      <c r="P82" s="10" t="s">
        <v>63</v>
      </c>
      <c r="Q82" s="11" t="s">
        <v>64</v>
      </c>
      <c r="R82" s="11" t="s">
        <v>65</v>
      </c>
      <c r="S82" s="11" t="s">
        <v>66</v>
      </c>
      <c r="T82" s="11" t="s">
        <v>319</v>
      </c>
      <c r="U82" s="10" t="n">
        <f aca="false">IF(AND($D82="",$E82="",$F82=""),1,0)</f>
        <v>0</v>
      </c>
      <c r="V82" s="10" t="n">
        <f aca="false">IF(OR($I82="",$I82="—"),1,0)</f>
        <v>0</v>
      </c>
      <c r="W82" s="10" t="n">
        <f aca="false">IF(AND(ISNUMBER($D82),ISNUMBER($E82)),IF($E82&gt;$D82,1,0),0)+IF(AND(ISNUMBER($D82),ISNUMBER($F82)),IF($D82&gt;$F82,1,0),0)+IF(AND(ISNUMBER($E82),ISNUMBER($F82)),IF($E82&gt;$F82,1,0),0)</f>
        <v>0</v>
      </c>
      <c r="X82" s="13" t="s">
        <v>68</v>
      </c>
    </row>
    <row r="83" customFormat="false" ht="15" hidden="false" customHeight="false" outlineLevel="0" collapsed="false">
      <c r="A83" s="10" t="s">
        <v>320</v>
      </c>
      <c r="B83" s="10" t="s">
        <v>321</v>
      </c>
      <c r="C83" s="11" t="s">
        <v>312</v>
      </c>
      <c r="D83" s="12" t="n">
        <v>12.3555</v>
      </c>
      <c r="E83" s="12"/>
      <c r="F83" s="12"/>
      <c r="G83" s="10" t="s">
        <v>55</v>
      </c>
      <c r="H83" s="10" t="s">
        <v>79</v>
      </c>
      <c r="I83" s="11" t="s">
        <v>57</v>
      </c>
      <c r="J83" s="10" t="s">
        <v>58</v>
      </c>
      <c r="K83" s="10" t="s">
        <v>59</v>
      </c>
      <c r="L83" s="10" t="s">
        <v>60</v>
      </c>
      <c r="M83" s="10" t="s">
        <v>61</v>
      </c>
      <c r="N83" s="10"/>
      <c r="O83" s="11" t="s">
        <v>80</v>
      </c>
      <c r="P83" s="10" t="s">
        <v>63</v>
      </c>
      <c r="Q83" s="11" t="s">
        <v>64</v>
      </c>
      <c r="R83" s="11" t="s">
        <v>65</v>
      </c>
      <c r="S83" s="11" t="s">
        <v>66</v>
      </c>
      <c r="T83" s="11" t="s">
        <v>322</v>
      </c>
      <c r="U83" s="10" t="n">
        <f aca="false">IF(AND($D83="",$E83="",$F83=""),1,0)</f>
        <v>0</v>
      </c>
      <c r="V83" s="10" t="n">
        <f aca="false">IF(OR($I83="",$I83="—"),1,0)</f>
        <v>0</v>
      </c>
      <c r="W83" s="10" t="n">
        <f aca="false">IF(AND(ISNUMBER($D83),ISNUMBER($E83)),IF($E83&gt;$D83,1,0),0)+IF(AND(ISNUMBER($D83),ISNUMBER($F83)),IF($D83&gt;$F83,1,0),0)+IF(AND(ISNUMBER($E83),ISNUMBER($F83)),IF($E83&gt;$F83,1,0),0)</f>
        <v>0</v>
      </c>
      <c r="X83" s="13" t="s">
        <v>68</v>
      </c>
    </row>
    <row r="84" customFormat="false" ht="15" hidden="false" customHeight="false" outlineLevel="0" collapsed="false">
      <c r="A84" s="10" t="s">
        <v>323</v>
      </c>
      <c r="B84" s="10" t="s">
        <v>324</v>
      </c>
      <c r="C84" s="11" t="s">
        <v>312</v>
      </c>
      <c r="D84" s="12" t="n">
        <v>23.5785</v>
      </c>
      <c r="E84" s="12"/>
      <c r="F84" s="12"/>
      <c r="G84" s="10" t="s">
        <v>55</v>
      </c>
      <c r="H84" s="10" t="s">
        <v>84</v>
      </c>
      <c r="I84" s="11" t="s">
        <v>57</v>
      </c>
      <c r="J84" s="10" t="s">
        <v>58</v>
      </c>
      <c r="K84" s="10" t="s">
        <v>59</v>
      </c>
      <c r="L84" s="10" t="s">
        <v>60</v>
      </c>
      <c r="M84" s="10" t="s">
        <v>61</v>
      </c>
      <c r="N84" s="10"/>
      <c r="O84" s="11" t="s">
        <v>62</v>
      </c>
      <c r="P84" s="10" t="s">
        <v>63</v>
      </c>
      <c r="Q84" s="11" t="s">
        <v>64</v>
      </c>
      <c r="R84" s="11" t="s">
        <v>65</v>
      </c>
      <c r="S84" s="11" t="s">
        <v>66</v>
      </c>
      <c r="T84" s="11" t="s">
        <v>325</v>
      </c>
      <c r="U84" s="10" t="n">
        <f aca="false">IF(AND($D84="",$E84="",$F84=""),1,0)</f>
        <v>0</v>
      </c>
      <c r="V84" s="10" t="n">
        <f aca="false">IF(OR($I84="",$I84="—"),1,0)</f>
        <v>0</v>
      </c>
      <c r="W84" s="10" t="n">
        <f aca="false">IF(AND(ISNUMBER($D84),ISNUMBER($E84)),IF($E84&gt;$D84,1,0),0)+IF(AND(ISNUMBER($D84),ISNUMBER($F84)),IF($D84&gt;$F84,1,0),0)+IF(AND(ISNUMBER($E84),ISNUMBER($F84)),IF($E84&gt;$F84,1,0),0)</f>
        <v>0</v>
      </c>
      <c r="X84" s="13" t="s">
        <v>68</v>
      </c>
    </row>
    <row r="85" customFormat="false" ht="15" hidden="false" customHeight="false" outlineLevel="0" collapsed="false">
      <c r="A85" s="10" t="s">
        <v>326</v>
      </c>
      <c r="B85" s="10" t="s">
        <v>327</v>
      </c>
      <c r="C85" s="11" t="s">
        <v>328</v>
      </c>
      <c r="D85" s="12" t="n">
        <v>0.9742</v>
      </c>
      <c r="E85" s="12"/>
      <c r="F85" s="12"/>
      <c r="G85" s="10" t="s">
        <v>55</v>
      </c>
      <c r="H85" s="10" t="s">
        <v>56</v>
      </c>
      <c r="I85" s="11" t="s">
        <v>57</v>
      </c>
      <c r="J85" s="10" t="s">
        <v>58</v>
      </c>
      <c r="K85" s="10" t="s">
        <v>59</v>
      </c>
      <c r="L85" s="10" t="s">
        <v>60</v>
      </c>
      <c r="M85" s="10" t="s">
        <v>61</v>
      </c>
      <c r="N85" s="10"/>
      <c r="O85" s="11" t="s">
        <v>62</v>
      </c>
      <c r="P85" s="10" t="s">
        <v>63</v>
      </c>
      <c r="Q85" s="11" t="s">
        <v>64</v>
      </c>
      <c r="R85" s="11" t="s">
        <v>65</v>
      </c>
      <c r="S85" s="11" t="s">
        <v>66</v>
      </c>
      <c r="T85" s="11" t="s">
        <v>329</v>
      </c>
      <c r="U85" s="10" t="n">
        <f aca="false">IF(AND($D85="",$E85="",$F85=""),1,0)</f>
        <v>0</v>
      </c>
      <c r="V85" s="10" t="n">
        <f aca="false">IF(OR($I85="",$I85="—"),1,0)</f>
        <v>0</v>
      </c>
      <c r="W85" s="10" t="n">
        <f aca="false">IF(AND(ISNUMBER($D85),ISNUMBER($E85)),IF($E85&gt;$D85,1,0),0)+IF(AND(ISNUMBER($D85),ISNUMBER($F85)),IF($D85&gt;$F85,1,0),0)+IF(AND(ISNUMBER($E85),ISNUMBER($F85)),IF($E85&gt;$F85,1,0),0)</f>
        <v>0</v>
      </c>
      <c r="X85" s="13" t="s">
        <v>68</v>
      </c>
    </row>
    <row r="86" customFormat="false" ht="15" hidden="false" customHeight="false" outlineLevel="0" collapsed="false">
      <c r="A86" s="10" t="s">
        <v>330</v>
      </c>
      <c r="B86" s="10" t="s">
        <v>331</v>
      </c>
      <c r="C86" s="11" t="s">
        <v>328</v>
      </c>
      <c r="D86" s="12" t="n">
        <v>6.2098</v>
      </c>
      <c r="E86" s="12"/>
      <c r="F86" s="12"/>
      <c r="G86" s="10" t="s">
        <v>55</v>
      </c>
      <c r="H86" s="10" t="s">
        <v>71</v>
      </c>
      <c r="I86" s="11" t="s">
        <v>57</v>
      </c>
      <c r="J86" s="10" t="s">
        <v>58</v>
      </c>
      <c r="K86" s="10" t="s">
        <v>59</v>
      </c>
      <c r="L86" s="10" t="s">
        <v>60</v>
      </c>
      <c r="M86" s="10" t="s">
        <v>61</v>
      </c>
      <c r="N86" s="10"/>
      <c r="O86" s="11" t="s">
        <v>62</v>
      </c>
      <c r="P86" s="10" t="s">
        <v>63</v>
      </c>
      <c r="Q86" s="11" t="s">
        <v>64</v>
      </c>
      <c r="R86" s="11" t="s">
        <v>65</v>
      </c>
      <c r="S86" s="11" t="s">
        <v>66</v>
      </c>
      <c r="T86" s="11" t="s">
        <v>332</v>
      </c>
      <c r="U86" s="10" t="n">
        <f aca="false">IF(AND($D86="",$E86="",$F86=""),1,0)</f>
        <v>0</v>
      </c>
      <c r="V86" s="10" t="n">
        <f aca="false">IF(OR($I86="",$I86="—"),1,0)</f>
        <v>0</v>
      </c>
      <c r="W86" s="10" t="n">
        <f aca="false">IF(AND(ISNUMBER($D86),ISNUMBER($E86)),IF($E86&gt;$D86,1,0),0)+IF(AND(ISNUMBER($D86),ISNUMBER($F86)),IF($D86&gt;$F86,1,0),0)+IF(AND(ISNUMBER($E86),ISNUMBER($F86)),IF($E86&gt;$F86,1,0),0)</f>
        <v>0</v>
      </c>
      <c r="X86" s="13" t="s">
        <v>68</v>
      </c>
    </row>
    <row r="87" customFormat="false" ht="15" hidden="false" customHeight="false" outlineLevel="0" collapsed="false">
      <c r="A87" s="10" t="s">
        <v>333</v>
      </c>
      <c r="B87" s="10" t="s">
        <v>334</v>
      </c>
      <c r="C87" s="11" t="s">
        <v>328</v>
      </c>
      <c r="D87" s="12" t="n">
        <v>24.6557</v>
      </c>
      <c r="E87" s="12"/>
      <c r="F87" s="12"/>
      <c r="G87" s="10" t="s">
        <v>55</v>
      </c>
      <c r="H87" s="10" t="s">
        <v>75</v>
      </c>
      <c r="I87" s="11" t="s">
        <v>57</v>
      </c>
      <c r="J87" s="10" t="s">
        <v>58</v>
      </c>
      <c r="K87" s="10" t="s">
        <v>59</v>
      </c>
      <c r="L87" s="10" t="s">
        <v>60</v>
      </c>
      <c r="M87" s="10" t="s">
        <v>61</v>
      </c>
      <c r="N87" s="10"/>
      <c r="O87" s="11" t="s">
        <v>62</v>
      </c>
      <c r="P87" s="10" t="s">
        <v>63</v>
      </c>
      <c r="Q87" s="11" t="s">
        <v>64</v>
      </c>
      <c r="R87" s="11" t="s">
        <v>65</v>
      </c>
      <c r="S87" s="11" t="s">
        <v>66</v>
      </c>
      <c r="T87" s="11" t="s">
        <v>335</v>
      </c>
      <c r="U87" s="10" t="n">
        <f aca="false">IF(AND($D87="",$E87="",$F87=""),1,0)</f>
        <v>0</v>
      </c>
      <c r="V87" s="10" t="n">
        <f aca="false">IF(OR($I87="",$I87="—"),1,0)</f>
        <v>0</v>
      </c>
      <c r="W87" s="10" t="n">
        <f aca="false">IF(AND(ISNUMBER($D87),ISNUMBER($E87)),IF($E87&gt;$D87,1,0),0)+IF(AND(ISNUMBER($D87),ISNUMBER($F87)),IF($D87&gt;$F87,1,0),0)+IF(AND(ISNUMBER($E87),ISNUMBER($F87)),IF($E87&gt;$F87,1,0),0)</f>
        <v>0</v>
      </c>
      <c r="X87" s="13" t="s">
        <v>68</v>
      </c>
    </row>
    <row r="88" customFormat="false" ht="15" hidden="false" customHeight="false" outlineLevel="0" collapsed="false">
      <c r="A88" s="10" t="s">
        <v>336</v>
      </c>
      <c r="B88" s="10" t="s">
        <v>337</v>
      </c>
      <c r="C88" s="11" t="s">
        <v>328</v>
      </c>
      <c r="D88" s="12" t="n">
        <v>10.3016</v>
      </c>
      <c r="E88" s="12"/>
      <c r="F88" s="12"/>
      <c r="G88" s="10" t="s">
        <v>55</v>
      </c>
      <c r="H88" s="10" t="s">
        <v>79</v>
      </c>
      <c r="I88" s="11" t="s">
        <v>57</v>
      </c>
      <c r="J88" s="10" t="s">
        <v>58</v>
      </c>
      <c r="K88" s="10" t="s">
        <v>59</v>
      </c>
      <c r="L88" s="10" t="s">
        <v>60</v>
      </c>
      <c r="M88" s="10" t="s">
        <v>61</v>
      </c>
      <c r="N88" s="10"/>
      <c r="O88" s="11" t="s">
        <v>80</v>
      </c>
      <c r="P88" s="10" t="s">
        <v>63</v>
      </c>
      <c r="Q88" s="11" t="s">
        <v>64</v>
      </c>
      <c r="R88" s="11" t="s">
        <v>65</v>
      </c>
      <c r="S88" s="11" t="s">
        <v>66</v>
      </c>
      <c r="T88" s="11" t="s">
        <v>338</v>
      </c>
      <c r="U88" s="10" t="n">
        <f aca="false">IF(AND($D88="",$E88="",$F88=""),1,0)</f>
        <v>0</v>
      </c>
      <c r="V88" s="10" t="n">
        <f aca="false">IF(OR($I88="",$I88="—"),1,0)</f>
        <v>0</v>
      </c>
      <c r="W88" s="10" t="n">
        <f aca="false">IF(AND(ISNUMBER($D88),ISNUMBER($E88)),IF($E88&gt;$D88,1,0),0)+IF(AND(ISNUMBER($D88),ISNUMBER($F88)),IF($D88&gt;$F88,1,0),0)+IF(AND(ISNUMBER($E88),ISNUMBER($F88)),IF($E88&gt;$F88,1,0),0)</f>
        <v>0</v>
      </c>
      <c r="X88" s="13" t="s">
        <v>68</v>
      </c>
    </row>
    <row r="89" customFormat="false" ht="15" hidden="false" customHeight="false" outlineLevel="0" collapsed="false">
      <c r="A89" s="10" t="s">
        <v>339</v>
      </c>
      <c r="B89" s="10" t="s">
        <v>340</v>
      </c>
      <c r="C89" s="11" t="s">
        <v>328</v>
      </c>
      <c r="D89" s="12" t="n">
        <v>17.5197</v>
      </c>
      <c r="E89" s="12"/>
      <c r="F89" s="12"/>
      <c r="G89" s="10" t="s">
        <v>55</v>
      </c>
      <c r="H89" s="10" t="s">
        <v>84</v>
      </c>
      <c r="I89" s="11" t="s">
        <v>57</v>
      </c>
      <c r="J89" s="10" t="s">
        <v>58</v>
      </c>
      <c r="K89" s="10" t="s">
        <v>59</v>
      </c>
      <c r="L89" s="10" t="s">
        <v>60</v>
      </c>
      <c r="M89" s="10" t="s">
        <v>61</v>
      </c>
      <c r="N89" s="10"/>
      <c r="O89" s="11" t="s">
        <v>62</v>
      </c>
      <c r="P89" s="10" t="s">
        <v>63</v>
      </c>
      <c r="Q89" s="11" t="s">
        <v>64</v>
      </c>
      <c r="R89" s="11" t="s">
        <v>65</v>
      </c>
      <c r="S89" s="11" t="s">
        <v>66</v>
      </c>
      <c r="T89" s="11" t="s">
        <v>341</v>
      </c>
      <c r="U89" s="10" t="n">
        <f aca="false">IF(AND($D89="",$E89="",$F89=""),1,0)</f>
        <v>0</v>
      </c>
      <c r="V89" s="10" t="n">
        <f aca="false">IF(OR($I89="",$I89="—"),1,0)</f>
        <v>0</v>
      </c>
      <c r="W89" s="10" t="n">
        <f aca="false">IF(AND(ISNUMBER($D89),ISNUMBER($E89)),IF($E89&gt;$D89,1,0),0)+IF(AND(ISNUMBER($D89),ISNUMBER($F89)),IF($D89&gt;$F89,1,0),0)+IF(AND(ISNUMBER($E89),ISNUMBER($F89)),IF($E89&gt;$F89,1,0),0)</f>
        <v>0</v>
      </c>
      <c r="X89" s="13" t="s">
        <v>68</v>
      </c>
    </row>
    <row r="90" customFormat="false" ht="15" hidden="false" customHeight="false" outlineLevel="0" collapsed="false">
      <c r="A90" s="10" t="s">
        <v>342</v>
      </c>
      <c r="B90" s="10" t="s">
        <v>343</v>
      </c>
      <c r="C90" s="11" t="s">
        <v>344</v>
      </c>
      <c r="D90" s="12" t="n">
        <v>-0.6825</v>
      </c>
      <c r="E90" s="12"/>
      <c r="F90" s="12"/>
      <c r="G90" s="10" t="s">
        <v>55</v>
      </c>
      <c r="H90" s="10" t="s">
        <v>56</v>
      </c>
      <c r="I90" s="11" t="s">
        <v>57</v>
      </c>
      <c r="J90" s="10" t="s">
        <v>58</v>
      </c>
      <c r="K90" s="10" t="s">
        <v>59</v>
      </c>
      <c r="L90" s="10" t="s">
        <v>60</v>
      </c>
      <c r="M90" s="10" t="s">
        <v>61</v>
      </c>
      <c r="N90" s="10"/>
      <c r="O90" s="11" t="s">
        <v>62</v>
      </c>
      <c r="P90" s="10" t="s">
        <v>63</v>
      </c>
      <c r="Q90" s="11" t="s">
        <v>64</v>
      </c>
      <c r="R90" s="11" t="s">
        <v>65</v>
      </c>
      <c r="S90" s="11" t="s">
        <v>66</v>
      </c>
      <c r="T90" s="11" t="s">
        <v>345</v>
      </c>
      <c r="U90" s="10" t="n">
        <f aca="false">IF(AND($D90="",$E90="",$F90=""),1,0)</f>
        <v>0</v>
      </c>
      <c r="V90" s="10" t="n">
        <f aca="false">IF(OR($I90="",$I90="—"),1,0)</f>
        <v>0</v>
      </c>
      <c r="W90" s="10" t="n">
        <f aca="false">IF(AND(ISNUMBER($D90),ISNUMBER($E90)),IF($E90&gt;$D90,1,0),0)+IF(AND(ISNUMBER($D90),ISNUMBER($F90)),IF($D90&gt;$F90,1,0),0)+IF(AND(ISNUMBER($E90),ISNUMBER($F90)),IF($E90&gt;$F90,1,0),0)</f>
        <v>0</v>
      </c>
      <c r="X90" s="13" t="s">
        <v>68</v>
      </c>
    </row>
    <row r="91" customFormat="false" ht="15" hidden="false" customHeight="false" outlineLevel="0" collapsed="false">
      <c r="A91" s="10" t="s">
        <v>346</v>
      </c>
      <c r="B91" s="10" t="s">
        <v>347</v>
      </c>
      <c r="C91" s="11" t="s">
        <v>344</v>
      </c>
      <c r="D91" s="12" t="n">
        <v>-6.4802</v>
      </c>
      <c r="E91" s="12"/>
      <c r="F91" s="12"/>
      <c r="G91" s="10" t="s">
        <v>55</v>
      </c>
      <c r="H91" s="10" t="s">
        <v>71</v>
      </c>
      <c r="I91" s="11" t="s">
        <v>57</v>
      </c>
      <c r="J91" s="10" t="s">
        <v>58</v>
      </c>
      <c r="K91" s="10" t="s">
        <v>59</v>
      </c>
      <c r="L91" s="10" t="s">
        <v>60</v>
      </c>
      <c r="M91" s="10" t="s">
        <v>61</v>
      </c>
      <c r="N91" s="10"/>
      <c r="O91" s="11" t="s">
        <v>62</v>
      </c>
      <c r="P91" s="10" t="s">
        <v>63</v>
      </c>
      <c r="Q91" s="11" t="s">
        <v>64</v>
      </c>
      <c r="R91" s="11" t="s">
        <v>65</v>
      </c>
      <c r="S91" s="11" t="s">
        <v>66</v>
      </c>
      <c r="T91" s="11" t="s">
        <v>348</v>
      </c>
      <c r="U91" s="10" t="n">
        <f aca="false">IF(AND($D91="",$E91="",$F91=""),1,0)</f>
        <v>0</v>
      </c>
      <c r="V91" s="10" t="n">
        <f aca="false">IF(OR($I91="",$I91="—"),1,0)</f>
        <v>0</v>
      </c>
      <c r="W91" s="10" t="n">
        <f aca="false">IF(AND(ISNUMBER($D91),ISNUMBER($E91)),IF($E91&gt;$D91,1,0),0)+IF(AND(ISNUMBER($D91),ISNUMBER($F91)),IF($D91&gt;$F91,1,0),0)+IF(AND(ISNUMBER($E91),ISNUMBER($F91)),IF($E91&gt;$F91,1,0),0)</f>
        <v>0</v>
      </c>
      <c r="X91" s="13" t="s">
        <v>68</v>
      </c>
    </row>
    <row r="92" customFormat="false" ht="15" hidden="false" customHeight="false" outlineLevel="0" collapsed="false">
      <c r="A92" s="10" t="s">
        <v>349</v>
      </c>
      <c r="B92" s="10" t="s">
        <v>350</v>
      </c>
      <c r="C92" s="11" t="s">
        <v>344</v>
      </c>
      <c r="D92" s="12" t="n">
        <v>-22.4492</v>
      </c>
      <c r="E92" s="12"/>
      <c r="F92" s="12"/>
      <c r="G92" s="10" t="s">
        <v>55</v>
      </c>
      <c r="H92" s="10" t="s">
        <v>75</v>
      </c>
      <c r="I92" s="11" t="s">
        <v>57</v>
      </c>
      <c r="J92" s="10" t="s">
        <v>58</v>
      </c>
      <c r="K92" s="10" t="s">
        <v>59</v>
      </c>
      <c r="L92" s="10" t="s">
        <v>60</v>
      </c>
      <c r="M92" s="10" t="s">
        <v>61</v>
      </c>
      <c r="N92" s="10"/>
      <c r="O92" s="11" t="s">
        <v>62</v>
      </c>
      <c r="P92" s="10" t="s">
        <v>63</v>
      </c>
      <c r="Q92" s="11" t="s">
        <v>64</v>
      </c>
      <c r="R92" s="11" t="s">
        <v>65</v>
      </c>
      <c r="S92" s="11" t="s">
        <v>66</v>
      </c>
      <c r="T92" s="11" t="s">
        <v>351</v>
      </c>
      <c r="U92" s="10" t="n">
        <f aca="false">IF(AND($D92="",$E92="",$F92=""),1,0)</f>
        <v>0</v>
      </c>
      <c r="V92" s="10" t="n">
        <f aca="false">IF(OR($I92="",$I92="—"),1,0)</f>
        <v>0</v>
      </c>
      <c r="W92" s="10" t="n">
        <f aca="false">IF(AND(ISNUMBER($D92),ISNUMBER($E92)),IF($E92&gt;$D92,1,0),0)+IF(AND(ISNUMBER($D92),ISNUMBER($F92)),IF($D92&gt;$F92,1,0),0)+IF(AND(ISNUMBER($E92),ISNUMBER($F92)),IF($E92&gt;$F92,1,0),0)</f>
        <v>0</v>
      </c>
      <c r="X92" s="13" t="s">
        <v>68</v>
      </c>
    </row>
    <row r="93" customFormat="false" ht="15" hidden="false" customHeight="false" outlineLevel="0" collapsed="false">
      <c r="A93" s="10" t="s">
        <v>352</v>
      </c>
      <c r="B93" s="10" t="s">
        <v>353</v>
      </c>
      <c r="C93" s="11" t="s">
        <v>344</v>
      </c>
      <c r="D93" s="12" t="n">
        <v>-9.9468</v>
      </c>
      <c r="E93" s="12"/>
      <c r="F93" s="12"/>
      <c r="G93" s="10" t="s">
        <v>55</v>
      </c>
      <c r="H93" s="10" t="s">
        <v>79</v>
      </c>
      <c r="I93" s="11" t="s">
        <v>57</v>
      </c>
      <c r="J93" s="10" t="s">
        <v>58</v>
      </c>
      <c r="K93" s="10" t="s">
        <v>59</v>
      </c>
      <c r="L93" s="10" t="s">
        <v>60</v>
      </c>
      <c r="M93" s="10" t="s">
        <v>61</v>
      </c>
      <c r="N93" s="10"/>
      <c r="O93" s="11" t="s">
        <v>80</v>
      </c>
      <c r="P93" s="10" t="s">
        <v>63</v>
      </c>
      <c r="Q93" s="11" t="s">
        <v>64</v>
      </c>
      <c r="R93" s="11" t="s">
        <v>65</v>
      </c>
      <c r="S93" s="11" t="s">
        <v>66</v>
      </c>
      <c r="T93" s="11" t="s">
        <v>354</v>
      </c>
      <c r="U93" s="10" t="n">
        <f aca="false">IF(AND($D93="",$E93="",$F93=""),1,0)</f>
        <v>0</v>
      </c>
      <c r="V93" s="10" t="n">
        <f aca="false">IF(OR($I93="",$I93="—"),1,0)</f>
        <v>0</v>
      </c>
      <c r="W93" s="10" t="n">
        <f aca="false">IF(AND(ISNUMBER($D93),ISNUMBER($E93)),IF($E93&gt;$D93,1,0),0)+IF(AND(ISNUMBER($D93),ISNUMBER($F93)),IF($D93&gt;$F93,1,0),0)+IF(AND(ISNUMBER($E93),ISNUMBER($F93)),IF($E93&gt;$F93,1,0),0)</f>
        <v>0</v>
      </c>
      <c r="X93" s="13" t="s">
        <v>68</v>
      </c>
    </row>
    <row r="94" customFormat="false" ht="15" hidden="false" customHeight="false" outlineLevel="0" collapsed="false">
      <c r="A94" s="10" t="s">
        <v>355</v>
      </c>
      <c r="B94" s="10" t="s">
        <v>356</v>
      </c>
      <c r="C94" s="11" t="s">
        <v>344</v>
      </c>
      <c r="D94" s="12" t="n">
        <v>-13.2715</v>
      </c>
      <c r="E94" s="12"/>
      <c r="F94" s="12"/>
      <c r="G94" s="10" t="s">
        <v>55</v>
      </c>
      <c r="H94" s="10" t="s">
        <v>84</v>
      </c>
      <c r="I94" s="11" t="s">
        <v>57</v>
      </c>
      <c r="J94" s="10" t="s">
        <v>58</v>
      </c>
      <c r="K94" s="10" t="s">
        <v>59</v>
      </c>
      <c r="L94" s="10" t="s">
        <v>60</v>
      </c>
      <c r="M94" s="10" t="s">
        <v>61</v>
      </c>
      <c r="N94" s="10"/>
      <c r="O94" s="11" t="s">
        <v>62</v>
      </c>
      <c r="P94" s="10" t="s">
        <v>63</v>
      </c>
      <c r="Q94" s="11" t="s">
        <v>64</v>
      </c>
      <c r="R94" s="11" t="s">
        <v>65</v>
      </c>
      <c r="S94" s="11" t="s">
        <v>66</v>
      </c>
      <c r="T94" s="11" t="s">
        <v>357</v>
      </c>
      <c r="U94" s="10" t="n">
        <f aca="false">IF(AND($D94="",$E94="",$F94=""),1,0)</f>
        <v>0</v>
      </c>
      <c r="V94" s="10" t="n">
        <f aca="false">IF(OR($I94="",$I94="—"),1,0)</f>
        <v>0</v>
      </c>
      <c r="W94" s="10" t="n">
        <f aca="false">IF(AND(ISNUMBER($D94),ISNUMBER($E94)),IF($E94&gt;$D94,1,0),0)+IF(AND(ISNUMBER($D94),ISNUMBER($F94)),IF($D94&gt;$F94,1,0),0)+IF(AND(ISNUMBER($E94),ISNUMBER($F94)),IF($E94&gt;$F94,1,0),0)</f>
        <v>0</v>
      </c>
      <c r="X94" s="13" t="s">
        <v>68</v>
      </c>
    </row>
    <row r="95" customFormat="false" ht="15" hidden="false" customHeight="false" outlineLevel="0" collapsed="false">
      <c r="A95" s="10" t="s">
        <v>358</v>
      </c>
      <c r="B95" s="10" t="s">
        <v>359</v>
      </c>
      <c r="C95" s="11" t="s">
        <v>360</v>
      </c>
      <c r="D95" s="12" t="n">
        <v>0.3292</v>
      </c>
      <c r="E95" s="12"/>
      <c r="F95" s="12"/>
      <c r="G95" s="10" t="s">
        <v>55</v>
      </c>
      <c r="H95" s="10" t="s">
        <v>56</v>
      </c>
      <c r="I95" s="11" t="s">
        <v>57</v>
      </c>
      <c r="J95" s="10" t="s">
        <v>58</v>
      </c>
      <c r="K95" s="10" t="s">
        <v>59</v>
      </c>
      <c r="L95" s="10" t="s">
        <v>60</v>
      </c>
      <c r="M95" s="10" t="s">
        <v>61</v>
      </c>
      <c r="N95" s="10"/>
      <c r="O95" s="11" t="s">
        <v>62</v>
      </c>
      <c r="P95" s="10" t="s">
        <v>63</v>
      </c>
      <c r="Q95" s="11" t="s">
        <v>64</v>
      </c>
      <c r="R95" s="11" t="s">
        <v>65</v>
      </c>
      <c r="S95" s="11" t="s">
        <v>66</v>
      </c>
      <c r="T95" s="11" t="s">
        <v>361</v>
      </c>
      <c r="U95" s="10" t="n">
        <f aca="false">IF(AND($D95="",$E95="",$F95=""),1,0)</f>
        <v>0</v>
      </c>
      <c r="V95" s="10" t="n">
        <f aca="false">IF(OR($I95="",$I95="—"),1,0)</f>
        <v>0</v>
      </c>
      <c r="W95" s="10" t="n">
        <f aca="false">IF(AND(ISNUMBER($D95),ISNUMBER($E95)),IF($E95&gt;$D95,1,0),0)+IF(AND(ISNUMBER($D95),ISNUMBER($F95)),IF($D95&gt;$F95,1,0),0)+IF(AND(ISNUMBER($E95),ISNUMBER($F95)),IF($E95&gt;$F95,1,0),0)</f>
        <v>0</v>
      </c>
      <c r="X95" s="13" t="s">
        <v>68</v>
      </c>
    </row>
    <row r="96" customFormat="false" ht="15" hidden="false" customHeight="false" outlineLevel="0" collapsed="false">
      <c r="A96" s="10" t="s">
        <v>362</v>
      </c>
      <c r="B96" s="10" t="s">
        <v>363</v>
      </c>
      <c r="C96" s="11" t="s">
        <v>360</v>
      </c>
      <c r="D96" s="12" t="n">
        <v>-7.8496</v>
      </c>
      <c r="E96" s="12"/>
      <c r="F96" s="12"/>
      <c r="G96" s="10" t="s">
        <v>55</v>
      </c>
      <c r="H96" s="10" t="s">
        <v>71</v>
      </c>
      <c r="I96" s="11" t="s">
        <v>57</v>
      </c>
      <c r="J96" s="10" t="s">
        <v>58</v>
      </c>
      <c r="K96" s="10" t="s">
        <v>59</v>
      </c>
      <c r="L96" s="10" t="s">
        <v>60</v>
      </c>
      <c r="M96" s="10" t="s">
        <v>61</v>
      </c>
      <c r="N96" s="10"/>
      <c r="O96" s="11" t="s">
        <v>62</v>
      </c>
      <c r="P96" s="10" t="s">
        <v>63</v>
      </c>
      <c r="Q96" s="11" t="s">
        <v>64</v>
      </c>
      <c r="R96" s="11" t="s">
        <v>65</v>
      </c>
      <c r="S96" s="11" t="s">
        <v>66</v>
      </c>
      <c r="T96" s="11" t="s">
        <v>364</v>
      </c>
      <c r="U96" s="10" t="n">
        <f aca="false">IF(AND($D96="",$E96="",$F96=""),1,0)</f>
        <v>0</v>
      </c>
      <c r="V96" s="10" t="n">
        <f aca="false">IF(OR($I96="",$I96="—"),1,0)</f>
        <v>0</v>
      </c>
      <c r="W96" s="10" t="n">
        <f aca="false">IF(AND(ISNUMBER($D96),ISNUMBER($E96)),IF($E96&gt;$D96,1,0),0)+IF(AND(ISNUMBER($D96),ISNUMBER($F96)),IF($D96&gt;$F96,1,0),0)+IF(AND(ISNUMBER($E96),ISNUMBER($F96)),IF($E96&gt;$F96,1,0),0)</f>
        <v>0</v>
      </c>
      <c r="X96" s="13" t="s">
        <v>68</v>
      </c>
    </row>
    <row r="97" customFormat="false" ht="15" hidden="false" customHeight="false" outlineLevel="0" collapsed="false">
      <c r="A97" s="10" t="s">
        <v>365</v>
      </c>
      <c r="B97" s="10" t="s">
        <v>366</v>
      </c>
      <c r="C97" s="11" t="s">
        <v>360</v>
      </c>
      <c r="D97" s="12" t="n">
        <v>-0.4856</v>
      </c>
      <c r="E97" s="12"/>
      <c r="F97" s="12"/>
      <c r="G97" s="10" t="s">
        <v>55</v>
      </c>
      <c r="H97" s="10" t="s">
        <v>75</v>
      </c>
      <c r="I97" s="11" t="s">
        <v>57</v>
      </c>
      <c r="J97" s="10" t="s">
        <v>58</v>
      </c>
      <c r="K97" s="10" t="s">
        <v>59</v>
      </c>
      <c r="L97" s="10" t="s">
        <v>60</v>
      </c>
      <c r="M97" s="10" t="s">
        <v>61</v>
      </c>
      <c r="N97" s="10"/>
      <c r="O97" s="11" t="s">
        <v>62</v>
      </c>
      <c r="P97" s="10" t="s">
        <v>63</v>
      </c>
      <c r="Q97" s="11" t="s">
        <v>64</v>
      </c>
      <c r="R97" s="11" t="s">
        <v>65</v>
      </c>
      <c r="S97" s="11" t="s">
        <v>66</v>
      </c>
      <c r="T97" s="11" t="s">
        <v>367</v>
      </c>
      <c r="U97" s="10" t="n">
        <f aca="false">IF(AND($D97="",$E97="",$F97=""),1,0)</f>
        <v>0</v>
      </c>
      <c r="V97" s="10" t="n">
        <f aca="false">IF(OR($I97="",$I97="—"),1,0)</f>
        <v>0</v>
      </c>
      <c r="W97" s="10" t="n">
        <f aca="false">IF(AND(ISNUMBER($D97),ISNUMBER($E97)),IF($E97&gt;$D97,1,0),0)+IF(AND(ISNUMBER($D97),ISNUMBER($F97)),IF($D97&gt;$F97,1,0),0)+IF(AND(ISNUMBER($E97),ISNUMBER($F97)),IF($E97&gt;$F97,1,0),0)</f>
        <v>0</v>
      </c>
      <c r="X97" s="13" t="s">
        <v>68</v>
      </c>
    </row>
    <row r="98" customFormat="false" ht="15" hidden="false" customHeight="false" outlineLevel="0" collapsed="false">
      <c r="A98" s="10" t="s">
        <v>368</v>
      </c>
      <c r="B98" s="10" t="s">
        <v>369</v>
      </c>
      <c r="C98" s="11" t="s">
        <v>360</v>
      </c>
      <c r="D98" s="12" t="n">
        <v>-1.3878</v>
      </c>
      <c r="E98" s="12"/>
      <c r="F98" s="12"/>
      <c r="G98" s="10" t="s">
        <v>55</v>
      </c>
      <c r="H98" s="10" t="s">
        <v>79</v>
      </c>
      <c r="I98" s="11" t="s">
        <v>57</v>
      </c>
      <c r="J98" s="10" t="s">
        <v>58</v>
      </c>
      <c r="K98" s="10" t="s">
        <v>59</v>
      </c>
      <c r="L98" s="10" t="s">
        <v>60</v>
      </c>
      <c r="M98" s="10" t="s">
        <v>61</v>
      </c>
      <c r="N98" s="10"/>
      <c r="O98" s="11" t="s">
        <v>80</v>
      </c>
      <c r="P98" s="10" t="s">
        <v>63</v>
      </c>
      <c r="Q98" s="11" t="s">
        <v>64</v>
      </c>
      <c r="R98" s="11" t="s">
        <v>65</v>
      </c>
      <c r="S98" s="11" t="s">
        <v>66</v>
      </c>
      <c r="T98" s="11" t="s">
        <v>370</v>
      </c>
      <c r="U98" s="10" t="n">
        <f aca="false">IF(AND($D98="",$E98="",$F98=""),1,0)</f>
        <v>0</v>
      </c>
      <c r="V98" s="10" t="n">
        <f aca="false">IF(OR($I98="",$I98="—"),1,0)</f>
        <v>0</v>
      </c>
      <c r="W98" s="10" t="n">
        <f aca="false">IF(AND(ISNUMBER($D98),ISNUMBER($E98)),IF($E98&gt;$D98,1,0),0)+IF(AND(ISNUMBER($D98),ISNUMBER($F98)),IF($D98&gt;$F98,1,0),0)+IF(AND(ISNUMBER($E98),ISNUMBER($F98)),IF($E98&gt;$F98,1,0),0)</f>
        <v>0</v>
      </c>
      <c r="X98" s="13" t="s">
        <v>68</v>
      </c>
    </row>
    <row r="99" customFormat="false" ht="15" hidden="false" customHeight="false" outlineLevel="0" collapsed="false">
      <c r="A99" s="10" t="s">
        <v>371</v>
      </c>
      <c r="B99" s="10" t="s">
        <v>372</v>
      </c>
      <c r="C99" s="11" t="s">
        <v>360</v>
      </c>
      <c r="D99" s="12" t="n">
        <v>-5.5637</v>
      </c>
      <c r="E99" s="12"/>
      <c r="F99" s="12"/>
      <c r="G99" s="10" t="s">
        <v>55</v>
      </c>
      <c r="H99" s="10" t="s">
        <v>84</v>
      </c>
      <c r="I99" s="11" t="s">
        <v>57</v>
      </c>
      <c r="J99" s="10" t="s">
        <v>58</v>
      </c>
      <c r="K99" s="10" t="s">
        <v>59</v>
      </c>
      <c r="L99" s="10" t="s">
        <v>60</v>
      </c>
      <c r="M99" s="10" t="s">
        <v>61</v>
      </c>
      <c r="N99" s="10"/>
      <c r="O99" s="11" t="s">
        <v>62</v>
      </c>
      <c r="P99" s="10" t="s">
        <v>63</v>
      </c>
      <c r="Q99" s="11" t="s">
        <v>64</v>
      </c>
      <c r="R99" s="11" t="s">
        <v>65</v>
      </c>
      <c r="S99" s="11" t="s">
        <v>66</v>
      </c>
      <c r="T99" s="11" t="s">
        <v>373</v>
      </c>
      <c r="U99" s="10" t="n">
        <f aca="false">IF(AND($D99="",$E99="",$F99=""),1,0)</f>
        <v>0</v>
      </c>
      <c r="V99" s="10" t="n">
        <f aca="false">IF(OR($I99="",$I99="—"),1,0)</f>
        <v>0</v>
      </c>
      <c r="W99" s="10" t="n">
        <f aca="false">IF(AND(ISNUMBER($D99),ISNUMBER($E99)),IF($E99&gt;$D99,1,0),0)+IF(AND(ISNUMBER($D99),ISNUMBER($F99)),IF($D99&gt;$F99,1,0),0)+IF(AND(ISNUMBER($E99),ISNUMBER($F99)),IF($E99&gt;$F99,1,0),0)</f>
        <v>0</v>
      </c>
      <c r="X99" s="13" t="s">
        <v>68</v>
      </c>
    </row>
    <row r="100" customFormat="false" ht="15" hidden="false" customHeight="false" outlineLevel="0" collapsed="false">
      <c r="A100" s="10" t="s">
        <v>374</v>
      </c>
      <c r="B100" s="10" t="s">
        <v>375</v>
      </c>
      <c r="C100" s="11" t="s">
        <v>376</v>
      </c>
      <c r="D100" s="12" t="n">
        <v>2.1893</v>
      </c>
      <c r="E100" s="12"/>
      <c r="F100" s="12"/>
      <c r="G100" s="10" t="s">
        <v>55</v>
      </c>
      <c r="H100" s="10" t="s">
        <v>56</v>
      </c>
      <c r="I100" s="11" t="s">
        <v>57</v>
      </c>
      <c r="J100" s="10" t="s">
        <v>58</v>
      </c>
      <c r="K100" s="10" t="s">
        <v>59</v>
      </c>
      <c r="L100" s="10" t="s">
        <v>60</v>
      </c>
      <c r="M100" s="10" t="s">
        <v>61</v>
      </c>
      <c r="N100" s="10"/>
      <c r="O100" s="11" t="s">
        <v>62</v>
      </c>
      <c r="P100" s="10" t="s">
        <v>63</v>
      </c>
      <c r="Q100" s="11" t="s">
        <v>64</v>
      </c>
      <c r="R100" s="11" t="s">
        <v>65</v>
      </c>
      <c r="S100" s="11" t="s">
        <v>66</v>
      </c>
      <c r="T100" s="11" t="s">
        <v>377</v>
      </c>
      <c r="U100" s="10" t="n">
        <f aca="false">IF(AND($D100="",$E100="",$F100=""),1,0)</f>
        <v>0</v>
      </c>
      <c r="V100" s="10" t="n">
        <f aca="false">IF(OR($I100="",$I100="—"),1,0)</f>
        <v>0</v>
      </c>
      <c r="W100" s="10" t="n">
        <f aca="false">IF(AND(ISNUMBER($D100),ISNUMBER($E100)),IF($E100&gt;$D100,1,0),0)+IF(AND(ISNUMBER($D100),ISNUMBER($F100)),IF($D100&gt;$F100,1,0),0)+IF(AND(ISNUMBER($E100),ISNUMBER($F100)),IF($E100&gt;$F100,1,0),0)</f>
        <v>0</v>
      </c>
      <c r="X100" s="13" t="s">
        <v>68</v>
      </c>
    </row>
    <row r="101" customFormat="false" ht="15" hidden="false" customHeight="false" outlineLevel="0" collapsed="false">
      <c r="A101" s="10" t="s">
        <v>378</v>
      </c>
      <c r="B101" s="10" t="s">
        <v>379</v>
      </c>
      <c r="C101" s="11" t="s">
        <v>376</v>
      </c>
      <c r="D101" s="12" t="n">
        <v>12.4917</v>
      </c>
      <c r="E101" s="12"/>
      <c r="F101" s="12"/>
      <c r="G101" s="10" t="s">
        <v>55</v>
      </c>
      <c r="H101" s="10" t="s">
        <v>71</v>
      </c>
      <c r="I101" s="11" t="s">
        <v>57</v>
      </c>
      <c r="J101" s="10" t="s">
        <v>58</v>
      </c>
      <c r="K101" s="10" t="s">
        <v>59</v>
      </c>
      <c r="L101" s="10" t="s">
        <v>60</v>
      </c>
      <c r="M101" s="10" t="s">
        <v>61</v>
      </c>
      <c r="N101" s="10"/>
      <c r="O101" s="11" t="s">
        <v>62</v>
      </c>
      <c r="P101" s="10" t="s">
        <v>63</v>
      </c>
      <c r="Q101" s="11" t="s">
        <v>64</v>
      </c>
      <c r="R101" s="11" t="s">
        <v>65</v>
      </c>
      <c r="S101" s="11" t="s">
        <v>66</v>
      </c>
      <c r="T101" s="11" t="s">
        <v>380</v>
      </c>
      <c r="U101" s="10" t="n">
        <f aca="false">IF(AND($D101="",$E101="",$F101=""),1,0)</f>
        <v>0</v>
      </c>
      <c r="V101" s="10" t="n">
        <f aca="false">IF(OR($I101="",$I101="—"),1,0)</f>
        <v>0</v>
      </c>
      <c r="W101" s="10" t="n">
        <f aca="false">IF(AND(ISNUMBER($D101),ISNUMBER($E101)),IF($E101&gt;$D101,1,0),0)+IF(AND(ISNUMBER($D101),ISNUMBER($F101)),IF($D101&gt;$F101,1,0),0)+IF(AND(ISNUMBER($E101),ISNUMBER($F101)),IF($E101&gt;$F101,1,0),0)</f>
        <v>0</v>
      </c>
      <c r="X101" s="13" t="s">
        <v>68</v>
      </c>
    </row>
    <row r="102" customFormat="false" ht="15" hidden="false" customHeight="false" outlineLevel="0" collapsed="false">
      <c r="A102" s="10" t="s">
        <v>381</v>
      </c>
      <c r="B102" s="10" t="s">
        <v>382</v>
      </c>
      <c r="C102" s="11" t="s">
        <v>376</v>
      </c>
      <c r="D102" s="12" t="n">
        <v>22.6816</v>
      </c>
      <c r="E102" s="12"/>
      <c r="F102" s="12"/>
      <c r="G102" s="10" t="s">
        <v>55</v>
      </c>
      <c r="H102" s="10" t="s">
        <v>75</v>
      </c>
      <c r="I102" s="11" t="s">
        <v>57</v>
      </c>
      <c r="J102" s="10" t="s">
        <v>58</v>
      </c>
      <c r="K102" s="10" t="s">
        <v>59</v>
      </c>
      <c r="L102" s="10" t="s">
        <v>60</v>
      </c>
      <c r="M102" s="10" t="s">
        <v>61</v>
      </c>
      <c r="N102" s="10"/>
      <c r="O102" s="11" t="s">
        <v>62</v>
      </c>
      <c r="P102" s="10" t="s">
        <v>63</v>
      </c>
      <c r="Q102" s="11" t="s">
        <v>64</v>
      </c>
      <c r="R102" s="11" t="s">
        <v>65</v>
      </c>
      <c r="S102" s="11" t="s">
        <v>66</v>
      </c>
      <c r="T102" s="11" t="s">
        <v>383</v>
      </c>
      <c r="U102" s="10" t="n">
        <f aca="false">IF(AND($D102="",$E102="",$F102=""),1,0)</f>
        <v>0</v>
      </c>
      <c r="V102" s="10" t="n">
        <f aca="false">IF(OR($I102="",$I102="—"),1,0)</f>
        <v>0</v>
      </c>
      <c r="W102" s="10" t="n">
        <f aca="false">IF(AND(ISNUMBER($D102),ISNUMBER($E102)),IF($E102&gt;$D102,1,0),0)+IF(AND(ISNUMBER($D102),ISNUMBER($F102)),IF($D102&gt;$F102,1,0),0)+IF(AND(ISNUMBER($E102),ISNUMBER($F102)),IF($E102&gt;$F102,1,0),0)</f>
        <v>0</v>
      </c>
      <c r="X102" s="13" t="s">
        <v>68</v>
      </c>
    </row>
    <row r="103" customFormat="false" ht="15" hidden="false" customHeight="false" outlineLevel="0" collapsed="false">
      <c r="A103" s="10" t="s">
        <v>384</v>
      </c>
      <c r="B103" s="10" t="s">
        <v>385</v>
      </c>
      <c r="C103" s="11" t="s">
        <v>376</v>
      </c>
      <c r="D103" s="12" t="n">
        <v>9.3207</v>
      </c>
      <c r="E103" s="12"/>
      <c r="F103" s="12"/>
      <c r="G103" s="10" t="s">
        <v>55</v>
      </c>
      <c r="H103" s="10" t="s">
        <v>79</v>
      </c>
      <c r="I103" s="11" t="s">
        <v>57</v>
      </c>
      <c r="J103" s="10" t="s">
        <v>58</v>
      </c>
      <c r="K103" s="10" t="s">
        <v>59</v>
      </c>
      <c r="L103" s="10" t="s">
        <v>60</v>
      </c>
      <c r="M103" s="10" t="s">
        <v>61</v>
      </c>
      <c r="N103" s="10"/>
      <c r="O103" s="11" t="s">
        <v>80</v>
      </c>
      <c r="P103" s="10" t="s">
        <v>63</v>
      </c>
      <c r="Q103" s="11" t="s">
        <v>64</v>
      </c>
      <c r="R103" s="11" t="s">
        <v>65</v>
      </c>
      <c r="S103" s="11" t="s">
        <v>66</v>
      </c>
      <c r="T103" s="11" t="s">
        <v>386</v>
      </c>
      <c r="U103" s="10" t="n">
        <f aca="false">IF(AND($D103="",$E103="",$F103=""),1,0)</f>
        <v>0</v>
      </c>
      <c r="V103" s="10" t="n">
        <f aca="false">IF(OR($I103="",$I103="—"),1,0)</f>
        <v>0</v>
      </c>
      <c r="W103" s="10" t="n">
        <f aca="false">IF(AND(ISNUMBER($D103),ISNUMBER($E103)),IF($E103&gt;$D103,1,0),0)+IF(AND(ISNUMBER($D103),ISNUMBER($F103)),IF($D103&gt;$F103,1,0),0)+IF(AND(ISNUMBER($E103),ISNUMBER($F103)),IF($E103&gt;$F103,1,0),0)</f>
        <v>0</v>
      </c>
      <c r="X103" s="13" t="s">
        <v>68</v>
      </c>
    </row>
    <row r="104" customFormat="false" ht="15" hidden="false" customHeight="false" outlineLevel="0" collapsed="false">
      <c r="A104" s="10" t="s">
        <v>387</v>
      </c>
      <c r="B104" s="10" t="s">
        <v>388</v>
      </c>
      <c r="C104" s="11" t="s">
        <v>376</v>
      </c>
      <c r="D104" s="12" t="n">
        <v>25.5197</v>
      </c>
      <c r="E104" s="12"/>
      <c r="F104" s="12"/>
      <c r="G104" s="10" t="s">
        <v>55</v>
      </c>
      <c r="H104" s="10" t="s">
        <v>84</v>
      </c>
      <c r="I104" s="11" t="s">
        <v>57</v>
      </c>
      <c r="J104" s="10" t="s">
        <v>58</v>
      </c>
      <c r="K104" s="10" t="s">
        <v>59</v>
      </c>
      <c r="L104" s="10" t="s">
        <v>60</v>
      </c>
      <c r="M104" s="10" t="s">
        <v>61</v>
      </c>
      <c r="N104" s="10"/>
      <c r="O104" s="11" t="s">
        <v>62</v>
      </c>
      <c r="P104" s="10" t="s">
        <v>63</v>
      </c>
      <c r="Q104" s="11" t="s">
        <v>64</v>
      </c>
      <c r="R104" s="11" t="s">
        <v>65</v>
      </c>
      <c r="S104" s="11" t="s">
        <v>66</v>
      </c>
      <c r="T104" s="11" t="s">
        <v>389</v>
      </c>
      <c r="U104" s="10" t="n">
        <f aca="false">IF(AND($D104="",$E104="",$F104=""),1,0)</f>
        <v>0</v>
      </c>
      <c r="V104" s="10" t="n">
        <f aca="false">IF(OR($I104="",$I104="—"),1,0)</f>
        <v>0</v>
      </c>
      <c r="W104" s="10" t="n">
        <f aca="false">IF(AND(ISNUMBER($D104),ISNUMBER($E104)),IF($E104&gt;$D104,1,0),0)+IF(AND(ISNUMBER($D104),ISNUMBER($F104)),IF($D104&gt;$F104,1,0),0)+IF(AND(ISNUMBER($E104),ISNUMBER($F104)),IF($E104&gt;$F104,1,0),0)</f>
        <v>0</v>
      </c>
      <c r="X104" s="13" t="s">
        <v>68</v>
      </c>
    </row>
    <row r="105" customFormat="false" ht="15" hidden="false" customHeight="false" outlineLevel="0" collapsed="false">
      <c r="A105" s="10" t="s">
        <v>390</v>
      </c>
      <c r="B105" s="10" t="s">
        <v>391</v>
      </c>
      <c r="C105" s="11" t="s">
        <v>392</v>
      </c>
      <c r="D105" s="12" t="n">
        <v>54.6</v>
      </c>
      <c r="E105" s="12"/>
      <c r="F105" s="12"/>
      <c r="G105" s="10" t="s">
        <v>393</v>
      </c>
      <c r="H105" s="10" t="s">
        <v>56</v>
      </c>
      <c r="I105" s="11" t="s">
        <v>57</v>
      </c>
      <c r="J105" s="10" t="s">
        <v>58</v>
      </c>
      <c r="K105" s="10" t="s">
        <v>59</v>
      </c>
      <c r="L105" s="10" t="s">
        <v>60</v>
      </c>
      <c r="M105" s="10" t="s">
        <v>61</v>
      </c>
      <c r="N105" s="10"/>
      <c r="O105" s="11" t="s">
        <v>62</v>
      </c>
      <c r="P105" s="10" t="s">
        <v>63</v>
      </c>
      <c r="Q105" s="11" t="s">
        <v>64</v>
      </c>
      <c r="R105" s="11" t="s">
        <v>65</v>
      </c>
      <c r="S105" s="11" t="s">
        <v>66</v>
      </c>
      <c r="T105" s="11" t="s">
        <v>394</v>
      </c>
      <c r="U105" s="10" t="n">
        <f aca="false">IF(AND($D105="",$E105="",$F105=""),1,0)</f>
        <v>0</v>
      </c>
      <c r="V105" s="10" t="n">
        <f aca="false">IF(OR($I105="",$I105="—"),1,0)</f>
        <v>0</v>
      </c>
      <c r="W105" s="10" t="n">
        <f aca="false">IF(AND(ISNUMBER($D105),ISNUMBER($E105)),IF($E105&gt;$D105,1,0),0)+IF(AND(ISNUMBER($D105),ISNUMBER($F105)),IF($D105&gt;$F105,1,0),0)+IF(AND(ISNUMBER($E105),ISNUMBER($F105)),IF($E105&gt;$F105,1,0),0)</f>
        <v>0</v>
      </c>
      <c r="X105" s="13" t="s">
        <v>68</v>
      </c>
    </row>
    <row r="106" customFormat="false" ht="15" hidden="false" customHeight="false" outlineLevel="0" collapsed="false">
      <c r="A106" s="10" t="s">
        <v>395</v>
      </c>
      <c r="B106" s="10" t="s">
        <v>396</v>
      </c>
      <c r="C106" s="11" t="s">
        <v>392</v>
      </c>
      <c r="D106" s="12" t="n">
        <v>64.6</v>
      </c>
      <c r="E106" s="12"/>
      <c r="F106" s="12"/>
      <c r="G106" s="10" t="s">
        <v>393</v>
      </c>
      <c r="H106" s="10" t="s">
        <v>71</v>
      </c>
      <c r="I106" s="11" t="s">
        <v>57</v>
      </c>
      <c r="J106" s="10" t="s">
        <v>58</v>
      </c>
      <c r="K106" s="10" t="s">
        <v>59</v>
      </c>
      <c r="L106" s="10" t="s">
        <v>60</v>
      </c>
      <c r="M106" s="10" t="s">
        <v>61</v>
      </c>
      <c r="N106" s="10"/>
      <c r="O106" s="11" t="s">
        <v>62</v>
      </c>
      <c r="P106" s="10" t="s">
        <v>63</v>
      </c>
      <c r="Q106" s="11" t="s">
        <v>64</v>
      </c>
      <c r="R106" s="11" t="s">
        <v>65</v>
      </c>
      <c r="S106" s="11" t="s">
        <v>66</v>
      </c>
      <c r="T106" s="11" t="s">
        <v>394</v>
      </c>
      <c r="U106" s="10" t="n">
        <f aca="false">IF(AND($D106="",$E106="",$F106=""),1,0)</f>
        <v>0</v>
      </c>
      <c r="V106" s="10" t="n">
        <f aca="false">IF(OR($I106="",$I106="—"),1,0)</f>
        <v>0</v>
      </c>
      <c r="W106" s="10" t="n">
        <f aca="false">IF(AND(ISNUMBER($D106),ISNUMBER($E106)),IF($E106&gt;$D106,1,0),0)+IF(AND(ISNUMBER($D106),ISNUMBER($F106)),IF($D106&gt;$F106,1,0),0)+IF(AND(ISNUMBER($E106),ISNUMBER($F106)),IF($E106&gt;$F106,1,0),0)</f>
        <v>0</v>
      </c>
      <c r="X106" s="13" t="s">
        <v>68</v>
      </c>
    </row>
    <row r="107" customFormat="false" ht="15" hidden="false" customHeight="false" outlineLevel="0" collapsed="false">
      <c r="A107" s="10" t="s">
        <v>397</v>
      </c>
      <c r="B107" s="10" t="s">
        <v>398</v>
      </c>
      <c r="C107" s="11" t="s">
        <v>392</v>
      </c>
      <c r="D107" s="12" t="n">
        <v>56.3</v>
      </c>
      <c r="E107" s="12"/>
      <c r="F107" s="12"/>
      <c r="G107" s="10" t="s">
        <v>393</v>
      </c>
      <c r="H107" s="10" t="s">
        <v>75</v>
      </c>
      <c r="I107" s="11" t="s">
        <v>57</v>
      </c>
      <c r="J107" s="10" t="s">
        <v>58</v>
      </c>
      <c r="K107" s="10" t="s">
        <v>59</v>
      </c>
      <c r="L107" s="10" t="s">
        <v>60</v>
      </c>
      <c r="M107" s="10" t="s">
        <v>61</v>
      </c>
      <c r="N107" s="10"/>
      <c r="O107" s="11" t="s">
        <v>62</v>
      </c>
      <c r="P107" s="10" t="s">
        <v>63</v>
      </c>
      <c r="Q107" s="11" t="s">
        <v>64</v>
      </c>
      <c r="R107" s="11" t="s">
        <v>65</v>
      </c>
      <c r="S107" s="11" t="s">
        <v>66</v>
      </c>
      <c r="T107" s="11" t="s">
        <v>394</v>
      </c>
      <c r="U107" s="10" t="n">
        <f aca="false">IF(AND($D107="",$E107="",$F107=""),1,0)</f>
        <v>0</v>
      </c>
      <c r="V107" s="10" t="n">
        <f aca="false">IF(OR($I107="",$I107="—"),1,0)</f>
        <v>0</v>
      </c>
      <c r="W107" s="10" t="n">
        <f aca="false">IF(AND(ISNUMBER($D107),ISNUMBER($E107)),IF($E107&gt;$D107,1,0),0)+IF(AND(ISNUMBER($D107),ISNUMBER($F107)),IF($D107&gt;$F107,1,0),0)+IF(AND(ISNUMBER($E107),ISNUMBER($F107)),IF($E107&gt;$F107,1,0),0)</f>
        <v>0</v>
      </c>
      <c r="X107" s="13" t="s">
        <v>68</v>
      </c>
    </row>
    <row r="108" customFormat="false" ht="15" hidden="false" customHeight="false" outlineLevel="0" collapsed="false">
      <c r="A108" s="10" t="s">
        <v>399</v>
      </c>
      <c r="B108" s="10" t="s">
        <v>400</v>
      </c>
      <c r="C108" s="11" t="s">
        <v>392</v>
      </c>
      <c r="D108" s="12" t="n">
        <v>48.9</v>
      </c>
      <c r="E108" s="12"/>
      <c r="F108" s="12"/>
      <c r="G108" s="10" t="s">
        <v>393</v>
      </c>
      <c r="H108" s="10" t="s">
        <v>79</v>
      </c>
      <c r="I108" s="11" t="s">
        <v>57</v>
      </c>
      <c r="J108" s="10" t="s">
        <v>58</v>
      </c>
      <c r="K108" s="10" t="s">
        <v>59</v>
      </c>
      <c r="L108" s="10" t="s">
        <v>60</v>
      </c>
      <c r="M108" s="10" t="s">
        <v>61</v>
      </c>
      <c r="N108" s="10"/>
      <c r="O108" s="11" t="s">
        <v>80</v>
      </c>
      <c r="P108" s="10" t="s">
        <v>63</v>
      </c>
      <c r="Q108" s="11" t="s">
        <v>64</v>
      </c>
      <c r="R108" s="11" t="s">
        <v>65</v>
      </c>
      <c r="S108" s="11" t="s">
        <v>66</v>
      </c>
      <c r="T108" s="11" t="s">
        <v>394</v>
      </c>
      <c r="U108" s="10" t="n">
        <f aca="false">IF(AND($D108="",$E108="",$F108=""),1,0)</f>
        <v>0</v>
      </c>
      <c r="V108" s="10" t="n">
        <f aca="false">IF(OR($I108="",$I108="—"),1,0)</f>
        <v>0</v>
      </c>
      <c r="W108" s="10" t="n">
        <f aca="false">IF(AND(ISNUMBER($D108),ISNUMBER($E108)),IF($E108&gt;$D108,1,0),0)+IF(AND(ISNUMBER($D108),ISNUMBER($F108)),IF($D108&gt;$F108,1,0),0)+IF(AND(ISNUMBER($E108),ISNUMBER($F108)),IF($E108&gt;$F108,1,0),0)</f>
        <v>0</v>
      </c>
      <c r="X108" s="13" t="s">
        <v>68</v>
      </c>
    </row>
    <row r="109" customFormat="false" ht="15" hidden="false" customHeight="false" outlineLevel="0" collapsed="false">
      <c r="A109" s="10" t="s">
        <v>401</v>
      </c>
      <c r="B109" s="10" t="s">
        <v>402</v>
      </c>
      <c r="C109" s="11" t="s">
        <v>392</v>
      </c>
      <c r="D109" s="12" t="n">
        <v>50</v>
      </c>
      <c r="E109" s="12"/>
      <c r="F109" s="12"/>
      <c r="G109" s="10" t="s">
        <v>393</v>
      </c>
      <c r="H109" s="10" t="s">
        <v>84</v>
      </c>
      <c r="I109" s="11" t="s">
        <v>57</v>
      </c>
      <c r="J109" s="10" t="s">
        <v>58</v>
      </c>
      <c r="K109" s="10" t="s">
        <v>59</v>
      </c>
      <c r="L109" s="10" t="s">
        <v>60</v>
      </c>
      <c r="M109" s="10" t="s">
        <v>61</v>
      </c>
      <c r="N109" s="10"/>
      <c r="O109" s="11" t="s">
        <v>62</v>
      </c>
      <c r="P109" s="10" t="s">
        <v>63</v>
      </c>
      <c r="Q109" s="11" t="s">
        <v>64</v>
      </c>
      <c r="R109" s="11" t="s">
        <v>65</v>
      </c>
      <c r="S109" s="11" t="s">
        <v>66</v>
      </c>
      <c r="T109" s="11" t="s">
        <v>394</v>
      </c>
      <c r="U109" s="10" t="n">
        <f aca="false">IF(AND($D109="",$E109="",$F109=""),1,0)</f>
        <v>0</v>
      </c>
      <c r="V109" s="10" t="n">
        <f aca="false">IF(OR($I109="",$I109="—"),1,0)</f>
        <v>0</v>
      </c>
      <c r="W109" s="10" t="n">
        <f aca="false">IF(AND(ISNUMBER($D109),ISNUMBER($E109)),IF($E109&gt;$D109,1,0),0)+IF(AND(ISNUMBER($D109),ISNUMBER($F109)),IF($D109&gt;$F109,1,0),0)+IF(AND(ISNUMBER($E109),ISNUMBER($F109)),IF($E109&gt;$F109,1,0),0)</f>
        <v>0</v>
      </c>
      <c r="X109" s="13" t="s">
        <v>68</v>
      </c>
    </row>
    <row r="110" customFormat="false" ht="15" hidden="false" customHeight="false" outlineLevel="0" collapsed="false">
      <c r="A110" s="10" t="s">
        <v>403</v>
      </c>
      <c r="B110" s="10" t="s">
        <v>404</v>
      </c>
      <c r="C110" s="11" t="s">
        <v>405</v>
      </c>
      <c r="D110" s="12" t="n">
        <v>0.03</v>
      </c>
      <c r="E110" s="12"/>
      <c r="F110" s="12"/>
      <c r="G110" s="10" t="s">
        <v>406</v>
      </c>
      <c r="H110" s="10" t="s">
        <v>56</v>
      </c>
      <c r="I110" s="11" t="s">
        <v>57</v>
      </c>
      <c r="J110" s="10" t="s">
        <v>407</v>
      </c>
      <c r="K110" s="10" t="s">
        <v>59</v>
      </c>
      <c r="L110" s="10" t="s">
        <v>60</v>
      </c>
      <c r="M110" s="10" t="s">
        <v>408</v>
      </c>
      <c r="N110" s="11" t="s">
        <v>409</v>
      </c>
      <c r="O110" s="11" t="s">
        <v>410</v>
      </c>
      <c r="P110" s="10" t="s">
        <v>63</v>
      </c>
      <c r="Q110" s="11" t="s">
        <v>64</v>
      </c>
      <c r="R110" s="11" t="s">
        <v>409</v>
      </c>
      <c r="S110" s="11" t="s">
        <v>66</v>
      </c>
      <c r="T110" s="11" t="s">
        <v>411</v>
      </c>
      <c r="U110" s="10" t="n">
        <f aca="false">IF(AND($D110="",$E110="",$F110=""),1,0)</f>
        <v>0</v>
      </c>
      <c r="V110" s="10" t="n">
        <f aca="false">IF(OR($I110="",$I110="—"),1,0)</f>
        <v>0</v>
      </c>
      <c r="W110" s="10" t="n">
        <f aca="false">IF(AND(ISNUMBER($D110),ISNUMBER($E110)),IF($E110&gt;$D110,1,0),0)+IF(AND(ISNUMBER($D110),ISNUMBER($F110)),IF($D110&gt;$F110,1,0),0)+IF(AND(ISNUMBER($E110),ISNUMBER($F110)),IF($E110&gt;$F110,1,0),0)</f>
        <v>0</v>
      </c>
      <c r="X110" s="13" t="s">
        <v>68</v>
      </c>
    </row>
    <row r="111" customFormat="false" ht="15" hidden="false" customHeight="false" outlineLevel="0" collapsed="false">
      <c r="A111" s="10" t="s">
        <v>412</v>
      </c>
      <c r="B111" s="10" t="s">
        <v>413</v>
      </c>
      <c r="C111" s="11" t="s">
        <v>405</v>
      </c>
      <c r="D111" s="12" t="n">
        <v>1.059</v>
      </c>
      <c r="E111" s="12"/>
      <c r="F111" s="12"/>
      <c r="G111" s="10" t="s">
        <v>406</v>
      </c>
      <c r="H111" s="10" t="s">
        <v>71</v>
      </c>
      <c r="I111" s="11" t="s">
        <v>57</v>
      </c>
      <c r="J111" s="10" t="s">
        <v>407</v>
      </c>
      <c r="K111" s="10" t="s">
        <v>59</v>
      </c>
      <c r="L111" s="10" t="s">
        <v>60</v>
      </c>
      <c r="M111" s="10" t="s">
        <v>408</v>
      </c>
      <c r="N111" s="11" t="s">
        <v>409</v>
      </c>
      <c r="O111" s="11" t="s">
        <v>410</v>
      </c>
      <c r="P111" s="10" t="s">
        <v>63</v>
      </c>
      <c r="Q111" s="11" t="s">
        <v>64</v>
      </c>
      <c r="R111" s="11" t="s">
        <v>409</v>
      </c>
      <c r="S111" s="11" t="s">
        <v>66</v>
      </c>
      <c r="T111" s="11" t="s">
        <v>414</v>
      </c>
      <c r="U111" s="10" t="n">
        <f aca="false">IF(AND($D111="",$E111="",$F111=""),1,0)</f>
        <v>0</v>
      </c>
      <c r="V111" s="10" t="n">
        <f aca="false">IF(OR($I111="",$I111="—"),1,0)</f>
        <v>0</v>
      </c>
      <c r="W111" s="10" t="n">
        <f aca="false">IF(AND(ISNUMBER($D111),ISNUMBER($E111)),IF($E111&gt;$D111,1,0),0)+IF(AND(ISNUMBER($D111),ISNUMBER($F111)),IF($D111&gt;$F111,1,0),0)+IF(AND(ISNUMBER($E111),ISNUMBER($F111)),IF($E111&gt;$F111,1,0),0)</f>
        <v>0</v>
      </c>
      <c r="X111" s="13" t="s">
        <v>68</v>
      </c>
    </row>
    <row r="112" customFormat="false" ht="15" hidden="false" customHeight="false" outlineLevel="0" collapsed="false">
      <c r="A112" s="10" t="s">
        <v>415</v>
      </c>
      <c r="B112" s="10" t="s">
        <v>416</v>
      </c>
      <c r="C112" s="11" t="s">
        <v>405</v>
      </c>
      <c r="D112" s="12" t="n">
        <v>1.945</v>
      </c>
      <c r="E112" s="12"/>
      <c r="F112" s="12"/>
      <c r="G112" s="10" t="s">
        <v>406</v>
      </c>
      <c r="H112" s="10" t="s">
        <v>75</v>
      </c>
      <c r="I112" s="11" t="s">
        <v>57</v>
      </c>
      <c r="J112" s="10" t="s">
        <v>407</v>
      </c>
      <c r="K112" s="10" t="s">
        <v>59</v>
      </c>
      <c r="L112" s="10" t="s">
        <v>60</v>
      </c>
      <c r="M112" s="10" t="s">
        <v>408</v>
      </c>
      <c r="N112" s="11" t="s">
        <v>409</v>
      </c>
      <c r="O112" s="11" t="s">
        <v>410</v>
      </c>
      <c r="P112" s="10" t="s">
        <v>63</v>
      </c>
      <c r="Q112" s="11" t="s">
        <v>64</v>
      </c>
      <c r="R112" s="11" t="s">
        <v>409</v>
      </c>
      <c r="S112" s="11" t="s">
        <v>66</v>
      </c>
      <c r="T112" s="11" t="s">
        <v>417</v>
      </c>
      <c r="U112" s="10" t="n">
        <f aca="false">IF(AND($D112="",$E112="",$F112=""),1,0)</f>
        <v>0</v>
      </c>
      <c r="V112" s="10" t="n">
        <f aca="false">IF(OR($I112="",$I112="—"),1,0)</f>
        <v>0</v>
      </c>
      <c r="W112" s="10" t="n">
        <f aca="false">IF(AND(ISNUMBER($D112),ISNUMBER($E112)),IF($E112&gt;$D112,1,0),0)+IF(AND(ISNUMBER($D112),ISNUMBER($F112)),IF($D112&gt;$F112,1,0),0)+IF(AND(ISNUMBER($E112),ISNUMBER($F112)),IF($E112&gt;$F112,1,0),0)</f>
        <v>0</v>
      </c>
      <c r="X112" s="13" t="s">
        <v>68</v>
      </c>
    </row>
    <row r="113" customFormat="false" ht="15" hidden="false" customHeight="false" outlineLevel="0" collapsed="false">
      <c r="A113" s="10" t="s">
        <v>418</v>
      </c>
      <c r="B113" s="10" t="s">
        <v>419</v>
      </c>
      <c r="C113" s="11" t="s">
        <v>405</v>
      </c>
      <c r="D113" s="12" t="n">
        <v>3.273</v>
      </c>
      <c r="E113" s="12"/>
      <c r="F113" s="12"/>
      <c r="G113" s="10" t="s">
        <v>406</v>
      </c>
      <c r="H113" s="10" t="s">
        <v>84</v>
      </c>
      <c r="I113" s="11" t="s">
        <v>57</v>
      </c>
      <c r="J113" s="10" t="s">
        <v>407</v>
      </c>
      <c r="K113" s="10" t="s">
        <v>59</v>
      </c>
      <c r="L113" s="10" t="s">
        <v>60</v>
      </c>
      <c r="M113" s="10" t="s">
        <v>408</v>
      </c>
      <c r="N113" s="11" t="s">
        <v>409</v>
      </c>
      <c r="O113" s="11" t="s">
        <v>410</v>
      </c>
      <c r="P113" s="10" t="s">
        <v>63</v>
      </c>
      <c r="Q113" s="11" t="s">
        <v>64</v>
      </c>
      <c r="R113" s="11" t="s">
        <v>409</v>
      </c>
      <c r="S113" s="11" t="s">
        <v>66</v>
      </c>
      <c r="T113" s="11" t="s">
        <v>420</v>
      </c>
      <c r="U113" s="10" t="n">
        <f aca="false">IF(AND($D113="",$E113="",$F113=""),1,0)</f>
        <v>0</v>
      </c>
      <c r="V113" s="10" t="n">
        <f aca="false">IF(OR($I113="",$I113="—"),1,0)</f>
        <v>0</v>
      </c>
      <c r="W113" s="10" t="n">
        <f aca="false">IF(AND(ISNUMBER($D113),ISNUMBER($E113)),IF($E113&gt;$D113,1,0),0)+IF(AND(ISNUMBER($D113),ISNUMBER($F113)),IF($D113&gt;$F113,1,0),0)+IF(AND(ISNUMBER($E113),ISNUMBER($F113)),IF($E113&gt;$F113,1,0),0)</f>
        <v>0</v>
      </c>
      <c r="X113" s="13" t="s">
        <v>68</v>
      </c>
    </row>
    <row r="114" customFormat="false" ht="15" hidden="false" customHeight="false" outlineLevel="0" collapsed="false">
      <c r="A114" s="10" t="s">
        <v>421</v>
      </c>
      <c r="B114" s="10" t="s">
        <v>422</v>
      </c>
      <c r="C114" s="11" t="s">
        <v>423</v>
      </c>
      <c r="D114" s="12" t="n">
        <v>89.431</v>
      </c>
      <c r="E114" s="12"/>
      <c r="F114" s="12"/>
      <c r="G114" s="10" t="s">
        <v>55</v>
      </c>
      <c r="H114" s="10" t="s">
        <v>424</v>
      </c>
      <c r="I114" s="11" t="s">
        <v>57</v>
      </c>
      <c r="J114" s="10" t="s">
        <v>407</v>
      </c>
      <c r="K114" s="10" t="s">
        <v>59</v>
      </c>
      <c r="L114" s="10" t="s">
        <v>60</v>
      </c>
      <c r="M114" s="10" t="s">
        <v>408</v>
      </c>
      <c r="N114" s="11" t="s">
        <v>425</v>
      </c>
      <c r="O114" s="11" t="s">
        <v>426</v>
      </c>
      <c r="P114" s="10" t="s">
        <v>63</v>
      </c>
      <c r="Q114" s="11" t="s">
        <v>64</v>
      </c>
      <c r="R114" s="11" t="s">
        <v>425</v>
      </c>
      <c r="S114" s="11" t="s">
        <v>66</v>
      </c>
      <c r="T114" s="11" t="s">
        <v>427</v>
      </c>
      <c r="U114" s="10" t="n">
        <f aca="false">IF(AND($D114="",$E114="",$F114=""),1,0)</f>
        <v>0</v>
      </c>
      <c r="V114" s="10" t="n">
        <f aca="false">IF(OR($I114="",$I114="—"),1,0)</f>
        <v>0</v>
      </c>
      <c r="W114" s="10" t="n">
        <f aca="false">IF(AND(ISNUMBER($D114),ISNUMBER($E114)),IF($E114&gt;$D114,1,0),0)+IF(AND(ISNUMBER($D114),ISNUMBER($F114)),IF($D114&gt;$F114,1,0),0)+IF(AND(ISNUMBER($E114),ISNUMBER($F114)),IF($E114&gt;$F114,1,0),0)</f>
        <v>0</v>
      </c>
      <c r="X114" s="13" t="s">
        <v>68</v>
      </c>
    </row>
    <row r="115" customFormat="false" ht="15" hidden="false" customHeight="false" outlineLevel="0" collapsed="false">
      <c r="A115" s="10" t="s">
        <v>428</v>
      </c>
      <c r="B115" s="10" t="s">
        <v>429</v>
      </c>
      <c r="C115" s="11" t="s">
        <v>430</v>
      </c>
      <c r="D115" s="12" t="n">
        <v>657</v>
      </c>
      <c r="E115" s="12"/>
      <c r="F115" s="12"/>
      <c r="G115" s="11" t="s">
        <v>431</v>
      </c>
      <c r="H115" s="10" t="s">
        <v>432</v>
      </c>
      <c r="I115" s="11" t="s">
        <v>57</v>
      </c>
      <c r="J115" s="10" t="s">
        <v>58</v>
      </c>
      <c r="K115" s="10" t="s">
        <v>59</v>
      </c>
      <c r="L115" s="10" t="s">
        <v>60</v>
      </c>
      <c r="M115" s="10" t="s">
        <v>61</v>
      </c>
      <c r="N115" s="10"/>
      <c r="O115" s="11" t="s">
        <v>433</v>
      </c>
      <c r="P115" s="10" t="s">
        <v>63</v>
      </c>
      <c r="Q115" s="11" t="s">
        <v>64</v>
      </c>
      <c r="R115" s="11" t="s">
        <v>65</v>
      </c>
      <c r="S115" s="11" t="s">
        <v>66</v>
      </c>
      <c r="T115" s="11" t="s">
        <v>434</v>
      </c>
      <c r="U115" s="10" t="n">
        <f aca="false">IF(AND($D115="",$E115="",$F115=""),1,0)</f>
        <v>0</v>
      </c>
      <c r="V115" s="10" t="n">
        <f aca="false">IF(OR($I115="",$I115="—"),1,0)</f>
        <v>0</v>
      </c>
      <c r="W115" s="10" t="n">
        <f aca="false">IF(AND(ISNUMBER($D115),ISNUMBER($E115)),IF($E115&gt;$D115,1,0),0)+IF(AND(ISNUMBER($D115),ISNUMBER($F115)),IF($D115&gt;$F115,1,0),0)+IF(AND(ISNUMBER($E115),ISNUMBER($F115)),IF($E115&gt;$F115,1,0),0)</f>
        <v>0</v>
      </c>
      <c r="X115" s="13" t="s">
        <v>68</v>
      </c>
    </row>
    <row r="116" customFormat="false" ht="15" hidden="false" customHeight="false" outlineLevel="0" collapsed="false">
      <c r="A116" s="10" t="s">
        <v>435</v>
      </c>
      <c r="B116" s="10" t="s">
        <v>436</v>
      </c>
      <c r="C116" s="11" t="s">
        <v>437</v>
      </c>
      <c r="D116" s="12" t="n">
        <v>1.9038</v>
      </c>
      <c r="E116" s="12"/>
      <c r="F116" s="12"/>
      <c r="G116" s="10" t="s">
        <v>55</v>
      </c>
      <c r="H116" s="10" t="s">
        <v>438</v>
      </c>
      <c r="I116" s="11" t="s">
        <v>439</v>
      </c>
      <c r="J116" s="10" t="s">
        <v>440</v>
      </c>
      <c r="K116" s="10" t="s">
        <v>441</v>
      </c>
      <c r="L116" s="10" t="s">
        <v>60</v>
      </c>
      <c r="M116" s="10" t="s">
        <v>61</v>
      </c>
      <c r="N116" s="10"/>
      <c r="O116" s="11" t="s">
        <v>442</v>
      </c>
      <c r="P116" s="10" t="s">
        <v>63</v>
      </c>
      <c r="Q116" s="11" t="s">
        <v>64</v>
      </c>
      <c r="R116" s="11" t="s">
        <v>65</v>
      </c>
      <c r="S116" s="11" t="s">
        <v>66</v>
      </c>
      <c r="T116" s="11" t="s">
        <v>443</v>
      </c>
      <c r="U116" s="10" t="n">
        <f aca="false">IF(AND($D116="",$E116="",$F116=""),1,0)</f>
        <v>0</v>
      </c>
      <c r="V116" s="10" t="n">
        <f aca="false">IF(OR($I116="",$I116="—"),1,0)</f>
        <v>0</v>
      </c>
      <c r="W116" s="10" t="n">
        <f aca="false">IF(AND(ISNUMBER($D116),ISNUMBER($E116)),IF($E116&gt;$D116,1,0),0)+IF(AND(ISNUMBER($D116),ISNUMBER($F116)),IF($D116&gt;$F116,1,0),0)+IF(AND(ISNUMBER($E116),ISNUMBER($F116)),IF($E116&gt;$F116,1,0),0)</f>
        <v>0</v>
      </c>
      <c r="X116" s="13" t="s">
        <v>68</v>
      </c>
    </row>
    <row r="117" customFormat="false" ht="15" hidden="false" customHeight="false" outlineLevel="0" collapsed="false">
      <c r="A117" s="10" t="s">
        <v>444</v>
      </c>
      <c r="B117" s="10" t="s">
        <v>445</v>
      </c>
      <c r="C117" s="11" t="s">
        <v>437</v>
      </c>
      <c r="D117" s="12" t="n">
        <v>0.4848</v>
      </c>
      <c r="E117" s="12"/>
      <c r="F117" s="12"/>
      <c r="G117" s="10" t="s">
        <v>55</v>
      </c>
      <c r="H117" s="10" t="s">
        <v>75</v>
      </c>
      <c r="I117" s="11" t="s">
        <v>439</v>
      </c>
      <c r="J117" s="10" t="s">
        <v>440</v>
      </c>
      <c r="K117" s="10" t="s">
        <v>441</v>
      </c>
      <c r="L117" s="10" t="s">
        <v>60</v>
      </c>
      <c r="M117" s="10" t="s">
        <v>61</v>
      </c>
      <c r="N117" s="10"/>
      <c r="O117" s="11" t="s">
        <v>442</v>
      </c>
      <c r="P117" s="10" t="s">
        <v>63</v>
      </c>
      <c r="Q117" s="11" t="s">
        <v>64</v>
      </c>
      <c r="R117" s="11" t="s">
        <v>65</v>
      </c>
      <c r="S117" s="11" t="s">
        <v>66</v>
      </c>
      <c r="T117" s="11" t="s">
        <v>446</v>
      </c>
      <c r="U117" s="10" t="n">
        <f aca="false">IF(AND($D117="",$E117="",$F117=""),1,0)</f>
        <v>0</v>
      </c>
      <c r="V117" s="10" t="n">
        <f aca="false">IF(OR($I117="",$I117="—"),1,0)</f>
        <v>0</v>
      </c>
      <c r="W117" s="10" t="n">
        <f aca="false">IF(AND(ISNUMBER($D117),ISNUMBER($E117)),IF($E117&gt;$D117,1,0),0)+IF(AND(ISNUMBER($D117),ISNUMBER($F117)),IF($D117&gt;$F117,1,0),0)+IF(AND(ISNUMBER($E117),ISNUMBER($F117)),IF($E117&gt;$F117,1,0),0)</f>
        <v>0</v>
      </c>
      <c r="X117" s="13" t="s">
        <v>68</v>
      </c>
    </row>
    <row r="118" customFormat="false" ht="15" hidden="false" customHeight="false" outlineLevel="0" collapsed="false">
      <c r="A118" s="10" t="s">
        <v>447</v>
      </c>
      <c r="B118" s="10" t="s">
        <v>448</v>
      </c>
      <c r="C118" s="11" t="s">
        <v>449</v>
      </c>
      <c r="D118" s="12" t="n">
        <v>1.6569</v>
      </c>
      <c r="E118" s="12"/>
      <c r="F118" s="12"/>
      <c r="G118" s="10" t="s">
        <v>55</v>
      </c>
      <c r="H118" s="10" t="s">
        <v>438</v>
      </c>
      <c r="I118" s="11" t="s">
        <v>439</v>
      </c>
      <c r="J118" s="10" t="s">
        <v>440</v>
      </c>
      <c r="K118" s="10" t="s">
        <v>441</v>
      </c>
      <c r="L118" s="10" t="s">
        <v>60</v>
      </c>
      <c r="M118" s="10" t="s">
        <v>61</v>
      </c>
      <c r="N118" s="10"/>
      <c r="O118" s="11" t="s">
        <v>442</v>
      </c>
      <c r="P118" s="10" t="s">
        <v>63</v>
      </c>
      <c r="Q118" s="11" t="s">
        <v>64</v>
      </c>
      <c r="R118" s="11" t="s">
        <v>65</v>
      </c>
      <c r="S118" s="11" t="s">
        <v>66</v>
      </c>
      <c r="T118" s="11" t="s">
        <v>450</v>
      </c>
      <c r="U118" s="10" t="n">
        <f aca="false">IF(AND($D118="",$E118="",$F118=""),1,0)</f>
        <v>0</v>
      </c>
      <c r="V118" s="10" t="n">
        <f aca="false">IF(OR($I118="",$I118="—"),1,0)</f>
        <v>0</v>
      </c>
      <c r="W118" s="10" t="n">
        <f aca="false">IF(AND(ISNUMBER($D118),ISNUMBER($E118)),IF($E118&gt;$D118,1,0),0)+IF(AND(ISNUMBER($D118),ISNUMBER($F118)),IF($D118&gt;$F118,1,0),0)+IF(AND(ISNUMBER($E118),ISNUMBER($F118)),IF($E118&gt;$F118,1,0),0)</f>
        <v>0</v>
      </c>
      <c r="X118" s="13" t="s">
        <v>68</v>
      </c>
    </row>
    <row r="119" customFormat="false" ht="15" hidden="false" customHeight="false" outlineLevel="0" collapsed="false">
      <c r="A119" s="10" t="s">
        <v>451</v>
      </c>
      <c r="B119" s="10" t="s">
        <v>452</v>
      </c>
      <c r="C119" s="11" t="s">
        <v>449</v>
      </c>
      <c r="D119" s="12" t="n">
        <v>0.4749</v>
      </c>
      <c r="E119" s="12"/>
      <c r="F119" s="12"/>
      <c r="G119" s="10" t="s">
        <v>55</v>
      </c>
      <c r="H119" s="10" t="s">
        <v>75</v>
      </c>
      <c r="I119" s="11" t="s">
        <v>439</v>
      </c>
      <c r="J119" s="10" t="s">
        <v>440</v>
      </c>
      <c r="K119" s="10" t="s">
        <v>441</v>
      </c>
      <c r="L119" s="10" t="s">
        <v>60</v>
      </c>
      <c r="M119" s="10" t="s">
        <v>61</v>
      </c>
      <c r="N119" s="10"/>
      <c r="O119" s="11" t="s">
        <v>442</v>
      </c>
      <c r="P119" s="10" t="s">
        <v>63</v>
      </c>
      <c r="Q119" s="11" t="s">
        <v>64</v>
      </c>
      <c r="R119" s="11" t="s">
        <v>65</v>
      </c>
      <c r="S119" s="11" t="s">
        <v>66</v>
      </c>
      <c r="T119" s="11" t="s">
        <v>453</v>
      </c>
      <c r="U119" s="10" t="n">
        <f aca="false">IF(AND($D119="",$E119="",$F119=""),1,0)</f>
        <v>0</v>
      </c>
      <c r="V119" s="10" t="n">
        <f aca="false">IF(OR($I119="",$I119="—"),1,0)</f>
        <v>0</v>
      </c>
      <c r="W119" s="10" t="n">
        <f aca="false">IF(AND(ISNUMBER($D119),ISNUMBER($E119)),IF($E119&gt;$D119,1,0),0)+IF(AND(ISNUMBER($D119),ISNUMBER($F119)),IF($D119&gt;$F119,1,0),0)+IF(AND(ISNUMBER($E119),ISNUMBER($F119)),IF($E119&gt;$F119,1,0),0)</f>
        <v>0</v>
      </c>
      <c r="X119" s="13" t="s">
        <v>68</v>
      </c>
    </row>
    <row r="120" customFormat="false" ht="15" hidden="false" customHeight="false" outlineLevel="0" collapsed="false">
      <c r="A120" s="10" t="s">
        <v>454</v>
      </c>
      <c r="B120" s="10" t="s">
        <v>455</v>
      </c>
      <c r="C120" s="11" t="s">
        <v>456</v>
      </c>
      <c r="D120" s="12" t="n">
        <v>3.6572</v>
      </c>
      <c r="E120" s="12"/>
      <c r="F120" s="12"/>
      <c r="G120" s="10" t="s">
        <v>55</v>
      </c>
      <c r="H120" s="10" t="s">
        <v>438</v>
      </c>
      <c r="I120" s="11" t="s">
        <v>439</v>
      </c>
      <c r="J120" s="10" t="s">
        <v>440</v>
      </c>
      <c r="K120" s="10" t="s">
        <v>441</v>
      </c>
      <c r="L120" s="10" t="s">
        <v>60</v>
      </c>
      <c r="M120" s="10" t="s">
        <v>61</v>
      </c>
      <c r="N120" s="10"/>
      <c r="O120" s="11" t="s">
        <v>442</v>
      </c>
      <c r="P120" s="10" t="s">
        <v>63</v>
      </c>
      <c r="Q120" s="11" t="s">
        <v>64</v>
      </c>
      <c r="R120" s="11" t="s">
        <v>65</v>
      </c>
      <c r="S120" s="11" t="s">
        <v>66</v>
      </c>
      <c r="T120" s="11" t="s">
        <v>457</v>
      </c>
      <c r="U120" s="10" t="n">
        <f aca="false">IF(AND($D120="",$E120="",$F120=""),1,0)</f>
        <v>0</v>
      </c>
      <c r="V120" s="10" t="n">
        <f aca="false">IF(OR($I120="",$I120="—"),1,0)</f>
        <v>0</v>
      </c>
      <c r="W120" s="10" t="n">
        <f aca="false">IF(AND(ISNUMBER($D120),ISNUMBER($E120)),IF($E120&gt;$D120,1,0),0)+IF(AND(ISNUMBER($D120),ISNUMBER($F120)),IF($D120&gt;$F120,1,0),0)+IF(AND(ISNUMBER($E120),ISNUMBER($F120)),IF($E120&gt;$F120,1,0),0)</f>
        <v>0</v>
      </c>
      <c r="X120" s="13" t="s">
        <v>68</v>
      </c>
    </row>
    <row r="121" customFormat="false" ht="15" hidden="false" customHeight="false" outlineLevel="0" collapsed="false">
      <c r="A121" s="10" t="s">
        <v>458</v>
      </c>
      <c r="B121" s="10" t="s">
        <v>459</v>
      </c>
      <c r="C121" s="11" t="s">
        <v>456</v>
      </c>
      <c r="D121" s="12" t="n">
        <v>2.145</v>
      </c>
      <c r="E121" s="12"/>
      <c r="F121" s="12"/>
      <c r="G121" s="10" t="s">
        <v>55</v>
      </c>
      <c r="H121" s="10" t="s">
        <v>75</v>
      </c>
      <c r="I121" s="11" t="s">
        <v>439</v>
      </c>
      <c r="J121" s="10" t="s">
        <v>440</v>
      </c>
      <c r="K121" s="10" t="s">
        <v>441</v>
      </c>
      <c r="L121" s="10" t="s">
        <v>60</v>
      </c>
      <c r="M121" s="10" t="s">
        <v>61</v>
      </c>
      <c r="N121" s="10"/>
      <c r="O121" s="11" t="s">
        <v>442</v>
      </c>
      <c r="P121" s="10" t="s">
        <v>63</v>
      </c>
      <c r="Q121" s="11" t="s">
        <v>64</v>
      </c>
      <c r="R121" s="11" t="s">
        <v>65</v>
      </c>
      <c r="S121" s="11" t="s">
        <v>66</v>
      </c>
      <c r="T121" s="11" t="s">
        <v>460</v>
      </c>
      <c r="U121" s="10" t="n">
        <f aca="false">IF(AND($D121="",$E121="",$F121=""),1,0)</f>
        <v>0</v>
      </c>
      <c r="V121" s="10" t="n">
        <f aca="false">IF(OR($I121="",$I121="—"),1,0)</f>
        <v>0</v>
      </c>
      <c r="W121" s="10" t="n">
        <f aca="false">IF(AND(ISNUMBER($D121),ISNUMBER($E121)),IF($E121&gt;$D121,1,0),0)+IF(AND(ISNUMBER($D121),ISNUMBER($F121)),IF($D121&gt;$F121,1,0),0)+IF(AND(ISNUMBER($E121),ISNUMBER($F121)),IF($E121&gt;$F121,1,0),0)</f>
        <v>0</v>
      </c>
      <c r="X121" s="13" t="s">
        <v>68</v>
      </c>
    </row>
    <row r="122" customFormat="false" ht="15" hidden="false" customHeight="false" outlineLevel="0" collapsed="false">
      <c r="A122" s="10" t="s">
        <v>461</v>
      </c>
      <c r="B122" s="10" t="s">
        <v>462</v>
      </c>
      <c r="C122" s="11" t="s">
        <v>463</v>
      </c>
      <c r="D122" s="12" t="n">
        <v>0.0254</v>
      </c>
      <c r="E122" s="12"/>
      <c r="F122" s="12"/>
      <c r="G122" s="10" t="s">
        <v>55</v>
      </c>
      <c r="H122" s="10" t="s">
        <v>438</v>
      </c>
      <c r="I122" s="11" t="s">
        <v>439</v>
      </c>
      <c r="J122" s="10" t="s">
        <v>440</v>
      </c>
      <c r="K122" s="10" t="s">
        <v>441</v>
      </c>
      <c r="L122" s="10" t="s">
        <v>60</v>
      </c>
      <c r="M122" s="10" t="s">
        <v>61</v>
      </c>
      <c r="N122" s="10"/>
      <c r="O122" s="11" t="s">
        <v>442</v>
      </c>
      <c r="P122" s="10" t="s">
        <v>63</v>
      </c>
      <c r="Q122" s="11" t="s">
        <v>64</v>
      </c>
      <c r="R122" s="11" t="s">
        <v>65</v>
      </c>
      <c r="S122" s="11" t="s">
        <v>66</v>
      </c>
      <c r="T122" s="11" t="s">
        <v>464</v>
      </c>
      <c r="U122" s="10" t="n">
        <f aca="false">IF(AND($D122="",$E122="",$F122=""),1,0)</f>
        <v>0</v>
      </c>
      <c r="V122" s="10" t="n">
        <f aca="false">IF(OR($I122="",$I122="—"),1,0)</f>
        <v>0</v>
      </c>
      <c r="W122" s="10" t="n">
        <f aca="false">IF(AND(ISNUMBER($D122),ISNUMBER($E122)),IF($E122&gt;$D122,1,0),0)+IF(AND(ISNUMBER($D122),ISNUMBER($F122)),IF($D122&gt;$F122,1,0),0)+IF(AND(ISNUMBER($E122),ISNUMBER($F122)),IF($E122&gt;$F122,1,0),0)</f>
        <v>0</v>
      </c>
      <c r="X122" s="13" t="s">
        <v>68</v>
      </c>
    </row>
    <row r="123" customFormat="false" ht="15" hidden="false" customHeight="false" outlineLevel="0" collapsed="false">
      <c r="A123" s="10" t="s">
        <v>465</v>
      </c>
      <c r="B123" s="10" t="s">
        <v>466</v>
      </c>
      <c r="C123" s="11" t="s">
        <v>463</v>
      </c>
      <c r="D123" s="12" t="n">
        <v>0.0194</v>
      </c>
      <c r="E123" s="12"/>
      <c r="F123" s="12"/>
      <c r="G123" s="10" t="s">
        <v>55</v>
      </c>
      <c r="H123" s="10" t="s">
        <v>75</v>
      </c>
      <c r="I123" s="11" t="s">
        <v>439</v>
      </c>
      <c r="J123" s="10" t="s">
        <v>440</v>
      </c>
      <c r="K123" s="10" t="s">
        <v>441</v>
      </c>
      <c r="L123" s="10" t="s">
        <v>60</v>
      </c>
      <c r="M123" s="10" t="s">
        <v>61</v>
      </c>
      <c r="N123" s="10"/>
      <c r="O123" s="11" t="s">
        <v>442</v>
      </c>
      <c r="P123" s="10" t="s">
        <v>63</v>
      </c>
      <c r="Q123" s="11" t="s">
        <v>64</v>
      </c>
      <c r="R123" s="11" t="s">
        <v>65</v>
      </c>
      <c r="S123" s="11" t="s">
        <v>66</v>
      </c>
      <c r="T123" s="11" t="s">
        <v>467</v>
      </c>
      <c r="U123" s="10" t="n">
        <f aca="false">IF(AND($D123="",$E123="",$F123=""),1,0)</f>
        <v>0</v>
      </c>
      <c r="V123" s="10" t="n">
        <f aca="false">IF(OR($I123="",$I123="—"),1,0)</f>
        <v>0</v>
      </c>
      <c r="W123" s="10" t="n">
        <f aca="false">IF(AND(ISNUMBER($D123),ISNUMBER($E123)),IF($E123&gt;$D123,1,0),0)+IF(AND(ISNUMBER($D123),ISNUMBER($F123)),IF($D123&gt;$F123,1,0),0)+IF(AND(ISNUMBER($E123),ISNUMBER($F123)),IF($E123&gt;$F123,1,0),0)</f>
        <v>0</v>
      </c>
      <c r="X123" s="13" t="s">
        <v>68</v>
      </c>
    </row>
    <row r="124" customFormat="false" ht="15" hidden="false" customHeight="false" outlineLevel="0" collapsed="false">
      <c r="A124" s="10" t="s">
        <v>468</v>
      </c>
      <c r="B124" s="10" t="s">
        <v>469</v>
      </c>
      <c r="C124" s="11" t="s">
        <v>54</v>
      </c>
      <c r="D124" s="12" t="n">
        <v>7.2433</v>
      </c>
      <c r="E124" s="12"/>
      <c r="F124" s="12"/>
      <c r="G124" s="10" t="s">
        <v>55</v>
      </c>
      <c r="H124" s="10" t="s">
        <v>438</v>
      </c>
      <c r="I124" s="11" t="s">
        <v>439</v>
      </c>
      <c r="J124" s="10" t="s">
        <v>440</v>
      </c>
      <c r="K124" s="10" t="s">
        <v>441</v>
      </c>
      <c r="L124" s="10" t="s">
        <v>60</v>
      </c>
      <c r="M124" s="10" t="s">
        <v>61</v>
      </c>
      <c r="N124" s="10"/>
      <c r="O124" s="11" t="s">
        <v>442</v>
      </c>
      <c r="P124" s="10" t="s">
        <v>63</v>
      </c>
      <c r="Q124" s="11" t="s">
        <v>64</v>
      </c>
      <c r="R124" s="11" t="s">
        <v>65</v>
      </c>
      <c r="S124" s="11" t="s">
        <v>66</v>
      </c>
      <c r="T124" s="11" t="s">
        <v>470</v>
      </c>
      <c r="U124" s="10" t="n">
        <f aca="false">IF(AND($D124="",$E124="",$F124=""),1,0)</f>
        <v>0</v>
      </c>
      <c r="V124" s="10" t="n">
        <f aca="false">IF(OR($I124="",$I124="—"),1,0)</f>
        <v>0</v>
      </c>
      <c r="W124" s="10" t="n">
        <f aca="false">IF(AND(ISNUMBER($D124),ISNUMBER($E124)),IF($E124&gt;$D124,1,0),0)+IF(AND(ISNUMBER($D124),ISNUMBER($F124)),IF($D124&gt;$F124,1,0),0)+IF(AND(ISNUMBER($E124),ISNUMBER($F124)),IF($E124&gt;$F124,1,0),0)</f>
        <v>0</v>
      </c>
      <c r="X124" s="13" t="s">
        <v>68</v>
      </c>
    </row>
    <row r="125" customFormat="false" ht="15" hidden="false" customHeight="false" outlineLevel="0" collapsed="false">
      <c r="A125" s="10" t="s">
        <v>471</v>
      </c>
      <c r="B125" s="10" t="s">
        <v>472</v>
      </c>
      <c r="C125" s="11" t="s">
        <v>473</v>
      </c>
      <c r="D125" s="12" t="n">
        <v>5.3396</v>
      </c>
      <c r="E125" s="12"/>
      <c r="F125" s="12"/>
      <c r="G125" s="10" t="s">
        <v>55</v>
      </c>
      <c r="H125" s="10" t="s">
        <v>438</v>
      </c>
      <c r="I125" s="11" t="s">
        <v>439</v>
      </c>
      <c r="J125" s="10" t="s">
        <v>440</v>
      </c>
      <c r="K125" s="10" t="s">
        <v>441</v>
      </c>
      <c r="L125" s="10" t="s">
        <v>60</v>
      </c>
      <c r="M125" s="10" t="s">
        <v>61</v>
      </c>
      <c r="N125" s="10"/>
      <c r="O125" s="11" t="s">
        <v>442</v>
      </c>
      <c r="P125" s="10" t="s">
        <v>63</v>
      </c>
      <c r="Q125" s="11" t="s">
        <v>64</v>
      </c>
      <c r="R125" s="11" t="s">
        <v>65</v>
      </c>
      <c r="S125" s="11" t="s">
        <v>66</v>
      </c>
      <c r="T125" s="11" t="s">
        <v>474</v>
      </c>
      <c r="U125" s="10" t="n">
        <f aca="false">IF(AND($D125="",$E125="",$F125=""),1,0)</f>
        <v>0</v>
      </c>
      <c r="V125" s="10" t="n">
        <f aca="false">IF(OR($I125="",$I125="—"),1,0)</f>
        <v>0</v>
      </c>
      <c r="W125" s="10" t="n">
        <f aca="false">IF(AND(ISNUMBER($D125),ISNUMBER($E125)),IF($E125&gt;$D125,1,0),0)+IF(AND(ISNUMBER($D125),ISNUMBER($F125)),IF($D125&gt;$F125,1,0),0)+IF(AND(ISNUMBER($E125),ISNUMBER($F125)),IF($E125&gt;$F125,1,0),0)</f>
        <v>0</v>
      </c>
      <c r="X125" s="13" t="s">
        <v>68</v>
      </c>
    </row>
    <row r="126" customFormat="false" ht="15" hidden="false" customHeight="false" outlineLevel="0" collapsed="false">
      <c r="A126" s="10" t="s">
        <v>475</v>
      </c>
      <c r="B126" s="10" t="s">
        <v>476</v>
      </c>
      <c r="C126" s="11" t="s">
        <v>477</v>
      </c>
      <c r="D126" s="12" t="n">
        <v>1.9038</v>
      </c>
      <c r="E126" s="12"/>
      <c r="F126" s="12"/>
      <c r="G126" s="10" t="s">
        <v>55</v>
      </c>
      <c r="H126" s="10" t="s">
        <v>438</v>
      </c>
      <c r="I126" s="11" t="s">
        <v>439</v>
      </c>
      <c r="J126" s="10" t="s">
        <v>440</v>
      </c>
      <c r="K126" s="10" t="s">
        <v>441</v>
      </c>
      <c r="L126" s="10" t="s">
        <v>60</v>
      </c>
      <c r="M126" s="10" t="s">
        <v>61</v>
      </c>
      <c r="N126" s="10"/>
      <c r="O126" s="11" t="s">
        <v>442</v>
      </c>
      <c r="P126" s="10" t="s">
        <v>63</v>
      </c>
      <c r="Q126" s="11" t="s">
        <v>64</v>
      </c>
      <c r="R126" s="11" t="s">
        <v>65</v>
      </c>
      <c r="S126" s="11" t="s">
        <v>66</v>
      </c>
      <c r="T126" s="11" t="s">
        <v>478</v>
      </c>
      <c r="U126" s="10" t="n">
        <f aca="false">IF(AND($D126="",$E126="",$F126=""),1,0)</f>
        <v>0</v>
      </c>
      <c r="V126" s="10" t="n">
        <f aca="false">IF(OR($I126="",$I126="—"),1,0)</f>
        <v>0</v>
      </c>
      <c r="W126" s="10" t="n">
        <f aca="false">IF(AND(ISNUMBER($D126),ISNUMBER($E126)),IF($E126&gt;$D126,1,0),0)+IF(AND(ISNUMBER($D126),ISNUMBER($F126)),IF($D126&gt;$F126,1,0),0)+IF(AND(ISNUMBER($E126),ISNUMBER($F126)),IF($E126&gt;$F126,1,0),0)</f>
        <v>0</v>
      </c>
      <c r="X126" s="13" t="s">
        <v>68</v>
      </c>
    </row>
    <row r="127" customFormat="false" ht="15" hidden="false" customHeight="false" outlineLevel="0" collapsed="false">
      <c r="A127" s="10" t="s">
        <v>479</v>
      </c>
      <c r="B127" s="10" t="s">
        <v>480</v>
      </c>
      <c r="C127" s="11" t="s">
        <v>481</v>
      </c>
      <c r="D127" s="12" t="n">
        <v>4.2768</v>
      </c>
      <c r="E127" s="12"/>
      <c r="F127" s="12"/>
      <c r="G127" s="10" t="s">
        <v>55</v>
      </c>
      <c r="H127" s="10" t="s">
        <v>438</v>
      </c>
      <c r="I127" s="11" t="s">
        <v>439</v>
      </c>
      <c r="J127" s="10" t="s">
        <v>440</v>
      </c>
      <c r="K127" s="10" t="s">
        <v>441</v>
      </c>
      <c r="L127" s="10" t="s">
        <v>60</v>
      </c>
      <c r="M127" s="10" t="s">
        <v>61</v>
      </c>
      <c r="N127" s="10"/>
      <c r="O127" s="11" t="s">
        <v>442</v>
      </c>
      <c r="P127" s="10" t="s">
        <v>63</v>
      </c>
      <c r="Q127" s="11" t="s">
        <v>64</v>
      </c>
      <c r="R127" s="11" t="s">
        <v>65</v>
      </c>
      <c r="S127" s="11" t="s">
        <v>66</v>
      </c>
      <c r="T127" s="11" t="s">
        <v>482</v>
      </c>
      <c r="U127" s="10" t="n">
        <f aca="false">IF(AND($D127="",$E127="",$F127=""),1,0)</f>
        <v>0</v>
      </c>
      <c r="V127" s="10" t="n">
        <f aca="false">IF(OR($I127="",$I127="—"),1,0)</f>
        <v>0</v>
      </c>
      <c r="W127" s="10" t="n">
        <f aca="false">IF(AND(ISNUMBER($D127),ISNUMBER($E127)),IF($E127&gt;$D127,1,0),0)+IF(AND(ISNUMBER($D127),ISNUMBER($F127)),IF($D127&gt;$F127,1,0),0)+IF(AND(ISNUMBER($E127),ISNUMBER($F127)),IF($E127&gt;$F127,1,0),0)</f>
        <v>0</v>
      </c>
      <c r="X127" s="13" t="s">
        <v>68</v>
      </c>
    </row>
    <row r="128" customFormat="false" ht="15" hidden="false" customHeight="false" outlineLevel="0" collapsed="false">
      <c r="A128" s="10" t="s">
        <v>483</v>
      </c>
      <c r="B128" s="10" t="s">
        <v>484</v>
      </c>
      <c r="C128" s="11" t="s">
        <v>168</v>
      </c>
      <c r="D128" s="12" t="n">
        <v>2.9666</v>
      </c>
      <c r="E128" s="12"/>
      <c r="F128" s="12"/>
      <c r="G128" s="10" t="s">
        <v>55</v>
      </c>
      <c r="H128" s="10" t="s">
        <v>438</v>
      </c>
      <c r="I128" s="11" t="s">
        <v>439</v>
      </c>
      <c r="J128" s="10" t="s">
        <v>440</v>
      </c>
      <c r="K128" s="10" t="s">
        <v>441</v>
      </c>
      <c r="L128" s="10" t="s">
        <v>60</v>
      </c>
      <c r="M128" s="10" t="s">
        <v>61</v>
      </c>
      <c r="N128" s="10"/>
      <c r="O128" s="11" t="s">
        <v>442</v>
      </c>
      <c r="P128" s="10" t="s">
        <v>63</v>
      </c>
      <c r="Q128" s="11" t="s">
        <v>64</v>
      </c>
      <c r="R128" s="11" t="s">
        <v>65</v>
      </c>
      <c r="S128" s="11" t="s">
        <v>66</v>
      </c>
      <c r="T128" s="11" t="s">
        <v>485</v>
      </c>
      <c r="U128" s="10" t="n">
        <f aca="false">IF(AND($D128="",$E128="",$F128=""),1,0)</f>
        <v>0</v>
      </c>
      <c r="V128" s="10" t="n">
        <f aca="false">IF(OR($I128="",$I128="—"),1,0)</f>
        <v>0</v>
      </c>
      <c r="W128" s="10" t="n">
        <f aca="false">IF(AND(ISNUMBER($D128),ISNUMBER($E128)),IF($E128&gt;$D128,1,0),0)+IF(AND(ISNUMBER($D128),ISNUMBER($F128)),IF($D128&gt;$F128,1,0),0)+IF(AND(ISNUMBER($E128),ISNUMBER($F128)),IF($E128&gt;$F128,1,0),0)</f>
        <v>0</v>
      </c>
      <c r="X128" s="13" t="s">
        <v>68</v>
      </c>
    </row>
    <row r="129" customFormat="false" ht="15" hidden="false" customHeight="false" outlineLevel="0" collapsed="false">
      <c r="A129" s="10" t="s">
        <v>486</v>
      </c>
      <c r="B129" s="10" t="s">
        <v>487</v>
      </c>
      <c r="C129" s="11" t="s">
        <v>392</v>
      </c>
      <c r="D129" s="12" t="n">
        <v>41</v>
      </c>
      <c r="E129" s="12"/>
      <c r="F129" s="12"/>
      <c r="G129" s="10" t="s">
        <v>393</v>
      </c>
      <c r="H129" s="10" t="s">
        <v>438</v>
      </c>
      <c r="I129" s="11" t="s">
        <v>439</v>
      </c>
      <c r="J129" s="10" t="s">
        <v>440</v>
      </c>
      <c r="K129" s="10" t="s">
        <v>441</v>
      </c>
      <c r="L129" s="10" t="s">
        <v>60</v>
      </c>
      <c r="M129" s="10" t="s">
        <v>61</v>
      </c>
      <c r="N129" s="10"/>
      <c r="O129" s="11" t="s">
        <v>442</v>
      </c>
      <c r="P129" s="10" t="s">
        <v>63</v>
      </c>
      <c r="Q129" s="11" t="s">
        <v>64</v>
      </c>
      <c r="R129" s="11" t="s">
        <v>65</v>
      </c>
      <c r="S129" s="11" t="s">
        <v>66</v>
      </c>
      <c r="T129" s="11" t="s">
        <v>488</v>
      </c>
      <c r="U129" s="10" t="n">
        <f aca="false">IF(AND($D129="",$E129="",$F129=""),1,0)</f>
        <v>0</v>
      </c>
      <c r="V129" s="10" t="n">
        <f aca="false">IF(OR($I129="",$I129="—"),1,0)</f>
        <v>0</v>
      </c>
      <c r="W129" s="10" t="n">
        <f aca="false">IF(AND(ISNUMBER($D129),ISNUMBER($E129)),IF($E129&gt;$D129,1,0),0)+IF(AND(ISNUMBER($D129),ISNUMBER($F129)),IF($D129&gt;$F129,1,0),0)+IF(AND(ISNUMBER($E129),ISNUMBER($F129)),IF($E129&gt;$F129,1,0),0)</f>
        <v>0</v>
      </c>
      <c r="X129" s="13" t="s">
        <v>68</v>
      </c>
    </row>
    <row r="130" customFormat="false" ht="15" hidden="false" customHeight="false" outlineLevel="0" collapsed="false">
      <c r="A130" s="10" t="s">
        <v>489</v>
      </c>
      <c r="B130" s="10" t="s">
        <v>490</v>
      </c>
      <c r="C130" s="11" t="s">
        <v>491</v>
      </c>
      <c r="D130" s="12" t="n">
        <v>2.6066</v>
      </c>
      <c r="E130" s="12"/>
      <c r="F130" s="12"/>
      <c r="G130" s="10" t="s">
        <v>55</v>
      </c>
      <c r="H130" s="10" t="s">
        <v>438</v>
      </c>
      <c r="I130" s="11" t="s">
        <v>439</v>
      </c>
      <c r="J130" s="10" t="s">
        <v>440</v>
      </c>
      <c r="K130" s="10" t="s">
        <v>441</v>
      </c>
      <c r="L130" s="10" t="s">
        <v>60</v>
      </c>
      <c r="M130" s="10" t="s">
        <v>61</v>
      </c>
      <c r="N130" s="10"/>
      <c r="O130" s="11" t="s">
        <v>442</v>
      </c>
      <c r="P130" s="10" t="s">
        <v>63</v>
      </c>
      <c r="Q130" s="11" t="s">
        <v>64</v>
      </c>
      <c r="R130" s="11" t="s">
        <v>65</v>
      </c>
      <c r="S130" s="11" t="s">
        <v>66</v>
      </c>
      <c r="T130" s="11" t="s">
        <v>492</v>
      </c>
      <c r="U130" s="10" t="n">
        <f aca="false">IF(AND($D130="",$E130="",$F130=""),1,0)</f>
        <v>0</v>
      </c>
      <c r="V130" s="10" t="n">
        <f aca="false">IF(OR($I130="",$I130="—"),1,0)</f>
        <v>0</v>
      </c>
      <c r="W130" s="10" t="n">
        <f aca="false">IF(AND(ISNUMBER($D130),ISNUMBER($E130)),IF($E130&gt;$D130,1,0),0)+IF(AND(ISNUMBER($D130),ISNUMBER($F130)),IF($D130&gt;$F130,1,0),0)+IF(AND(ISNUMBER($E130),ISNUMBER($F130)),IF($E130&gt;$F130,1,0),0)</f>
        <v>0</v>
      </c>
      <c r="X130" s="13" t="s">
        <v>68</v>
      </c>
    </row>
    <row r="131" customFormat="false" ht="15" hidden="false" customHeight="false" outlineLevel="0" collapsed="false">
      <c r="A131" s="10" t="s">
        <v>493</v>
      </c>
      <c r="B131" s="10" t="s">
        <v>494</v>
      </c>
      <c r="C131" s="11" t="s">
        <v>491</v>
      </c>
      <c r="D131" s="12" t="n">
        <v>1.7426</v>
      </c>
      <c r="E131" s="12"/>
      <c r="F131" s="12"/>
      <c r="G131" s="10" t="s">
        <v>55</v>
      </c>
      <c r="H131" s="10" t="s">
        <v>75</v>
      </c>
      <c r="I131" s="11" t="s">
        <v>439</v>
      </c>
      <c r="J131" s="10" t="s">
        <v>440</v>
      </c>
      <c r="K131" s="10" t="s">
        <v>441</v>
      </c>
      <c r="L131" s="10" t="s">
        <v>60</v>
      </c>
      <c r="M131" s="10" t="s">
        <v>61</v>
      </c>
      <c r="N131" s="10"/>
      <c r="O131" s="11" t="s">
        <v>442</v>
      </c>
      <c r="P131" s="10" t="s">
        <v>63</v>
      </c>
      <c r="Q131" s="11" t="s">
        <v>64</v>
      </c>
      <c r="R131" s="11" t="s">
        <v>65</v>
      </c>
      <c r="S131" s="11" t="s">
        <v>66</v>
      </c>
      <c r="T131" s="11" t="s">
        <v>495</v>
      </c>
      <c r="U131" s="10" t="n">
        <f aca="false">IF(AND($D131="",$E131="",$F131=""),1,0)</f>
        <v>0</v>
      </c>
      <c r="V131" s="10" t="n">
        <f aca="false">IF(OR($I131="",$I131="—"),1,0)</f>
        <v>0</v>
      </c>
      <c r="W131" s="10" t="n">
        <f aca="false">IF(AND(ISNUMBER($D131),ISNUMBER($E131)),IF($E131&gt;$D131,1,0),0)+IF(AND(ISNUMBER($D131),ISNUMBER($F131)),IF($D131&gt;$F131,1,0),0)+IF(AND(ISNUMBER($E131),ISNUMBER($F131)),IF($E131&gt;$F131,1,0),0)</f>
        <v>0</v>
      </c>
      <c r="X131" s="13" t="s">
        <v>68</v>
      </c>
    </row>
    <row r="132" customFormat="false" ht="15" hidden="false" customHeight="false" outlineLevel="0" collapsed="false">
      <c r="A132" s="10" t="s">
        <v>496</v>
      </c>
      <c r="B132" s="10" t="s">
        <v>497</v>
      </c>
      <c r="C132" s="11" t="s">
        <v>498</v>
      </c>
      <c r="D132" s="12" t="n">
        <v>0.36</v>
      </c>
      <c r="E132" s="12"/>
      <c r="F132" s="12"/>
      <c r="G132" s="10" t="s">
        <v>55</v>
      </c>
      <c r="H132" s="10" t="s">
        <v>438</v>
      </c>
      <c r="I132" s="11" t="s">
        <v>439</v>
      </c>
      <c r="J132" s="10" t="s">
        <v>440</v>
      </c>
      <c r="K132" s="10" t="s">
        <v>441</v>
      </c>
      <c r="L132" s="10" t="s">
        <v>60</v>
      </c>
      <c r="M132" s="10" t="s">
        <v>61</v>
      </c>
      <c r="N132" s="10"/>
      <c r="O132" s="11" t="s">
        <v>442</v>
      </c>
      <c r="P132" s="10" t="s">
        <v>63</v>
      </c>
      <c r="Q132" s="11" t="s">
        <v>64</v>
      </c>
      <c r="R132" s="11" t="s">
        <v>65</v>
      </c>
      <c r="S132" s="11" t="s">
        <v>66</v>
      </c>
      <c r="T132" s="11" t="s">
        <v>499</v>
      </c>
      <c r="U132" s="10" t="n">
        <f aca="false">IF(AND($D132="",$E132="",$F132=""),1,0)</f>
        <v>0</v>
      </c>
      <c r="V132" s="10" t="n">
        <f aca="false">IF(OR($I132="",$I132="—"),1,0)</f>
        <v>0</v>
      </c>
      <c r="W132" s="10" t="n">
        <f aca="false">IF(AND(ISNUMBER($D132),ISNUMBER($E132)),IF($E132&gt;$D132,1,0),0)+IF(AND(ISNUMBER($D132),ISNUMBER($F132)),IF($D132&gt;$F132,1,0),0)+IF(AND(ISNUMBER($E132),ISNUMBER($F132)),IF($E132&gt;$F132,1,0),0)</f>
        <v>0</v>
      </c>
      <c r="X132" s="13" t="s">
        <v>68</v>
      </c>
    </row>
    <row r="133" customFormat="false" ht="15" hidden="false" customHeight="false" outlineLevel="0" collapsed="false">
      <c r="A133" s="10" t="s">
        <v>500</v>
      </c>
      <c r="B133" s="10" t="s">
        <v>501</v>
      </c>
      <c r="C133" s="11" t="s">
        <v>498</v>
      </c>
      <c r="D133" s="12" t="n">
        <v>0.0163</v>
      </c>
      <c r="E133" s="12"/>
      <c r="F133" s="12"/>
      <c r="G133" s="10" t="s">
        <v>55</v>
      </c>
      <c r="H133" s="10" t="s">
        <v>75</v>
      </c>
      <c r="I133" s="11" t="s">
        <v>439</v>
      </c>
      <c r="J133" s="10" t="s">
        <v>440</v>
      </c>
      <c r="K133" s="10" t="s">
        <v>441</v>
      </c>
      <c r="L133" s="10" t="s">
        <v>60</v>
      </c>
      <c r="M133" s="10" t="s">
        <v>61</v>
      </c>
      <c r="N133" s="10"/>
      <c r="O133" s="11" t="s">
        <v>442</v>
      </c>
      <c r="P133" s="10" t="s">
        <v>63</v>
      </c>
      <c r="Q133" s="11" t="s">
        <v>64</v>
      </c>
      <c r="R133" s="11" t="s">
        <v>65</v>
      </c>
      <c r="S133" s="11" t="s">
        <v>66</v>
      </c>
      <c r="T133" s="11" t="s">
        <v>502</v>
      </c>
      <c r="U133" s="10" t="n">
        <f aca="false">IF(AND($D133="",$E133="",$F133=""),1,0)</f>
        <v>0</v>
      </c>
      <c r="V133" s="10" t="n">
        <f aca="false">IF(OR($I133="",$I133="—"),1,0)</f>
        <v>0</v>
      </c>
      <c r="W133" s="10" t="n">
        <f aca="false">IF(AND(ISNUMBER($D133),ISNUMBER($E133)),IF($E133&gt;$D133,1,0),0)+IF(AND(ISNUMBER($D133),ISNUMBER($F133)),IF($D133&gt;$F133,1,0),0)+IF(AND(ISNUMBER($E133),ISNUMBER($F133)),IF($E133&gt;$F133,1,0),0)</f>
        <v>0</v>
      </c>
      <c r="X133" s="13" t="s">
        <v>68</v>
      </c>
    </row>
    <row r="134" customFormat="false" ht="15" hidden="false" customHeight="false" outlineLevel="0" collapsed="false">
      <c r="A134" s="10" t="s">
        <v>503</v>
      </c>
      <c r="B134" s="10" t="s">
        <v>504</v>
      </c>
      <c r="C134" s="11" t="s">
        <v>505</v>
      </c>
      <c r="D134" s="12" t="n">
        <v>0.36</v>
      </c>
      <c r="E134" s="12"/>
      <c r="F134" s="12"/>
      <c r="G134" s="10" t="s">
        <v>55</v>
      </c>
      <c r="H134" s="10" t="s">
        <v>438</v>
      </c>
      <c r="I134" s="11" t="s">
        <v>439</v>
      </c>
      <c r="J134" s="10" t="s">
        <v>440</v>
      </c>
      <c r="K134" s="10" t="s">
        <v>441</v>
      </c>
      <c r="L134" s="10" t="s">
        <v>60</v>
      </c>
      <c r="M134" s="10" t="s">
        <v>61</v>
      </c>
      <c r="N134" s="10"/>
      <c r="O134" s="11" t="s">
        <v>442</v>
      </c>
      <c r="P134" s="10" t="s">
        <v>63</v>
      </c>
      <c r="Q134" s="11" t="s">
        <v>64</v>
      </c>
      <c r="R134" s="11" t="s">
        <v>65</v>
      </c>
      <c r="S134" s="11" t="s">
        <v>66</v>
      </c>
      <c r="T134" s="11" t="s">
        <v>506</v>
      </c>
      <c r="U134" s="10" t="n">
        <f aca="false">IF(AND($D134="",$E134="",$F134=""),1,0)</f>
        <v>0</v>
      </c>
      <c r="V134" s="10" t="n">
        <f aca="false">IF(OR($I134="",$I134="—"),1,0)</f>
        <v>0</v>
      </c>
      <c r="W134" s="10" t="n">
        <f aca="false">IF(AND(ISNUMBER($D134),ISNUMBER($E134)),IF($E134&gt;$D134,1,0),0)+IF(AND(ISNUMBER($D134),ISNUMBER($F134)),IF($D134&gt;$F134,1,0),0)+IF(AND(ISNUMBER($E134),ISNUMBER($F134)),IF($E134&gt;$F134,1,0),0)</f>
        <v>0</v>
      </c>
      <c r="X134" s="13" t="s">
        <v>68</v>
      </c>
    </row>
    <row r="135" customFormat="false" ht="15" hidden="false" customHeight="false" outlineLevel="0" collapsed="false">
      <c r="A135" s="10" t="s">
        <v>507</v>
      </c>
      <c r="B135" s="10" t="s">
        <v>508</v>
      </c>
      <c r="C135" s="11" t="s">
        <v>505</v>
      </c>
      <c r="D135" s="12" t="n">
        <v>0.016</v>
      </c>
      <c r="E135" s="12"/>
      <c r="F135" s="12"/>
      <c r="G135" s="10" t="s">
        <v>55</v>
      </c>
      <c r="H135" s="10" t="s">
        <v>75</v>
      </c>
      <c r="I135" s="11" t="s">
        <v>439</v>
      </c>
      <c r="J135" s="10" t="s">
        <v>440</v>
      </c>
      <c r="K135" s="10" t="s">
        <v>441</v>
      </c>
      <c r="L135" s="10" t="s">
        <v>60</v>
      </c>
      <c r="M135" s="10" t="s">
        <v>61</v>
      </c>
      <c r="N135" s="10"/>
      <c r="O135" s="11" t="s">
        <v>442</v>
      </c>
      <c r="P135" s="10" t="s">
        <v>63</v>
      </c>
      <c r="Q135" s="11" t="s">
        <v>64</v>
      </c>
      <c r="R135" s="11" t="s">
        <v>65</v>
      </c>
      <c r="S135" s="11" t="s">
        <v>66</v>
      </c>
      <c r="T135" s="11" t="s">
        <v>509</v>
      </c>
      <c r="U135" s="10" t="n">
        <f aca="false">IF(AND($D135="",$E135="",$F135=""),1,0)</f>
        <v>0</v>
      </c>
      <c r="V135" s="10" t="n">
        <f aca="false">IF(OR($I135="",$I135="—"),1,0)</f>
        <v>0</v>
      </c>
      <c r="W135" s="10" t="n">
        <f aca="false">IF(AND(ISNUMBER($D135),ISNUMBER($E135)),IF($E135&gt;$D135,1,0),0)+IF(AND(ISNUMBER($D135),ISNUMBER($F135)),IF($D135&gt;$F135,1,0),0)+IF(AND(ISNUMBER($E135),ISNUMBER($F135)),IF($E135&gt;$F135,1,0),0)</f>
        <v>0</v>
      </c>
      <c r="X135" s="13" t="s">
        <v>68</v>
      </c>
    </row>
    <row r="136" customFormat="false" ht="15" hidden="false" customHeight="false" outlineLevel="0" collapsed="false">
      <c r="A136" s="10" t="s">
        <v>510</v>
      </c>
      <c r="B136" s="10" t="s">
        <v>511</v>
      </c>
      <c r="C136" s="11" t="s">
        <v>512</v>
      </c>
      <c r="D136" s="12" t="n">
        <v>0.867</v>
      </c>
      <c r="E136" s="12"/>
      <c r="F136" s="12"/>
      <c r="G136" s="10" t="s">
        <v>55</v>
      </c>
      <c r="H136" s="10" t="s">
        <v>438</v>
      </c>
      <c r="I136" s="11" t="s">
        <v>439</v>
      </c>
      <c r="J136" s="10" t="s">
        <v>440</v>
      </c>
      <c r="K136" s="10" t="s">
        <v>441</v>
      </c>
      <c r="L136" s="10" t="s">
        <v>60</v>
      </c>
      <c r="M136" s="10" t="s">
        <v>61</v>
      </c>
      <c r="N136" s="10"/>
      <c r="O136" s="11" t="s">
        <v>442</v>
      </c>
      <c r="P136" s="10" t="s">
        <v>63</v>
      </c>
      <c r="Q136" s="11" t="s">
        <v>64</v>
      </c>
      <c r="R136" s="11" t="s">
        <v>65</v>
      </c>
      <c r="S136" s="11" t="s">
        <v>66</v>
      </c>
      <c r="T136" s="11" t="s">
        <v>513</v>
      </c>
      <c r="U136" s="10" t="n">
        <f aca="false">IF(AND($D136="",$E136="",$F136=""),1,0)</f>
        <v>0</v>
      </c>
      <c r="V136" s="10" t="n">
        <f aca="false">IF(OR($I136="",$I136="—"),1,0)</f>
        <v>0</v>
      </c>
      <c r="W136" s="10" t="n">
        <f aca="false">IF(AND(ISNUMBER($D136),ISNUMBER($E136)),IF($E136&gt;$D136,1,0),0)+IF(AND(ISNUMBER($D136),ISNUMBER($F136)),IF($D136&gt;$F136,1,0),0)+IF(AND(ISNUMBER($E136),ISNUMBER($F136)),IF($E136&gt;$F136,1,0),0)</f>
        <v>0</v>
      </c>
      <c r="X136" s="13" t="s">
        <v>68</v>
      </c>
    </row>
    <row r="137" customFormat="false" ht="15" hidden="false" customHeight="false" outlineLevel="0" collapsed="false">
      <c r="A137" s="10" t="s">
        <v>514</v>
      </c>
      <c r="B137" s="10" t="s">
        <v>515</v>
      </c>
      <c r="C137" s="11" t="s">
        <v>512</v>
      </c>
      <c r="D137" s="12" t="n">
        <v>0.234</v>
      </c>
      <c r="E137" s="12"/>
      <c r="F137" s="12"/>
      <c r="G137" s="10" t="s">
        <v>55</v>
      </c>
      <c r="H137" s="10" t="s">
        <v>75</v>
      </c>
      <c r="I137" s="11" t="s">
        <v>439</v>
      </c>
      <c r="J137" s="10" t="s">
        <v>440</v>
      </c>
      <c r="K137" s="10" t="s">
        <v>441</v>
      </c>
      <c r="L137" s="10" t="s">
        <v>60</v>
      </c>
      <c r="M137" s="10" t="s">
        <v>61</v>
      </c>
      <c r="N137" s="10"/>
      <c r="O137" s="11" t="s">
        <v>442</v>
      </c>
      <c r="P137" s="10" t="s">
        <v>63</v>
      </c>
      <c r="Q137" s="11" t="s">
        <v>64</v>
      </c>
      <c r="R137" s="11" t="s">
        <v>65</v>
      </c>
      <c r="S137" s="11" t="s">
        <v>66</v>
      </c>
      <c r="T137" s="11" t="s">
        <v>516</v>
      </c>
      <c r="U137" s="10" t="n">
        <f aca="false">IF(AND($D137="",$E137="",$F137=""),1,0)</f>
        <v>0</v>
      </c>
      <c r="V137" s="10" t="n">
        <f aca="false">IF(OR($I137="",$I137="—"),1,0)</f>
        <v>0</v>
      </c>
      <c r="W137" s="10" t="n">
        <f aca="false">IF(AND(ISNUMBER($D137),ISNUMBER($E137)),IF($E137&gt;$D137,1,0),0)+IF(AND(ISNUMBER($D137),ISNUMBER($F137)),IF($D137&gt;$F137,1,0),0)+IF(AND(ISNUMBER($E137),ISNUMBER($F137)),IF($E137&gt;$F137,1,0),0)</f>
        <v>0</v>
      </c>
      <c r="X137" s="13" t="s">
        <v>68</v>
      </c>
    </row>
    <row r="138" customFormat="false" ht="15" hidden="false" customHeight="false" outlineLevel="0" collapsed="false">
      <c r="A138" s="10" t="s">
        <v>517</v>
      </c>
      <c r="B138" s="10" t="s">
        <v>518</v>
      </c>
      <c r="C138" s="11" t="s">
        <v>519</v>
      </c>
      <c r="D138" s="12" t="n">
        <v>1.717</v>
      </c>
      <c r="E138" s="12"/>
      <c r="F138" s="12"/>
      <c r="G138" s="10" t="s">
        <v>55</v>
      </c>
      <c r="H138" s="10" t="s">
        <v>438</v>
      </c>
      <c r="I138" s="11" t="s">
        <v>439</v>
      </c>
      <c r="J138" s="10" t="s">
        <v>440</v>
      </c>
      <c r="K138" s="10" t="s">
        <v>441</v>
      </c>
      <c r="L138" s="10" t="s">
        <v>60</v>
      </c>
      <c r="M138" s="10" t="s">
        <v>61</v>
      </c>
      <c r="N138" s="10"/>
      <c r="O138" s="11" t="s">
        <v>442</v>
      </c>
      <c r="P138" s="10" t="s">
        <v>63</v>
      </c>
      <c r="Q138" s="11" t="s">
        <v>64</v>
      </c>
      <c r="R138" s="11" t="s">
        <v>65</v>
      </c>
      <c r="S138" s="11" t="s">
        <v>66</v>
      </c>
      <c r="T138" s="11" t="s">
        <v>520</v>
      </c>
      <c r="U138" s="10" t="n">
        <f aca="false">IF(AND($D138="",$E138="",$F138=""),1,0)</f>
        <v>0</v>
      </c>
      <c r="V138" s="10" t="n">
        <f aca="false">IF(OR($I138="",$I138="—"),1,0)</f>
        <v>0</v>
      </c>
      <c r="W138" s="10" t="n">
        <f aca="false">IF(AND(ISNUMBER($D138),ISNUMBER($E138)),IF($E138&gt;$D138,1,0),0)+IF(AND(ISNUMBER($D138),ISNUMBER($F138)),IF($D138&gt;$F138,1,0),0)+IF(AND(ISNUMBER($E138),ISNUMBER($F138)),IF($E138&gt;$F138,1,0),0)</f>
        <v>0</v>
      </c>
      <c r="X138" s="13" t="s">
        <v>68</v>
      </c>
    </row>
    <row r="139" customFormat="false" ht="15" hidden="false" customHeight="false" outlineLevel="0" collapsed="false">
      <c r="A139" s="10" t="s">
        <v>521</v>
      </c>
      <c r="B139" s="10" t="s">
        <v>522</v>
      </c>
      <c r="C139" s="11" t="s">
        <v>519</v>
      </c>
      <c r="D139" s="12" t="n">
        <v>1.492</v>
      </c>
      <c r="E139" s="12"/>
      <c r="F139" s="12"/>
      <c r="G139" s="10" t="s">
        <v>55</v>
      </c>
      <c r="H139" s="10" t="s">
        <v>75</v>
      </c>
      <c r="I139" s="11" t="s">
        <v>439</v>
      </c>
      <c r="J139" s="10" t="s">
        <v>440</v>
      </c>
      <c r="K139" s="10" t="s">
        <v>441</v>
      </c>
      <c r="L139" s="10" t="s">
        <v>60</v>
      </c>
      <c r="M139" s="10" t="s">
        <v>61</v>
      </c>
      <c r="N139" s="10"/>
      <c r="O139" s="11" t="s">
        <v>442</v>
      </c>
      <c r="P139" s="10" t="s">
        <v>63</v>
      </c>
      <c r="Q139" s="11" t="s">
        <v>64</v>
      </c>
      <c r="R139" s="11" t="s">
        <v>65</v>
      </c>
      <c r="S139" s="11" t="s">
        <v>66</v>
      </c>
      <c r="T139" s="11" t="s">
        <v>523</v>
      </c>
      <c r="U139" s="10" t="n">
        <f aca="false">IF(AND($D139="",$E139="",$F139=""),1,0)</f>
        <v>0</v>
      </c>
      <c r="V139" s="10" t="n">
        <f aca="false">IF(OR($I139="",$I139="—"),1,0)</f>
        <v>0</v>
      </c>
      <c r="W139" s="10" t="n">
        <f aca="false">IF(AND(ISNUMBER($D139),ISNUMBER($E139)),IF($E139&gt;$D139,1,0),0)+IF(AND(ISNUMBER($D139),ISNUMBER($F139)),IF($D139&gt;$F139,1,0),0)+IF(AND(ISNUMBER($E139),ISNUMBER($F139)),IF($E139&gt;$F139,1,0),0)</f>
        <v>0</v>
      </c>
      <c r="X139" s="13" t="s">
        <v>68</v>
      </c>
    </row>
    <row r="140" customFormat="false" ht="15" hidden="false" customHeight="false" outlineLevel="0" collapsed="false">
      <c r="A140" s="10" t="s">
        <v>524</v>
      </c>
      <c r="B140" s="10" t="s">
        <v>525</v>
      </c>
      <c r="C140" s="11" t="s">
        <v>526</v>
      </c>
      <c r="D140" s="12" t="n">
        <v>0.023</v>
      </c>
      <c r="E140" s="12"/>
      <c r="F140" s="12"/>
      <c r="G140" s="10" t="s">
        <v>55</v>
      </c>
      <c r="H140" s="10" t="s">
        <v>438</v>
      </c>
      <c r="I140" s="11" t="s">
        <v>439</v>
      </c>
      <c r="J140" s="10" t="s">
        <v>440</v>
      </c>
      <c r="K140" s="10" t="s">
        <v>441</v>
      </c>
      <c r="L140" s="10" t="s">
        <v>60</v>
      </c>
      <c r="M140" s="10" t="s">
        <v>61</v>
      </c>
      <c r="N140" s="10"/>
      <c r="O140" s="11" t="s">
        <v>442</v>
      </c>
      <c r="P140" s="10" t="s">
        <v>63</v>
      </c>
      <c r="Q140" s="11" t="s">
        <v>64</v>
      </c>
      <c r="R140" s="11" t="s">
        <v>65</v>
      </c>
      <c r="S140" s="11" t="s">
        <v>66</v>
      </c>
      <c r="T140" s="11" t="s">
        <v>527</v>
      </c>
      <c r="U140" s="10" t="n">
        <f aca="false">IF(AND($D140="",$E140="",$F140=""),1,0)</f>
        <v>0</v>
      </c>
      <c r="V140" s="10" t="n">
        <f aca="false">IF(OR($I140="",$I140="—"),1,0)</f>
        <v>0</v>
      </c>
      <c r="W140" s="10" t="n">
        <f aca="false">IF(AND(ISNUMBER($D140),ISNUMBER($E140)),IF($E140&gt;$D140,1,0),0)+IF(AND(ISNUMBER($D140),ISNUMBER($F140)),IF($D140&gt;$F140,1,0),0)+IF(AND(ISNUMBER($E140),ISNUMBER($F140)),IF($E140&gt;$F140,1,0),0)</f>
        <v>0</v>
      </c>
      <c r="X140" s="13" t="s">
        <v>68</v>
      </c>
    </row>
    <row r="141" customFormat="false" ht="15" hidden="false" customHeight="false" outlineLevel="0" collapsed="false">
      <c r="A141" s="10" t="s">
        <v>528</v>
      </c>
      <c r="B141" s="10" t="s">
        <v>529</v>
      </c>
      <c r="C141" s="11" t="s">
        <v>526</v>
      </c>
      <c r="D141" s="12" t="n">
        <v>0.017</v>
      </c>
      <c r="E141" s="12"/>
      <c r="F141" s="12"/>
      <c r="G141" s="10" t="s">
        <v>55</v>
      </c>
      <c r="H141" s="10" t="s">
        <v>75</v>
      </c>
      <c r="I141" s="11" t="s">
        <v>439</v>
      </c>
      <c r="J141" s="10" t="s">
        <v>440</v>
      </c>
      <c r="K141" s="10" t="s">
        <v>441</v>
      </c>
      <c r="L141" s="10" t="s">
        <v>60</v>
      </c>
      <c r="M141" s="10" t="s">
        <v>61</v>
      </c>
      <c r="N141" s="10"/>
      <c r="O141" s="11" t="s">
        <v>442</v>
      </c>
      <c r="P141" s="10" t="s">
        <v>63</v>
      </c>
      <c r="Q141" s="11" t="s">
        <v>64</v>
      </c>
      <c r="R141" s="11" t="s">
        <v>65</v>
      </c>
      <c r="S141" s="11" t="s">
        <v>66</v>
      </c>
      <c r="T141" s="11" t="s">
        <v>530</v>
      </c>
      <c r="U141" s="10" t="n">
        <f aca="false">IF(AND($D141="",$E141="",$F141=""),1,0)</f>
        <v>0</v>
      </c>
      <c r="V141" s="10" t="n">
        <f aca="false">IF(OR($I141="",$I141="—"),1,0)</f>
        <v>0</v>
      </c>
      <c r="W141" s="10" t="n">
        <f aca="false">IF(AND(ISNUMBER($D141),ISNUMBER($E141)),IF($E141&gt;$D141,1,0),0)+IF(AND(ISNUMBER($D141),ISNUMBER($F141)),IF($D141&gt;$F141,1,0),0)+IF(AND(ISNUMBER($E141),ISNUMBER($F141)),IF($E141&gt;$F141,1,0),0)</f>
        <v>0</v>
      </c>
      <c r="X141" s="13" t="s">
        <v>68</v>
      </c>
    </row>
    <row r="142" customFormat="false" ht="15" hidden="false" customHeight="false" outlineLevel="0" collapsed="false">
      <c r="A142" s="10" t="s">
        <v>531</v>
      </c>
      <c r="B142" s="10" t="s">
        <v>532</v>
      </c>
      <c r="C142" s="11" t="s">
        <v>533</v>
      </c>
      <c r="D142" s="12" t="n">
        <v>3.3</v>
      </c>
      <c r="E142" s="12"/>
      <c r="F142" s="12"/>
      <c r="G142" s="10" t="s">
        <v>393</v>
      </c>
      <c r="H142" s="10" t="s">
        <v>75</v>
      </c>
      <c r="I142" s="11" t="s">
        <v>439</v>
      </c>
      <c r="J142" s="10" t="s">
        <v>440</v>
      </c>
      <c r="K142" s="10" t="s">
        <v>441</v>
      </c>
      <c r="L142" s="10" t="s">
        <v>60</v>
      </c>
      <c r="M142" s="10" t="s">
        <v>61</v>
      </c>
      <c r="N142" s="10"/>
      <c r="O142" s="11" t="s">
        <v>442</v>
      </c>
      <c r="P142" s="10" t="s">
        <v>63</v>
      </c>
      <c r="Q142" s="11" t="s">
        <v>64</v>
      </c>
      <c r="R142" s="11" t="s">
        <v>65</v>
      </c>
      <c r="S142" s="11" t="s">
        <v>66</v>
      </c>
      <c r="T142" s="11" t="s">
        <v>534</v>
      </c>
      <c r="U142" s="10" t="n">
        <f aca="false">IF(AND($D142="",$E142="",$F142=""),1,0)</f>
        <v>0</v>
      </c>
      <c r="V142" s="10" t="n">
        <f aca="false">IF(OR($I142="",$I142="—"),1,0)</f>
        <v>0</v>
      </c>
      <c r="W142" s="10" t="n">
        <f aca="false">IF(AND(ISNUMBER($D142),ISNUMBER($E142)),IF($E142&gt;$D142,1,0),0)+IF(AND(ISNUMBER($D142),ISNUMBER($F142)),IF($D142&gt;$F142,1,0),0)+IF(AND(ISNUMBER($E142),ISNUMBER($F142)),IF($E142&gt;$F142,1,0),0)</f>
        <v>0</v>
      </c>
      <c r="X142" s="13" t="s">
        <v>68</v>
      </c>
    </row>
    <row r="143" customFormat="false" ht="15" hidden="false" customHeight="false" outlineLevel="0" collapsed="false">
      <c r="A143" s="10" t="s">
        <v>535</v>
      </c>
      <c r="B143" s="10" t="s">
        <v>536</v>
      </c>
      <c r="C143" s="11" t="s">
        <v>216</v>
      </c>
      <c r="D143" s="12" t="n">
        <v>31.8044</v>
      </c>
      <c r="E143" s="12"/>
      <c r="F143" s="12"/>
      <c r="G143" s="10" t="s">
        <v>55</v>
      </c>
      <c r="H143" s="10" t="s">
        <v>438</v>
      </c>
      <c r="I143" s="11" t="s">
        <v>439</v>
      </c>
      <c r="J143" s="10" t="s">
        <v>440</v>
      </c>
      <c r="K143" s="10" t="s">
        <v>441</v>
      </c>
      <c r="L143" s="10" t="s">
        <v>60</v>
      </c>
      <c r="M143" s="10" t="s">
        <v>61</v>
      </c>
      <c r="N143" s="10"/>
      <c r="O143" s="11" t="s">
        <v>442</v>
      </c>
      <c r="P143" s="10" t="s">
        <v>63</v>
      </c>
      <c r="Q143" s="11" t="s">
        <v>64</v>
      </c>
      <c r="R143" s="11" t="s">
        <v>65</v>
      </c>
      <c r="S143" s="11" t="s">
        <v>66</v>
      </c>
      <c r="T143" s="11" t="s">
        <v>537</v>
      </c>
      <c r="U143" s="10" t="n">
        <f aca="false">IF(AND($D143="",$E143="",$F143=""),1,0)</f>
        <v>0</v>
      </c>
      <c r="V143" s="10" t="n">
        <f aca="false">IF(OR($I143="",$I143="—"),1,0)</f>
        <v>0</v>
      </c>
      <c r="W143" s="10" t="n">
        <f aca="false">IF(AND(ISNUMBER($D143),ISNUMBER($E143)),IF($E143&gt;$D143,1,0),0)+IF(AND(ISNUMBER($D143),ISNUMBER($F143)),IF($D143&gt;$F143,1,0),0)+IF(AND(ISNUMBER($E143),ISNUMBER($F143)),IF($E143&gt;$F143,1,0),0)</f>
        <v>0</v>
      </c>
      <c r="X143" s="13" t="s">
        <v>68</v>
      </c>
    </row>
    <row r="144" customFormat="false" ht="15" hidden="false" customHeight="false" outlineLevel="0" collapsed="false">
      <c r="A144" s="10" t="s">
        <v>538</v>
      </c>
      <c r="B144" s="10" t="s">
        <v>539</v>
      </c>
      <c r="C144" s="11" t="s">
        <v>232</v>
      </c>
      <c r="D144" s="12" t="n">
        <v>3.9087</v>
      </c>
      <c r="E144" s="12"/>
      <c r="F144" s="12"/>
      <c r="G144" s="10" t="s">
        <v>55</v>
      </c>
      <c r="H144" s="10" t="s">
        <v>438</v>
      </c>
      <c r="I144" s="11" t="s">
        <v>439</v>
      </c>
      <c r="J144" s="10" t="s">
        <v>440</v>
      </c>
      <c r="K144" s="10" t="s">
        <v>441</v>
      </c>
      <c r="L144" s="10" t="s">
        <v>60</v>
      </c>
      <c r="M144" s="10" t="s">
        <v>61</v>
      </c>
      <c r="N144" s="10"/>
      <c r="O144" s="11" t="s">
        <v>442</v>
      </c>
      <c r="P144" s="10" t="s">
        <v>63</v>
      </c>
      <c r="Q144" s="11" t="s">
        <v>64</v>
      </c>
      <c r="R144" s="11" t="s">
        <v>65</v>
      </c>
      <c r="S144" s="11" t="s">
        <v>66</v>
      </c>
      <c r="T144" s="11" t="s">
        <v>540</v>
      </c>
      <c r="U144" s="10" t="n">
        <f aca="false">IF(AND($D144="",$E144="",$F144=""),1,0)</f>
        <v>0</v>
      </c>
      <c r="V144" s="10" t="n">
        <f aca="false">IF(OR($I144="",$I144="—"),1,0)</f>
        <v>0</v>
      </c>
      <c r="W144" s="10" t="n">
        <f aca="false">IF(AND(ISNUMBER($D144),ISNUMBER($E144)),IF($E144&gt;$D144,1,0),0)+IF(AND(ISNUMBER($D144),ISNUMBER($F144)),IF($D144&gt;$F144,1,0),0)+IF(AND(ISNUMBER($E144),ISNUMBER($F144)),IF($E144&gt;$F144,1,0),0)</f>
        <v>0</v>
      </c>
      <c r="X144" s="13" t="s">
        <v>68</v>
      </c>
    </row>
    <row r="145" customFormat="false" ht="15" hidden="false" customHeight="false" outlineLevel="0" collapsed="false">
      <c r="A145" s="10" t="s">
        <v>541</v>
      </c>
      <c r="B145" s="10" t="s">
        <v>542</v>
      </c>
      <c r="C145" s="11" t="s">
        <v>248</v>
      </c>
      <c r="D145" s="12" t="n">
        <v>5.0536</v>
      </c>
      <c r="E145" s="12"/>
      <c r="F145" s="12"/>
      <c r="G145" s="10" t="s">
        <v>55</v>
      </c>
      <c r="H145" s="10" t="s">
        <v>438</v>
      </c>
      <c r="I145" s="11" t="s">
        <v>439</v>
      </c>
      <c r="J145" s="10" t="s">
        <v>440</v>
      </c>
      <c r="K145" s="10" t="s">
        <v>441</v>
      </c>
      <c r="L145" s="10" t="s">
        <v>60</v>
      </c>
      <c r="M145" s="10" t="s">
        <v>61</v>
      </c>
      <c r="N145" s="10"/>
      <c r="O145" s="11" t="s">
        <v>442</v>
      </c>
      <c r="P145" s="10" t="s">
        <v>63</v>
      </c>
      <c r="Q145" s="11" t="s">
        <v>64</v>
      </c>
      <c r="R145" s="11" t="s">
        <v>65</v>
      </c>
      <c r="S145" s="11" t="s">
        <v>66</v>
      </c>
      <c r="T145" s="11" t="s">
        <v>543</v>
      </c>
      <c r="U145" s="10" t="n">
        <f aca="false">IF(AND($D145="",$E145="",$F145=""),1,0)</f>
        <v>0</v>
      </c>
      <c r="V145" s="10" t="n">
        <f aca="false">IF(OR($I145="",$I145="—"),1,0)</f>
        <v>0</v>
      </c>
      <c r="W145" s="10" t="n">
        <f aca="false">IF(AND(ISNUMBER($D145),ISNUMBER($E145)),IF($E145&gt;$D145,1,0),0)+IF(AND(ISNUMBER($D145),ISNUMBER($F145)),IF($D145&gt;$F145,1,0),0)+IF(AND(ISNUMBER($E145),ISNUMBER($F145)),IF($E145&gt;$F145,1,0),0)</f>
        <v>0</v>
      </c>
      <c r="X145" s="13" t="s">
        <v>68</v>
      </c>
    </row>
    <row r="146" customFormat="false" ht="15" hidden="false" customHeight="false" outlineLevel="0" collapsed="false">
      <c r="A146" s="10" t="s">
        <v>544</v>
      </c>
      <c r="B146" s="10" t="s">
        <v>545</v>
      </c>
      <c r="C146" s="11" t="s">
        <v>296</v>
      </c>
      <c r="D146" s="12" t="n">
        <v>5.5827</v>
      </c>
      <c r="E146" s="12"/>
      <c r="F146" s="12"/>
      <c r="G146" s="10" t="s">
        <v>55</v>
      </c>
      <c r="H146" s="10" t="s">
        <v>438</v>
      </c>
      <c r="I146" s="11" t="s">
        <v>439</v>
      </c>
      <c r="J146" s="10" t="s">
        <v>440</v>
      </c>
      <c r="K146" s="10" t="s">
        <v>441</v>
      </c>
      <c r="L146" s="10" t="s">
        <v>60</v>
      </c>
      <c r="M146" s="10" t="s">
        <v>61</v>
      </c>
      <c r="N146" s="10"/>
      <c r="O146" s="11" t="s">
        <v>442</v>
      </c>
      <c r="P146" s="10" t="s">
        <v>63</v>
      </c>
      <c r="Q146" s="11" t="s">
        <v>64</v>
      </c>
      <c r="R146" s="11" t="s">
        <v>65</v>
      </c>
      <c r="S146" s="11" t="s">
        <v>66</v>
      </c>
      <c r="T146" s="11" t="s">
        <v>546</v>
      </c>
      <c r="U146" s="10" t="n">
        <f aca="false">IF(AND($D146="",$E146="",$F146=""),1,0)</f>
        <v>0</v>
      </c>
      <c r="V146" s="10" t="n">
        <f aca="false">IF(OR($I146="",$I146="—"),1,0)</f>
        <v>0</v>
      </c>
      <c r="W146" s="10" t="n">
        <f aca="false">IF(AND(ISNUMBER($D146),ISNUMBER($E146)),IF($E146&gt;$D146,1,0),0)+IF(AND(ISNUMBER($D146),ISNUMBER($F146)),IF($D146&gt;$F146,1,0),0)+IF(AND(ISNUMBER($E146),ISNUMBER($F146)),IF($E146&gt;$F146,1,0),0)</f>
        <v>0</v>
      </c>
      <c r="X146" s="13" t="s">
        <v>68</v>
      </c>
    </row>
    <row r="147" customFormat="false" ht="15" hidden="false" customHeight="false" outlineLevel="0" collapsed="false">
      <c r="A147" s="10" t="s">
        <v>547</v>
      </c>
      <c r="B147" s="10" t="s">
        <v>548</v>
      </c>
      <c r="C147" s="11" t="s">
        <v>264</v>
      </c>
      <c r="D147" s="12" t="n">
        <v>0.1484</v>
      </c>
      <c r="E147" s="12"/>
      <c r="F147" s="12"/>
      <c r="G147" s="10" t="s">
        <v>55</v>
      </c>
      <c r="H147" s="10" t="s">
        <v>438</v>
      </c>
      <c r="I147" s="11" t="s">
        <v>439</v>
      </c>
      <c r="J147" s="10" t="s">
        <v>440</v>
      </c>
      <c r="K147" s="10" t="s">
        <v>441</v>
      </c>
      <c r="L147" s="10" t="s">
        <v>60</v>
      </c>
      <c r="M147" s="10" t="s">
        <v>61</v>
      </c>
      <c r="N147" s="10"/>
      <c r="O147" s="11" t="s">
        <v>442</v>
      </c>
      <c r="P147" s="10" t="s">
        <v>63</v>
      </c>
      <c r="Q147" s="11" t="s">
        <v>64</v>
      </c>
      <c r="R147" s="11" t="s">
        <v>65</v>
      </c>
      <c r="S147" s="11" t="s">
        <v>66</v>
      </c>
      <c r="T147" s="11" t="s">
        <v>549</v>
      </c>
      <c r="U147" s="10" t="n">
        <f aca="false">IF(AND($D147="",$E147="",$F147=""),1,0)</f>
        <v>0</v>
      </c>
      <c r="V147" s="10" t="n">
        <f aca="false">IF(OR($I147="",$I147="—"),1,0)</f>
        <v>0</v>
      </c>
      <c r="W147" s="10" t="n">
        <f aca="false">IF(AND(ISNUMBER($D147),ISNUMBER($E147)),IF($E147&gt;$D147,1,0),0)+IF(AND(ISNUMBER($D147),ISNUMBER($F147)),IF($D147&gt;$F147,1,0),0)+IF(AND(ISNUMBER($E147),ISNUMBER($F147)),IF($E147&gt;$F147,1,0),0)</f>
        <v>0</v>
      </c>
      <c r="X147" s="13" t="s">
        <v>68</v>
      </c>
    </row>
    <row r="148" customFormat="false" ht="15" hidden="false" customHeight="false" outlineLevel="0" collapsed="false">
      <c r="A148" s="10" t="s">
        <v>550</v>
      </c>
      <c r="B148" s="10" t="s">
        <v>551</v>
      </c>
      <c r="C148" s="11" t="s">
        <v>552</v>
      </c>
      <c r="D148" s="12" t="n">
        <v>0.7431</v>
      </c>
      <c r="E148" s="12"/>
      <c r="F148" s="12"/>
      <c r="G148" s="10" t="s">
        <v>55</v>
      </c>
      <c r="H148" s="10" t="s">
        <v>438</v>
      </c>
      <c r="I148" s="11" t="s">
        <v>439</v>
      </c>
      <c r="J148" s="10" t="s">
        <v>440</v>
      </c>
      <c r="K148" s="10" t="s">
        <v>441</v>
      </c>
      <c r="L148" s="10" t="s">
        <v>60</v>
      </c>
      <c r="M148" s="10" t="s">
        <v>61</v>
      </c>
      <c r="N148" s="10"/>
      <c r="O148" s="11" t="s">
        <v>442</v>
      </c>
      <c r="P148" s="10" t="s">
        <v>63</v>
      </c>
      <c r="Q148" s="11" t="s">
        <v>64</v>
      </c>
      <c r="R148" s="11" t="s">
        <v>65</v>
      </c>
      <c r="S148" s="11" t="s">
        <v>66</v>
      </c>
      <c r="T148" s="11" t="s">
        <v>553</v>
      </c>
      <c r="U148" s="10" t="n">
        <f aca="false">IF(AND($D148="",$E148="",$F148=""),1,0)</f>
        <v>0</v>
      </c>
      <c r="V148" s="10" t="n">
        <f aca="false">IF(OR($I148="",$I148="—"),1,0)</f>
        <v>0</v>
      </c>
      <c r="W148" s="10" t="n">
        <f aca="false">IF(AND(ISNUMBER($D148),ISNUMBER($E148)),IF($E148&gt;$D148,1,0),0)+IF(AND(ISNUMBER($D148),ISNUMBER($F148)),IF($D148&gt;$F148,1,0),0)+IF(AND(ISNUMBER($E148),ISNUMBER($F148)),IF($E148&gt;$F148,1,0),0)</f>
        <v>0</v>
      </c>
      <c r="X148" s="13" t="s">
        <v>68</v>
      </c>
    </row>
    <row r="149" customFormat="false" ht="15" hidden="false" customHeight="false" outlineLevel="0" collapsed="false">
      <c r="A149" s="10" t="s">
        <v>554</v>
      </c>
      <c r="B149" s="10" t="s">
        <v>555</v>
      </c>
      <c r="C149" s="11" t="s">
        <v>556</v>
      </c>
      <c r="D149" s="12" t="n">
        <v>47.1817</v>
      </c>
      <c r="E149" s="12"/>
      <c r="F149" s="12"/>
      <c r="G149" s="10" t="s">
        <v>55</v>
      </c>
      <c r="H149" s="10" t="s">
        <v>438</v>
      </c>
      <c r="I149" s="11" t="s">
        <v>439</v>
      </c>
      <c r="J149" s="10" t="s">
        <v>440</v>
      </c>
      <c r="K149" s="10" t="s">
        <v>441</v>
      </c>
      <c r="L149" s="10" t="s">
        <v>60</v>
      </c>
      <c r="M149" s="10" t="s">
        <v>61</v>
      </c>
      <c r="N149" s="10"/>
      <c r="O149" s="11" t="s">
        <v>442</v>
      </c>
      <c r="P149" s="10" t="s">
        <v>63</v>
      </c>
      <c r="Q149" s="11" t="s">
        <v>64</v>
      </c>
      <c r="R149" s="11" t="s">
        <v>65</v>
      </c>
      <c r="S149" s="11" t="s">
        <v>66</v>
      </c>
      <c r="T149" s="11" t="s">
        <v>557</v>
      </c>
      <c r="U149" s="10" t="n">
        <f aca="false">IF(AND($D149="",$E149="",$F149=""),1,0)</f>
        <v>0</v>
      </c>
      <c r="V149" s="10" t="n">
        <f aca="false">IF(OR($I149="",$I149="—"),1,0)</f>
        <v>0</v>
      </c>
      <c r="W149" s="10" t="n">
        <f aca="false">IF(AND(ISNUMBER($D149),ISNUMBER($E149)),IF($E149&gt;$D149,1,0),0)+IF(AND(ISNUMBER($D149),ISNUMBER($F149)),IF($D149&gt;$F149,1,0),0)+IF(AND(ISNUMBER($E149),ISNUMBER($F149)),IF($E149&gt;$F149,1,0),0)</f>
        <v>0</v>
      </c>
      <c r="X149" s="13" t="s">
        <v>68</v>
      </c>
    </row>
    <row r="150" customFormat="false" ht="15" hidden="false" customHeight="false" outlineLevel="0" collapsed="false">
      <c r="A150" s="10" t="s">
        <v>558</v>
      </c>
      <c r="B150" s="10" t="s">
        <v>559</v>
      </c>
      <c r="C150" s="11" t="s">
        <v>328</v>
      </c>
      <c r="D150" s="12" t="n">
        <v>31.8197</v>
      </c>
      <c r="E150" s="12"/>
      <c r="F150" s="12"/>
      <c r="G150" s="10" t="s">
        <v>55</v>
      </c>
      <c r="H150" s="10" t="s">
        <v>438</v>
      </c>
      <c r="I150" s="11" t="s">
        <v>439</v>
      </c>
      <c r="J150" s="10" t="s">
        <v>440</v>
      </c>
      <c r="K150" s="10" t="s">
        <v>441</v>
      </c>
      <c r="L150" s="10" t="s">
        <v>60</v>
      </c>
      <c r="M150" s="10" t="s">
        <v>61</v>
      </c>
      <c r="N150" s="10"/>
      <c r="O150" s="11" t="s">
        <v>442</v>
      </c>
      <c r="P150" s="10" t="s">
        <v>63</v>
      </c>
      <c r="Q150" s="11" t="s">
        <v>64</v>
      </c>
      <c r="R150" s="11" t="s">
        <v>65</v>
      </c>
      <c r="S150" s="11" t="s">
        <v>66</v>
      </c>
      <c r="T150" s="11" t="s">
        <v>560</v>
      </c>
      <c r="U150" s="10" t="n">
        <f aca="false">IF(AND($D150="",$E150="",$F150=""),1,0)</f>
        <v>0</v>
      </c>
      <c r="V150" s="10" t="n">
        <f aca="false">IF(OR($I150="",$I150="—"),1,0)</f>
        <v>0</v>
      </c>
      <c r="W150" s="10" t="n">
        <f aca="false">IF(AND(ISNUMBER($D150),ISNUMBER($E150)),IF($E150&gt;$D150,1,0),0)+IF(AND(ISNUMBER($D150),ISNUMBER($F150)),IF($D150&gt;$F150,1,0),0)+IF(AND(ISNUMBER($E150),ISNUMBER($F150)),IF($E150&gt;$F150,1,0),0)</f>
        <v>0</v>
      </c>
      <c r="X150" s="13" t="s">
        <v>68</v>
      </c>
    </row>
    <row r="151" customFormat="false" ht="15" hidden="false" customHeight="false" outlineLevel="0" collapsed="false">
      <c r="A151" s="10" t="s">
        <v>561</v>
      </c>
      <c r="B151" s="10" t="s">
        <v>562</v>
      </c>
      <c r="C151" s="11" t="s">
        <v>563</v>
      </c>
      <c r="D151" s="12" t="n">
        <v>9.3736</v>
      </c>
      <c r="E151" s="12"/>
      <c r="F151" s="12"/>
      <c r="G151" s="10" t="s">
        <v>55</v>
      </c>
      <c r="H151" s="10" t="s">
        <v>438</v>
      </c>
      <c r="I151" s="11" t="s">
        <v>439</v>
      </c>
      <c r="J151" s="10" t="s">
        <v>440</v>
      </c>
      <c r="K151" s="10" t="s">
        <v>441</v>
      </c>
      <c r="L151" s="10" t="s">
        <v>60</v>
      </c>
      <c r="M151" s="10" t="s">
        <v>61</v>
      </c>
      <c r="N151" s="10"/>
      <c r="O151" s="11" t="s">
        <v>442</v>
      </c>
      <c r="P151" s="10" t="s">
        <v>63</v>
      </c>
      <c r="Q151" s="11" t="s">
        <v>64</v>
      </c>
      <c r="R151" s="11" t="s">
        <v>65</v>
      </c>
      <c r="S151" s="11" t="s">
        <v>66</v>
      </c>
      <c r="T151" s="11" t="s">
        <v>564</v>
      </c>
      <c r="U151" s="10" t="n">
        <f aca="false">IF(AND($D151="",$E151="",$F151=""),1,0)</f>
        <v>0</v>
      </c>
      <c r="V151" s="10" t="n">
        <f aca="false">IF(OR($I151="",$I151="—"),1,0)</f>
        <v>0</v>
      </c>
      <c r="W151" s="10" t="n">
        <f aca="false">IF(AND(ISNUMBER($D151),ISNUMBER($E151)),IF($E151&gt;$D151,1,0),0)+IF(AND(ISNUMBER($D151),ISNUMBER($F151)),IF($D151&gt;$F151,1,0),0)+IF(AND(ISNUMBER($E151),ISNUMBER($F151)),IF($E151&gt;$F151,1,0),0)</f>
        <v>0</v>
      </c>
      <c r="X151" s="13" t="s">
        <v>68</v>
      </c>
    </row>
    <row r="152" customFormat="false" ht="15" hidden="false" customHeight="false" outlineLevel="0" collapsed="false">
      <c r="A152" s="10" t="s">
        <v>565</v>
      </c>
      <c r="B152" s="10" t="s">
        <v>566</v>
      </c>
      <c r="C152" s="11" t="s">
        <v>563</v>
      </c>
      <c r="D152" s="12" t="n">
        <v>4.6886</v>
      </c>
      <c r="E152" s="12"/>
      <c r="F152" s="12"/>
      <c r="G152" s="10" t="s">
        <v>55</v>
      </c>
      <c r="H152" s="10" t="s">
        <v>75</v>
      </c>
      <c r="I152" s="11" t="s">
        <v>439</v>
      </c>
      <c r="J152" s="10" t="s">
        <v>440</v>
      </c>
      <c r="K152" s="10" t="s">
        <v>441</v>
      </c>
      <c r="L152" s="10" t="s">
        <v>60</v>
      </c>
      <c r="M152" s="10" t="s">
        <v>61</v>
      </c>
      <c r="N152" s="10"/>
      <c r="O152" s="11" t="s">
        <v>442</v>
      </c>
      <c r="P152" s="10" t="s">
        <v>63</v>
      </c>
      <c r="Q152" s="11" t="s">
        <v>64</v>
      </c>
      <c r="R152" s="11" t="s">
        <v>65</v>
      </c>
      <c r="S152" s="11" t="s">
        <v>66</v>
      </c>
      <c r="T152" s="11" t="s">
        <v>567</v>
      </c>
      <c r="U152" s="10" t="n">
        <f aca="false">IF(AND($D152="",$E152="",$F152=""),1,0)</f>
        <v>0</v>
      </c>
      <c r="V152" s="10" t="n">
        <f aca="false">IF(OR($I152="",$I152="—"),1,0)</f>
        <v>0</v>
      </c>
      <c r="W152" s="10" t="n">
        <f aca="false">IF(AND(ISNUMBER($D152),ISNUMBER($E152)),IF($E152&gt;$D152,1,0),0)+IF(AND(ISNUMBER($D152),ISNUMBER($F152)),IF($D152&gt;$F152,1,0),0)+IF(AND(ISNUMBER($E152),ISNUMBER($F152)),IF($E152&gt;$F152,1,0),0)</f>
        <v>0</v>
      </c>
      <c r="X152" s="13" t="s">
        <v>68</v>
      </c>
    </row>
    <row r="153" customFormat="false" ht="15" hidden="false" customHeight="false" outlineLevel="0" collapsed="false">
      <c r="A153" s="10" t="s">
        <v>568</v>
      </c>
      <c r="B153" s="10" t="s">
        <v>569</v>
      </c>
      <c r="C153" s="11" t="s">
        <v>570</v>
      </c>
      <c r="D153" s="12" t="n">
        <v>0.747</v>
      </c>
      <c r="E153" s="12"/>
      <c r="F153" s="12"/>
      <c r="G153" s="10" t="s">
        <v>55</v>
      </c>
      <c r="H153" s="10" t="s">
        <v>438</v>
      </c>
      <c r="I153" s="11" t="s">
        <v>439</v>
      </c>
      <c r="J153" s="10" t="s">
        <v>440</v>
      </c>
      <c r="K153" s="10" t="s">
        <v>441</v>
      </c>
      <c r="L153" s="10" t="s">
        <v>60</v>
      </c>
      <c r="M153" s="10" t="s">
        <v>61</v>
      </c>
      <c r="N153" s="10"/>
      <c r="O153" s="11" t="s">
        <v>442</v>
      </c>
      <c r="P153" s="10" t="s">
        <v>63</v>
      </c>
      <c r="Q153" s="11" t="s">
        <v>64</v>
      </c>
      <c r="R153" s="11" t="s">
        <v>65</v>
      </c>
      <c r="S153" s="11" t="s">
        <v>66</v>
      </c>
      <c r="T153" s="11" t="s">
        <v>571</v>
      </c>
      <c r="U153" s="10" t="n">
        <f aca="false">IF(AND($D153="",$E153="",$F153=""),1,0)</f>
        <v>0</v>
      </c>
      <c r="V153" s="10" t="n">
        <f aca="false">IF(OR($I153="",$I153="—"),1,0)</f>
        <v>0</v>
      </c>
      <c r="W153" s="10" t="n">
        <f aca="false">IF(AND(ISNUMBER($D153),ISNUMBER($E153)),IF($E153&gt;$D153,1,0),0)+IF(AND(ISNUMBER($D153),ISNUMBER($F153)),IF($D153&gt;$F153,1,0),0)+IF(AND(ISNUMBER($E153),ISNUMBER($F153)),IF($E153&gt;$F153,1,0),0)</f>
        <v>0</v>
      </c>
      <c r="X153" s="13" t="s">
        <v>68</v>
      </c>
    </row>
    <row r="154" customFormat="false" ht="15" hidden="false" customHeight="false" outlineLevel="0" collapsed="false">
      <c r="A154" s="10" t="s">
        <v>572</v>
      </c>
      <c r="B154" s="10" t="s">
        <v>573</v>
      </c>
      <c r="C154" s="11" t="s">
        <v>570</v>
      </c>
      <c r="D154" s="12" t="n">
        <v>4.623</v>
      </c>
      <c r="E154" s="12"/>
      <c r="F154" s="12"/>
      <c r="G154" s="10" t="s">
        <v>55</v>
      </c>
      <c r="H154" s="10" t="s">
        <v>75</v>
      </c>
      <c r="I154" s="11" t="s">
        <v>439</v>
      </c>
      <c r="J154" s="10" t="s">
        <v>440</v>
      </c>
      <c r="K154" s="10" t="s">
        <v>441</v>
      </c>
      <c r="L154" s="10" t="s">
        <v>60</v>
      </c>
      <c r="M154" s="10" t="s">
        <v>61</v>
      </c>
      <c r="N154" s="10"/>
      <c r="O154" s="11" t="s">
        <v>442</v>
      </c>
      <c r="P154" s="10" t="s">
        <v>63</v>
      </c>
      <c r="Q154" s="11" t="s">
        <v>64</v>
      </c>
      <c r="R154" s="11" t="s">
        <v>65</v>
      </c>
      <c r="S154" s="11" t="s">
        <v>66</v>
      </c>
      <c r="T154" s="11" t="s">
        <v>574</v>
      </c>
      <c r="U154" s="10" t="n">
        <f aca="false">IF(AND($D154="",$E154="",$F154=""),1,0)</f>
        <v>0</v>
      </c>
      <c r="V154" s="10" t="n">
        <f aca="false">IF(OR($I154="",$I154="—"),1,0)</f>
        <v>0</v>
      </c>
      <c r="W154" s="10" t="n">
        <f aca="false">IF(AND(ISNUMBER($D154),ISNUMBER($E154)),IF($E154&gt;$D154,1,0),0)+IF(AND(ISNUMBER($D154),ISNUMBER($F154)),IF($D154&gt;$F154,1,0),0)+IF(AND(ISNUMBER($E154),ISNUMBER($F154)),IF($E154&gt;$F154,1,0),0)</f>
        <v>0</v>
      </c>
      <c r="X154" s="13" t="s">
        <v>68</v>
      </c>
    </row>
    <row r="155" customFormat="false" ht="15" hidden="false" customHeight="false" outlineLevel="0" collapsed="false">
      <c r="A155" s="10" t="s">
        <v>575</v>
      </c>
      <c r="B155" s="10" t="s">
        <v>576</v>
      </c>
      <c r="C155" s="11" t="s">
        <v>577</v>
      </c>
      <c r="D155" s="12" t="n">
        <v>22.5915</v>
      </c>
      <c r="E155" s="12"/>
      <c r="F155" s="12"/>
      <c r="G155" s="10" t="s">
        <v>55</v>
      </c>
      <c r="H155" s="10" t="s">
        <v>438</v>
      </c>
      <c r="I155" s="11" t="s">
        <v>439</v>
      </c>
      <c r="J155" s="10" t="s">
        <v>440</v>
      </c>
      <c r="K155" s="10" t="s">
        <v>441</v>
      </c>
      <c r="L155" s="10" t="s">
        <v>60</v>
      </c>
      <c r="M155" s="10" t="s">
        <v>61</v>
      </c>
      <c r="N155" s="10"/>
      <c r="O155" s="11" t="s">
        <v>442</v>
      </c>
      <c r="P155" s="10" t="s">
        <v>63</v>
      </c>
      <c r="Q155" s="11" t="s">
        <v>64</v>
      </c>
      <c r="R155" s="11" t="s">
        <v>65</v>
      </c>
      <c r="S155" s="11" t="s">
        <v>66</v>
      </c>
      <c r="T155" s="11" t="s">
        <v>578</v>
      </c>
      <c r="U155" s="10" t="n">
        <f aca="false">IF(AND($D155="",$E155="",$F155=""),1,0)</f>
        <v>0</v>
      </c>
      <c r="V155" s="10" t="n">
        <f aca="false">IF(OR($I155="",$I155="—"),1,0)</f>
        <v>0</v>
      </c>
      <c r="W155" s="10" t="n">
        <f aca="false">IF(AND(ISNUMBER($D155),ISNUMBER($E155)),IF($E155&gt;$D155,1,0),0)+IF(AND(ISNUMBER($D155),ISNUMBER($F155)),IF($D155&gt;$F155,1,0),0)+IF(AND(ISNUMBER($E155),ISNUMBER($F155)),IF($E155&gt;$F155,1,0),0)</f>
        <v>0</v>
      </c>
      <c r="X155" s="13" t="s">
        <v>68</v>
      </c>
    </row>
    <row r="156" customFormat="false" ht="15" hidden="false" customHeight="false" outlineLevel="0" collapsed="false">
      <c r="A156" s="10" t="s">
        <v>579</v>
      </c>
      <c r="B156" s="10" t="s">
        <v>580</v>
      </c>
      <c r="C156" s="11" t="s">
        <v>577</v>
      </c>
      <c r="D156" s="12" t="n">
        <v>22.6922</v>
      </c>
      <c r="E156" s="12"/>
      <c r="F156" s="12"/>
      <c r="G156" s="10" t="s">
        <v>55</v>
      </c>
      <c r="H156" s="10" t="s">
        <v>75</v>
      </c>
      <c r="I156" s="11" t="s">
        <v>439</v>
      </c>
      <c r="J156" s="10" t="s">
        <v>440</v>
      </c>
      <c r="K156" s="10" t="s">
        <v>441</v>
      </c>
      <c r="L156" s="10" t="s">
        <v>60</v>
      </c>
      <c r="M156" s="10" t="s">
        <v>61</v>
      </c>
      <c r="N156" s="10"/>
      <c r="O156" s="11" t="s">
        <v>442</v>
      </c>
      <c r="P156" s="10" t="s">
        <v>63</v>
      </c>
      <c r="Q156" s="11" t="s">
        <v>64</v>
      </c>
      <c r="R156" s="11" t="s">
        <v>65</v>
      </c>
      <c r="S156" s="11" t="s">
        <v>66</v>
      </c>
      <c r="T156" s="11" t="s">
        <v>581</v>
      </c>
      <c r="U156" s="10" t="n">
        <f aca="false">IF(AND($D156="",$E156="",$F156=""),1,0)</f>
        <v>0</v>
      </c>
      <c r="V156" s="10" t="n">
        <f aca="false">IF(OR($I156="",$I156="—"),1,0)</f>
        <v>0</v>
      </c>
      <c r="W156" s="10" t="n">
        <f aca="false">IF(AND(ISNUMBER($D156),ISNUMBER($E156)),IF($E156&gt;$D156,1,0),0)+IF(AND(ISNUMBER($D156),ISNUMBER($F156)),IF($D156&gt;$F156,1,0),0)+IF(AND(ISNUMBER($E156),ISNUMBER($F156)),IF($E156&gt;$F156,1,0),0)</f>
        <v>0</v>
      </c>
      <c r="X156" s="13" t="s">
        <v>68</v>
      </c>
    </row>
    <row r="157" customFormat="false" ht="15" hidden="false" customHeight="false" outlineLevel="0" collapsed="false">
      <c r="A157" s="10" t="s">
        <v>582</v>
      </c>
      <c r="B157" s="10" t="s">
        <v>583</v>
      </c>
      <c r="C157" s="11" t="s">
        <v>584</v>
      </c>
      <c r="D157" s="12" t="n">
        <v>1.0859</v>
      </c>
      <c r="E157" s="12"/>
      <c r="F157" s="12"/>
      <c r="G157" s="10" t="s">
        <v>55</v>
      </c>
      <c r="H157" s="10" t="s">
        <v>438</v>
      </c>
      <c r="I157" s="11" t="s">
        <v>439</v>
      </c>
      <c r="J157" s="10" t="s">
        <v>440</v>
      </c>
      <c r="K157" s="10" t="s">
        <v>441</v>
      </c>
      <c r="L157" s="10" t="s">
        <v>60</v>
      </c>
      <c r="M157" s="10" t="s">
        <v>61</v>
      </c>
      <c r="N157" s="10"/>
      <c r="O157" s="11" t="s">
        <v>442</v>
      </c>
      <c r="P157" s="10" t="s">
        <v>63</v>
      </c>
      <c r="Q157" s="11" t="s">
        <v>64</v>
      </c>
      <c r="R157" s="11" t="s">
        <v>65</v>
      </c>
      <c r="S157" s="11" t="s">
        <v>66</v>
      </c>
      <c r="T157" s="10" t="s">
        <v>585</v>
      </c>
      <c r="U157" s="10" t="n">
        <f aca="false">IF(AND($D157="",$E157="",$F157=""),1,0)</f>
        <v>0</v>
      </c>
      <c r="V157" s="10" t="n">
        <f aca="false">IF(OR($I157="",$I157="—"),1,0)</f>
        <v>0</v>
      </c>
      <c r="W157" s="10" t="n">
        <f aca="false">IF(AND(ISNUMBER($D157),ISNUMBER($E157)),IF($E157&gt;$D157,1,0),0)+IF(AND(ISNUMBER($D157),ISNUMBER($F157)),IF($D157&gt;$F157,1,0),0)+IF(AND(ISNUMBER($E157),ISNUMBER($F157)),IF($E157&gt;$F157,1,0),0)</f>
        <v>0</v>
      </c>
      <c r="X157" s="13" t="s">
        <v>68</v>
      </c>
    </row>
    <row r="158" customFormat="false" ht="15" hidden="false" customHeight="false" outlineLevel="0" collapsed="false">
      <c r="A158" s="10" t="s">
        <v>586</v>
      </c>
      <c r="B158" s="10" t="s">
        <v>587</v>
      </c>
      <c r="C158" s="11" t="s">
        <v>588</v>
      </c>
      <c r="D158" s="12" t="n">
        <v>1.0534</v>
      </c>
      <c r="E158" s="12"/>
      <c r="F158" s="12"/>
      <c r="G158" s="10" t="s">
        <v>55</v>
      </c>
      <c r="H158" s="10" t="s">
        <v>75</v>
      </c>
      <c r="I158" s="11" t="s">
        <v>439</v>
      </c>
      <c r="J158" s="10" t="s">
        <v>440</v>
      </c>
      <c r="K158" s="10" t="s">
        <v>441</v>
      </c>
      <c r="L158" s="10" t="s">
        <v>60</v>
      </c>
      <c r="M158" s="10" t="s">
        <v>61</v>
      </c>
      <c r="N158" s="10"/>
      <c r="O158" s="11" t="s">
        <v>442</v>
      </c>
      <c r="P158" s="10" t="s">
        <v>63</v>
      </c>
      <c r="Q158" s="11" t="s">
        <v>64</v>
      </c>
      <c r="R158" s="11" t="s">
        <v>65</v>
      </c>
      <c r="S158" s="11" t="s">
        <v>66</v>
      </c>
      <c r="T158" s="10" t="s">
        <v>589</v>
      </c>
      <c r="U158" s="10" t="n">
        <f aca="false">IF(AND($D158="",$E158="",$F158=""),1,0)</f>
        <v>0</v>
      </c>
      <c r="V158" s="10" t="n">
        <f aca="false">IF(OR($I158="",$I158="—"),1,0)</f>
        <v>0</v>
      </c>
      <c r="W158" s="10" t="n">
        <f aca="false">IF(AND(ISNUMBER($D158),ISNUMBER($E158)),IF($E158&gt;$D158,1,0),0)+IF(AND(ISNUMBER($D158),ISNUMBER($F158)),IF($D158&gt;$F158,1,0),0)+IF(AND(ISNUMBER($E158),ISNUMBER($F158)),IF($E158&gt;$F158,1,0),0)</f>
        <v>0</v>
      </c>
      <c r="X158" s="13" t="s">
        <v>68</v>
      </c>
    </row>
    <row r="159" customFormat="false" ht="15" hidden="false" customHeight="false" outlineLevel="0" collapsed="false">
      <c r="A159" s="10" t="s">
        <v>590</v>
      </c>
      <c r="B159" s="10" t="s">
        <v>591</v>
      </c>
      <c r="C159" s="11" t="s">
        <v>592</v>
      </c>
      <c r="D159" s="12" t="n">
        <v>6.8945</v>
      </c>
      <c r="E159" s="12"/>
      <c r="F159" s="12"/>
      <c r="G159" s="10" t="s">
        <v>55</v>
      </c>
      <c r="H159" s="10" t="s">
        <v>438</v>
      </c>
      <c r="I159" s="11" t="s">
        <v>439</v>
      </c>
      <c r="J159" s="10" t="s">
        <v>440</v>
      </c>
      <c r="K159" s="10" t="s">
        <v>441</v>
      </c>
      <c r="L159" s="10" t="s">
        <v>60</v>
      </c>
      <c r="M159" s="10" t="s">
        <v>61</v>
      </c>
      <c r="N159" s="10"/>
      <c r="O159" s="11" t="s">
        <v>442</v>
      </c>
      <c r="P159" s="10" t="s">
        <v>63</v>
      </c>
      <c r="Q159" s="11" t="s">
        <v>64</v>
      </c>
      <c r="R159" s="11" t="s">
        <v>65</v>
      </c>
      <c r="S159" s="11" t="s">
        <v>66</v>
      </c>
      <c r="T159" s="11" t="s">
        <v>593</v>
      </c>
      <c r="U159" s="10" t="n">
        <f aca="false">IF(AND($D159="",$E159="",$F159=""),1,0)</f>
        <v>0</v>
      </c>
      <c r="V159" s="10" t="n">
        <f aca="false">IF(OR($I159="",$I159="—"),1,0)</f>
        <v>0</v>
      </c>
      <c r="W159" s="10" t="n">
        <f aca="false">IF(AND(ISNUMBER($D159),ISNUMBER($E159)),IF($E159&gt;$D159,1,0),0)+IF(AND(ISNUMBER($D159),ISNUMBER($F159)),IF($D159&gt;$F159,1,0),0)+IF(AND(ISNUMBER($E159),ISNUMBER($F159)),IF($E159&gt;$F159,1,0),0)</f>
        <v>0</v>
      </c>
      <c r="X159" s="13" t="s">
        <v>68</v>
      </c>
    </row>
    <row r="160" customFormat="false" ht="15" hidden="false" customHeight="false" outlineLevel="0" collapsed="false">
      <c r="A160" s="10" t="s">
        <v>594</v>
      </c>
      <c r="B160" s="10" t="s">
        <v>595</v>
      </c>
      <c r="C160" s="11" t="s">
        <v>592</v>
      </c>
      <c r="D160" s="12" t="n">
        <v>1.3725</v>
      </c>
      <c r="E160" s="12"/>
      <c r="F160" s="12"/>
      <c r="G160" s="10" t="s">
        <v>55</v>
      </c>
      <c r="H160" s="10" t="s">
        <v>75</v>
      </c>
      <c r="I160" s="11" t="s">
        <v>439</v>
      </c>
      <c r="J160" s="10" t="s">
        <v>440</v>
      </c>
      <c r="K160" s="10" t="s">
        <v>441</v>
      </c>
      <c r="L160" s="10" t="s">
        <v>60</v>
      </c>
      <c r="M160" s="10" t="s">
        <v>61</v>
      </c>
      <c r="N160" s="10"/>
      <c r="O160" s="11" t="s">
        <v>442</v>
      </c>
      <c r="P160" s="10" t="s">
        <v>63</v>
      </c>
      <c r="Q160" s="11" t="s">
        <v>64</v>
      </c>
      <c r="R160" s="11" t="s">
        <v>65</v>
      </c>
      <c r="S160" s="11" t="s">
        <v>66</v>
      </c>
      <c r="T160" s="11" t="s">
        <v>596</v>
      </c>
      <c r="U160" s="10" t="n">
        <f aca="false">IF(AND($D160="",$E160="",$F160=""),1,0)</f>
        <v>0</v>
      </c>
      <c r="V160" s="10" t="n">
        <f aca="false">IF(OR($I160="",$I160="—"),1,0)</f>
        <v>0</v>
      </c>
      <c r="W160" s="10" t="n">
        <f aca="false">IF(AND(ISNUMBER($D160),ISNUMBER($E160)),IF($E160&gt;$D160,1,0),0)+IF(AND(ISNUMBER($D160),ISNUMBER($F160)),IF($D160&gt;$F160,1,0),0)+IF(AND(ISNUMBER($E160),ISNUMBER($F160)),IF($E160&gt;$F160,1,0),0)</f>
        <v>0</v>
      </c>
      <c r="X160" s="13" t="s">
        <v>68</v>
      </c>
    </row>
    <row r="161" customFormat="false" ht="15" hidden="false" customHeight="false" outlineLevel="0" collapsed="false">
      <c r="A161" s="10" t="s">
        <v>597</v>
      </c>
      <c r="B161" s="10" t="s">
        <v>598</v>
      </c>
      <c r="C161" s="11" t="s">
        <v>599</v>
      </c>
      <c r="D161" s="12" t="n">
        <v>5.4514</v>
      </c>
      <c r="E161" s="12"/>
      <c r="F161" s="12"/>
      <c r="G161" s="10" t="s">
        <v>55</v>
      </c>
      <c r="H161" s="10" t="s">
        <v>438</v>
      </c>
      <c r="I161" s="11" t="s">
        <v>439</v>
      </c>
      <c r="J161" s="10" t="s">
        <v>440</v>
      </c>
      <c r="K161" s="10" t="s">
        <v>441</v>
      </c>
      <c r="L161" s="10" t="s">
        <v>60</v>
      </c>
      <c r="M161" s="10" t="s">
        <v>61</v>
      </c>
      <c r="N161" s="10"/>
      <c r="O161" s="11" t="s">
        <v>442</v>
      </c>
      <c r="P161" s="10" t="s">
        <v>63</v>
      </c>
      <c r="Q161" s="11" t="s">
        <v>64</v>
      </c>
      <c r="R161" s="11" t="s">
        <v>65</v>
      </c>
      <c r="S161" s="11" t="s">
        <v>66</v>
      </c>
      <c r="T161" s="11" t="s">
        <v>600</v>
      </c>
      <c r="U161" s="10" t="n">
        <f aca="false">IF(AND($D161="",$E161="",$F161=""),1,0)</f>
        <v>0</v>
      </c>
      <c r="V161" s="10" t="n">
        <f aca="false">IF(OR($I161="",$I161="—"),1,0)</f>
        <v>0</v>
      </c>
      <c r="W161" s="10" t="n">
        <f aca="false">IF(AND(ISNUMBER($D161),ISNUMBER($E161)),IF($E161&gt;$D161,1,0),0)+IF(AND(ISNUMBER($D161),ISNUMBER($F161)),IF($D161&gt;$F161,1,0),0)+IF(AND(ISNUMBER($E161),ISNUMBER($F161)),IF($E161&gt;$F161,1,0),0)</f>
        <v>0</v>
      </c>
      <c r="X161" s="13" t="s">
        <v>68</v>
      </c>
    </row>
    <row r="162" customFormat="false" ht="15" hidden="false" customHeight="false" outlineLevel="0" collapsed="false">
      <c r="A162" s="10" t="s">
        <v>601</v>
      </c>
      <c r="B162" s="10" t="s">
        <v>602</v>
      </c>
      <c r="C162" s="11" t="s">
        <v>599</v>
      </c>
      <c r="D162" s="12" t="n">
        <v>6.7127</v>
      </c>
      <c r="E162" s="12"/>
      <c r="F162" s="12"/>
      <c r="G162" s="10" t="s">
        <v>55</v>
      </c>
      <c r="H162" s="10" t="s">
        <v>75</v>
      </c>
      <c r="I162" s="11" t="s">
        <v>439</v>
      </c>
      <c r="J162" s="10" t="s">
        <v>440</v>
      </c>
      <c r="K162" s="10" t="s">
        <v>441</v>
      </c>
      <c r="L162" s="10" t="s">
        <v>60</v>
      </c>
      <c r="M162" s="10" t="s">
        <v>61</v>
      </c>
      <c r="N162" s="10"/>
      <c r="O162" s="11" t="s">
        <v>442</v>
      </c>
      <c r="P162" s="10" t="s">
        <v>63</v>
      </c>
      <c r="Q162" s="11" t="s">
        <v>64</v>
      </c>
      <c r="R162" s="11" t="s">
        <v>65</v>
      </c>
      <c r="S162" s="11" t="s">
        <v>66</v>
      </c>
      <c r="T162" s="11" t="s">
        <v>603</v>
      </c>
      <c r="U162" s="10" t="n">
        <f aca="false">IF(AND($D162="",$E162="",$F162=""),1,0)</f>
        <v>0</v>
      </c>
      <c r="V162" s="10" t="n">
        <f aca="false">IF(OR($I162="",$I162="—"),1,0)</f>
        <v>0</v>
      </c>
      <c r="W162" s="10" t="n">
        <f aca="false">IF(AND(ISNUMBER($D162),ISNUMBER($E162)),IF($E162&gt;$D162,1,0),0)+IF(AND(ISNUMBER($D162),ISNUMBER($F162)),IF($D162&gt;$F162,1,0),0)+IF(AND(ISNUMBER($E162),ISNUMBER($F162)),IF($E162&gt;$F162,1,0),0)</f>
        <v>0</v>
      </c>
      <c r="X162" s="13" t="s">
        <v>68</v>
      </c>
    </row>
    <row r="163" customFormat="false" ht="15" hidden="false" customHeight="false" outlineLevel="0" collapsed="false">
      <c r="A163" s="10" t="s">
        <v>604</v>
      </c>
      <c r="B163" s="10" t="s">
        <v>605</v>
      </c>
      <c r="C163" s="11" t="s">
        <v>606</v>
      </c>
      <c r="D163" s="12" t="n">
        <v>1.3216</v>
      </c>
      <c r="E163" s="12"/>
      <c r="F163" s="12"/>
      <c r="G163" s="10" t="s">
        <v>55</v>
      </c>
      <c r="H163" s="10" t="s">
        <v>75</v>
      </c>
      <c r="I163" s="11" t="s">
        <v>439</v>
      </c>
      <c r="J163" s="10" t="s">
        <v>440</v>
      </c>
      <c r="K163" s="10" t="s">
        <v>441</v>
      </c>
      <c r="L163" s="10" t="s">
        <v>60</v>
      </c>
      <c r="M163" s="10" t="s">
        <v>61</v>
      </c>
      <c r="N163" s="10"/>
      <c r="O163" s="11" t="s">
        <v>442</v>
      </c>
      <c r="P163" s="10" t="s">
        <v>63</v>
      </c>
      <c r="Q163" s="11" t="s">
        <v>64</v>
      </c>
      <c r="R163" s="11" t="s">
        <v>65</v>
      </c>
      <c r="S163" s="11" t="s">
        <v>66</v>
      </c>
      <c r="T163" s="11" t="s">
        <v>607</v>
      </c>
      <c r="U163" s="10" t="n">
        <f aca="false">IF(AND($D163="",$E163="",$F163=""),1,0)</f>
        <v>0</v>
      </c>
      <c r="V163" s="10" t="n">
        <f aca="false">IF(OR($I163="",$I163="—"),1,0)</f>
        <v>0</v>
      </c>
      <c r="W163" s="10" t="n">
        <f aca="false">IF(AND(ISNUMBER($D163),ISNUMBER($E163)),IF($E163&gt;$D163,1,0),0)+IF(AND(ISNUMBER($D163),ISNUMBER($F163)),IF($D163&gt;$F163,1,0),0)+IF(AND(ISNUMBER($E163),ISNUMBER($F163)),IF($E163&gt;$F163,1,0),0)</f>
        <v>0</v>
      </c>
      <c r="X163" s="13" t="s">
        <v>68</v>
      </c>
    </row>
    <row r="164" customFormat="false" ht="15" hidden="false" customHeight="false" outlineLevel="0" collapsed="false">
      <c r="A164" s="10" t="s">
        <v>608</v>
      </c>
      <c r="B164" s="10" t="s">
        <v>609</v>
      </c>
      <c r="C164" s="11" t="s">
        <v>610</v>
      </c>
      <c r="D164" s="12" t="n">
        <v>7.2735</v>
      </c>
      <c r="E164" s="12"/>
      <c r="F164" s="12"/>
      <c r="G164" s="10" t="s">
        <v>55</v>
      </c>
      <c r="H164" s="10" t="s">
        <v>438</v>
      </c>
      <c r="I164" s="11" t="s">
        <v>439</v>
      </c>
      <c r="J164" s="10" t="s">
        <v>440</v>
      </c>
      <c r="K164" s="10" t="s">
        <v>441</v>
      </c>
      <c r="L164" s="10" t="s">
        <v>60</v>
      </c>
      <c r="M164" s="10" t="s">
        <v>61</v>
      </c>
      <c r="N164" s="10"/>
      <c r="O164" s="11" t="s">
        <v>442</v>
      </c>
      <c r="P164" s="10" t="s">
        <v>63</v>
      </c>
      <c r="Q164" s="11" t="s">
        <v>64</v>
      </c>
      <c r="R164" s="11" t="s">
        <v>65</v>
      </c>
      <c r="S164" s="11" t="s">
        <v>66</v>
      </c>
      <c r="T164" s="11" t="s">
        <v>611</v>
      </c>
      <c r="U164" s="10" t="n">
        <f aca="false">IF(AND($D164="",$E164="",$F164=""),1,0)</f>
        <v>0</v>
      </c>
      <c r="V164" s="10" t="n">
        <f aca="false">IF(OR($I164="",$I164="—"),1,0)</f>
        <v>0</v>
      </c>
      <c r="W164" s="10" t="n">
        <f aca="false">IF(AND(ISNUMBER($D164),ISNUMBER($E164)),IF($E164&gt;$D164,1,0),0)+IF(AND(ISNUMBER($D164),ISNUMBER($F164)),IF($D164&gt;$F164,1,0),0)+IF(AND(ISNUMBER($E164),ISNUMBER($F164)),IF($E164&gt;$F164,1,0),0)</f>
        <v>0</v>
      </c>
      <c r="X164" s="13" t="s">
        <v>68</v>
      </c>
    </row>
    <row r="165" customFormat="false" ht="15" hidden="false" customHeight="false" outlineLevel="0" collapsed="false">
      <c r="A165" s="10" t="s">
        <v>612</v>
      </c>
      <c r="B165" s="10" t="s">
        <v>613</v>
      </c>
      <c r="C165" s="11" t="s">
        <v>610</v>
      </c>
      <c r="D165" s="12" t="n">
        <v>2.6947</v>
      </c>
      <c r="E165" s="12"/>
      <c r="F165" s="12"/>
      <c r="G165" s="10" t="s">
        <v>55</v>
      </c>
      <c r="H165" s="10" t="s">
        <v>75</v>
      </c>
      <c r="I165" s="11" t="s">
        <v>439</v>
      </c>
      <c r="J165" s="10" t="s">
        <v>440</v>
      </c>
      <c r="K165" s="10" t="s">
        <v>441</v>
      </c>
      <c r="L165" s="10" t="s">
        <v>60</v>
      </c>
      <c r="M165" s="10" t="s">
        <v>61</v>
      </c>
      <c r="N165" s="10"/>
      <c r="O165" s="11" t="s">
        <v>442</v>
      </c>
      <c r="P165" s="10" t="s">
        <v>63</v>
      </c>
      <c r="Q165" s="11" t="s">
        <v>64</v>
      </c>
      <c r="R165" s="11" t="s">
        <v>65</v>
      </c>
      <c r="S165" s="11" t="s">
        <v>66</v>
      </c>
      <c r="T165" s="11" t="s">
        <v>614</v>
      </c>
      <c r="U165" s="10" t="n">
        <f aca="false">IF(AND($D165="",$E165="",$F165=""),1,0)</f>
        <v>0</v>
      </c>
      <c r="V165" s="10" t="n">
        <f aca="false">IF(OR($I165="",$I165="—"),1,0)</f>
        <v>0</v>
      </c>
      <c r="W165" s="10" t="n">
        <f aca="false">IF(AND(ISNUMBER($D165),ISNUMBER($E165)),IF($E165&gt;$D165,1,0),0)+IF(AND(ISNUMBER($D165),ISNUMBER($F165)),IF($D165&gt;$F165,1,0),0)+IF(AND(ISNUMBER($E165),ISNUMBER($F165)),IF($E165&gt;$F165,1,0),0)</f>
        <v>0</v>
      </c>
      <c r="X165" s="13" t="s">
        <v>68</v>
      </c>
    </row>
    <row r="166" customFormat="false" ht="15" hidden="false" customHeight="false" outlineLevel="0" collapsed="false">
      <c r="A166" s="10" t="s">
        <v>615</v>
      </c>
      <c r="B166" s="10" t="s">
        <v>616</v>
      </c>
      <c r="C166" s="11" t="s">
        <v>617</v>
      </c>
      <c r="D166" s="12" t="n">
        <v>1094</v>
      </c>
      <c r="E166" s="12"/>
      <c r="F166" s="12"/>
      <c r="G166" s="11" t="s">
        <v>431</v>
      </c>
      <c r="H166" s="10" t="s">
        <v>618</v>
      </c>
      <c r="I166" s="11" t="s">
        <v>439</v>
      </c>
      <c r="J166" s="10" t="s">
        <v>440</v>
      </c>
      <c r="K166" s="10" t="s">
        <v>441</v>
      </c>
      <c r="L166" s="10" t="s">
        <v>60</v>
      </c>
      <c r="M166" s="10" t="s">
        <v>61</v>
      </c>
      <c r="N166" s="10"/>
      <c r="O166" s="11" t="s">
        <v>442</v>
      </c>
      <c r="P166" s="10" t="s">
        <v>63</v>
      </c>
      <c r="Q166" s="11" t="s">
        <v>64</v>
      </c>
      <c r="R166" s="11" t="s">
        <v>65</v>
      </c>
      <c r="S166" s="11" t="s">
        <v>66</v>
      </c>
      <c r="T166" s="11" t="s">
        <v>619</v>
      </c>
      <c r="U166" s="10" t="n">
        <f aca="false">IF(AND($D166="",$E166="",$F166=""),1,0)</f>
        <v>0</v>
      </c>
      <c r="V166" s="10" t="n">
        <f aca="false">IF(OR($I166="",$I166="—"),1,0)</f>
        <v>0</v>
      </c>
      <c r="W166" s="10" t="n">
        <f aca="false">IF(AND(ISNUMBER($D166),ISNUMBER($E166)),IF($E166&gt;$D166,1,0),0)+IF(AND(ISNUMBER($D166),ISNUMBER($F166)),IF($D166&gt;$F166,1,0),0)+IF(AND(ISNUMBER($E166),ISNUMBER($F166)),IF($E166&gt;$F166,1,0),0)</f>
        <v>0</v>
      </c>
      <c r="X166" s="13" t="s">
        <v>68</v>
      </c>
    </row>
    <row r="167" customFormat="false" ht="15" hidden="false" customHeight="false" outlineLevel="0" collapsed="false">
      <c r="A167" s="10" t="s">
        <v>620</v>
      </c>
      <c r="B167" s="10" t="s">
        <v>621</v>
      </c>
      <c r="C167" s="11" t="s">
        <v>622</v>
      </c>
      <c r="D167" s="12" t="n">
        <v>13.634</v>
      </c>
      <c r="E167" s="12"/>
      <c r="F167" s="12"/>
      <c r="G167" s="10" t="s">
        <v>55</v>
      </c>
      <c r="H167" s="10" t="s">
        <v>438</v>
      </c>
      <c r="I167" s="11" t="s">
        <v>439</v>
      </c>
      <c r="J167" s="10" t="s">
        <v>440</v>
      </c>
      <c r="K167" s="10" t="s">
        <v>441</v>
      </c>
      <c r="L167" s="10" t="s">
        <v>60</v>
      </c>
      <c r="M167" s="10" t="s">
        <v>61</v>
      </c>
      <c r="N167" s="10"/>
      <c r="O167" s="11" t="s">
        <v>442</v>
      </c>
      <c r="P167" s="10" t="s">
        <v>63</v>
      </c>
      <c r="Q167" s="11" t="s">
        <v>64</v>
      </c>
      <c r="R167" s="11" t="s">
        <v>65</v>
      </c>
      <c r="S167" s="11" t="s">
        <v>66</v>
      </c>
      <c r="T167" s="11" t="s">
        <v>623</v>
      </c>
      <c r="U167" s="10" t="n">
        <f aca="false">IF(AND($D167="",$E167="",$F167=""),1,0)</f>
        <v>0</v>
      </c>
      <c r="V167" s="10" t="n">
        <f aca="false">IF(OR($I167="",$I167="—"),1,0)</f>
        <v>0</v>
      </c>
      <c r="W167" s="10" t="n">
        <f aca="false">IF(AND(ISNUMBER($D167),ISNUMBER($E167)),IF($E167&gt;$D167,1,0),0)+IF(AND(ISNUMBER($D167),ISNUMBER($F167)),IF($D167&gt;$F167,1,0),0)+IF(AND(ISNUMBER($E167),ISNUMBER($F167)),IF($E167&gt;$F167,1,0),0)</f>
        <v>0</v>
      </c>
      <c r="X167" s="13" t="s">
        <v>68</v>
      </c>
    </row>
    <row r="168" customFormat="false" ht="15" hidden="false" customHeight="false" outlineLevel="0" collapsed="false">
      <c r="A168" s="10" t="s">
        <v>624</v>
      </c>
      <c r="B168" s="10" t="s">
        <v>625</v>
      </c>
      <c r="C168" s="11" t="s">
        <v>626</v>
      </c>
      <c r="D168" s="12" t="n">
        <v>0.01246</v>
      </c>
      <c r="E168" s="12"/>
      <c r="F168" s="12"/>
      <c r="G168" s="10" t="s">
        <v>627</v>
      </c>
      <c r="H168" s="10" t="s">
        <v>438</v>
      </c>
      <c r="I168" s="11" t="s">
        <v>439</v>
      </c>
      <c r="J168" s="10" t="s">
        <v>440</v>
      </c>
      <c r="K168" s="10" t="s">
        <v>441</v>
      </c>
      <c r="L168" s="10" t="s">
        <v>60</v>
      </c>
      <c r="M168" s="10" t="s">
        <v>628</v>
      </c>
      <c r="N168" s="10"/>
      <c r="O168" s="10" t="s">
        <v>628</v>
      </c>
      <c r="P168" s="10" t="s">
        <v>629</v>
      </c>
      <c r="Q168" s="11" t="s">
        <v>630</v>
      </c>
      <c r="R168" s="11" t="s">
        <v>631</v>
      </c>
      <c r="S168" s="11" t="s">
        <v>66</v>
      </c>
      <c r="T168" s="10" t="s">
        <v>632</v>
      </c>
      <c r="U168" s="10" t="n">
        <f aca="false">IF(AND($D168="",$E168="",$F168=""),1,0)</f>
        <v>0</v>
      </c>
      <c r="V168" s="10" t="n">
        <f aca="false">IF(OR($I168="",$I168="—"),1,0)</f>
        <v>0</v>
      </c>
      <c r="W168" s="10" t="n">
        <f aca="false">IF(AND(ISNUMBER($D168),ISNUMBER($E168)),IF($E168&gt;$D168,1,0),0)+IF(AND(ISNUMBER($D168),ISNUMBER($F168)),IF($D168&gt;$F168,1,0),0)+IF(AND(ISNUMBER($E168),ISNUMBER($F168)),IF($E168&gt;$F168,1,0),0)</f>
        <v>0</v>
      </c>
      <c r="X168" s="13" t="s">
        <v>68</v>
      </c>
    </row>
    <row r="169" customFormat="false" ht="15" hidden="false" customHeight="false" outlineLevel="0" collapsed="false">
      <c r="A169" s="10" t="s">
        <v>633</v>
      </c>
      <c r="B169" s="10" t="s">
        <v>634</v>
      </c>
      <c r="C169" s="11" t="s">
        <v>635</v>
      </c>
      <c r="D169" s="12"/>
      <c r="E169" s="12"/>
      <c r="F169" s="12"/>
      <c r="G169" s="10"/>
      <c r="H169" s="10" t="s">
        <v>438</v>
      </c>
      <c r="I169" s="11" t="s">
        <v>439</v>
      </c>
      <c r="J169" s="10" t="s">
        <v>440</v>
      </c>
      <c r="K169" s="10" t="s">
        <v>441</v>
      </c>
      <c r="L169" s="10" t="s">
        <v>60</v>
      </c>
      <c r="M169" s="10" t="s">
        <v>61</v>
      </c>
      <c r="N169" s="10"/>
      <c r="O169" s="11" t="s">
        <v>442</v>
      </c>
      <c r="P169" s="10" t="s">
        <v>63</v>
      </c>
      <c r="Q169" s="11" t="s">
        <v>64</v>
      </c>
      <c r="R169" s="11" t="s">
        <v>65</v>
      </c>
      <c r="S169" s="11" t="s">
        <v>66</v>
      </c>
      <c r="T169" s="11" t="s">
        <v>636</v>
      </c>
      <c r="U169" s="10" t="n">
        <f aca="false">IF(AND($D169="",$E169="",$F169=""),1,0)</f>
        <v>1</v>
      </c>
      <c r="V169" s="10" t="n">
        <f aca="false">IF(OR($I169="",$I169="—"),1,0)</f>
        <v>0</v>
      </c>
      <c r="W169" s="10" t="n">
        <f aca="false">IF(AND(ISNUMBER($D169),ISNUMBER($E169)),IF($E169&gt;$D169,1,0),0)+IF(AND(ISNUMBER($D169),ISNUMBER($F169)),IF($D169&gt;$F169,1,0),0)+IF(AND(ISNUMBER($E169),ISNUMBER($F169)),IF($E169&gt;$F169,1,0),0)</f>
        <v>0</v>
      </c>
      <c r="X169" s="13" t="s">
        <v>68</v>
      </c>
    </row>
    <row r="170" customFormat="false" ht="15" hidden="false" customHeight="false" outlineLevel="0" collapsed="false">
      <c r="A170" s="10" t="s">
        <v>637</v>
      </c>
      <c r="B170" s="10" t="s">
        <v>638</v>
      </c>
      <c r="C170" s="10" t="s">
        <v>639</v>
      </c>
      <c r="D170" s="12" t="n">
        <v>83</v>
      </c>
      <c r="E170" s="12"/>
      <c r="F170" s="12"/>
      <c r="G170" s="10" t="s">
        <v>393</v>
      </c>
      <c r="H170" s="10" t="s">
        <v>640</v>
      </c>
      <c r="I170" s="11" t="s">
        <v>439</v>
      </c>
      <c r="J170" s="10" t="s">
        <v>440</v>
      </c>
      <c r="K170" s="10" t="s">
        <v>441</v>
      </c>
      <c r="L170" s="10" t="s">
        <v>60</v>
      </c>
      <c r="M170" s="10" t="s">
        <v>408</v>
      </c>
      <c r="N170" s="11" t="s">
        <v>641</v>
      </c>
      <c r="O170" s="11" t="s">
        <v>433</v>
      </c>
      <c r="P170" s="10" t="s">
        <v>63</v>
      </c>
      <c r="Q170" s="11" t="s">
        <v>64</v>
      </c>
      <c r="R170" s="11" t="s">
        <v>641</v>
      </c>
      <c r="S170" s="11" t="s">
        <v>66</v>
      </c>
      <c r="T170" s="11" t="s">
        <v>642</v>
      </c>
      <c r="U170" s="10" t="n">
        <f aca="false">IF(AND($D170="",$E170="",$F170=""),1,0)</f>
        <v>0</v>
      </c>
      <c r="V170" s="10" t="n">
        <f aca="false">IF(OR($I170="",$I170="—"),1,0)</f>
        <v>0</v>
      </c>
      <c r="W170" s="10" t="n">
        <f aca="false">IF(AND(ISNUMBER($D170),ISNUMBER($E170)),IF($E170&gt;$D170,1,0),0)+IF(AND(ISNUMBER($D170),ISNUMBER($F170)),IF($D170&gt;$F170,1,0),0)+IF(AND(ISNUMBER($E170),ISNUMBER($F170)),IF($E170&gt;$F170,1,0),0)</f>
        <v>0</v>
      </c>
      <c r="X170" s="13" t="s">
        <v>68</v>
      </c>
    </row>
    <row r="171" customFormat="false" ht="15" hidden="false" customHeight="false" outlineLevel="0" collapsed="false">
      <c r="A171" s="10" t="s">
        <v>643</v>
      </c>
      <c r="B171" s="10" t="s">
        <v>644</v>
      </c>
      <c r="C171" s="10" t="s">
        <v>645</v>
      </c>
      <c r="D171" s="12"/>
      <c r="E171" s="12"/>
      <c r="F171" s="12"/>
      <c r="G171" s="10"/>
      <c r="H171" s="10" t="s">
        <v>438</v>
      </c>
      <c r="I171" s="11" t="s">
        <v>439</v>
      </c>
      <c r="J171" s="10" t="s">
        <v>440</v>
      </c>
      <c r="K171" s="10" t="s">
        <v>441</v>
      </c>
      <c r="L171" s="10" t="s">
        <v>60</v>
      </c>
      <c r="M171" s="10" t="s">
        <v>628</v>
      </c>
      <c r="N171" s="10"/>
      <c r="O171" s="10" t="s">
        <v>628</v>
      </c>
      <c r="P171" s="10" t="s">
        <v>629</v>
      </c>
      <c r="Q171" s="11" t="s">
        <v>630</v>
      </c>
      <c r="R171" s="11" t="s">
        <v>631</v>
      </c>
      <c r="S171" s="11" t="s">
        <v>66</v>
      </c>
      <c r="T171" s="11" t="s">
        <v>646</v>
      </c>
      <c r="U171" s="10" t="n">
        <f aca="false">IF(AND($D171="",$E171="",$F171=""),1,0)</f>
        <v>1</v>
      </c>
      <c r="V171" s="10" t="n">
        <f aca="false">IF(OR($I171="",$I171="—"),1,0)</f>
        <v>0</v>
      </c>
      <c r="W171" s="10" t="n">
        <f aca="false">IF(AND(ISNUMBER($D171),ISNUMBER($E171)),IF($E171&gt;$D171,1,0),0)+IF(AND(ISNUMBER($D171),ISNUMBER($F171)),IF($D171&gt;$F171,1,0),0)+IF(AND(ISNUMBER($E171),ISNUMBER($F171)),IF($E171&gt;$F171,1,0),0)</f>
        <v>0</v>
      </c>
      <c r="X171" s="13" t="s">
        <v>68</v>
      </c>
    </row>
    <row r="172" customFormat="false" ht="15" hidden="false" customHeight="false" outlineLevel="0" collapsed="false">
      <c r="A172" s="10" t="s">
        <v>647</v>
      </c>
      <c r="B172" s="10" t="s">
        <v>648</v>
      </c>
      <c r="C172" s="10" t="s">
        <v>649</v>
      </c>
      <c r="D172" s="12" t="n">
        <v>242000</v>
      </c>
      <c r="E172" s="12" t="n">
        <v>242000</v>
      </c>
      <c r="F172" s="12"/>
      <c r="G172" s="11" t="s">
        <v>431</v>
      </c>
      <c r="H172" s="10" t="s">
        <v>438</v>
      </c>
      <c r="I172" s="11" t="s">
        <v>439</v>
      </c>
      <c r="J172" s="10" t="s">
        <v>440</v>
      </c>
      <c r="K172" s="10" t="s">
        <v>441</v>
      </c>
      <c r="L172" s="10" t="s">
        <v>60</v>
      </c>
      <c r="M172" s="10" t="s">
        <v>408</v>
      </c>
      <c r="N172" s="11" t="s">
        <v>641</v>
      </c>
      <c r="O172" s="11" t="s">
        <v>433</v>
      </c>
      <c r="P172" s="10" t="s">
        <v>63</v>
      </c>
      <c r="Q172" s="11" t="s">
        <v>64</v>
      </c>
      <c r="R172" s="11" t="s">
        <v>641</v>
      </c>
      <c r="S172" s="11" t="s">
        <v>66</v>
      </c>
      <c r="T172" s="11" t="s">
        <v>650</v>
      </c>
      <c r="U172" s="10" t="n">
        <f aca="false">IF(AND($D172="",$E172="",$F172=""),1,0)</f>
        <v>0</v>
      </c>
      <c r="V172" s="10" t="n">
        <f aca="false">IF(OR($I172="",$I172="—"),1,0)</f>
        <v>0</v>
      </c>
      <c r="W172" s="10" t="n">
        <f aca="false">IF(AND(ISNUMBER($D172),ISNUMBER($E172)),IF($E172&gt;$D172,1,0),0)+IF(AND(ISNUMBER($D172),ISNUMBER($F172)),IF($D172&gt;$F172,1,0),0)+IF(AND(ISNUMBER($E172),ISNUMBER($F172)),IF($E172&gt;$F172,1,0),0)</f>
        <v>0</v>
      </c>
      <c r="X172" s="13" t="s">
        <v>68</v>
      </c>
    </row>
    <row r="173" customFormat="false" ht="15" hidden="false" customHeight="false" outlineLevel="0" collapsed="false">
      <c r="A173" s="10" t="s">
        <v>651</v>
      </c>
      <c r="B173" s="10" t="s">
        <v>652</v>
      </c>
      <c r="C173" s="11" t="s">
        <v>653</v>
      </c>
      <c r="D173" s="12" t="n">
        <v>8.2518</v>
      </c>
      <c r="E173" s="12"/>
      <c r="F173" s="12"/>
      <c r="G173" s="10" t="s">
        <v>55</v>
      </c>
      <c r="H173" s="10" t="s">
        <v>654</v>
      </c>
      <c r="I173" s="11" t="s">
        <v>655</v>
      </c>
      <c r="J173" s="10" t="s">
        <v>656</v>
      </c>
      <c r="K173" s="10" t="s">
        <v>657</v>
      </c>
      <c r="L173" s="10" t="s">
        <v>60</v>
      </c>
      <c r="M173" s="10" t="s">
        <v>61</v>
      </c>
      <c r="N173" s="10"/>
      <c r="O173" s="11" t="s">
        <v>658</v>
      </c>
      <c r="P173" s="10" t="s">
        <v>63</v>
      </c>
      <c r="Q173" s="11" t="s">
        <v>64</v>
      </c>
      <c r="R173" s="11" t="s">
        <v>65</v>
      </c>
      <c r="S173" s="11" t="s">
        <v>66</v>
      </c>
      <c r="T173" s="11" t="s">
        <v>659</v>
      </c>
      <c r="U173" s="10" t="n">
        <f aca="false">IF(AND($D173="",$E173="",$F173=""),1,0)</f>
        <v>0</v>
      </c>
      <c r="V173" s="10" t="n">
        <f aca="false">IF(OR($I173="",$I173="—"),1,0)</f>
        <v>0</v>
      </c>
      <c r="W173" s="10" t="n">
        <f aca="false">IF(AND(ISNUMBER($D173),ISNUMBER($E173)),IF($E173&gt;$D173,1,0),0)+IF(AND(ISNUMBER($D173),ISNUMBER($F173)),IF($D173&gt;$F173,1,0),0)+IF(AND(ISNUMBER($E173),ISNUMBER($F173)),IF($E173&gt;$F173,1,0),0)</f>
        <v>0</v>
      </c>
      <c r="X173" s="13" t="s">
        <v>68</v>
      </c>
    </row>
    <row r="174" customFormat="false" ht="15" hidden="false" customHeight="false" outlineLevel="0" collapsed="false">
      <c r="A174" s="10" t="s">
        <v>660</v>
      </c>
      <c r="B174" s="10" t="s">
        <v>661</v>
      </c>
      <c r="C174" s="11" t="s">
        <v>653</v>
      </c>
      <c r="D174" s="12" t="n">
        <v>0.291</v>
      </c>
      <c r="E174" s="12"/>
      <c r="F174" s="12"/>
      <c r="G174" s="10" t="s">
        <v>55</v>
      </c>
      <c r="H174" s="10" t="s">
        <v>84</v>
      </c>
      <c r="I174" s="11" t="s">
        <v>655</v>
      </c>
      <c r="J174" s="10" t="s">
        <v>656</v>
      </c>
      <c r="K174" s="10" t="s">
        <v>657</v>
      </c>
      <c r="L174" s="10" t="s">
        <v>60</v>
      </c>
      <c r="M174" s="10" t="s">
        <v>61</v>
      </c>
      <c r="N174" s="10"/>
      <c r="O174" s="11" t="s">
        <v>658</v>
      </c>
      <c r="P174" s="10" t="s">
        <v>63</v>
      </c>
      <c r="Q174" s="11" t="s">
        <v>64</v>
      </c>
      <c r="R174" s="11" t="s">
        <v>65</v>
      </c>
      <c r="S174" s="11" t="s">
        <v>66</v>
      </c>
      <c r="T174" s="11" t="s">
        <v>662</v>
      </c>
      <c r="U174" s="10" t="n">
        <f aca="false">IF(AND($D174="",$E174="",$F174=""),1,0)</f>
        <v>0</v>
      </c>
      <c r="V174" s="10" t="n">
        <f aca="false">IF(OR($I174="",$I174="—"),1,0)</f>
        <v>0</v>
      </c>
      <c r="W174" s="10" t="n">
        <f aca="false">IF(AND(ISNUMBER($D174),ISNUMBER($E174)),IF($E174&gt;$D174,1,0),0)+IF(AND(ISNUMBER($D174),ISNUMBER($F174)),IF($D174&gt;$F174,1,0),0)+IF(AND(ISNUMBER($E174),ISNUMBER($F174)),IF($E174&gt;$F174,1,0),0)</f>
        <v>0</v>
      </c>
      <c r="X174" s="13" t="s">
        <v>68</v>
      </c>
    </row>
    <row r="175" customFormat="false" ht="15" hidden="false" customHeight="false" outlineLevel="0" collapsed="false">
      <c r="A175" s="10" t="s">
        <v>663</v>
      </c>
      <c r="B175" s="10" t="s">
        <v>664</v>
      </c>
      <c r="C175" s="11" t="s">
        <v>665</v>
      </c>
      <c r="D175" s="12" t="n">
        <v>0.5556</v>
      </c>
      <c r="E175" s="12"/>
      <c r="F175" s="12"/>
      <c r="G175" s="10" t="s">
        <v>55</v>
      </c>
      <c r="H175" s="10" t="s">
        <v>654</v>
      </c>
      <c r="I175" s="11" t="s">
        <v>655</v>
      </c>
      <c r="J175" s="10" t="s">
        <v>656</v>
      </c>
      <c r="K175" s="10" t="s">
        <v>657</v>
      </c>
      <c r="L175" s="10" t="s">
        <v>60</v>
      </c>
      <c r="M175" s="10" t="s">
        <v>61</v>
      </c>
      <c r="N175" s="10"/>
      <c r="O175" s="11" t="s">
        <v>658</v>
      </c>
      <c r="P175" s="10" t="s">
        <v>63</v>
      </c>
      <c r="Q175" s="11" t="s">
        <v>64</v>
      </c>
      <c r="R175" s="11" t="s">
        <v>65</v>
      </c>
      <c r="S175" s="11" t="s">
        <v>66</v>
      </c>
      <c r="T175" s="11" t="s">
        <v>666</v>
      </c>
      <c r="U175" s="10" t="n">
        <f aca="false">IF(AND($D175="",$E175="",$F175=""),1,0)</f>
        <v>0</v>
      </c>
      <c r="V175" s="10" t="n">
        <f aca="false">IF(OR($I175="",$I175="—"),1,0)</f>
        <v>0</v>
      </c>
      <c r="W175" s="10" t="n">
        <f aca="false">IF(AND(ISNUMBER($D175),ISNUMBER($E175)),IF($E175&gt;$D175,1,0),0)+IF(AND(ISNUMBER($D175),ISNUMBER($F175)),IF($D175&gt;$F175,1,0),0)+IF(AND(ISNUMBER($E175),ISNUMBER($F175)),IF($E175&gt;$F175,1,0),0)</f>
        <v>0</v>
      </c>
      <c r="X175" s="13" t="s">
        <v>68</v>
      </c>
    </row>
    <row r="176" customFormat="false" ht="15" hidden="false" customHeight="false" outlineLevel="0" collapsed="false">
      <c r="A176" s="10" t="s">
        <v>667</v>
      </c>
      <c r="B176" s="10" t="s">
        <v>668</v>
      </c>
      <c r="C176" s="11" t="s">
        <v>665</v>
      </c>
      <c r="D176" s="12" t="n">
        <v>0.1374</v>
      </c>
      <c r="E176" s="12"/>
      <c r="F176" s="12"/>
      <c r="G176" s="10" t="s">
        <v>55</v>
      </c>
      <c r="H176" s="10" t="s">
        <v>84</v>
      </c>
      <c r="I176" s="11" t="s">
        <v>655</v>
      </c>
      <c r="J176" s="10" t="s">
        <v>656</v>
      </c>
      <c r="K176" s="10" t="s">
        <v>657</v>
      </c>
      <c r="L176" s="10" t="s">
        <v>60</v>
      </c>
      <c r="M176" s="10" t="s">
        <v>61</v>
      </c>
      <c r="N176" s="10"/>
      <c r="O176" s="11" t="s">
        <v>658</v>
      </c>
      <c r="P176" s="10" t="s">
        <v>63</v>
      </c>
      <c r="Q176" s="11" t="s">
        <v>64</v>
      </c>
      <c r="R176" s="11" t="s">
        <v>65</v>
      </c>
      <c r="S176" s="11" t="s">
        <v>66</v>
      </c>
      <c r="T176" s="11" t="s">
        <v>669</v>
      </c>
      <c r="U176" s="10" t="n">
        <f aca="false">IF(AND($D176="",$E176="",$F176=""),1,0)</f>
        <v>0</v>
      </c>
      <c r="V176" s="10" t="n">
        <f aca="false">IF(OR($I176="",$I176="—"),1,0)</f>
        <v>0</v>
      </c>
      <c r="W176" s="10" t="n">
        <f aca="false">IF(AND(ISNUMBER($D176),ISNUMBER($E176)),IF($E176&gt;$D176,1,0),0)+IF(AND(ISNUMBER($D176),ISNUMBER($F176)),IF($D176&gt;$F176,1,0),0)+IF(AND(ISNUMBER($E176),ISNUMBER($F176)),IF($E176&gt;$F176,1,0),0)</f>
        <v>0</v>
      </c>
      <c r="X176" s="13" t="s">
        <v>68</v>
      </c>
    </row>
    <row r="177" customFormat="false" ht="15" hidden="false" customHeight="false" outlineLevel="0" collapsed="false">
      <c r="A177" s="10" t="s">
        <v>670</v>
      </c>
      <c r="B177" s="10" t="s">
        <v>671</v>
      </c>
      <c r="C177" s="11" t="s">
        <v>672</v>
      </c>
      <c r="D177" s="12" t="n">
        <v>0.6704</v>
      </c>
      <c r="E177" s="12"/>
      <c r="F177" s="12"/>
      <c r="G177" s="10" t="s">
        <v>55</v>
      </c>
      <c r="H177" s="10" t="s">
        <v>654</v>
      </c>
      <c r="I177" s="11" t="s">
        <v>655</v>
      </c>
      <c r="J177" s="10" t="s">
        <v>656</v>
      </c>
      <c r="K177" s="10" t="s">
        <v>657</v>
      </c>
      <c r="L177" s="10" t="s">
        <v>60</v>
      </c>
      <c r="M177" s="10" t="s">
        <v>61</v>
      </c>
      <c r="N177" s="10"/>
      <c r="O177" s="11" t="s">
        <v>658</v>
      </c>
      <c r="P177" s="10" t="s">
        <v>63</v>
      </c>
      <c r="Q177" s="11" t="s">
        <v>64</v>
      </c>
      <c r="R177" s="11" t="s">
        <v>65</v>
      </c>
      <c r="S177" s="11" t="s">
        <v>66</v>
      </c>
      <c r="T177" s="11" t="s">
        <v>673</v>
      </c>
      <c r="U177" s="10" t="n">
        <f aca="false">IF(AND($D177="",$E177="",$F177=""),1,0)</f>
        <v>0</v>
      </c>
      <c r="V177" s="10" t="n">
        <f aca="false">IF(OR($I177="",$I177="—"),1,0)</f>
        <v>0</v>
      </c>
      <c r="W177" s="10" t="n">
        <f aca="false">IF(AND(ISNUMBER($D177),ISNUMBER($E177)),IF($E177&gt;$D177,1,0),0)+IF(AND(ISNUMBER($D177),ISNUMBER($F177)),IF($D177&gt;$F177,1,0),0)+IF(AND(ISNUMBER($E177),ISNUMBER($F177)),IF($E177&gt;$F177,1,0),0)</f>
        <v>0</v>
      </c>
      <c r="X177" s="13" t="s">
        <v>68</v>
      </c>
    </row>
    <row r="178" customFormat="false" ht="15" hidden="false" customHeight="false" outlineLevel="0" collapsed="false">
      <c r="A178" s="10" t="s">
        <v>674</v>
      </c>
      <c r="B178" s="10" t="s">
        <v>675</v>
      </c>
      <c r="C178" s="11" t="s">
        <v>672</v>
      </c>
      <c r="D178" s="12" t="n">
        <v>1.4755</v>
      </c>
      <c r="E178" s="12"/>
      <c r="F178" s="12"/>
      <c r="G178" s="10" t="s">
        <v>55</v>
      </c>
      <c r="H178" s="10" t="s">
        <v>84</v>
      </c>
      <c r="I178" s="11" t="s">
        <v>655</v>
      </c>
      <c r="J178" s="10" t="s">
        <v>656</v>
      </c>
      <c r="K178" s="10" t="s">
        <v>657</v>
      </c>
      <c r="L178" s="10" t="s">
        <v>60</v>
      </c>
      <c r="M178" s="10" t="s">
        <v>61</v>
      </c>
      <c r="N178" s="10"/>
      <c r="O178" s="11" t="s">
        <v>658</v>
      </c>
      <c r="P178" s="10" t="s">
        <v>63</v>
      </c>
      <c r="Q178" s="11" t="s">
        <v>64</v>
      </c>
      <c r="R178" s="11" t="s">
        <v>65</v>
      </c>
      <c r="S178" s="11" t="s">
        <v>66</v>
      </c>
      <c r="T178" s="11" t="s">
        <v>676</v>
      </c>
      <c r="U178" s="10" t="n">
        <f aca="false">IF(AND($D178="",$E178="",$F178=""),1,0)</f>
        <v>0</v>
      </c>
      <c r="V178" s="10" t="n">
        <f aca="false">IF(OR($I178="",$I178="—"),1,0)</f>
        <v>0</v>
      </c>
      <c r="W178" s="10" t="n">
        <f aca="false">IF(AND(ISNUMBER($D178),ISNUMBER($E178)),IF($E178&gt;$D178,1,0),0)+IF(AND(ISNUMBER($D178),ISNUMBER($F178)),IF($D178&gt;$F178,1,0),0)+IF(AND(ISNUMBER($E178),ISNUMBER($F178)),IF($E178&gt;$F178,1,0),0)</f>
        <v>0</v>
      </c>
      <c r="X178" s="13" t="s">
        <v>68</v>
      </c>
    </row>
    <row r="179" customFormat="false" ht="15" hidden="false" customHeight="false" outlineLevel="0" collapsed="false">
      <c r="A179" s="10" t="s">
        <v>677</v>
      </c>
      <c r="B179" s="10" t="s">
        <v>678</v>
      </c>
      <c r="C179" s="11" t="s">
        <v>679</v>
      </c>
      <c r="D179" s="12" t="n">
        <v>0.0612</v>
      </c>
      <c r="E179" s="12"/>
      <c r="F179" s="12"/>
      <c r="G179" s="10" t="s">
        <v>55</v>
      </c>
      <c r="H179" s="10" t="s">
        <v>654</v>
      </c>
      <c r="I179" s="11" t="s">
        <v>655</v>
      </c>
      <c r="J179" s="10" t="s">
        <v>656</v>
      </c>
      <c r="K179" s="10" t="s">
        <v>657</v>
      </c>
      <c r="L179" s="10" t="s">
        <v>60</v>
      </c>
      <c r="M179" s="10" t="s">
        <v>61</v>
      </c>
      <c r="N179" s="10"/>
      <c r="O179" s="11" t="s">
        <v>658</v>
      </c>
      <c r="P179" s="10" t="s">
        <v>63</v>
      </c>
      <c r="Q179" s="11" t="s">
        <v>64</v>
      </c>
      <c r="R179" s="11" t="s">
        <v>65</v>
      </c>
      <c r="S179" s="11" t="s">
        <v>66</v>
      </c>
      <c r="T179" s="11" t="s">
        <v>680</v>
      </c>
      <c r="U179" s="10" t="n">
        <f aca="false">IF(AND($D179="",$E179="",$F179=""),1,0)</f>
        <v>0</v>
      </c>
      <c r="V179" s="10" t="n">
        <f aca="false">IF(OR($I179="",$I179="—"),1,0)</f>
        <v>0</v>
      </c>
      <c r="W179" s="10" t="n">
        <f aca="false">IF(AND(ISNUMBER($D179),ISNUMBER($E179)),IF($E179&gt;$D179,1,0),0)+IF(AND(ISNUMBER($D179),ISNUMBER($F179)),IF($D179&gt;$F179,1,0),0)+IF(AND(ISNUMBER($E179),ISNUMBER($F179)),IF($E179&gt;$F179,1,0),0)</f>
        <v>0</v>
      </c>
      <c r="X179" s="13" t="s">
        <v>68</v>
      </c>
    </row>
    <row r="180" customFormat="false" ht="15" hidden="false" customHeight="false" outlineLevel="0" collapsed="false">
      <c r="A180" s="10" t="s">
        <v>681</v>
      </c>
      <c r="B180" s="10" t="s">
        <v>682</v>
      </c>
      <c r="C180" s="11" t="s">
        <v>679</v>
      </c>
      <c r="D180" s="12" t="n">
        <v>0.0048</v>
      </c>
      <c r="E180" s="12"/>
      <c r="F180" s="12"/>
      <c r="G180" s="10" t="s">
        <v>55</v>
      </c>
      <c r="H180" s="10" t="s">
        <v>84</v>
      </c>
      <c r="I180" s="11" t="s">
        <v>655</v>
      </c>
      <c r="J180" s="10" t="s">
        <v>656</v>
      </c>
      <c r="K180" s="10" t="s">
        <v>657</v>
      </c>
      <c r="L180" s="10" t="s">
        <v>60</v>
      </c>
      <c r="M180" s="10" t="s">
        <v>61</v>
      </c>
      <c r="N180" s="10"/>
      <c r="O180" s="11" t="s">
        <v>658</v>
      </c>
      <c r="P180" s="10" t="s">
        <v>63</v>
      </c>
      <c r="Q180" s="11" t="s">
        <v>64</v>
      </c>
      <c r="R180" s="11" t="s">
        <v>65</v>
      </c>
      <c r="S180" s="11" t="s">
        <v>66</v>
      </c>
      <c r="T180" s="11" t="s">
        <v>683</v>
      </c>
      <c r="U180" s="10" t="n">
        <f aca="false">IF(AND($D180="",$E180="",$F180=""),1,0)</f>
        <v>0</v>
      </c>
      <c r="V180" s="10" t="n">
        <f aca="false">IF(OR($I180="",$I180="—"),1,0)</f>
        <v>0</v>
      </c>
      <c r="W180" s="10" t="n">
        <f aca="false">IF(AND(ISNUMBER($D180),ISNUMBER($E180)),IF($E180&gt;$D180,1,0),0)+IF(AND(ISNUMBER($D180),ISNUMBER($F180)),IF($D180&gt;$F180,1,0),0)+IF(AND(ISNUMBER($E180),ISNUMBER($F180)),IF($E180&gt;$F180,1,0),0)</f>
        <v>0</v>
      </c>
      <c r="X180" s="13" t="s">
        <v>68</v>
      </c>
    </row>
    <row r="181" customFormat="false" ht="15" hidden="false" customHeight="false" outlineLevel="0" collapsed="false">
      <c r="A181" s="10" t="s">
        <v>684</v>
      </c>
      <c r="B181" s="10" t="s">
        <v>685</v>
      </c>
      <c r="C181" s="11" t="s">
        <v>54</v>
      </c>
      <c r="D181" s="12" t="n">
        <v>9.5389</v>
      </c>
      <c r="E181" s="12"/>
      <c r="F181" s="12"/>
      <c r="G181" s="10" t="s">
        <v>55</v>
      </c>
      <c r="H181" s="10" t="s">
        <v>654</v>
      </c>
      <c r="I181" s="11" t="s">
        <v>655</v>
      </c>
      <c r="J181" s="10" t="s">
        <v>656</v>
      </c>
      <c r="K181" s="10" t="s">
        <v>657</v>
      </c>
      <c r="L181" s="10" t="s">
        <v>60</v>
      </c>
      <c r="M181" s="10" t="s">
        <v>61</v>
      </c>
      <c r="N181" s="10"/>
      <c r="O181" s="11" t="s">
        <v>658</v>
      </c>
      <c r="P181" s="10" t="s">
        <v>63</v>
      </c>
      <c r="Q181" s="11" t="s">
        <v>64</v>
      </c>
      <c r="R181" s="11" t="s">
        <v>65</v>
      </c>
      <c r="S181" s="11" t="s">
        <v>66</v>
      </c>
      <c r="T181" s="11" t="s">
        <v>686</v>
      </c>
      <c r="U181" s="10" t="n">
        <f aca="false">IF(AND($D181="",$E181="",$F181=""),1,0)</f>
        <v>0</v>
      </c>
      <c r="V181" s="10" t="n">
        <f aca="false">IF(OR($I181="",$I181="—"),1,0)</f>
        <v>0</v>
      </c>
      <c r="W181" s="10" t="n">
        <f aca="false">IF(AND(ISNUMBER($D181),ISNUMBER($E181)),IF($E181&gt;$D181,1,0),0)+IF(AND(ISNUMBER($D181),ISNUMBER($F181)),IF($D181&gt;$F181,1,0),0)+IF(AND(ISNUMBER($E181),ISNUMBER($F181)),IF($E181&gt;$F181,1,0),0)</f>
        <v>0</v>
      </c>
      <c r="X181" s="13" t="s">
        <v>68</v>
      </c>
    </row>
    <row r="182" customFormat="false" ht="15" hidden="false" customHeight="false" outlineLevel="0" collapsed="false">
      <c r="A182" s="10" t="s">
        <v>687</v>
      </c>
      <c r="B182" s="10" t="s">
        <v>688</v>
      </c>
      <c r="C182" s="11" t="s">
        <v>473</v>
      </c>
      <c r="D182" s="12" t="n">
        <v>1.2872</v>
      </c>
      <c r="E182" s="12"/>
      <c r="F182" s="12"/>
      <c r="G182" s="10" t="s">
        <v>55</v>
      </c>
      <c r="H182" s="10" t="s">
        <v>654</v>
      </c>
      <c r="I182" s="11" t="s">
        <v>655</v>
      </c>
      <c r="J182" s="10" t="s">
        <v>689</v>
      </c>
      <c r="K182" s="10" t="s">
        <v>657</v>
      </c>
      <c r="L182" s="10" t="s">
        <v>60</v>
      </c>
      <c r="M182" s="10" t="s">
        <v>61</v>
      </c>
      <c r="N182" s="10"/>
      <c r="O182" s="11" t="s">
        <v>658</v>
      </c>
      <c r="P182" s="10" t="s">
        <v>63</v>
      </c>
      <c r="Q182" s="11" t="s">
        <v>64</v>
      </c>
      <c r="R182" s="11" t="s">
        <v>65</v>
      </c>
      <c r="S182" s="11" t="s">
        <v>66</v>
      </c>
      <c r="T182" s="10" t="s">
        <v>690</v>
      </c>
      <c r="U182" s="10" t="n">
        <f aca="false">IF(AND($D182="",$E182="",$F182=""),1,0)</f>
        <v>0</v>
      </c>
      <c r="V182" s="10" t="n">
        <f aca="false">IF(OR($I182="",$I182="—"),1,0)</f>
        <v>0</v>
      </c>
      <c r="W182" s="10" t="n">
        <f aca="false">IF(AND(ISNUMBER($D182),ISNUMBER($E182)),IF($E182&gt;$D182,1,0),0)+IF(AND(ISNUMBER($D182),ISNUMBER($F182)),IF($D182&gt;$F182,1,0),0)+IF(AND(ISNUMBER($E182),ISNUMBER($F182)),IF($E182&gt;$F182,1,0),0)</f>
        <v>0</v>
      </c>
      <c r="X182" s="13" t="s">
        <v>68</v>
      </c>
    </row>
    <row r="183" customFormat="false" ht="15" hidden="false" customHeight="false" outlineLevel="0" collapsed="false">
      <c r="A183" s="10" t="s">
        <v>691</v>
      </c>
      <c r="B183" s="10" t="s">
        <v>692</v>
      </c>
      <c r="C183" s="11" t="s">
        <v>477</v>
      </c>
      <c r="D183" s="12" t="n">
        <v>8.2518</v>
      </c>
      <c r="E183" s="12"/>
      <c r="F183" s="12"/>
      <c r="G183" s="10" t="s">
        <v>55</v>
      </c>
      <c r="H183" s="10" t="s">
        <v>654</v>
      </c>
      <c r="I183" s="11" t="s">
        <v>655</v>
      </c>
      <c r="J183" s="10" t="s">
        <v>689</v>
      </c>
      <c r="K183" s="10" t="s">
        <v>657</v>
      </c>
      <c r="L183" s="10" t="s">
        <v>60</v>
      </c>
      <c r="M183" s="10" t="s">
        <v>61</v>
      </c>
      <c r="N183" s="10"/>
      <c r="O183" s="11" t="s">
        <v>658</v>
      </c>
      <c r="P183" s="10" t="s">
        <v>63</v>
      </c>
      <c r="Q183" s="11" t="s">
        <v>64</v>
      </c>
      <c r="R183" s="11" t="s">
        <v>65</v>
      </c>
      <c r="S183" s="11" t="s">
        <v>66</v>
      </c>
      <c r="T183" s="10" t="s">
        <v>693</v>
      </c>
      <c r="U183" s="10" t="n">
        <f aca="false">IF(AND($D183="",$E183="",$F183=""),1,0)</f>
        <v>0</v>
      </c>
      <c r="V183" s="10" t="n">
        <f aca="false">IF(OR($I183="",$I183="—"),1,0)</f>
        <v>0</v>
      </c>
      <c r="W183" s="10" t="n">
        <f aca="false">IF(AND(ISNUMBER($D183),ISNUMBER($E183)),IF($E183&gt;$D183,1,0),0)+IF(AND(ISNUMBER($D183),ISNUMBER($F183)),IF($D183&gt;$F183,1,0),0)+IF(AND(ISNUMBER($E183),ISNUMBER($F183)),IF($E183&gt;$F183,1,0),0)</f>
        <v>0</v>
      </c>
      <c r="X183" s="13" t="s">
        <v>68</v>
      </c>
    </row>
    <row r="184" customFormat="false" ht="15" hidden="false" customHeight="false" outlineLevel="0" collapsed="false">
      <c r="A184" s="10" t="s">
        <v>694</v>
      </c>
      <c r="B184" s="10" t="s">
        <v>695</v>
      </c>
      <c r="C184" s="11" t="s">
        <v>696</v>
      </c>
      <c r="D184" s="12" t="n">
        <v>0.6704</v>
      </c>
      <c r="E184" s="12"/>
      <c r="F184" s="12"/>
      <c r="G184" s="10" t="s">
        <v>55</v>
      </c>
      <c r="H184" s="10" t="s">
        <v>654</v>
      </c>
      <c r="I184" s="11" t="s">
        <v>697</v>
      </c>
      <c r="J184" s="10" t="s">
        <v>698</v>
      </c>
      <c r="K184" s="10" t="s">
        <v>699</v>
      </c>
      <c r="L184" s="10" t="s">
        <v>60</v>
      </c>
      <c r="M184" s="10" t="s">
        <v>408</v>
      </c>
      <c r="N184" s="11" t="s">
        <v>700</v>
      </c>
      <c r="O184" s="11" t="s">
        <v>701</v>
      </c>
      <c r="P184" s="10" t="s">
        <v>629</v>
      </c>
      <c r="Q184" s="11" t="s">
        <v>64</v>
      </c>
      <c r="R184" s="11" t="s">
        <v>700</v>
      </c>
      <c r="S184" s="11" t="s">
        <v>702</v>
      </c>
      <c r="T184" s="11" t="s">
        <v>703</v>
      </c>
      <c r="U184" s="10" t="n">
        <f aca="false">IF(AND($D184="",$E184="",$F184=""),1,0)</f>
        <v>0</v>
      </c>
      <c r="V184" s="10" t="n">
        <f aca="false">IF(OR($I184="",$I184="—"),1,0)</f>
        <v>0</v>
      </c>
      <c r="W184" s="10" t="n">
        <f aca="false">IF(AND(ISNUMBER($D184),ISNUMBER($E184)),IF($E184&gt;$D184,1,0),0)+IF(AND(ISNUMBER($D184),ISNUMBER($F184)),IF($D184&gt;$F184,1,0),0)+IF(AND(ISNUMBER($E184),ISNUMBER($F184)),IF($E184&gt;$F184,1,0),0)</f>
        <v>0</v>
      </c>
      <c r="X184" s="13" t="s">
        <v>68</v>
      </c>
    </row>
    <row r="185" customFormat="false" ht="15" hidden="false" customHeight="false" outlineLevel="0" collapsed="false">
      <c r="A185" s="10" t="s">
        <v>704</v>
      </c>
      <c r="B185" s="10" t="s">
        <v>705</v>
      </c>
      <c r="C185" s="11" t="s">
        <v>706</v>
      </c>
      <c r="D185" s="12" t="n">
        <v>1.3</v>
      </c>
      <c r="E185" s="12"/>
      <c r="F185" s="12"/>
      <c r="G185" s="10" t="s">
        <v>55</v>
      </c>
      <c r="H185" s="10" t="s">
        <v>654</v>
      </c>
      <c r="I185" s="11" t="s">
        <v>707</v>
      </c>
      <c r="J185" s="10" t="s">
        <v>708</v>
      </c>
      <c r="K185" s="10" t="s">
        <v>709</v>
      </c>
      <c r="L185" s="10" t="s">
        <v>60</v>
      </c>
      <c r="M185" s="10" t="s">
        <v>408</v>
      </c>
      <c r="N185" s="11" t="s">
        <v>710</v>
      </c>
      <c r="O185" s="11" t="s">
        <v>711</v>
      </c>
      <c r="P185" s="10" t="s">
        <v>629</v>
      </c>
      <c r="Q185" s="11" t="s">
        <v>64</v>
      </c>
      <c r="R185" s="11" t="s">
        <v>710</v>
      </c>
      <c r="S185" s="11" t="s">
        <v>702</v>
      </c>
      <c r="T185" s="11" t="s">
        <v>712</v>
      </c>
      <c r="U185" s="10" t="n">
        <f aca="false">IF(AND($D185="",$E185="",$F185=""),1,0)</f>
        <v>0</v>
      </c>
      <c r="V185" s="10" t="n">
        <f aca="false">IF(OR($I185="",$I185="—"),1,0)</f>
        <v>0</v>
      </c>
      <c r="W185" s="10" t="n">
        <f aca="false">IF(AND(ISNUMBER($D185),ISNUMBER($E185)),IF($E185&gt;$D185,1,0),0)+IF(AND(ISNUMBER($D185),ISNUMBER($F185)),IF($D185&gt;$F185,1,0),0)+IF(AND(ISNUMBER($E185),ISNUMBER($F185)),IF($E185&gt;$F185,1,0),0)</f>
        <v>0</v>
      </c>
      <c r="X185" s="13" t="s">
        <v>68</v>
      </c>
    </row>
    <row r="186" customFormat="false" ht="15" hidden="false" customHeight="false" outlineLevel="0" collapsed="false">
      <c r="A186" s="10" t="s">
        <v>713</v>
      </c>
      <c r="B186" s="10" t="s">
        <v>714</v>
      </c>
      <c r="C186" s="11" t="s">
        <v>481</v>
      </c>
      <c r="D186" s="12" t="n">
        <v>7.0228</v>
      </c>
      <c r="E186" s="12"/>
      <c r="F186" s="12"/>
      <c r="G186" s="10" t="s">
        <v>55</v>
      </c>
      <c r="H186" s="10" t="s">
        <v>654</v>
      </c>
      <c r="I186" s="11" t="s">
        <v>655</v>
      </c>
      <c r="J186" s="10" t="s">
        <v>656</v>
      </c>
      <c r="K186" s="10" t="s">
        <v>657</v>
      </c>
      <c r="L186" s="10" t="s">
        <v>60</v>
      </c>
      <c r="M186" s="10" t="s">
        <v>61</v>
      </c>
      <c r="N186" s="10"/>
      <c r="O186" s="11" t="s">
        <v>658</v>
      </c>
      <c r="P186" s="10" t="s">
        <v>63</v>
      </c>
      <c r="Q186" s="11" t="s">
        <v>64</v>
      </c>
      <c r="R186" s="11" t="s">
        <v>65</v>
      </c>
      <c r="S186" s="11" t="s">
        <v>66</v>
      </c>
      <c r="T186" s="11" t="s">
        <v>715</v>
      </c>
      <c r="U186" s="10" t="n">
        <f aca="false">IF(AND($D186="",$E186="",$F186=""),1,0)</f>
        <v>0</v>
      </c>
      <c r="V186" s="10" t="n">
        <f aca="false">IF(OR($I186="",$I186="—"),1,0)</f>
        <v>0</v>
      </c>
      <c r="W186" s="10" t="n">
        <f aca="false">IF(AND(ISNUMBER($D186),ISNUMBER($E186)),IF($E186&gt;$D186,1,0),0)+IF(AND(ISNUMBER($D186),ISNUMBER($F186)),IF($D186&gt;$F186,1,0),0)+IF(AND(ISNUMBER($E186),ISNUMBER($F186)),IF($E186&gt;$F186,1,0),0)</f>
        <v>0</v>
      </c>
      <c r="X186" s="13" t="s">
        <v>68</v>
      </c>
    </row>
    <row r="187" customFormat="false" ht="15" hidden="false" customHeight="false" outlineLevel="0" collapsed="false">
      <c r="A187" s="10" t="s">
        <v>716</v>
      </c>
      <c r="B187" s="10" t="s">
        <v>717</v>
      </c>
      <c r="C187" s="11" t="s">
        <v>718</v>
      </c>
      <c r="D187" s="12" t="n">
        <v>0.9545</v>
      </c>
      <c r="E187" s="12"/>
      <c r="F187" s="12"/>
      <c r="G187" s="10" t="s">
        <v>55</v>
      </c>
      <c r="H187" s="10" t="s">
        <v>84</v>
      </c>
      <c r="I187" s="11" t="s">
        <v>655</v>
      </c>
      <c r="J187" s="10" t="s">
        <v>656</v>
      </c>
      <c r="K187" s="10" t="s">
        <v>657</v>
      </c>
      <c r="L187" s="10" t="s">
        <v>60</v>
      </c>
      <c r="M187" s="10" t="s">
        <v>61</v>
      </c>
      <c r="N187" s="10"/>
      <c r="O187" s="11" t="s">
        <v>658</v>
      </c>
      <c r="P187" s="10" t="s">
        <v>63</v>
      </c>
      <c r="Q187" s="11" t="s">
        <v>64</v>
      </c>
      <c r="R187" s="11" t="s">
        <v>65</v>
      </c>
      <c r="S187" s="11" t="s">
        <v>66</v>
      </c>
      <c r="T187" s="11" t="s">
        <v>719</v>
      </c>
      <c r="U187" s="10" t="n">
        <f aca="false">IF(AND($D187="",$E187="",$F187=""),1,0)</f>
        <v>0</v>
      </c>
      <c r="V187" s="10" t="n">
        <f aca="false">IF(OR($I187="",$I187="—"),1,0)</f>
        <v>0</v>
      </c>
      <c r="W187" s="10" t="n">
        <f aca="false">IF(AND(ISNUMBER($D187),ISNUMBER($E187)),IF($E187&gt;$D187,1,0),0)+IF(AND(ISNUMBER($D187),ISNUMBER($F187)),IF($D187&gt;$F187,1,0),0)+IF(AND(ISNUMBER($E187),ISNUMBER($F187)),IF($E187&gt;$F187,1,0),0)</f>
        <v>0</v>
      </c>
      <c r="X187" s="13" t="s">
        <v>68</v>
      </c>
    </row>
    <row r="188" customFormat="false" ht="15" hidden="false" customHeight="false" outlineLevel="0" collapsed="false">
      <c r="A188" s="10" t="s">
        <v>720</v>
      </c>
      <c r="B188" s="10" t="s">
        <v>721</v>
      </c>
      <c r="C188" s="11" t="s">
        <v>168</v>
      </c>
      <c r="D188" s="12" t="n">
        <v>2.5161</v>
      </c>
      <c r="E188" s="12"/>
      <c r="F188" s="12"/>
      <c r="G188" s="10" t="s">
        <v>55</v>
      </c>
      <c r="H188" s="10" t="s">
        <v>654</v>
      </c>
      <c r="I188" s="11" t="s">
        <v>655</v>
      </c>
      <c r="J188" s="10" t="s">
        <v>656</v>
      </c>
      <c r="K188" s="10" t="s">
        <v>657</v>
      </c>
      <c r="L188" s="10" t="s">
        <v>60</v>
      </c>
      <c r="M188" s="10" t="s">
        <v>61</v>
      </c>
      <c r="N188" s="10"/>
      <c r="O188" s="11" t="s">
        <v>658</v>
      </c>
      <c r="P188" s="10" t="s">
        <v>63</v>
      </c>
      <c r="Q188" s="11" t="s">
        <v>64</v>
      </c>
      <c r="R188" s="11" t="s">
        <v>65</v>
      </c>
      <c r="S188" s="11" t="s">
        <v>66</v>
      </c>
      <c r="T188" s="10" t="s">
        <v>722</v>
      </c>
      <c r="U188" s="10" t="n">
        <f aca="false">IF(AND($D188="",$E188="",$F188=""),1,0)</f>
        <v>0</v>
      </c>
      <c r="V188" s="10" t="n">
        <f aca="false">IF(OR($I188="",$I188="—"),1,0)</f>
        <v>0</v>
      </c>
      <c r="W188" s="10" t="n">
        <f aca="false">IF(AND(ISNUMBER($D188),ISNUMBER($E188)),IF($E188&gt;$D188,1,0),0)+IF(AND(ISNUMBER($D188),ISNUMBER($F188)),IF($D188&gt;$F188,1,0),0)+IF(AND(ISNUMBER($E188),ISNUMBER($F188)),IF($E188&gt;$F188,1,0),0)</f>
        <v>0</v>
      </c>
      <c r="X188" s="13" t="s">
        <v>68</v>
      </c>
    </row>
    <row r="189" customFormat="false" ht="15" hidden="false" customHeight="false" outlineLevel="0" collapsed="false">
      <c r="A189" s="10" t="s">
        <v>723</v>
      </c>
      <c r="B189" s="10" t="s">
        <v>724</v>
      </c>
      <c r="C189" s="11" t="s">
        <v>392</v>
      </c>
      <c r="D189" s="12" t="n">
        <v>26.4</v>
      </c>
      <c r="E189" s="12"/>
      <c r="F189" s="12"/>
      <c r="G189" s="10" t="s">
        <v>393</v>
      </c>
      <c r="H189" s="10" t="s">
        <v>654</v>
      </c>
      <c r="I189" s="11" t="s">
        <v>655</v>
      </c>
      <c r="J189" s="10" t="s">
        <v>656</v>
      </c>
      <c r="K189" s="10" t="s">
        <v>657</v>
      </c>
      <c r="L189" s="10" t="s">
        <v>60</v>
      </c>
      <c r="M189" s="10" t="s">
        <v>61</v>
      </c>
      <c r="N189" s="10"/>
      <c r="O189" s="11" t="s">
        <v>658</v>
      </c>
      <c r="P189" s="10" t="s">
        <v>63</v>
      </c>
      <c r="Q189" s="11" t="s">
        <v>64</v>
      </c>
      <c r="R189" s="11" t="s">
        <v>65</v>
      </c>
      <c r="S189" s="11" t="s">
        <v>66</v>
      </c>
      <c r="T189" s="11" t="s">
        <v>725</v>
      </c>
      <c r="U189" s="10" t="n">
        <f aca="false">IF(AND($D189="",$E189="",$F189=""),1,0)</f>
        <v>0</v>
      </c>
      <c r="V189" s="10" t="n">
        <f aca="false">IF(OR($I189="",$I189="—"),1,0)</f>
        <v>0</v>
      </c>
      <c r="W189" s="10" t="n">
        <f aca="false">IF(AND(ISNUMBER($D189),ISNUMBER($E189)),IF($E189&gt;$D189,1,0),0)+IF(AND(ISNUMBER($D189),ISNUMBER($F189)),IF($D189&gt;$F189,1,0),0)+IF(AND(ISNUMBER($E189),ISNUMBER($F189)),IF($E189&gt;$F189,1,0),0)</f>
        <v>0</v>
      </c>
      <c r="X189" s="13" t="s">
        <v>68</v>
      </c>
    </row>
    <row r="190" customFormat="false" ht="15" hidden="false" customHeight="false" outlineLevel="0" collapsed="false">
      <c r="A190" s="10" t="s">
        <v>726</v>
      </c>
      <c r="B190" s="10" t="s">
        <v>727</v>
      </c>
      <c r="C190" s="11" t="s">
        <v>505</v>
      </c>
      <c r="D190" s="12" t="n">
        <v>2.0287</v>
      </c>
      <c r="E190" s="12"/>
      <c r="F190" s="12"/>
      <c r="G190" s="10" t="s">
        <v>55</v>
      </c>
      <c r="H190" s="10" t="s">
        <v>654</v>
      </c>
      <c r="I190" s="11" t="s">
        <v>655</v>
      </c>
      <c r="J190" s="10" t="s">
        <v>689</v>
      </c>
      <c r="K190" s="10" t="s">
        <v>657</v>
      </c>
      <c r="L190" s="10" t="s">
        <v>60</v>
      </c>
      <c r="M190" s="10" t="s">
        <v>61</v>
      </c>
      <c r="N190" s="10"/>
      <c r="O190" s="11" t="s">
        <v>658</v>
      </c>
      <c r="P190" s="10" t="s">
        <v>63</v>
      </c>
      <c r="Q190" s="11" t="s">
        <v>64</v>
      </c>
      <c r="R190" s="11" t="s">
        <v>65</v>
      </c>
      <c r="S190" s="11" t="s">
        <v>66</v>
      </c>
      <c r="T190" s="11" t="s">
        <v>728</v>
      </c>
      <c r="U190" s="10" t="n">
        <f aca="false">IF(AND($D190="",$E190="",$F190=""),1,0)</f>
        <v>0</v>
      </c>
      <c r="V190" s="10" t="n">
        <f aca="false">IF(OR($I190="",$I190="—"),1,0)</f>
        <v>0</v>
      </c>
      <c r="W190" s="10" t="n">
        <f aca="false">IF(AND(ISNUMBER($D190),ISNUMBER($E190)),IF($E190&gt;$D190,1,0),0)+IF(AND(ISNUMBER($D190),ISNUMBER($F190)),IF($D190&gt;$F190,1,0),0)+IF(AND(ISNUMBER($E190),ISNUMBER($F190)),IF($E190&gt;$F190,1,0),0)</f>
        <v>0</v>
      </c>
      <c r="X190" s="13" t="s">
        <v>68</v>
      </c>
    </row>
    <row r="191" customFormat="false" ht="15" hidden="false" customHeight="false" outlineLevel="0" collapsed="false">
      <c r="A191" s="10" t="s">
        <v>729</v>
      </c>
      <c r="B191" s="10" t="s">
        <v>730</v>
      </c>
      <c r="C191" s="11" t="s">
        <v>505</v>
      </c>
      <c r="D191" s="12" t="n">
        <v>-0.0012</v>
      </c>
      <c r="E191" s="12"/>
      <c r="F191" s="12"/>
      <c r="G191" s="10" t="s">
        <v>55</v>
      </c>
      <c r="H191" s="10" t="s">
        <v>84</v>
      </c>
      <c r="I191" s="11" t="s">
        <v>655</v>
      </c>
      <c r="J191" s="10" t="s">
        <v>689</v>
      </c>
      <c r="K191" s="10" t="s">
        <v>657</v>
      </c>
      <c r="L191" s="10" t="s">
        <v>60</v>
      </c>
      <c r="M191" s="10" t="s">
        <v>61</v>
      </c>
      <c r="N191" s="10"/>
      <c r="O191" s="11" t="s">
        <v>658</v>
      </c>
      <c r="P191" s="10" t="s">
        <v>63</v>
      </c>
      <c r="Q191" s="11" t="s">
        <v>64</v>
      </c>
      <c r="R191" s="11" t="s">
        <v>65</v>
      </c>
      <c r="S191" s="11" t="s">
        <v>66</v>
      </c>
      <c r="T191" s="11" t="s">
        <v>731</v>
      </c>
      <c r="U191" s="10" t="n">
        <f aca="false">IF(AND($D191="",$E191="",$F191=""),1,0)</f>
        <v>0</v>
      </c>
      <c r="V191" s="10" t="n">
        <f aca="false">IF(OR($I191="",$I191="—"),1,0)</f>
        <v>0</v>
      </c>
      <c r="W191" s="10" t="n">
        <f aca="false">IF(AND(ISNUMBER($D191),ISNUMBER($E191)),IF($E191&gt;$D191,1,0),0)+IF(AND(ISNUMBER($D191),ISNUMBER($F191)),IF($D191&gt;$F191,1,0),0)+IF(AND(ISNUMBER($E191),ISNUMBER($F191)),IF($E191&gt;$F191,1,0),0)</f>
        <v>0</v>
      </c>
      <c r="X191" s="13" t="s">
        <v>68</v>
      </c>
    </row>
    <row r="192" customFormat="false" ht="15" hidden="false" customHeight="false" outlineLevel="0" collapsed="false">
      <c r="A192" s="10" t="s">
        <v>732</v>
      </c>
      <c r="B192" s="10" t="s">
        <v>733</v>
      </c>
      <c r="C192" s="11" t="s">
        <v>512</v>
      </c>
      <c r="D192" s="12" t="n">
        <v>0.198</v>
      </c>
      <c r="E192" s="12"/>
      <c r="F192" s="12"/>
      <c r="G192" s="10" t="s">
        <v>55</v>
      </c>
      <c r="H192" s="10" t="s">
        <v>654</v>
      </c>
      <c r="I192" s="11" t="s">
        <v>655</v>
      </c>
      <c r="J192" s="10" t="s">
        <v>689</v>
      </c>
      <c r="K192" s="10" t="s">
        <v>657</v>
      </c>
      <c r="L192" s="10" t="s">
        <v>60</v>
      </c>
      <c r="M192" s="10" t="s">
        <v>61</v>
      </c>
      <c r="N192" s="10"/>
      <c r="O192" s="11" t="s">
        <v>658</v>
      </c>
      <c r="P192" s="10" t="s">
        <v>63</v>
      </c>
      <c r="Q192" s="11" t="s">
        <v>64</v>
      </c>
      <c r="R192" s="11" t="s">
        <v>65</v>
      </c>
      <c r="S192" s="11" t="s">
        <v>66</v>
      </c>
      <c r="T192" s="11" t="s">
        <v>734</v>
      </c>
      <c r="U192" s="10" t="n">
        <f aca="false">IF(AND($D192="",$E192="",$F192=""),1,0)</f>
        <v>0</v>
      </c>
      <c r="V192" s="10" t="n">
        <f aca="false">IF(OR($I192="",$I192="—"),1,0)</f>
        <v>0</v>
      </c>
      <c r="W192" s="10" t="n">
        <f aca="false">IF(AND(ISNUMBER($D192),ISNUMBER($E192)),IF($E192&gt;$D192,1,0),0)+IF(AND(ISNUMBER($D192),ISNUMBER($F192)),IF($D192&gt;$F192,1,0),0)+IF(AND(ISNUMBER($E192),ISNUMBER($F192)),IF($E192&gt;$F192,1,0),0)</f>
        <v>0</v>
      </c>
      <c r="X192" s="13" t="s">
        <v>68</v>
      </c>
    </row>
    <row r="193" customFormat="false" ht="15" hidden="false" customHeight="false" outlineLevel="0" collapsed="false">
      <c r="A193" s="10" t="s">
        <v>735</v>
      </c>
      <c r="B193" s="10" t="s">
        <v>736</v>
      </c>
      <c r="C193" s="11" t="s">
        <v>512</v>
      </c>
      <c r="D193" s="12" t="n">
        <v>0.0888</v>
      </c>
      <c r="E193" s="12"/>
      <c r="F193" s="12"/>
      <c r="G193" s="10" t="s">
        <v>55</v>
      </c>
      <c r="H193" s="10" t="s">
        <v>84</v>
      </c>
      <c r="I193" s="11" t="s">
        <v>655</v>
      </c>
      <c r="J193" s="10" t="s">
        <v>689</v>
      </c>
      <c r="K193" s="10" t="s">
        <v>657</v>
      </c>
      <c r="L193" s="10" t="s">
        <v>60</v>
      </c>
      <c r="M193" s="10" t="s">
        <v>61</v>
      </c>
      <c r="N193" s="10"/>
      <c r="O193" s="11" t="s">
        <v>658</v>
      </c>
      <c r="P193" s="10" t="s">
        <v>63</v>
      </c>
      <c r="Q193" s="11" t="s">
        <v>64</v>
      </c>
      <c r="R193" s="11" t="s">
        <v>65</v>
      </c>
      <c r="S193" s="11" t="s">
        <v>66</v>
      </c>
      <c r="T193" s="11" t="s">
        <v>737</v>
      </c>
      <c r="U193" s="10" t="n">
        <f aca="false">IF(AND($D193="",$E193="",$F193=""),1,0)</f>
        <v>0</v>
      </c>
      <c r="V193" s="10" t="n">
        <f aca="false">IF(OR($I193="",$I193="—"),1,0)</f>
        <v>0</v>
      </c>
      <c r="W193" s="10" t="n">
        <f aca="false">IF(AND(ISNUMBER($D193),ISNUMBER($E193)),IF($E193&gt;$D193,1,0),0)+IF(AND(ISNUMBER($D193),ISNUMBER($F193)),IF($D193&gt;$F193,1,0),0)+IF(AND(ISNUMBER($E193),ISNUMBER($F193)),IF($E193&gt;$F193,1,0),0)</f>
        <v>0</v>
      </c>
      <c r="X193" s="13" t="s">
        <v>68</v>
      </c>
    </row>
    <row r="194" customFormat="false" ht="15" hidden="false" customHeight="false" outlineLevel="0" collapsed="false">
      <c r="A194" s="10" t="s">
        <v>738</v>
      </c>
      <c r="B194" s="10" t="s">
        <v>739</v>
      </c>
      <c r="C194" s="11" t="s">
        <v>519</v>
      </c>
      <c r="D194" s="12" t="n">
        <v>0.2837</v>
      </c>
      <c r="E194" s="12"/>
      <c r="F194" s="12"/>
      <c r="G194" s="10" t="s">
        <v>55</v>
      </c>
      <c r="H194" s="10" t="s">
        <v>654</v>
      </c>
      <c r="I194" s="11" t="s">
        <v>655</v>
      </c>
      <c r="J194" s="10" t="s">
        <v>689</v>
      </c>
      <c r="K194" s="10" t="s">
        <v>657</v>
      </c>
      <c r="L194" s="10" t="s">
        <v>60</v>
      </c>
      <c r="M194" s="10" t="s">
        <v>61</v>
      </c>
      <c r="N194" s="10"/>
      <c r="O194" s="11" t="s">
        <v>658</v>
      </c>
      <c r="P194" s="10" t="s">
        <v>63</v>
      </c>
      <c r="Q194" s="11" t="s">
        <v>64</v>
      </c>
      <c r="R194" s="11" t="s">
        <v>65</v>
      </c>
      <c r="S194" s="11" t="s">
        <v>66</v>
      </c>
      <c r="T194" s="11" t="s">
        <v>740</v>
      </c>
      <c r="U194" s="10" t="n">
        <f aca="false">IF(AND($D194="",$E194="",$F194=""),1,0)</f>
        <v>0</v>
      </c>
      <c r="V194" s="10" t="n">
        <f aca="false">IF(OR($I194="",$I194="—"),1,0)</f>
        <v>0</v>
      </c>
      <c r="W194" s="10" t="n">
        <f aca="false">IF(AND(ISNUMBER($D194),ISNUMBER($E194)),IF($E194&gt;$D194,1,0),0)+IF(AND(ISNUMBER($D194),ISNUMBER($F194)),IF($D194&gt;$F194,1,0),0)+IF(AND(ISNUMBER($E194),ISNUMBER($F194)),IF($E194&gt;$F194,1,0),0)</f>
        <v>0</v>
      </c>
      <c r="X194" s="13" t="s">
        <v>68</v>
      </c>
    </row>
    <row r="195" customFormat="false" ht="15" hidden="false" customHeight="false" outlineLevel="0" collapsed="false">
      <c r="A195" s="10" t="s">
        <v>741</v>
      </c>
      <c r="B195" s="10" t="s">
        <v>742</v>
      </c>
      <c r="C195" s="11" t="s">
        <v>519</v>
      </c>
      <c r="D195" s="12" t="n">
        <v>0.8634</v>
      </c>
      <c r="E195" s="12"/>
      <c r="F195" s="12"/>
      <c r="G195" s="10" t="s">
        <v>55</v>
      </c>
      <c r="H195" s="10" t="s">
        <v>84</v>
      </c>
      <c r="I195" s="11" t="s">
        <v>655</v>
      </c>
      <c r="J195" s="10" t="s">
        <v>689</v>
      </c>
      <c r="K195" s="10" t="s">
        <v>657</v>
      </c>
      <c r="L195" s="10" t="s">
        <v>60</v>
      </c>
      <c r="M195" s="10" t="s">
        <v>61</v>
      </c>
      <c r="N195" s="10"/>
      <c r="O195" s="11" t="s">
        <v>658</v>
      </c>
      <c r="P195" s="10" t="s">
        <v>63</v>
      </c>
      <c r="Q195" s="11" t="s">
        <v>64</v>
      </c>
      <c r="R195" s="11" t="s">
        <v>65</v>
      </c>
      <c r="S195" s="11" t="s">
        <v>66</v>
      </c>
      <c r="T195" s="11" t="s">
        <v>743</v>
      </c>
      <c r="U195" s="10" t="n">
        <f aca="false">IF(AND($D195="",$E195="",$F195=""),1,0)</f>
        <v>0</v>
      </c>
      <c r="V195" s="10" t="n">
        <f aca="false">IF(OR($I195="",$I195="—"),1,0)</f>
        <v>0</v>
      </c>
      <c r="W195" s="10" t="n">
        <f aca="false">IF(AND(ISNUMBER($D195),ISNUMBER($E195)),IF($E195&gt;$D195,1,0),0)+IF(AND(ISNUMBER($D195),ISNUMBER($F195)),IF($D195&gt;$F195,1,0),0)+IF(AND(ISNUMBER($E195),ISNUMBER($F195)),IF($E195&gt;$F195,1,0),0)</f>
        <v>0</v>
      </c>
      <c r="X195" s="13" t="s">
        <v>68</v>
      </c>
    </row>
    <row r="196" customFormat="false" ht="15" hidden="false" customHeight="false" outlineLevel="0" collapsed="false">
      <c r="A196" s="10" t="s">
        <v>744</v>
      </c>
      <c r="B196" s="10" t="s">
        <v>745</v>
      </c>
      <c r="C196" s="11" t="s">
        <v>526</v>
      </c>
      <c r="D196" s="12" t="n">
        <v>0.0058</v>
      </c>
      <c r="E196" s="12"/>
      <c r="F196" s="12"/>
      <c r="G196" s="10" t="s">
        <v>55</v>
      </c>
      <c r="H196" s="10" t="s">
        <v>654</v>
      </c>
      <c r="I196" s="11" t="s">
        <v>655</v>
      </c>
      <c r="J196" s="10" t="s">
        <v>689</v>
      </c>
      <c r="K196" s="10" t="s">
        <v>657</v>
      </c>
      <c r="L196" s="10" t="s">
        <v>60</v>
      </c>
      <c r="M196" s="10" t="s">
        <v>61</v>
      </c>
      <c r="N196" s="10"/>
      <c r="O196" s="11" t="s">
        <v>658</v>
      </c>
      <c r="P196" s="10" t="s">
        <v>63</v>
      </c>
      <c r="Q196" s="11" t="s">
        <v>64</v>
      </c>
      <c r="R196" s="11" t="s">
        <v>65</v>
      </c>
      <c r="S196" s="11" t="s">
        <v>66</v>
      </c>
      <c r="T196" s="11" t="s">
        <v>746</v>
      </c>
      <c r="U196" s="10" t="n">
        <f aca="false">IF(AND($D196="",$E196="",$F196=""),1,0)</f>
        <v>0</v>
      </c>
      <c r="V196" s="10" t="n">
        <f aca="false">IF(OR($I196="",$I196="—"),1,0)</f>
        <v>0</v>
      </c>
      <c r="W196" s="10" t="n">
        <f aca="false">IF(AND(ISNUMBER($D196),ISNUMBER($E196)),IF($E196&gt;$D196,1,0),0)+IF(AND(ISNUMBER($D196),ISNUMBER($F196)),IF($D196&gt;$F196,1,0),0)+IF(AND(ISNUMBER($E196),ISNUMBER($F196)),IF($E196&gt;$F196,1,0),0)</f>
        <v>0</v>
      </c>
      <c r="X196" s="13" t="s">
        <v>68</v>
      </c>
    </row>
    <row r="197" customFormat="false" ht="15" hidden="false" customHeight="false" outlineLevel="0" collapsed="false">
      <c r="A197" s="10" t="s">
        <v>747</v>
      </c>
      <c r="B197" s="10" t="s">
        <v>748</v>
      </c>
      <c r="C197" s="11" t="s">
        <v>526</v>
      </c>
      <c r="D197" s="12" t="n">
        <v>0.0032</v>
      </c>
      <c r="E197" s="12"/>
      <c r="F197" s="12"/>
      <c r="G197" s="10" t="s">
        <v>55</v>
      </c>
      <c r="H197" s="10" t="s">
        <v>84</v>
      </c>
      <c r="I197" s="11" t="s">
        <v>655</v>
      </c>
      <c r="J197" s="10" t="s">
        <v>689</v>
      </c>
      <c r="K197" s="10" t="s">
        <v>657</v>
      </c>
      <c r="L197" s="10" t="s">
        <v>60</v>
      </c>
      <c r="M197" s="10" t="s">
        <v>61</v>
      </c>
      <c r="N197" s="10"/>
      <c r="O197" s="11" t="s">
        <v>658</v>
      </c>
      <c r="P197" s="10" t="s">
        <v>63</v>
      </c>
      <c r="Q197" s="11" t="s">
        <v>64</v>
      </c>
      <c r="R197" s="11" t="s">
        <v>65</v>
      </c>
      <c r="S197" s="11" t="s">
        <v>66</v>
      </c>
      <c r="T197" s="11" t="s">
        <v>749</v>
      </c>
      <c r="U197" s="10" t="n">
        <f aca="false">IF(AND($D197="",$E197="",$F197=""),1,0)</f>
        <v>0</v>
      </c>
      <c r="V197" s="10" t="n">
        <f aca="false">IF(OR($I197="",$I197="—"),1,0)</f>
        <v>0</v>
      </c>
      <c r="W197" s="10" t="n">
        <f aca="false">IF(AND(ISNUMBER($D197),ISNUMBER($E197)),IF($E197&gt;$D197,1,0),0)+IF(AND(ISNUMBER($D197),ISNUMBER($F197)),IF($D197&gt;$F197,1,0),0)+IF(AND(ISNUMBER($E197),ISNUMBER($F197)),IF($E197&gt;$F197,1,0),0)</f>
        <v>0</v>
      </c>
      <c r="X197" s="13" t="s">
        <v>68</v>
      </c>
    </row>
    <row r="198" customFormat="false" ht="15" hidden="false" customHeight="false" outlineLevel="0" collapsed="false">
      <c r="A198" s="10" t="s">
        <v>750</v>
      </c>
      <c r="B198" s="10" t="s">
        <v>751</v>
      </c>
      <c r="C198" s="11" t="s">
        <v>491</v>
      </c>
      <c r="D198" s="12" t="n">
        <v>0.4874</v>
      </c>
      <c r="E198" s="12"/>
      <c r="F198" s="12"/>
      <c r="G198" s="10" t="s">
        <v>55</v>
      </c>
      <c r="H198" s="10" t="s">
        <v>654</v>
      </c>
      <c r="I198" s="11" t="s">
        <v>655</v>
      </c>
      <c r="J198" s="10" t="s">
        <v>689</v>
      </c>
      <c r="K198" s="10" t="s">
        <v>657</v>
      </c>
      <c r="L198" s="10" t="s">
        <v>60</v>
      </c>
      <c r="M198" s="10" t="s">
        <v>61</v>
      </c>
      <c r="N198" s="10"/>
      <c r="O198" s="11" t="s">
        <v>658</v>
      </c>
      <c r="P198" s="10" t="s">
        <v>63</v>
      </c>
      <c r="Q198" s="11" t="s">
        <v>64</v>
      </c>
      <c r="R198" s="11" t="s">
        <v>65</v>
      </c>
      <c r="S198" s="11" t="s">
        <v>66</v>
      </c>
      <c r="T198" s="10" t="s">
        <v>752</v>
      </c>
      <c r="U198" s="10" t="n">
        <f aca="false">IF(AND($D198="",$E198="",$F198=""),1,0)</f>
        <v>0</v>
      </c>
      <c r="V198" s="10" t="n">
        <f aca="false">IF(OR($I198="",$I198="—"),1,0)</f>
        <v>0</v>
      </c>
      <c r="W198" s="10" t="n">
        <f aca="false">IF(AND(ISNUMBER($D198),ISNUMBER($E198)),IF($E198&gt;$D198,1,0),0)+IF(AND(ISNUMBER($D198),ISNUMBER($F198)),IF($D198&gt;$F198,1,0),0)+IF(AND(ISNUMBER($E198),ISNUMBER($F198)),IF($E198&gt;$F198,1,0),0)</f>
        <v>0</v>
      </c>
      <c r="X198" s="13" t="s">
        <v>68</v>
      </c>
    </row>
    <row r="199" customFormat="false" ht="15" hidden="false" customHeight="false" outlineLevel="0" collapsed="false">
      <c r="A199" s="10" t="s">
        <v>753</v>
      </c>
      <c r="B199" s="10" t="s">
        <v>754</v>
      </c>
      <c r="C199" s="11" t="s">
        <v>755</v>
      </c>
      <c r="D199" s="12" t="n">
        <v>6.223</v>
      </c>
      <c r="E199" s="12"/>
      <c r="F199" s="12"/>
      <c r="G199" s="10" t="s">
        <v>55</v>
      </c>
      <c r="H199" s="10" t="s">
        <v>654</v>
      </c>
      <c r="I199" s="11" t="s">
        <v>655</v>
      </c>
      <c r="J199" s="10" t="s">
        <v>689</v>
      </c>
      <c r="K199" s="10" t="s">
        <v>657</v>
      </c>
      <c r="L199" s="10" t="s">
        <v>60</v>
      </c>
      <c r="M199" s="10" t="s">
        <v>628</v>
      </c>
      <c r="N199" s="10"/>
      <c r="O199" s="10" t="s">
        <v>628</v>
      </c>
      <c r="P199" s="10" t="s">
        <v>629</v>
      </c>
      <c r="Q199" s="11" t="s">
        <v>630</v>
      </c>
      <c r="R199" s="11" t="s">
        <v>631</v>
      </c>
      <c r="S199" s="11" t="s">
        <v>66</v>
      </c>
      <c r="T199" s="11" t="s">
        <v>756</v>
      </c>
      <c r="U199" s="10" t="n">
        <f aca="false">IF(AND($D199="",$E199="",$F199=""),1,0)</f>
        <v>0</v>
      </c>
      <c r="V199" s="10" t="n">
        <f aca="false">IF(OR($I199="",$I199="—"),1,0)</f>
        <v>0</v>
      </c>
      <c r="W199" s="10" t="n">
        <f aca="false">IF(AND(ISNUMBER($D199),ISNUMBER($E199)),IF($E199&gt;$D199,1,0),0)+IF(AND(ISNUMBER($D199),ISNUMBER($F199)),IF($D199&gt;$F199,1,0),0)+IF(AND(ISNUMBER($E199),ISNUMBER($F199)),IF($E199&gt;$F199,1,0),0)</f>
        <v>0</v>
      </c>
      <c r="X199" s="13" t="s">
        <v>68</v>
      </c>
    </row>
    <row r="200" customFormat="false" ht="15" hidden="false" customHeight="false" outlineLevel="0" collapsed="false">
      <c r="A200" s="10" t="s">
        <v>757</v>
      </c>
      <c r="B200" s="10" t="s">
        <v>758</v>
      </c>
      <c r="C200" s="11" t="s">
        <v>759</v>
      </c>
      <c r="D200" s="12" t="n">
        <v>0.7998</v>
      </c>
      <c r="E200" s="12"/>
      <c r="F200" s="12"/>
      <c r="G200" s="10" t="s">
        <v>55</v>
      </c>
      <c r="H200" s="10" t="s">
        <v>654</v>
      </c>
      <c r="I200" s="11" t="s">
        <v>655</v>
      </c>
      <c r="J200" s="10" t="s">
        <v>689</v>
      </c>
      <c r="K200" s="10" t="s">
        <v>657</v>
      </c>
      <c r="L200" s="10" t="s">
        <v>60</v>
      </c>
      <c r="M200" s="10" t="s">
        <v>628</v>
      </c>
      <c r="N200" s="10"/>
      <c r="O200" s="10" t="s">
        <v>628</v>
      </c>
      <c r="P200" s="10" t="s">
        <v>629</v>
      </c>
      <c r="Q200" s="11" t="s">
        <v>630</v>
      </c>
      <c r="R200" s="11" t="s">
        <v>631</v>
      </c>
      <c r="S200" s="11" t="s">
        <v>66</v>
      </c>
      <c r="T200" s="10" t="s">
        <v>760</v>
      </c>
      <c r="U200" s="10" t="n">
        <f aca="false">IF(AND($D200="",$E200="",$F200=""),1,0)</f>
        <v>0</v>
      </c>
      <c r="V200" s="10" t="n">
        <f aca="false">IF(OR($I200="",$I200="—"),1,0)</f>
        <v>0</v>
      </c>
      <c r="W200" s="10" t="n">
        <f aca="false">IF(AND(ISNUMBER($D200),ISNUMBER($E200)),IF($E200&gt;$D200,1,0),0)+IF(AND(ISNUMBER($D200),ISNUMBER($F200)),IF($D200&gt;$F200,1,0),0)+IF(AND(ISNUMBER($E200),ISNUMBER($F200)),IF($E200&gt;$F200,1,0),0)</f>
        <v>0</v>
      </c>
      <c r="X200" s="13" t="s">
        <v>68</v>
      </c>
    </row>
    <row r="201" customFormat="false" ht="15" hidden="false" customHeight="false" outlineLevel="0" collapsed="false">
      <c r="A201" s="10" t="s">
        <v>761</v>
      </c>
      <c r="B201" s="10" t="s">
        <v>762</v>
      </c>
      <c r="C201" s="11" t="s">
        <v>755</v>
      </c>
      <c r="D201" s="12" t="n">
        <v>1.5438</v>
      </c>
      <c r="E201" s="12"/>
      <c r="F201" s="12"/>
      <c r="G201" s="10" t="s">
        <v>55</v>
      </c>
      <c r="H201" s="10" t="s">
        <v>438</v>
      </c>
      <c r="I201" s="11" t="s">
        <v>439</v>
      </c>
      <c r="J201" s="10" t="s">
        <v>440</v>
      </c>
      <c r="K201" s="10" t="s">
        <v>441</v>
      </c>
      <c r="L201" s="10" t="s">
        <v>60</v>
      </c>
      <c r="M201" s="10" t="s">
        <v>628</v>
      </c>
      <c r="N201" s="10"/>
      <c r="O201" s="10" t="s">
        <v>628</v>
      </c>
      <c r="P201" s="10" t="s">
        <v>629</v>
      </c>
      <c r="Q201" s="11" t="s">
        <v>630</v>
      </c>
      <c r="R201" s="11" t="s">
        <v>631</v>
      </c>
      <c r="S201" s="11" t="s">
        <v>66</v>
      </c>
      <c r="T201" s="10" t="s">
        <v>763</v>
      </c>
      <c r="U201" s="10" t="n">
        <f aca="false">IF(AND($D201="",$E201="",$F201=""),1,0)</f>
        <v>0</v>
      </c>
      <c r="V201" s="10" t="n">
        <f aca="false">IF(OR($I201="",$I201="—"),1,0)</f>
        <v>0</v>
      </c>
      <c r="W201" s="10" t="n">
        <f aca="false">IF(AND(ISNUMBER($D201),ISNUMBER($E201)),IF($E201&gt;$D201,1,0),0)+IF(AND(ISNUMBER($D201),ISNUMBER($F201)),IF($D201&gt;$F201,1,0),0)+IF(AND(ISNUMBER($E201),ISNUMBER($F201)),IF($E201&gt;$F201,1,0),0)</f>
        <v>0</v>
      </c>
      <c r="X201" s="13" t="s">
        <v>68</v>
      </c>
    </row>
    <row r="202" customFormat="false" ht="15" hidden="false" customHeight="false" outlineLevel="0" collapsed="false">
      <c r="A202" s="10" t="s">
        <v>764</v>
      </c>
      <c r="B202" s="10" t="s">
        <v>765</v>
      </c>
      <c r="C202" s="11" t="s">
        <v>759</v>
      </c>
      <c r="D202" s="12" t="n">
        <v>2.733</v>
      </c>
      <c r="E202" s="12"/>
      <c r="F202" s="12"/>
      <c r="G202" s="10" t="s">
        <v>55</v>
      </c>
      <c r="H202" s="10" t="s">
        <v>438</v>
      </c>
      <c r="I202" s="11" t="s">
        <v>439</v>
      </c>
      <c r="J202" s="10" t="s">
        <v>440</v>
      </c>
      <c r="K202" s="10" t="s">
        <v>441</v>
      </c>
      <c r="L202" s="10" t="s">
        <v>60</v>
      </c>
      <c r="M202" s="10" t="s">
        <v>628</v>
      </c>
      <c r="N202" s="10"/>
      <c r="O202" s="10" t="s">
        <v>628</v>
      </c>
      <c r="P202" s="10" t="s">
        <v>629</v>
      </c>
      <c r="Q202" s="11" t="s">
        <v>630</v>
      </c>
      <c r="R202" s="11" t="s">
        <v>631</v>
      </c>
      <c r="S202" s="11" t="s">
        <v>66</v>
      </c>
      <c r="T202" s="10" t="s">
        <v>766</v>
      </c>
      <c r="U202" s="10" t="n">
        <f aca="false">IF(AND($D202="",$E202="",$F202=""),1,0)</f>
        <v>0</v>
      </c>
      <c r="V202" s="10" t="n">
        <f aca="false">IF(OR($I202="",$I202="—"),1,0)</f>
        <v>0</v>
      </c>
      <c r="W202" s="10" t="n">
        <f aca="false">IF(AND(ISNUMBER($D202),ISNUMBER($E202)),IF($E202&gt;$D202,1,0),0)+IF(AND(ISNUMBER($D202),ISNUMBER($F202)),IF($D202&gt;$F202,1,0),0)+IF(AND(ISNUMBER($E202),ISNUMBER($F202)),IF($E202&gt;$F202,1,0),0)</f>
        <v>0</v>
      </c>
      <c r="X202" s="13" t="s">
        <v>68</v>
      </c>
    </row>
    <row r="203" customFormat="false" ht="15" hidden="false" customHeight="false" outlineLevel="0" collapsed="false">
      <c r="A203" s="10" t="s">
        <v>767</v>
      </c>
      <c r="B203" s="10" t="s">
        <v>768</v>
      </c>
      <c r="C203" s="11" t="s">
        <v>216</v>
      </c>
      <c r="D203" s="12" t="n">
        <v>21.3117</v>
      </c>
      <c r="E203" s="12"/>
      <c r="F203" s="12"/>
      <c r="G203" s="10" t="s">
        <v>55</v>
      </c>
      <c r="H203" s="10" t="s">
        <v>654</v>
      </c>
      <c r="I203" s="11" t="s">
        <v>655</v>
      </c>
      <c r="J203" s="10" t="s">
        <v>656</v>
      </c>
      <c r="K203" s="10" t="s">
        <v>657</v>
      </c>
      <c r="L203" s="10" t="s">
        <v>60</v>
      </c>
      <c r="M203" s="10" t="s">
        <v>61</v>
      </c>
      <c r="N203" s="10"/>
      <c r="O203" s="11" t="s">
        <v>658</v>
      </c>
      <c r="P203" s="10" t="s">
        <v>63</v>
      </c>
      <c r="Q203" s="11" t="s">
        <v>64</v>
      </c>
      <c r="R203" s="11" t="s">
        <v>65</v>
      </c>
      <c r="S203" s="11" t="s">
        <v>66</v>
      </c>
      <c r="T203" s="11" t="s">
        <v>769</v>
      </c>
      <c r="U203" s="10" t="n">
        <f aca="false">IF(AND($D203="",$E203="",$F203=""),1,0)</f>
        <v>0</v>
      </c>
      <c r="V203" s="10" t="n">
        <f aca="false">IF(OR($I203="",$I203="—"),1,0)</f>
        <v>0</v>
      </c>
      <c r="W203" s="10" t="n">
        <f aca="false">IF(AND(ISNUMBER($D203),ISNUMBER($E203)),IF($E203&gt;$D203,1,0),0)+IF(AND(ISNUMBER($D203),ISNUMBER($F203)),IF($D203&gt;$F203,1,0),0)+IF(AND(ISNUMBER($E203),ISNUMBER($F203)),IF($E203&gt;$F203,1,0),0)</f>
        <v>0</v>
      </c>
      <c r="X203" s="13" t="s">
        <v>68</v>
      </c>
    </row>
    <row r="204" customFormat="false" ht="15" hidden="false" customHeight="false" outlineLevel="0" collapsed="false">
      <c r="A204" s="10" t="s">
        <v>770</v>
      </c>
      <c r="B204" s="10" t="s">
        <v>771</v>
      </c>
      <c r="C204" s="11" t="s">
        <v>232</v>
      </c>
      <c r="D204" s="12" t="n">
        <v>1.7767</v>
      </c>
      <c r="E204" s="12"/>
      <c r="F204" s="12"/>
      <c r="G204" s="10" t="s">
        <v>55</v>
      </c>
      <c r="H204" s="10" t="s">
        <v>654</v>
      </c>
      <c r="I204" s="11" t="s">
        <v>655</v>
      </c>
      <c r="J204" s="10" t="s">
        <v>656</v>
      </c>
      <c r="K204" s="10" t="s">
        <v>657</v>
      </c>
      <c r="L204" s="10" t="s">
        <v>60</v>
      </c>
      <c r="M204" s="10" t="s">
        <v>61</v>
      </c>
      <c r="N204" s="10"/>
      <c r="O204" s="11" t="s">
        <v>658</v>
      </c>
      <c r="P204" s="10" t="s">
        <v>63</v>
      </c>
      <c r="Q204" s="11" t="s">
        <v>64</v>
      </c>
      <c r="R204" s="11" t="s">
        <v>65</v>
      </c>
      <c r="S204" s="11" t="s">
        <v>66</v>
      </c>
      <c r="T204" s="11" t="s">
        <v>772</v>
      </c>
      <c r="U204" s="10" t="n">
        <f aca="false">IF(AND($D204="",$E204="",$F204=""),1,0)</f>
        <v>0</v>
      </c>
      <c r="V204" s="10" t="n">
        <f aca="false">IF(OR($I204="",$I204="—"),1,0)</f>
        <v>0</v>
      </c>
      <c r="W204" s="10" t="n">
        <f aca="false">IF(AND(ISNUMBER($D204),ISNUMBER($E204)),IF($E204&gt;$D204,1,0),0)+IF(AND(ISNUMBER($D204),ISNUMBER($F204)),IF($D204&gt;$F204,1,0),0)+IF(AND(ISNUMBER($E204),ISNUMBER($F204)),IF($E204&gt;$F204,1,0),0)</f>
        <v>0</v>
      </c>
      <c r="X204" s="13" t="s">
        <v>68</v>
      </c>
    </row>
    <row r="205" customFormat="false" ht="15" hidden="false" customHeight="false" outlineLevel="0" collapsed="false">
      <c r="A205" s="10" t="s">
        <v>773</v>
      </c>
      <c r="B205" s="10" t="s">
        <v>774</v>
      </c>
      <c r="C205" s="11" t="s">
        <v>248</v>
      </c>
      <c r="D205" s="12" t="n">
        <v>1.0335</v>
      </c>
      <c r="E205" s="12"/>
      <c r="F205" s="12"/>
      <c r="G205" s="10" t="s">
        <v>55</v>
      </c>
      <c r="H205" s="10" t="s">
        <v>654</v>
      </c>
      <c r="I205" s="11" t="s">
        <v>655</v>
      </c>
      <c r="J205" s="10" t="s">
        <v>656</v>
      </c>
      <c r="K205" s="10" t="s">
        <v>657</v>
      </c>
      <c r="L205" s="10" t="s">
        <v>60</v>
      </c>
      <c r="M205" s="10" t="s">
        <v>61</v>
      </c>
      <c r="N205" s="10"/>
      <c r="O205" s="11" t="s">
        <v>658</v>
      </c>
      <c r="P205" s="10" t="s">
        <v>63</v>
      </c>
      <c r="Q205" s="11" t="s">
        <v>64</v>
      </c>
      <c r="R205" s="11" t="s">
        <v>65</v>
      </c>
      <c r="S205" s="11" t="s">
        <v>66</v>
      </c>
      <c r="T205" s="11" t="s">
        <v>775</v>
      </c>
      <c r="U205" s="10" t="n">
        <f aca="false">IF(AND($D205="",$E205="",$F205=""),1,0)</f>
        <v>0</v>
      </c>
      <c r="V205" s="10" t="n">
        <f aca="false">IF(OR($I205="",$I205="—"),1,0)</f>
        <v>0</v>
      </c>
      <c r="W205" s="10" t="n">
        <f aca="false">IF(AND(ISNUMBER($D205),ISNUMBER($E205)),IF($E205&gt;$D205,1,0),0)+IF(AND(ISNUMBER($D205),ISNUMBER($F205)),IF($D205&gt;$F205,1,0),0)+IF(AND(ISNUMBER($E205),ISNUMBER($F205)),IF($E205&gt;$F205,1,0),0)</f>
        <v>0</v>
      </c>
      <c r="X205" s="13" t="s">
        <v>68</v>
      </c>
    </row>
    <row r="206" customFormat="false" ht="15" hidden="false" customHeight="false" outlineLevel="0" collapsed="false">
      <c r="A206" s="10" t="s">
        <v>776</v>
      </c>
      <c r="B206" s="10" t="s">
        <v>777</v>
      </c>
      <c r="C206" s="11" t="s">
        <v>778</v>
      </c>
      <c r="D206" s="12" t="n">
        <v>0.8576</v>
      </c>
      <c r="E206" s="12"/>
      <c r="F206" s="12"/>
      <c r="G206" s="10" t="s">
        <v>55</v>
      </c>
      <c r="H206" s="10" t="s">
        <v>654</v>
      </c>
      <c r="I206" s="11" t="s">
        <v>655</v>
      </c>
      <c r="J206" s="10" t="s">
        <v>656</v>
      </c>
      <c r="K206" s="10" t="s">
        <v>657</v>
      </c>
      <c r="L206" s="10" t="s">
        <v>60</v>
      </c>
      <c r="M206" s="10" t="s">
        <v>61</v>
      </c>
      <c r="N206" s="10"/>
      <c r="O206" s="11" t="s">
        <v>658</v>
      </c>
      <c r="P206" s="10" t="s">
        <v>63</v>
      </c>
      <c r="Q206" s="11" t="s">
        <v>64</v>
      </c>
      <c r="R206" s="11" t="s">
        <v>65</v>
      </c>
      <c r="S206" s="11" t="s">
        <v>66</v>
      </c>
      <c r="T206" s="11" t="s">
        <v>779</v>
      </c>
      <c r="U206" s="10" t="n">
        <f aca="false">IF(AND($D206="",$E206="",$F206=""),1,0)</f>
        <v>0</v>
      </c>
      <c r="V206" s="10" t="n">
        <f aca="false">IF(OR($I206="",$I206="—"),1,0)</f>
        <v>0</v>
      </c>
      <c r="W206" s="10" t="n">
        <f aca="false">IF(AND(ISNUMBER($D206),ISNUMBER($E206)),IF($E206&gt;$D206,1,0),0)+IF(AND(ISNUMBER($D206),ISNUMBER($F206)),IF($D206&gt;$F206,1,0),0)+IF(AND(ISNUMBER($E206),ISNUMBER($F206)),IF($E206&gt;$F206,1,0),0)</f>
        <v>0</v>
      </c>
      <c r="X206" s="13" t="s">
        <v>68</v>
      </c>
    </row>
    <row r="207" customFormat="false" ht="15" hidden="false" customHeight="false" outlineLevel="0" collapsed="false">
      <c r="A207" s="10" t="s">
        <v>780</v>
      </c>
      <c r="B207" s="10" t="s">
        <v>781</v>
      </c>
      <c r="C207" s="11" t="s">
        <v>264</v>
      </c>
      <c r="D207" s="12" t="n">
        <v>0.4144</v>
      </c>
      <c r="E207" s="12"/>
      <c r="F207" s="12"/>
      <c r="G207" s="10" t="s">
        <v>55</v>
      </c>
      <c r="H207" s="10" t="s">
        <v>654</v>
      </c>
      <c r="I207" s="11" t="s">
        <v>655</v>
      </c>
      <c r="J207" s="10" t="s">
        <v>656</v>
      </c>
      <c r="K207" s="10" t="s">
        <v>657</v>
      </c>
      <c r="L207" s="10" t="s">
        <v>60</v>
      </c>
      <c r="M207" s="10" t="s">
        <v>61</v>
      </c>
      <c r="N207" s="10"/>
      <c r="O207" s="11" t="s">
        <v>658</v>
      </c>
      <c r="P207" s="10" t="s">
        <v>63</v>
      </c>
      <c r="Q207" s="11" t="s">
        <v>64</v>
      </c>
      <c r="R207" s="11" t="s">
        <v>65</v>
      </c>
      <c r="S207" s="11" t="s">
        <v>66</v>
      </c>
      <c r="T207" s="11" t="s">
        <v>782</v>
      </c>
      <c r="U207" s="10" t="n">
        <f aca="false">IF(AND($D207="",$E207="",$F207=""),1,0)</f>
        <v>0</v>
      </c>
      <c r="V207" s="10" t="n">
        <f aca="false">IF(OR($I207="",$I207="—"),1,0)</f>
        <v>0</v>
      </c>
      <c r="W207" s="10" t="n">
        <f aca="false">IF(AND(ISNUMBER($D207),ISNUMBER($E207)),IF($E207&gt;$D207,1,0),0)+IF(AND(ISNUMBER($D207),ISNUMBER($F207)),IF($D207&gt;$F207,1,0),0)+IF(AND(ISNUMBER($E207),ISNUMBER($F207)),IF($E207&gt;$F207,1,0),0)</f>
        <v>0</v>
      </c>
      <c r="X207" s="13" t="s">
        <v>68</v>
      </c>
    </row>
    <row r="208" customFormat="false" ht="15" hidden="false" customHeight="false" outlineLevel="0" collapsed="false">
      <c r="A208" s="10" t="s">
        <v>783</v>
      </c>
      <c r="B208" s="10" t="s">
        <v>784</v>
      </c>
      <c r="C208" s="11" t="s">
        <v>552</v>
      </c>
      <c r="D208" s="12" t="n">
        <v>0.9593</v>
      </c>
      <c r="E208" s="12"/>
      <c r="F208" s="12"/>
      <c r="G208" s="10" t="s">
        <v>55</v>
      </c>
      <c r="H208" s="10" t="s">
        <v>654</v>
      </c>
      <c r="I208" s="11" t="s">
        <v>655</v>
      </c>
      <c r="J208" s="10" t="s">
        <v>656</v>
      </c>
      <c r="K208" s="10" t="s">
        <v>657</v>
      </c>
      <c r="L208" s="10" t="s">
        <v>60</v>
      </c>
      <c r="M208" s="10" t="s">
        <v>61</v>
      </c>
      <c r="N208" s="10"/>
      <c r="O208" s="11" t="s">
        <v>658</v>
      </c>
      <c r="P208" s="10" t="s">
        <v>63</v>
      </c>
      <c r="Q208" s="11" t="s">
        <v>64</v>
      </c>
      <c r="R208" s="11" t="s">
        <v>65</v>
      </c>
      <c r="S208" s="11" t="s">
        <v>66</v>
      </c>
      <c r="T208" s="11" t="s">
        <v>785</v>
      </c>
      <c r="U208" s="10" t="n">
        <f aca="false">IF(AND($D208="",$E208="",$F208=""),1,0)</f>
        <v>0</v>
      </c>
      <c r="V208" s="10" t="n">
        <f aca="false">IF(OR($I208="",$I208="—"),1,0)</f>
        <v>0</v>
      </c>
      <c r="W208" s="10" t="n">
        <f aca="false">IF(AND(ISNUMBER($D208),ISNUMBER($E208)),IF($E208&gt;$D208,1,0),0)+IF(AND(ISNUMBER($D208),ISNUMBER($F208)),IF($D208&gt;$F208,1,0),0)+IF(AND(ISNUMBER($E208),ISNUMBER($F208)),IF($E208&gt;$F208,1,0),0)</f>
        <v>0</v>
      </c>
      <c r="X208" s="13" t="s">
        <v>68</v>
      </c>
    </row>
    <row r="209" customFormat="false" ht="15" hidden="false" customHeight="false" outlineLevel="0" collapsed="false">
      <c r="A209" s="10" t="s">
        <v>786</v>
      </c>
      <c r="B209" s="10" t="s">
        <v>787</v>
      </c>
      <c r="C209" s="11" t="s">
        <v>788</v>
      </c>
      <c r="D209" s="12" t="n">
        <v>20.7199</v>
      </c>
      <c r="E209" s="12"/>
      <c r="F209" s="12"/>
      <c r="G209" s="10" t="s">
        <v>55</v>
      </c>
      <c r="H209" s="10" t="s">
        <v>654</v>
      </c>
      <c r="I209" s="11" t="s">
        <v>655</v>
      </c>
      <c r="J209" s="10" t="s">
        <v>656</v>
      </c>
      <c r="K209" s="10" t="s">
        <v>657</v>
      </c>
      <c r="L209" s="10" t="s">
        <v>60</v>
      </c>
      <c r="M209" s="10" t="s">
        <v>61</v>
      </c>
      <c r="N209" s="10"/>
      <c r="O209" s="11" t="s">
        <v>658</v>
      </c>
      <c r="P209" s="10" t="s">
        <v>63</v>
      </c>
      <c r="Q209" s="11" t="s">
        <v>64</v>
      </c>
      <c r="R209" s="11" t="s">
        <v>65</v>
      </c>
      <c r="S209" s="11" t="s">
        <v>66</v>
      </c>
      <c r="T209" s="10" t="s">
        <v>789</v>
      </c>
      <c r="U209" s="10" t="n">
        <f aca="false">IF(AND($D209="",$E209="",$F209=""),1,0)</f>
        <v>0</v>
      </c>
      <c r="V209" s="10" t="n">
        <f aca="false">IF(OR($I209="",$I209="—"),1,0)</f>
        <v>0</v>
      </c>
      <c r="W209" s="10" t="n">
        <f aca="false">IF(AND(ISNUMBER($D209),ISNUMBER($E209)),IF($E209&gt;$D209,1,0),0)+IF(AND(ISNUMBER($D209),ISNUMBER($F209)),IF($D209&gt;$F209,1,0),0)+IF(AND(ISNUMBER($E209),ISNUMBER($F209)),IF($E209&gt;$F209,1,0),0)</f>
        <v>0</v>
      </c>
      <c r="X209" s="13" t="s">
        <v>68</v>
      </c>
    </row>
    <row r="210" customFormat="false" ht="15" hidden="false" customHeight="false" outlineLevel="0" collapsed="false">
      <c r="A210" s="10" t="s">
        <v>790</v>
      </c>
      <c r="B210" s="10" t="s">
        <v>791</v>
      </c>
      <c r="C210" s="11" t="s">
        <v>328</v>
      </c>
      <c r="D210" s="12" t="n">
        <v>19.6414</v>
      </c>
      <c r="E210" s="12"/>
      <c r="F210" s="12"/>
      <c r="G210" s="10" t="s">
        <v>55</v>
      </c>
      <c r="H210" s="10" t="s">
        <v>654</v>
      </c>
      <c r="I210" s="11" t="s">
        <v>655</v>
      </c>
      <c r="J210" s="10" t="s">
        <v>656</v>
      </c>
      <c r="K210" s="10" t="s">
        <v>657</v>
      </c>
      <c r="L210" s="10" t="s">
        <v>60</v>
      </c>
      <c r="M210" s="10" t="s">
        <v>61</v>
      </c>
      <c r="N210" s="10"/>
      <c r="O210" s="11" t="s">
        <v>658</v>
      </c>
      <c r="P210" s="10" t="s">
        <v>63</v>
      </c>
      <c r="Q210" s="11" t="s">
        <v>64</v>
      </c>
      <c r="R210" s="11" t="s">
        <v>65</v>
      </c>
      <c r="S210" s="11" t="s">
        <v>66</v>
      </c>
      <c r="T210" s="11" t="s">
        <v>792</v>
      </c>
      <c r="U210" s="10" t="n">
        <f aca="false">IF(AND($D210="",$E210="",$F210=""),1,0)</f>
        <v>0</v>
      </c>
      <c r="V210" s="10" t="n">
        <f aca="false">IF(OR($I210="",$I210="—"),1,0)</f>
        <v>0</v>
      </c>
      <c r="W210" s="10" t="n">
        <f aca="false">IF(AND(ISNUMBER($D210),ISNUMBER($E210)),IF($E210&gt;$D210,1,0),0)+IF(AND(ISNUMBER($D210),ISNUMBER($F210)),IF($D210&gt;$F210,1,0),0)+IF(AND(ISNUMBER($E210),ISNUMBER($F210)),IF($E210&gt;$F210,1,0),0)</f>
        <v>0</v>
      </c>
      <c r="X210" s="13" t="s">
        <v>68</v>
      </c>
    </row>
    <row r="211" customFormat="false" ht="15" hidden="false" customHeight="false" outlineLevel="0" collapsed="false">
      <c r="A211" s="10" t="s">
        <v>793</v>
      </c>
      <c r="B211" s="10" t="s">
        <v>794</v>
      </c>
      <c r="C211" s="11" t="s">
        <v>795</v>
      </c>
      <c r="D211" s="12" t="n">
        <v>17.51</v>
      </c>
      <c r="E211" s="12"/>
      <c r="F211" s="12"/>
      <c r="G211" s="10" t="s">
        <v>55</v>
      </c>
      <c r="H211" s="10" t="s">
        <v>84</v>
      </c>
      <c r="I211" s="10" t="s">
        <v>796</v>
      </c>
      <c r="J211" s="10" t="s">
        <v>797</v>
      </c>
      <c r="K211" s="10" t="s">
        <v>798</v>
      </c>
      <c r="L211" s="10" t="s">
        <v>60</v>
      </c>
      <c r="M211" s="10" t="s">
        <v>408</v>
      </c>
      <c r="N211" s="11" t="s">
        <v>701</v>
      </c>
      <c r="O211" s="11" t="s">
        <v>701</v>
      </c>
      <c r="P211" s="10" t="s">
        <v>629</v>
      </c>
      <c r="Q211" s="11" t="s">
        <v>64</v>
      </c>
      <c r="R211" s="11" t="s">
        <v>701</v>
      </c>
      <c r="S211" s="11" t="s">
        <v>702</v>
      </c>
      <c r="T211" s="11" t="s">
        <v>799</v>
      </c>
      <c r="U211" s="10" t="n">
        <f aca="false">IF(AND($D211="",$E211="",$F211=""),1,0)</f>
        <v>0</v>
      </c>
      <c r="V211" s="10" t="n">
        <f aca="false">IF(OR($I211="",$I211="—"),1,0)</f>
        <v>0</v>
      </c>
      <c r="W211" s="10" t="n">
        <f aca="false">IF(AND(ISNUMBER($D211),ISNUMBER($E211)),IF($E211&gt;$D211,1,0),0)+IF(AND(ISNUMBER($D211),ISNUMBER($F211)),IF($D211&gt;$F211,1,0),0)+IF(AND(ISNUMBER($E211),ISNUMBER($F211)),IF($E211&gt;$F211,1,0),0)</f>
        <v>0</v>
      </c>
      <c r="X211" s="13" t="s">
        <v>68</v>
      </c>
    </row>
    <row r="212" customFormat="false" ht="15" hidden="false" customHeight="false" outlineLevel="0" collapsed="false">
      <c r="A212" s="10" t="s">
        <v>800</v>
      </c>
      <c r="B212" s="10" t="s">
        <v>801</v>
      </c>
      <c r="C212" s="11" t="s">
        <v>802</v>
      </c>
      <c r="D212" s="12" t="n">
        <v>-23.51</v>
      </c>
      <c r="E212" s="12"/>
      <c r="F212" s="12"/>
      <c r="G212" s="10" t="s">
        <v>55</v>
      </c>
      <c r="H212" s="10" t="s">
        <v>84</v>
      </c>
      <c r="I212" s="11" t="s">
        <v>803</v>
      </c>
      <c r="J212" s="10" t="s">
        <v>804</v>
      </c>
      <c r="K212" s="10" t="s">
        <v>805</v>
      </c>
      <c r="L212" s="10" t="s">
        <v>60</v>
      </c>
      <c r="M212" s="10" t="s">
        <v>408</v>
      </c>
      <c r="N212" s="11" t="s">
        <v>710</v>
      </c>
      <c r="O212" s="11" t="s">
        <v>711</v>
      </c>
      <c r="P212" s="10" t="s">
        <v>629</v>
      </c>
      <c r="Q212" s="11" t="s">
        <v>64</v>
      </c>
      <c r="R212" s="11" t="s">
        <v>710</v>
      </c>
      <c r="S212" s="11" t="s">
        <v>702</v>
      </c>
      <c r="T212" s="11" t="s">
        <v>806</v>
      </c>
      <c r="U212" s="10" t="n">
        <f aca="false">IF(AND($D212="",$E212="",$F212=""),1,0)</f>
        <v>0</v>
      </c>
      <c r="V212" s="10" t="n">
        <f aca="false">IF(OR($I212="",$I212="—"),1,0)</f>
        <v>0</v>
      </c>
      <c r="W212" s="10" t="n">
        <f aca="false">IF(AND(ISNUMBER($D212),ISNUMBER($E212)),IF($E212&gt;$D212,1,0),0)+IF(AND(ISNUMBER($D212),ISNUMBER($F212)),IF($D212&gt;$F212,1,0),0)+IF(AND(ISNUMBER($E212),ISNUMBER($F212)),IF($E212&gt;$F212,1,0),0)</f>
        <v>0</v>
      </c>
      <c r="X212" s="13" t="s">
        <v>68</v>
      </c>
    </row>
    <row r="213" customFormat="false" ht="15" hidden="false" customHeight="false" outlineLevel="0" collapsed="false">
      <c r="A213" s="10" t="s">
        <v>807</v>
      </c>
      <c r="B213" s="10" t="s">
        <v>808</v>
      </c>
      <c r="C213" s="11" t="s">
        <v>570</v>
      </c>
      <c r="D213" s="12" t="n">
        <v>3.906</v>
      </c>
      <c r="E213" s="12"/>
      <c r="F213" s="12"/>
      <c r="G213" s="10" t="s">
        <v>55</v>
      </c>
      <c r="H213" s="10" t="s">
        <v>654</v>
      </c>
      <c r="I213" s="11" t="s">
        <v>655</v>
      </c>
      <c r="J213" s="10" t="s">
        <v>689</v>
      </c>
      <c r="K213" s="10" t="s">
        <v>657</v>
      </c>
      <c r="L213" s="10" t="s">
        <v>60</v>
      </c>
      <c r="M213" s="10" t="s">
        <v>61</v>
      </c>
      <c r="N213" s="10"/>
      <c r="O213" s="11" t="s">
        <v>658</v>
      </c>
      <c r="P213" s="10" t="s">
        <v>63</v>
      </c>
      <c r="Q213" s="11" t="s">
        <v>64</v>
      </c>
      <c r="R213" s="11" t="s">
        <v>65</v>
      </c>
      <c r="S213" s="11" t="s">
        <v>66</v>
      </c>
      <c r="T213" s="11" t="s">
        <v>809</v>
      </c>
      <c r="U213" s="10" t="n">
        <f aca="false">IF(AND($D213="",$E213="",$F213=""),1,0)</f>
        <v>0</v>
      </c>
      <c r="V213" s="10" t="n">
        <f aca="false">IF(OR($I213="",$I213="—"),1,0)</f>
        <v>0</v>
      </c>
      <c r="W213" s="10" t="n">
        <f aca="false">IF(AND(ISNUMBER($D213),ISNUMBER($E213)),IF($E213&gt;$D213,1,0),0)+IF(AND(ISNUMBER($D213),ISNUMBER($F213)),IF($D213&gt;$F213,1,0),0)+IF(AND(ISNUMBER($E213),ISNUMBER($F213)),IF($E213&gt;$F213,1,0),0)</f>
        <v>0</v>
      </c>
      <c r="X213" s="13" t="s">
        <v>68</v>
      </c>
    </row>
    <row r="214" customFormat="false" ht="15" hidden="false" customHeight="false" outlineLevel="0" collapsed="false">
      <c r="A214" s="10" t="s">
        <v>810</v>
      </c>
      <c r="B214" s="10" t="s">
        <v>811</v>
      </c>
      <c r="C214" s="11" t="s">
        <v>570</v>
      </c>
      <c r="D214" s="12" t="n">
        <v>0.537</v>
      </c>
      <c r="E214" s="12"/>
      <c r="F214" s="12"/>
      <c r="G214" s="10" t="s">
        <v>55</v>
      </c>
      <c r="H214" s="10" t="s">
        <v>84</v>
      </c>
      <c r="I214" s="11" t="s">
        <v>655</v>
      </c>
      <c r="J214" s="10" t="s">
        <v>689</v>
      </c>
      <c r="K214" s="10" t="s">
        <v>657</v>
      </c>
      <c r="L214" s="10" t="s">
        <v>60</v>
      </c>
      <c r="M214" s="10" t="s">
        <v>61</v>
      </c>
      <c r="N214" s="10"/>
      <c r="O214" s="11" t="s">
        <v>658</v>
      </c>
      <c r="P214" s="10" t="s">
        <v>63</v>
      </c>
      <c r="Q214" s="11" t="s">
        <v>64</v>
      </c>
      <c r="R214" s="11" t="s">
        <v>65</v>
      </c>
      <c r="S214" s="11" t="s">
        <v>66</v>
      </c>
      <c r="T214" s="11" t="s">
        <v>812</v>
      </c>
      <c r="U214" s="10" t="n">
        <f aca="false">IF(AND($D214="",$E214="",$F214=""),1,0)</f>
        <v>0</v>
      </c>
      <c r="V214" s="10" t="n">
        <f aca="false">IF(OR($I214="",$I214="—"),1,0)</f>
        <v>0</v>
      </c>
      <c r="W214" s="10" t="n">
        <f aca="false">IF(AND(ISNUMBER($D214),ISNUMBER($E214)),IF($E214&gt;$D214,1,0),0)+IF(AND(ISNUMBER($D214),ISNUMBER($F214)),IF($D214&gt;$F214,1,0),0)+IF(AND(ISNUMBER($E214),ISNUMBER($F214)),IF($E214&gt;$F214,1,0),0)</f>
        <v>0</v>
      </c>
      <c r="X214" s="13" t="s">
        <v>68</v>
      </c>
    </row>
    <row r="215" customFormat="false" ht="15" hidden="false" customHeight="false" outlineLevel="0" collapsed="false">
      <c r="A215" s="10" t="s">
        <v>813</v>
      </c>
      <c r="B215" s="10" t="s">
        <v>814</v>
      </c>
      <c r="C215" s="11" t="s">
        <v>815</v>
      </c>
      <c r="D215" s="12" t="n">
        <v>39.9372</v>
      </c>
      <c r="E215" s="12"/>
      <c r="F215" s="12"/>
      <c r="G215" s="10" t="s">
        <v>55</v>
      </c>
      <c r="H215" s="10" t="s">
        <v>816</v>
      </c>
      <c r="I215" s="11" t="s">
        <v>655</v>
      </c>
      <c r="J215" s="10" t="s">
        <v>656</v>
      </c>
      <c r="K215" s="10" t="s">
        <v>657</v>
      </c>
      <c r="L215" s="10" t="s">
        <v>60</v>
      </c>
      <c r="M215" s="10" t="s">
        <v>61</v>
      </c>
      <c r="N215" s="10"/>
      <c r="O215" s="11" t="s">
        <v>658</v>
      </c>
      <c r="P215" s="10" t="s">
        <v>63</v>
      </c>
      <c r="Q215" s="11" t="s">
        <v>64</v>
      </c>
      <c r="R215" s="11" t="s">
        <v>65</v>
      </c>
      <c r="S215" s="11" t="s">
        <v>66</v>
      </c>
      <c r="T215" s="11" t="s">
        <v>817</v>
      </c>
      <c r="U215" s="10" t="n">
        <f aca="false">IF(AND($D215="",$E215="",$F215=""),1,0)</f>
        <v>0</v>
      </c>
      <c r="V215" s="10" t="n">
        <f aca="false">IF(OR($I215="",$I215="—"),1,0)</f>
        <v>0</v>
      </c>
      <c r="W215" s="10" t="n">
        <f aca="false">IF(AND(ISNUMBER($D215),ISNUMBER($E215)),IF($E215&gt;$D215,1,0),0)+IF(AND(ISNUMBER($D215),ISNUMBER($F215)),IF($D215&gt;$F215,1,0),0)+IF(AND(ISNUMBER($E215),ISNUMBER($F215)),IF($E215&gt;$F215,1,0),0)</f>
        <v>0</v>
      </c>
      <c r="X215" s="13" t="s">
        <v>68</v>
      </c>
    </row>
    <row r="216" customFormat="false" ht="15" hidden="false" customHeight="false" outlineLevel="0" collapsed="false">
      <c r="A216" s="10" t="s">
        <v>818</v>
      </c>
      <c r="B216" s="10" t="s">
        <v>819</v>
      </c>
      <c r="C216" s="11" t="s">
        <v>820</v>
      </c>
      <c r="D216" s="12" t="n">
        <v>0</v>
      </c>
      <c r="E216" s="12"/>
      <c r="F216" s="12"/>
      <c r="G216" s="10" t="s">
        <v>55</v>
      </c>
      <c r="H216" s="10" t="s">
        <v>816</v>
      </c>
      <c r="I216" s="11" t="s">
        <v>655</v>
      </c>
      <c r="J216" s="10" t="s">
        <v>656</v>
      </c>
      <c r="K216" s="10" t="s">
        <v>657</v>
      </c>
      <c r="L216" s="10" t="s">
        <v>60</v>
      </c>
      <c r="M216" s="10" t="s">
        <v>61</v>
      </c>
      <c r="N216" s="10"/>
      <c r="O216" s="11" t="s">
        <v>658</v>
      </c>
      <c r="P216" s="10" t="s">
        <v>63</v>
      </c>
      <c r="Q216" s="11" t="s">
        <v>64</v>
      </c>
      <c r="R216" s="11" t="s">
        <v>65</v>
      </c>
      <c r="S216" s="11" t="s">
        <v>66</v>
      </c>
      <c r="T216" s="10" t="s">
        <v>821</v>
      </c>
      <c r="U216" s="10" t="n">
        <f aca="false">IF(AND($D216="",$E216="",$F216=""),1,0)</f>
        <v>0</v>
      </c>
      <c r="V216" s="10" t="n">
        <f aca="false">IF(OR($I216="",$I216="—"),1,0)</f>
        <v>0</v>
      </c>
      <c r="W216" s="10" t="n">
        <f aca="false">IF(AND(ISNUMBER($D216),ISNUMBER($E216)),IF($E216&gt;$D216,1,0),0)+IF(AND(ISNUMBER($D216),ISNUMBER($F216)),IF($D216&gt;$F216,1,0),0)+IF(AND(ISNUMBER($E216),ISNUMBER($F216)),IF($E216&gt;$F216,1,0),0)</f>
        <v>0</v>
      </c>
      <c r="X216" s="13" t="s">
        <v>68</v>
      </c>
    </row>
    <row r="217" customFormat="false" ht="15" hidden="false" customHeight="false" outlineLevel="0" collapsed="false">
      <c r="A217" s="10" t="s">
        <v>822</v>
      </c>
      <c r="B217" s="10" t="s">
        <v>823</v>
      </c>
      <c r="C217" s="11" t="s">
        <v>592</v>
      </c>
      <c r="D217" s="12" t="n">
        <v>22.2479</v>
      </c>
      <c r="E217" s="12"/>
      <c r="F217" s="12"/>
      <c r="G217" s="10" t="s">
        <v>55</v>
      </c>
      <c r="H217" s="10" t="s">
        <v>816</v>
      </c>
      <c r="I217" s="11" t="s">
        <v>655</v>
      </c>
      <c r="J217" s="10" t="s">
        <v>656</v>
      </c>
      <c r="K217" s="10" t="s">
        <v>657</v>
      </c>
      <c r="L217" s="10" t="s">
        <v>60</v>
      </c>
      <c r="M217" s="10" t="s">
        <v>61</v>
      </c>
      <c r="N217" s="10"/>
      <c r="O217" s="11" t="s">
        <v>658</v>
      </c>
      <c r="P217" s="10" t="s">
        <v>63</v>
      </c>
      <c r="Q217" s="11" t="s">
        <v>64</v>
      </c>
      <c r="R217" s="11" t="s">
        <v>65</v>
      </c>
      <c r="S217" s="11" t="s">
        <v>66</v>
      </c>
      <c r="T217" s="11" t="s">
        <v>824</v>
      </c>
      <c r="U217" s="10" t="n">
        <f aca="false">IF(AND($D217="",$E217="",$F217=""),1,0)</f>
        <v>0</v>
      </c>
      <c r="V217" s="10" t="n">
        <f aca="false">IF(OR($I217="",$I217="—"),1,0)</f>
        <v>0</v>
      </c>
      <c r="W217" s="10" t="n">
        <f aca="false">IF(AND(ISNUMBER($D217),ISNUMBER($E217)),IF($E217&gt;$D217,1,0),0)+IF(AND(ISNUMBER($D217),ISNUMBER($F217)),IF($D217&gt;$F217,1,0),0)+IF(AND(ISNUMBER($E217),ISNUMBER($F217)),IF($E217&gt;$F217,1,0),0)</f>
        <v>0</v>
      </c>
      <c r="X217" s="13" t="s">
        <v>68</v>
      </c>
    </row>
    <row r="218" customFormat="false" ht="15" hidden="false" customHeight="false" outlineLevel="0" collapsed="false">
      <c r="A218" s="10" t="s">
        <v>825</v>
      </c>
      <c r="B218" s="10" t="s">
        <v>826</v>
      </c>
      <c r="C218" s="11" t="s">
        <v>827</v>
      </c>
      <c r="D218" s="12" t="n">
        <v>7.8983</v>
      </c>
      <c r="E218" s="12"/>
      <c r="F218" s="12"/>
      <c r="G218" s="10" t="s">
        <v>55</v>
      </c>
      <c r="H218" s="10" t="s">
        <v>816</v>
      </c>
      <c r="I218" s="11" t="s">
        <v>655</v>
      </c>
      <c r="J218" s="10" t="s">
        <v>656</v>
      </c>
      <c r="K218" s="10" t="s">
        <v>657</v>
      </c>
      <c r="L218" s="10" t="s">
        <v>60</v>
      </c>
      <c r="M218" s="10" t="s">
        <v>61</v>
      </c>
      <c r="N218" s="10"/>
      <c r="O218" s="11" t="s">
        <v>658</v>
      </c>
      <c r="P218" s="10" t="s">
        <v>63</v>
      </c>
      <c r="Q218" s="11" t="s">
        <v>64</v>
      </c>
      <c r="R218" s="11" t="s">
        <v>65</v>
      </c>
      <c r="S218" s="11" t="s">
        <v>66</v>
      </c>
      <c r="T218" s="10" t="s">
        <v>828</v>
      </c>
      <c r="U218" s="10" t="n">
        <f aca="false">IF(AND($D218="",$E218="",$F218=""),1,0)</f>
        <v>0</v>
      </c>
      <c r="V218" s="10" t="n">
        <f aca="false">IF(OR($I218="",$I218="—"),1,0)</f>
        <v>0</v>
      </c>
      <c r="W218" s="10" t="n">
        <f aca="false">IF(AND(ISNUMBER($D218),ISNUMBER($E218)),IF($E218&gt;$D218,1,0),0)+IF(AND(ISNUMBER($D218),ISNUMBER($F218)),IF($D218&gt;$F218,1,0),0)+IF(AND(ISNUMBER($E218),ISNUMBER($F218)),IF($E218&gt;$F218,1,0),0)</f>
        <v>0</v>
      </c>
      <c r="X218" s="13" t="s">
        <v>68</v>
      </c>
    </row>
    <row r="219" customFormat="false" ht="15" hidden="false" customHeight="false" outlineLevel="0" collapsed="false">
      <c r="A219" s="10" t="s">
        <v>829</v>
      </c>
      <c r="B219" s="10" t="s">
        <v>830</v>
      </c>
      <c r="C219" s="11" t="s">
        <v>831</v>
      </c>
      <c r="D219" s="12" t="n">
        <v>14.3496</v>
      </c>
      <c r="E219" s="12"/>
      <c r="F219" s="12"/>
      <c r="G219" s="10" t="s">
        <v>55</v>
      </c>
      <c r="H219" s="10" t="s">
        <v>816</v>
      </c>
      <c r="I219" s="11" t="s">
        <v>655</v>
      </c>
      <c r="J219" s="10" t="s">
        <v>656</v>
      </c>
      <c r="K219" s="10" t="s">
        <v>657</v>
      </c>
      <c r="L219" s="10" t="s">
        <v>60</v>
      </c>
      <c r="M219" s="10" t="s">
        <v>61</v>
      </c>
      <c r="N219" s="10"/>
      <c r="O219" s="11" t="s">
        <v>658</v>
      </c>
      <c r="P219" s="10" t="s">
        <v>63</v>
      </c>
      <c r="Q219" s="11" t="s">
        <v>64</v>
      </c>
      <c r="R219" s="11" t="s">
        <v>65</v>
      </c>
      <c r="S219" s="11" t="s">
        <v>66</v>
      </c>
      <c r="T219" s="10" t="s">
        <v>832</v>
      </c>
      <c r="U219" s="10" t="n">
        <f aca="false">IF(AND($D219="",$E219="",$F219=""),1,0)</f>
        <v>0</v>
      </c>
      <c r="V219" s="10" t="n">
        <f aca="false">IF(OR($I219="",$I219="—"),1,0)</f>
        <v>0</v>
      </c>
      <c r="W219" s="10" t="n">
        <f aca="false">IF(AND(ISNUMBER($D219),ISNUMBER($E219)),IF($E219&gt;$D219,1,0),0)+IF(AND(ISNUMBER($D219),ISNUMBER($F219)),IF($D219&gt;$F219,1,0),0)+IF(AND(ISNUMBER($E219),ISNUMBER($F219)),IF($E219&gt;$F219,1,0),0)</f>
        <v>0</v>
      </c>
      <c r="X219" s="13" t="s">
        <v>68</v>
      </c>
    </row>
    <row r="220" customFormat="false" ht="15" hidden="false" customHeight="false" outlineLevel="0" collapsed="false">
      <c r="A220" s="10" t="s">
        <v>833</v>
      </c>
      <c r="B220" s="10" t="s">
        <v>834</v>
      </c>
      <c r="C220" s="11" t="s">
        <v>835</v>
      </c>
      <c r="D220" s="12" t="n">
        <v>6.0484</v>
      </c>
      <c r="E220" s="12"/>
      <c r="F220" s="12"/>
      <c r="G220" s="10" t="s">
        <v>55</v>
      </c>
      <c r="H220" s="10" t="s">
        <v>618</v>
      </c>
      <c r="I220" s="11" t="s">
        <v>439</v>
      </c>
      <c r="J220" s="10" t="s">
        <v>440</v>
      </c>
      <c r="K220" s="10" t="s">
        <v>441</v>
      </c>
      <c r="L220" s="10" t="s">
        <v>60</v>
      </c>
      <c r="M220" s="10" t="s">
        <v>61</v>
      </c>
      <c r="N220" s="10"/>
      <c r="O220" s="11" t="s">
        <v>442</v>
      </c>
      <c r="P220" s="10" t="s">
        <v>63</v>
      </c>
      <c r="Q220" s="11" t="s">
        <v>64</v>
      </c>
      <c r="R220" s="11" t="s">
        <v>65</v>
      </c>
      <c r="S220" s="11" t="s">
        <v>66</v>
      </c>
      <c r="T220" s="10" t="s">
        <v>836</v>
      </c>
      <c r="U220" s="10" t="n">
        <f aca="false">IF(AND($D220="",$E220="",$F220=""),1,0)</f>
        <v>0</v>
      </c>
      <c r="V220" s="10" t="n">
        <f aca="false">IF(OR($I220="",$I220="—"),1,0)</f>
        <v>0</v>
      </c>
      <c r="W220" s="10" t="n">
        <f aca="false">IF(AND(ISNUMBER($D220),ISNUMBER($E220)),IF($E220&gt;$D220,1,0),0)+IF(AND(ISNUMBER($D220),ISNUMBER($F220)),IF($D220&gt;$F220,1,0),0)+IF(AND(ISNUMBER($E220),ISNUMBER($F220)),IF($E220&gt;$F220,1,0),0)</f>
        <v>0</v>
      </c>
      <c r="X220" s="13" t="s">
        <v>68</v>
      </c>
    </row>
    <row r="221" customFormat="false" ht="15" hidden="false" customHeight="false" outlineLevel="0" collapsed="false">
      <c r="A221" s="10" t="s">
        <v>837</v>
      </c>
      <c r="B221" s="10" t="s">
        <v>838</v>
      </c>
      <c r="C221" s="11" t="s">
        <v>831</v>
      </c>
      <c r="D221" s="12" t="n">
        <v>0.8462</v>
      </c>
      <c r="E221" s="12"/>
      <c r="F221" s="12"/>
      <c r="G221" s="10" t="s">
        <v>55</v>
      </c>
      <c r="H221" s="10" t="s">
        <v>618</v>
      </c>
      <c r="I221" s="11" t="s">
        <v>439</v>
      </c>
      <c r="J221" s="10" t="s">
        <v>440</v>
      </c>
      <c r="K221" s="10" t="s">
        <v>441</v>
      </c>
      <c r="L221" s="10" t="s">
        <v>60</v>
      </c>
      <c r="M221" s="10" t="s">
        <v>61</v>
      </c>
      <c r="N221" s="10"/>
      <c r="O221" s="11" t="s">
        <v>442</v>
      </c>
      <c r="P221" s="10" t="s">
        <v>63</v>
      </c>
      <c r="Q221" s="11" t="s">
        <v>64</v>
      </c>
      <c r="R221" s="11" t="s">
        <v>65</v>
      </c>
      <c r="S221" s="11" t="s">
        <v>66</v>
      </c>
      <c r="T221" s="10" t="s">
        <v>839</v>
      </c>
      <c r="U221" s="10" t="n">
        <f aca="false">IF(AND($D221="",$E221="",$F221=""),1,0)</f>
        <v>0</v>
      </c>
      <c r="V221" s="10" t="n">
        <f aca="false">IF(OR($I221="",$I221="—"),1,0)</f>
        <v>0</v>
      </c>
      <c r="W221" s="10" t="n">
        <f aca="false">IF(AND(ISNUMBER($D221),ISNUMBER($E221)),IF($E221&gt;$D221,1,0),0)+IF(AND(ISNUMBER($D221),ISNUMBER($F221)),IF($D221&gt;$F221,1,0),0)+IF(AND(ISNUMBER($E221),ISNUMBER($F221)),IF($E221&gt;$F221,1,0),0)</f>
        <v>0</v>
      </c>
      <c r="X221" s="13" t="s">
        <v>68</v>
      </c>
    </row>
    <row r="222" customFormat="false" ht="15" hidden="false" customHeight="false" outlineLevel="0" collapsed="false">
      <c r="A222" s="10" t="s">
        <v>840</v>
      </c>
      <c r="B222" s="10" t="s">
        <v>841</v>
      </c>
      <c r="C222" s="11" t="s">
        <v>842</v>
      </c>
      <c r="D222" s="12" t="n">
        <v>14.2742</v>
      </c>
      <c r="E222" s="12"/>
      <c r="F222" s="12"/>
      <c r="G222" s="10" t="s">
        <v>55</v>
      </c>
      <c r="H222" s="10" t="s">
        <v>816</v>
      </c>
      <c r="I222" s="11" t="s">
        <v>655</v>
      </c>
      <c r="J222" s="10" t="s">
        <v>689</v>
      </c>
      <c r="K222" s="10" t="s">
        <v>657</v>
      </c>
      <c r="L222" s="10" t="s">
        <v>60</v>
      </c>
      <c r="M222" s="10" t="s">
        <v>61</v>
      </c>
      <c r="N222" s="10"/>
      <c r="O222" s="11" t="s">
        <v>658</v>
      </c>
      <c r="P222" s="10" t="s">
        <v>63</v>
      </c>
      <c r="Q222" s="11" t="s">
        <v>64</v>
      </c>
      <c r="R222" s="11" t="s">
        <v>65</v>
      </c>
      <c r="S222" s="11" t="s">
        <v>66</v>
      </c>
      <c r="T222" s="10" t="s">
        <v>843</v>
      </c>
      <c r="U222" s="10" t="n">
        <f aca="false">IF(AND($D222="",$E222="",$F222=""),1,0)</f>
        <v>0</v>
      </c>
      <c r="V222" s="10" t="n">
        <f aca="false">IF(OR($I222="",$I222="—"),1,0)</f>
        <v>0</v>
      </c>
      <c r="W222" s="10" t="n">
        <f aca="false">IF(AND(ISNUMBER($D222),ISNUMBER($E222)),IF($E222&gt;$D222,1,0),0)+IF(AND(ISNUMBER($D222),ISNUMBER($F222)),IF($D222&gt;$F222,1,0),0)+IF(AND(ISNUMBER($E222),ISNUMBER($F222)),IF($E222&gt;$F222,1,0),0)</f>
        <v>0</v>
      </c>
      <c r="X222" s="13" t="s">
        <v>68</v>
      </c>
    </row>
    <row r="223" customFormat="false" ht="15" hidden="false" customHeight="false" outlineLevel="0" collapsed="false">
      <c r="A223" s="10" t="s">
        <v>844</v>
      </c>
      <c r="B223" s="10" t="s">
        <v>845</v>
      </c>
      <c r="C223" s="11" t="s">
        <v>846</v>
      </c>
      <c r="D223" s="12" t="n">
        <v>12.4374</v>
      </c>
      <c r="E223" s="12"/>
      <c r="F223" s="12"/>
      <c r="G223" s="10" t="s">
        <v>55</v>
      </c>
      <c r="H223" s="10" t="s">
        <v>816</v>
      </c>
      <c r="I223" s="11" t="s">
        <v>655</v>
      </c>
      <c r="J223" s="10" t="s">
        <v>689</v>
      </c>
      <c r="K223" s="10" t="s">
        <v>657</v>
      </c>
      <c r="L223" s="10" t="s">
        <v>60</v>
      </c>
      <c r="M223" s="10" t="s">
        <v>61</v>
      </c>
      <c r="N223" s="10"/>
      <c r="O223" s="11" t="s">
        <v>658</v>
      </c>
      <c r="P223" s="10" t="s">
        <v>63</v>
      </c>
      <c r="Q223" s="11" t="s">
        <v>64</v>
      </c>
      <c r="R223" s="11" t="s">
        <v>65</v>
      </c>
      <c r="S223" s="11" t="s">
        <v>66</v>
      </c>
      <c r="T223" s="10" t="s">
        <v>847</v>
      </c>
      <c r="U223" s="10" t="n">
        <f aca="false">IF(AND($D223="",$E223="",$F223=""),1,0)</f>
        <v>0</v>
      </c>
      <c r="V223" s="10" t="n">
        <f aca="false">IF(OR($I223="",$I223="—"),1,0)</f>
        <v>0</v>
      </c>
      <c r="W223" s="10" t="n">
        <f aca="false">IF(AND(ISNUMBER($D223),ISNUMBER($E223)),IF($E223&gt;$D223,1,0),0)+IF(AND(ISNUMBER($D223),ISNUMBER($F223)),IF($D223&gt;$F223,1,0),0)+IF(AND(ISNUMBER($E223),ISNUMBER($F223)),IF($E223&gt;$F223,1,0),0)</f>
        <v>0</v>
      </c>
      <c r="X223" s="13" t="s">
        <v>68</v>
      </c>
    </row>
    <row r="224" customFormat="false" ht="15" hidden="false" customHeight="false" outlineLevel="0" collapsed="false">
      <c r="A224" s="10" t="s">
        <v>848</v>
      </c>
      <c r="B224" s="10" t="s">
        <v>849</v>
      </c>
      <c r="C224" s="11" t="s">
        <v>846</v>
      </c>
      <c r="D224" s="12" t="n">
        <v>1.1629</v>
      </c>
      <c r="E224" s="12"/>
      <c r="F224" s="12"/>
      <c r="G224" s="10" t="s">
        <v>55</v>
      </c>
      <c r="H224" s="10" t="s">
        <v>618</v>
      </c>
      <c r="I224" s="11" t="s">
        <v>655</v>
      </c>
      <c r="J224" s="10" t="s">
        <v>689</v>
      </c>
      <c r="K224" s="10" t="s">
        <v>657</v>
      </c>
      <c r="L224" s="10" t="s">
        <v>60</v>
      </c>
      <c r="M224" s="10" t="s">
        <v>61</v>
      </c>
      <c r="N224" s="10"/>
      <c r="O224" s="11" t="s">
        <v>658</v>
      </c>
      <c r="P224" s="10" t="s">
        <v>63</v>
      </c>
      <c r="Q224" s="11" t="s">
        <v>64</v>
      </c>
      <c r="R224" s="11" t="s">
        <v>65</v>
      </c>
      <c r="S224" s="11" t="s">
        <v>66</v>
      </c>
      <c r="T224" s="11" t="s">
        <v>850</v>
      </c>
      <c r="U224" s="10" t="n">
        <f aca="false">IF(AND($D224="",$E224="",$F224=""),1,0)</f>
        <v>0</v>
      </c>
      <c r="V224" s="10" t="n">
        <f aca="false">IF(OR($I224="",$I224="—"),1,0)</f>
        <v>0</v>
      </c>
      <c r="W224" s="10" t="n">
        <f aca="false">IF(AND(ISNUMBER($D224),ISNUMBER($E224)),IF($E224&gt;$D224,1,0),0)+IF(AND(ISNUMBER($D224),ISNUMBER($F224)),IF($D224&gt;$F224,1,0),0)+IF(AND(ISNUMBER($E224),ISNUMBER($F224)),IF($E224&gt;$F224,1,0),0)</f>
        <v>0</v>
      </c>
      <c r="X224" s="13" t="s">
        <v>68</v>
      </c>
    </row>
    <row r="225" customFormat="false" ht="15" hidden="false" customHeight="false" outlineLevel="0" collapsed="false">
      <c r="A225" s="10" t="s">
        <v>851</v>
      </c>
      <c r="B225" s="10" t="s">
        <v>852</v>
      </c>
      <c r="C225" s="11" t="s">
        <v>853</v>
      </c>
      <c r="D225" s="12" t="n">
        <v>1.7299</v>
      </c>
      <c r="E225" s="12"/>
      <c r="F225" s="12"/>
      <c r="G225" s="10" t="s">
        <v>55</v>
      </c>
      <c r="H225" s="10" t="s">
        <v>816</v>
      </c>
      <c r="I225" s="11" t="s">
        <v>655</v>
      </c>
      <c r="J225" s="10" t="s">
        <v>656</v>
      </c>
      <c r="K225" s="10" t="s">
        <v>657</v>
      </c>
      <c r="L225" s="10" t="s">
        <v>60</v>
      </c>
      <c r="M225" s="10" t="s">
        <v>61</v>
      </c>
      <c r="N225" s="10"/>
      <c r="O225" s="11" t="s">
        <v>658</v>
      </c>
      <c r="P225" s="10" t="s">
        <v>63</v>
      </c>
      <c r="Q225" s="11" t="s">
        <v>64</v>
      </c>
      <c r="R225" s="11" t="s">
        <v>65</v>
      </c>
      <c r="S225" s="11" t="s">
        <v>66</v>
      </c>
      <c r="T225" s="10" t="s">
        <v>854</v>
      </c>
      <c r="U225" s="10" t="n">
        <f aca="false">IF(AND($D225="",$E225="",$F225=""),1,0)</f>
        <v>0</v>
      </c>
      <c r="V225" s="10" t="n">
        <f aca="false">IF(OR($I225="",$I225="—"),1,0)</f>
        <v>0</v>
      </c>
      <c r="W225" s="10" t="n">
        <f aca="false">IF(AND(ISNUMBER($D225),ISNUMBER($E225)),IF($E225&gt;$D225,1,0),0)+IF(AND(ISNUMBER($D225),ISNUMBER($F225)),IF($D225&gt;$F225,1,0),0)+IF(AND(ISNUMBER($E225),ISNUMBER($F225)),IF($E225&gt;$F225,1,0),0)</f>
        <v>0</v>
      </c>
      <c r="X225" s="13" t="s">
        <v>68</v>
      </c>
    </row>
    <row r="226" customFormat="false" ht="15" hidden="false" customHeight="false" outlineLevel="0" collapsed="false">
      <c r="A226" s="10" t="s">
        <v>855</v>
      </c>
      <c r="B226" s="10" t="s">
        <v>856</v>
      </c>
      <c r="C226" s="11" t="s">
        <v>617</v>
      </c>
      <c r="D226" s="12" t="n">
        <v>981</v>
      </c>
      <c r="E226" s="12"/>
      <c r="F226" s="12"/>
      <c r="G226" s="11" t="s">
        <v>431</v>
      </c>
      <c r="H226" s="10" t="s">
        <v>816</v>
      </c>
      <c r="I226" s="11" t="s">
        <v>655</v>
      </c>
      <c r="J226" s="10" t="s">
        <v>689</v>
      </c>
      <c r="K226" s="10" t="s">
        <v>657</v>
      </c>
      <c r="L226" s="10" t="s">
        <v>60</v>
      </c>
      <c r="M226" s="10" t="s">
        <v>61</v>
      </c>
      <c r="N226" s="10"/>
      <c r="O226" s="11" t="s">
        <v>658</v>
      </c>
      <c r="P226" s="10" t="s">
        <v>63</v>
      </c>
      <c r="Q226" s="11" t="s">
        <v>64</v>
      </c>
      <c r="R226" s="11" t="s">
        <v>65</v>
      </c>
      <c r="S226" s="11" t="s">
        <v>66</v>
      </c>
      <c r="T226" s="11" t="s">
        <v>857</v>
      </c>
      <c r="U226" s="10" t="n">
        <f aca="false">IF(AND($D226="",$E226="",$F226=""),1,0)</f>
        <v>0</v>
      </c>
      <c r="V226" s="10" t="n">
        <f aca="false">IF(OR($I226="",$I226="—"),1,0)</f>
        <v>0</v>
      </c>
      <c r="W226" s="10" t="n">
        <f aca="false">IF(AND(ISNUMBER($D226),ISNUMBER($E226)),IF($E226&gt;$D226,1,0),0)+IF(AND(ISNUMBER($D226),ISNUMBER($F226)),IF($D226&gt;$F226,1,0),0)+IF(AND(ISNUMBER($E226),ISNUMBER($F226)),IF($E226&gt;$F226,1,0),0)</f>
        <v>0</v>
      </c>
      <c r="X226" s="13" t="s">
        <v>68</v>
      </c>
    </row>
    <row r="227" customFormat="false" ht="15" hidden="false" customHeight="false" outlineLevel="0" collapsed="false">
      <c r="A227" s="10" t="s">
        <v>858</v>
      </c>
      <c r="B227" s="10" t="s">
        <v>859</v>
      </c>
      <c r="C227" s="11" t="s">
        <v>617</v>
      </c>
      <c r="D227" s="12" t="n">
        <v>883</v>
      </c>
      <c r="E227" s="12"/>
      <c r="F227" s="12"/>
      <c r="G227" s="11" t="s">
        <v>431</v>
      </c>
      <c r="H227" s="10" t="s">
        <v>432</v>
      </c>
      <c r="I227" s="11" t="s">
        <v>655</v>
      </c>
      <c r="J227" s="10" t="s">
        <v>689</v>
      </c>
      <c r="K227" s="10" t="s">
        <v>657</v>
      </c>
      <c r="L227" s="10" t="s">
        <v>60</v>
      </c>
      <c r="M227" s="10" t="s">
        <v>61</v>
      </c>
      <c r="N227" s="10"/>
      <c r="O227" s="11" t="s">
        <v>658</v>
      </c>
      <c r="P227" s="10" t="s">
        <v>63</v>
      </c>
      <c r="Q227" s="11" t="s">
        <v>64</v>
      </c>
      <c r="R227" s="11" t="s">
        <v>65</v>
      </c>
      <c r="S227" s="11" t="s">
        <v>66</v>
      </c>
      <c r="T227" s="11" t="s">
        <v>860</v>
      </c>
      <c r="U227" s="10" t="n">
        <f aca="false">IF(AND($D227="",$E227="",$F227=""),1,0)</f>
        <v>0</v>
      </c>
      <c r="V227" s="10" t="n">
        <f aca="false">IF(OR($I227="",$I227="—"),1,0)</f>
        <v>0</v>
      </c>
      <c r="W227" s="10" t="n">
        <f aca="false">IF(AND(ISNUMBER($D227),ISNUMBER($E227)),IF($E227&gt;$D227,1,0),0)+IF(AND(ISNUMBER($D227),ISNUMBER($F227)),IF($D227&gt;$F227,1,0),0)+IF(AND(ISNUMBER($E227),ISNUMBER($F227)),IF($E227&gt;$F227,1,0),0)</f>
        <v>0</v>
      </c>
      <c r="X227" s="13" t="s">
        <v>68</v>
      </c>
    </row>
    <row r="228" customFormat="false" ht="15" hidden="false" customHeight="false" outlineLevel="0" collapsed="false">
      <c r="A228" s="10" t="s">
        <v>861</v>
      </c>
      <c r="B228" s="10" t="s">
        <v>862</v>
      </c>
      <c r="C228" s="11" t="s">
        <v>622</v>
      </c>
      <c r="D228" s="12" t="n">
        <v>4.821</v>
      </c>
      <c r="E228" s="12"/>
      <c r="F228" s="12"/>
      <c r="G228" s="10" t="s">
        <v>55</v>
      </c>
      <c r="H228" s="10" t="s">
        <v>654</v>
      </c>
      <c r="I228" s="11" t="s">
        <v>655</v>
      </c>
      <c r="J228" s="10" t="s">
        <v>689</v>
      </c>
      <c r="K228" s="10" t="s">
        <v>657</v>
      </c>
      <c r="L228" s="10" t="s">
        <v>60</v>
      </c>
      <c r="M228" s="10" t="s">
        <v>61</v>
      </c>
      <c r="N228" s="10"/>
      <c r="O228" s="11" t="s">
        <v>658</v>
      </c>
      <c r="P228" s="10" t="s">
        <v>63</v>
      </c>
      <c r="Q228" s="11" t="s">
        <v>64</v>
      </c>
      <c r="R228" s="11" t="s">
        <v>65</v>
      </c>
      <c r="S228" s="11" t="s">
        <v>66</v>
      </c>
      <c r="T228" s="11" t="s">
        <v>863</v>
      </c>
      <c r="U228" s="10" t="n">
        <f aca="false">IF(AND($D228="",$E228="",$F228=""),1,0)</f>
        <v>0</v>
      </c>
      <c r="V228" s="10" t="n">
        <f aca="false">IF(OR($I228="",$I228="—"),1,0)</f>
        <v>0</v>
      </c>
      <c r="W228" s="10" t="n">
        <f aca="false">IF(AND(ISNUMBER($D228),ISNUMBER($E228)),IF($E228&gt;$D228,1,0),0)+IF(AND(ISNUMBER($D228),ISNUMBER($F228)),IF($D228&gt;$F228,1,0),0)+IF(AND(ISNUMBER($E228),ISNUMBER($F228)),IF($E228&gt;$F228,1,0),0)</f>
        <v>0</v>
      </c>
      <c r="X228" s="13" t="s">
        <v>68</v>
      </c>
    </row>
    <row r="229" customFormat="false" ht="15" hidden="false" customHeight="false" outlineLevel="0" collapsed="false">
      <c r="A229" s="10" t="s">
        <v>864</v>
      </c>
      <c r="B229" s="10" t="s">
        <v>865</v>
      </c>
      <c r="C229" s="11" t="s">
        <v>622</v>
      </c>
      <c r="D229" s="12" t="n">
        <v>4.996</v>
      </c>
      <c r="E229" s="12"/>
      <c r="F229" s="12"/>
      <c r="G229" s="10" t="s">
        <v>55</v>
      </c>
      <c r="H229" s="10" t="s">
        <v>84</v>
      </c>
      <c r="I229" s="11" t="s">
        <v>655</v>
      </c>
      <c r="J229" s="10" t="s">
        <v>689</v>
      </c>
      <c r="K229" s="10" t="s">
        <v>657</v>
      </c>
      <c r="L229" s="10" t="s">
        <v>60</v>
      </c>
      <c r="M229" s="10" t="s">
        <v>61</v>
      </c>
      <c r="N229" s="10"/>
      <c r="O229" s="11" t="s">
        <v>658</v>
      </c>
      <c r="P229" s="10" t="s">
        <v>63</v>
      </c>
      <c r="Q229" s="11" t="s">
        <v>64</v>
      </c>
      <c r="R229" s="11" t="s">
        <v>65</v>
      </c>
      <c r="S229" s="11" t="s">
        <v>66</v>
      </c>
      <c r="T229" s="11" t="s">
        <v>866</v>
      </c>
      <c r="U229" s="10" t="n">
        <f aca="false">IF(AND($D229="",$E229="",$F229=""),1,0)</f>
        <v>0</v>
      </c>
      <c r="V229" s="10" t="n">
        <f aca="false">IF(OR($I229="",$I229="—"),1,0)</f>
        <v>0</v>
      </c>
      <c r="W229" s="10" t="n">
        <f aca="false">IF(AND(ISNUMBER($D229),ISNUMBER($E229)),IF($E229&gt;$D229,1,0),0)+IF(AND(ISNUMBER($D229),ISNUMBER($F229)),IF($D229&gt;$F229,1,0),0)+IF(AND(ISNUMBER($E229),ISNUMBER($F229)),IF($E229&gt;$F229,1,0),0)</f>
        <v>0</v>
      </c>
      <c r="X229" s="13" t="s">
        <v>68</v>
      </c>
    </row>
    <row r="230" customFormat="false" ht="15" hidden="false" customHeight="false" outlineLevel="0" collapsed="false">
      <c r="A230" s="10" t="s">
        <v>867</v>
      </c>
      <c r="B230" s="10" t="s">
        <v>868</v>
      </c>
      <c r="C230" s="11" t="s">
        <v>869</v>
      </c>
      <c r="D230" s="12" t="n">
        <v>0.00491</v>
      </c>
      <c r="E230" s="12"/>
      <c r="F230" s="12"/>
      <c r="G230" s="10" t="s">
        <v>870</v>
      </c>
      <c r="H230" s="10" t="s">
        <v>654</v>
      </c>
      <c r="I230" s="11" t="s">
        <v>655</v>
      </c>
      <c r="J230" s="10" t="s">
        <v>689</v>
      </c>
      <c r="K230" s="10" t="s">
        <v>657</v>
      </c>
      <c r="L230" s="10" t="s">
        <v>60</v>
      </c>
      <c r="M230" s="10" t="s">
        <v>628</v>
      </c>
      <c r="N230" s="10"/>
      <c r="O230" s="10" t="s">
        <v>628</v>
      </c>
      <c r="P230" s="10" t="s">
        <v>629</v>
      </c>
      <c r="Q230" s="11" t="s">
        <v>630</v>
      </c>
      <c r="R230" s="11" t="s">
        <v>631</v>
      </c>
      <c r="S230" s="11" t="s">
        <v>66</v>
      </c>
      <c r="T230" s="10" t="s">
        <v>871</v>
      </c>
      <c r="U230" s="10" t="n">
        <f aca="false">IF(AND($D230="",$E230="",$F230=""),1,0)</f>
        <v>0</v>
      </c>
      <c r="V230" s="10" t="n">
        <f aca="false">IF(OR($I230="",$I230="—"),1,0)</f>
        <v>0</v>
      </c>
      <c r="W230" s="10" t="n">
        <f aca="false">IF(AND(ISNUMBER($D230),ISNUMBER($E230)),IF($E230&gt;$D230,1,0),0)+IF(AND(ISNUMBER($D230),ISNUMBER($F230)),IF($D230&gt;$F230,1,0),0)+IF(AND(ISNUMBER($E230),ISNUMBER($F230)),IF($E230&gt;$F230,1,0),0)</f>
        <v>0</v>
      </c>
      <c r="X230" s="13" t="s">
        <v>68</v>
      </c>
    </row>
    <row r="231" customFormat="false" ht="15" hidden="false" customHeight="false" outlineLevel="0" collapsed="false">
      <c r="A231" s="10" t="s">
        <v>872</v>
      </c>
      <c r="B231" s="10" t="s">
        <v>873</v>
      </c>
      <c r="C231" s="10" t="s">
        <v>874</v>
      </c>
      <c r="D231" s="12" t="n">
        <v>101</v>
      </c>
      <c r="E231" s="12"/>
      <c r="F231" s="12"/>
      <c r="G231" s="10" t="s">
        <v>393</v>
      </c>
      <c r="H231" s="10" t="s">
        <v>654</v>
      </c>
      <c r="I231" s="11" t="s">
        <v>655</v>
      </c>
      <c r="J231" s="10" t="s">
        <v>689</v>
      </c>
      <c r="K231" s="10" t="s">
        <v>657</v>
      </c>
      <c r="L231" s="10" t="s">
        <v>60</v>
      </c>
      <c r="M231" s="10" t="s">
        <v>408</v>
      </c>
      <c r="N231" s="11" t="s">
        <v>641</v>
      </c>
      <c r="O231" s="11" t="s">
        <v>433</v>
      </c>
      <c r="P231" s="10" t="s">
        <v>63</v>
      </c>
      <c r="Q231" s="11" t="s">
        <v>64</v>
      </c>
      <c r="R231" s="11" t="s">
        <v>641</v>
      </c>
      <c r="S231" s="11" t="s">
        <v>66</v>
      </c>
      <c r="T231" s="11" t="s">
        <v>875</v>
      </c>
      <c r="U231" s="10" t="n">
        <f aca="false">IF(AND($D231="",$E231="",$F231=""),1,0)</f>
        <v>0</v>
      </c>
      <c r="V231" s="10" t="n">
        <f aca="false">IF(OR($I231="",$I231="—"),1,0)</f>
        <v>0</v>
      </c>
      <c r="W231" s="10" t="n">
        <f aca="false">IF(AND(ISNUMBER($D231),ISNUMBER($E231)),IF($E231&gt;$D231,1,0),0)+IF(AND(ISNUMBER($D231),ISNUMBER($F231)),IF($D231&gt;$F231,1,0),0)+IF(AND(ISNUMBER($E231),ISNUMBER($F231)),IF($E231&gt;$F231,1,0),0)</f>
        <v>0</v>
      </c>
      <c r="X231" s="13" t="s">
        <v>68</v>
      </c>
    </row>
    <row r="232" customFormat="false" ht="15" hidden="false" customHeight="false" outlineLevel="0" collapsed="false">
      <c r="A232" s="10" t="s">
        <v>876</v>
      </c>
      <c r="B232" s="10" t="s">
        <v>877</v>
      </c>
      <c r="C232" s="10" t="s">
        <v>645</v>
      </c>
      <c r="D232" s="12"/>
      <c r="E232" s="12"/>
      <c r="F232" s="12"/>
      <c r="G232" s="10"/>
      <c r="H232" s="10" t="s">
        <v>654</v>
      </c>
      <c r="I232" s="11" t="s">
        <v>655</v>
      </c>
      <c r="J232" s="10" t="s">
        <v>689</v>
      </c>
      <c r="K232" s="10" t="s">
        <v>657</v>
      </c>
      <c r="L232" s="10" t="s">
        <v>60</v>
      </c>
      <c r="M232" s="10" t="s">
        <v>628</v>
      </c>
      <c r="N232" s="10"/>
      <c r="O232" s="10" t="s">
        <v>628</v>
      </c>
      <c r="P232" s="10" t="s">
        <v>629</v>
      </c>
      <c r="Q232" s="11" t="s">
        <v>630</v>
      </c>
      <c r="R232" s="11" t="s">
        <v>631</v>
      </c>
      <c r="S232" s="11" t="s">
        <v>66</v>
      </c>
      <c r="T232" s="11" t="s">
        <v>878</v>
      </c>
      <c r="U232" s="10" t="n">
        <f aca="false">IF(AND($D232="",$E232="",$F232=""),1,0)</f>
        <v>1</v>
      </c>
      <c r="V232" s="10" t="n">
        <f aca="false">IF(OR($I232="",$I232="—"),1,0)</f>
        <v>0</v>
      </c>
      <c r="W232" s="10" t="n">
        <f aca="false">IF(AND(ISNUMBER($D232),ISNUMBER($E232)),IF($E232&gt;$D232,1,0),0)+IF(AND(ISNUMBER($D232),ISNUMBER($F232)),IF($D232&gt;$F232,1,0),0)+IF(AND(ISNUMBER($E232),ISNUMBER($F232)),IF($E232&gt;$F232,1,0),0)</f>
        <v>0</v>
      </c>
      <c r="X232" s="13" t="s">
        <v>68</v>
      </c>
    </row>
    <row r="233" customFormat="false" ht="15" hidden="false" customHeight="false" outlineLevel="0" collapsed="false">
      <c r="A233" s="10" t="s">
        <v>879</v>
      </c>
      <c r="B233" s="10" t="s">
        <v>880</v>
      </c>
      <c r="C233" s="11" t="s">
        <v>881</v>
      </c>
      <c r="D233" s="12" t="n">
        <v>100000</v>
      </c>
      <c r="E233" s="12" t="n">
        <v>100000</v>
      </c>
      <c r="F233" s="12"/>
      <c r="G233" s="11" t="s">
        <v>882</v>
      </c>
      <c r="H233" s="10" t="s">
        <v>654</v>
      </c>
      <c r="I233" s="11" t="s">
        <v>655</v>
      </c>
      <c r="J233" s="10" t="s">
        <v>689</v>
      </c>
      <c r="K233" s="10" t="s">
        <v>657</v>
      </c>
      <c r="L233" s="10" t="s">
        <v>60</v>
      </c>
      <c r="M233" s="10" t="s">
        <v>408</v>
      </c>
      <c r="N233" s="11" t="s">
        <v>641</v>
      </c>
      <c r="O233" s="11" t="s">
        <v>433</v>
      </c>
      <c r="P233" s="10" t="s">
        <v>63</v>
      </c>
      <c r="Q233" s="11" t="s">
        <v>64</v>
      </c>
      <c r="R233" s="11" t="s">
        <v>641</v>
      </c>
      <c r="S233" s="11" t="s">
        <v>66</v>
      </c>
      <c r="T233" s="11" t="s">
        <v>883</v>
      </c>
      <c r="U233" s="10" t="n">
        <f aca="false">IF(AND($D233="",$E233="",$F233=""),1,0)</f>
        <v>0</v>
      </c>
      <c r="V233" s="10" t="n">
        <f aca="false">IF(OR($I233="",$I233="—"),1,0)</f>
        <v>0</v>
      </c>
      <c r="W233" s="10" t="n">
        <f aca="false">IF(AND(ISNUMBER($D233),ISNUMBER($E233)),IF($E233&gt;$D233,1,0),0)+IF(AND(ISNUMBER($D233),ISNUMBER($F233)),IF($D233&gt;$F233,1,0),0)+IF(AND(ISNUMBER($E233),ISNUMBER($F233)),IF($E233&gt;$F233,1,0),0)</f>
        <v>0</v>
      </c>
      <c r="X233" s="13" t="s">
        <v>68</v>
      </c>
    </row>
    <row r="234" customFormat="false" ht="15" hidden="false" customHeight="false" outlineLevel="0" collapsed="false">
      <c r="A234" s="10" t="s">
        <v>884</v>
      </c>
      <c r="B234" s="10" t="s">
        <v>885</v>
      </c>
      <c r="C234" s="11" t="s">
        <v>886</v>
      </c>
      <c r="D234" s="12" t="n">
        <v>0.15</v>
      </c>
      <c r="E234" s="12"/>
      <c r="F234" s="12"/>
      <c r="G234" s="10" t="s">
        <v>55</v>
      </c>
      <c r="H234" s="10" t="s">
        <v>56</v>
      </c>
      <c r="I234" s="10" t="s">
        <v>887</v>
      </c>
      <c r="J234" s="10" t="s">
        <v>797</v>
      </c>
      <c r="K234" s="10" t="s">
        <v>798</v>
      </c>
      <c r="L234" s="10" t="s">
        <v>60</v>
      </c>
      <c r="M234" s="10" t="s">
        <v>408</v>
      </c>
      <c r="N234" s="11" t="s">
        <v>701</v>
      </c>
      <c r="O234" s="11" t="s">
        <v>888</v>
      </c>
      <c r="P234" s="10" t="s">
        <v>629</v>
      </c>
      <c r="Q234" s="11" t="s">
        <v>64</v>
      </c>
      <c r="R234" s="11" t="s">
        <v>701</v>
      </c>
      <c r="S234" s="11" t="s">
        <v>702</v>
      </c>
      <c r="T234" s="11" t="s">
        <v>889</v>
      </c>
      <c r="U234" s="10" t="n">
        <f aca="false">IF(AND($D234="",$E234="",$F234=""),1,0)</f>
        <v>0</v>
      </c>
      <c r="V234" s="10" t="n">
        <f aca="false">IF(OR($I234="",$I234="—"),1,0)</f>
        <v>0</v>
      </c>
      <c r="W234" s="10" t="n">
        <f aca="false">IF(AND(ISNUMBER($D234),ISNUMBER($E234)),IF($E234&gt;$D234,1,0),0)+IF(AND(ISNUMBER($D234),ISNUMBER($F234)),IF($D234&gt;$F234,1,0),0)+IF(AND(ISNUMBER($E234),ISNUMBER($F234)),IF($E234&gt;$F234,1,0),0)</f>
        <v>0</v>
      </c>
      <c r="X234" s="13" t="s">
        <v>68</v>
      </c>
    </row>
    <row r="235" customFormat="false" ht="15" hidden="false" customHeight="false" outlineLevel="0" collapsed="false">
      <c r="A235" s="10" t="s">
        <v>890</v>
      </c>
      <c r="B235" s="10" t="s">
        <v>891</v>
      </c>
      <c r="C235" s="11" t="s">
        <v>886</v>
      </c>
      <c r="D235" s="12" t="n">
        <v>11.45</v>
      </c>
      <c r="E235" s="12"/>
      <c r="F235" s="12"/>
      <c r="G235" s="10" t="s">
        <v>55</v>
      </c>
      <c r="H235" s="10" t="s">
        <v>84</v>
      </c>
      <c r="I235" s="10" t="s">
        <v>887</v>
      </c>
      <c r="J235" s="10" t="s">
        <v>797</v>
      </c>
      <c r="K235" s="10" t="s">
        <v>798</v>
      </c>
      <c r="L235" s="10" t="s">
        <v>60</v>
      </c>
      <c r="M235" s="10" t="s">
        <v>408</v>
      </c>
      <c r="N235" s="11" t="s">
        <v>701</v>
      </c>
      <c r="O235" s="11" t="s">
        <v>888</v>
      </c>
      <c r="P235" s="10" t="s">
        <v>629</v>
      </c>
      <c r="Q235" s="11" t="s">
        <v>64</v>
      </c>
      <c r="R235" s="11" t="s">
        <v>701</v>
      </c>
      <c r="S235" s="11" t="s">
        <v>702</v>
      </c>
      <c r="T235" s="11" t="s">
        <v>892</v>
      </c>
      <c r="U235" s="10" t="n">
        <f aca="false">IF(AND($D235="",$E235="",$F235=""),1,0)</f>
        <v>0</v>
      </c>
      <c r="V235" s="10" t="n">
        <f aca="false">IF(OR($I235="",$I235="—"),1,0)</f>
        <v>0</v>
      </c>
      <c r="W235" s="10" t="n">
        <f aca="false">IF(AND(ISNUMBER($D235),ISNUMBER($E235)),IF($E235&gt;$D235,1,0),0)+IF(AND(ISNUMBER($D235),ISNUMBER($F235)),IF($D235&gt;$F235,1,0),0)+IF(AND(ISNUMBER($E235),ISNUMBER($F235)),IF($E235&gt;$F235,1,0),0)</f>
        <v>0</v>
      </c>
      <c r="X235" s="13" t="s">
        <v>68</v>
      </c>
    </row>
    <row r="236" customFormat="false" ht="15" hidden="false" customHeight="false" outlineLevel="0" collapsed="false">
      <c r="A236" s="10" t="s">
        <v>893</v>
      </c>
      <c r="B236" s="10" t="s">
        <v>894</v>
      </c>
      <c r="C236" s="11" t="s">
        <v>895</v>
      </c>
      <c r="D236" s="12" t="n">
        <v>15.52</v>
      </c>
      <c r="E236" s="12"/>
      <c r="F236" s="12"/>
      <c r="G236" s="10" t="s">
        <v>55</v>
      </c>
      <c r="H236" s="10" t="s">
        <v>75</v>
      </c>
      <c r="I236" s="11" t="s">
        <v>896</v>
      </c>
      <c r="J236" s="10" t="s">
        <v>897</v>
      </c>
      <c r="K236" s="10" t="s">
        <v>898</v>
      </c>
      <c r="L236" s="10" t="s">
        <v>60</v>
      </c>
      <c r="M236" s="10" t="s">
        <v>408</v>
      </c>
      <c r="N236" s="11" t="s">
        <v>701</v>
      </c>
      <c r="O236" s="11" t="s">
        <v>888</v>
      </c>
      <c r="P236" s="10" t="s">
        <v>629</v>
      </c>
      <c r="Q236" s="11" t="s">
        <v>64</v>
      </c>
      <c r="R236" s="11" t="s">
        <v>701</v>
      </c>
      <c r="S236" s="11" t="s">
        <v>702</v>
      </c>
      <c r="T236" s="11" t="s">
        <v>899</v>
      </c>
      <c r="U236" s="10" t="n">
        <f aca="false">IF(AND($D236="",$E236="",$F236=""),1,0)</f>
        <v>0</v>
      </c>
      <c r="V236" s="10" t="n">
        <f aca="false">IF(OR($I236="",$I236="—"),1,0)</f>
        <v>0</v>
      </c>
      <c r="W236" s="10" t="n">
        <f aca="false">IF(AND(ISNUMBER($D236),ISNUMBER($E236)),IF($E236&gt;$D236,1,0),0)+IF(AND(ISNUMBER($D236),ISNUMBER($F236)),IF($D236&gt;$F236,1,0),0)+IF(AND(ISNUMBER($E236),ISNUMBER($F236)),IF($E236&gt;$F236,1,0),0)</f>
        <v>0</v>
      </c>
      <c r="X236" s="13" t="s">
        <v>68</v>
      </c>
    </row>
    <row r="237" customFormat="false" ht="15" hidden="false" customHeight="false" outlineLevel="0" collapsed="false">
      <c r="A237" s="10" t="s">
        <v>900</v>
      </c>
      <c r="B237" s="10" t="s">
        <v>901</v>
      </c>
      <c r="C237" s="11" t="s">
        <v>895</v>
      </c>
      <c r="D237" s="12" t="n">
        <v>15.53</v>
      </c>
      <c r="E237" s="12"/>
      <c r="F237" s="12"/>
      <c r="G237" s="10" t="s">
        <v>55</v>
      </c>
      <c r="H237" s="10" t="s">
        <v>75</v>
      </c>
      <c r="I237" s="11" t="s">
        <v>902</v>
      </c>
      <c r="J237" s="10" t="s">
        <v>903</v>
      </c>
      <c r="K237" s="10" t="s">
        <v>904</v>
      </c>
      <c r="L237" s="10" t="s">
        <v>60</v>
      </c>
      <c r="M237" s="10" t="s">
        <v>408</v>
      </c>
      <c r="N237" s="11" t="s">
        <v>701</v>
      </c>
      <c r="O237" s="11" t="s">
        <v>888</v>
      </c>
      <c r="P237" s="10" t="s">
        <v>629</v>
      </c>
      <c r="Q237" s="11" t="s">
        <v>64</v>
      </c>
      <c r="R237" s="11" t="s">
        <v>701</v>
      </c>
      <c r="S237" s="11" t="s">
        <v>702</v>
      </c>
      <c r="T237" s="10" t="s">
        <v>905</v>
      </c>
      <c r="U237" s="10" t="n">
        <f aca="false">IF(AND($D237="",$E237="",$F237=""),1,0)</f>
        <v>0</v>
      </c>
      <c r="V237" s="10" t="n">
        <f aca="false">IF(OR($I237="",$I237="—"),1,0)</f>
        <v>0</v>
      </c>
      <c r="W237" s="10" t="n">
        <f aca="false">IF(AND(ISNUMBER($D237),ISNUMBER($E237)),IF($E237&gt;$D237,1,0),0)+IF(AND(ISNUMBER($D237),ISNUMBER($F237)),IF($D237&gt;$F237,1,0),0)+IF(AND(ISNUMBER($E237),ISNUMBER($F237)),IF($E237&gt;$F237,1,0),0)</f>
        <v>0</v>
      </c>
      <c r="X237" s="13" t="s">
        <v>68</v>
      </c>
    </row>
    <row r="238" customFormat="false" ht="15" hidden="false" customHeight="false" outlineLevel="0" collapsed="false">
      <c r="A238" s="10" t="s">
        <v>906</v>
      </c>
      <c r="B238" s="10" t="s">
        <v>907</v>
      </c>
      <c r="C238" s="11" t="s">
        <v>908</v>
      </c>
      <c r="D238" s="12" t="n">
        <v>70</v>
      </c>
      <c r="E238" s="12" t="n">
        <v>70</v>
      </c>
      <c r="F238" s="12"/>
      <c r="G238" s="10" t="s">
        <v>909</v>
      </c>
      <c r="H238" s="10" t="s">
        <v>84</v>
      </c>
      <c r="I238" s="11" t="s">
        <v>902</v>
      </c>
      <c r="J238" s="10" t="s">
        <v>903</v>
      </c>
      <c r="K238" s="10" t="s">
        <v>904</v>
      </c>
      <c r="L238" s="10" t="s">
        <v>60</v>
      </c>
      <c r="M238" s="10" t="s">
        <v>408</v>
      </c>
      <c r="N238" s="11" t="s">
        <v>701</v>
      </c>
      <c r="O238" s="11" t="s">
        <v>888</v>
      </c>
      <c r="P238" s="10" t="s">
        <v>629</v>
      </c>
      <c r="Q238" s="11" t="s">
        <v>64</v>
      </c>
      <c r="R238" s="11" t="s">
        <v>701</v>
      </c>
      <c r="S238" s="11" t="s">
        <v>702</v>
      </c>
      <c r="T238" s="11" t="s">
        <v>910</v>
      </c>
      <c r="U238" s="10" t="n">
        <f aca="false">IF(AND($D238="",$E238="",$F238=""),1,0)</f>
        <v>0</v>
      </c>
      <c r="V238" s="10" t="n">
        <f aca="false">IF(OR($I238="",$I238="—"),1,0)</f>
        <v>0</v>
      </c>
      <c r="W238" s="10" t="n">
        <f aca="false">IF(AND(ISNUMBER($D238),ISNUMBER($E238)),IF($E238&gt;$D238,1,0),0)+IF(AND(ISNUMBER($D238),ISNUMBER($F238)),IF($D238&gt;$F238,1,0),0)+IF(AND(ISNUMBER($E238),ISNUMBER($F238)),IF($E238&gt;$F238,1,0),0)</f>
        <v>0</v>
      </c>
      <c r="X238" s="13" t="s">
        <v>68</v>
      </c>
    </row>
    <row r="239" customFormat="false" ht="15" hidden="false" customHeight="false" outlineLevel="0" collapsed="false">
      <c r="A239" s="10" t="s">
        <v>911</v>
      </c>
      <c r="B239" s="10" t="s">
        <v>912</v>
      </c>
      <c r="C239" s="11" t="s">
        <v>913</v>
      </c>
      <c r="D239" s="12" t="n">
        <v>0.42</v>
      </c>
      <c r="E239" s="12"/>
      <c r="F239" s="12"/>
      <c r="G239" s="10" t="s">
        <v>55</v>
      </c>
      <c r="H239" s="10" t="s">
        <v>56</v>
      </c>
      <c r="I239" s="10" t="s">
        <v>887</v>
      </c>
      <c r="J239" s="10" t="s">
        <v>797</v>
      </c>
      <c r="K239" s="10" t="s">
        <v>798</v>
      </c>
      <c r="L239" s="10" t="s">
        <v>60</v>
      </c>
      <c r="M239" s="10" t="s">
        <v>408</v>
      </c>
      <c r="N239" s="11" t="s">
        <v>701</v>
      </c>
      <c r="O239" s="11" t="s">
        <v>888</v>
      </c>
      <c r="P239" s="10" t="s">
        <v>629</v>
      </c>
      <c r="Q239" s="11" t="s">
        <v>64</v>
      </c>
      <c r="R239" s="11" t="s">
        <v>701</v>
      </c>
      <c r="S239" s="11" t="s">
        <v>702</v>
      </c>
      <c r="T239" s="11" t="s">
        <v>914</v>
      </c>
      <c r="U239" s="10" t="n">
        <f aca="false">IF(AND($D239="",$E239="",$F239=""),1,0)</f>
        <v>0</v>
      </c>
      <c r="V239" s="10" t="n">
        <f aca="false">IF(OR($I239="",$I239="—"),1,0)</f>
        <v>0</v>
      </c>
      <c r="W239" s="10" t="n">
        <f aca="false">IF(AND(ISNUMBER($D239),ISNUMBER($E239)),IF($E239&gt;$D239,1,0),0)+IF(AND(ISNUMBER($D239),ISNUMBER($F239)),IF($D239&gt;$F239,1,0),0)+IF(AND(ISNUMBER($E239),ISNUMBER($F239)),IF($E239&gt;$F239,1,0),0)</f>
        <v>0</v>
      </c>
      <c r="X239" s="13" t="s">
        <v>68</v>
      </c>
    </row>
    <row r="240" customFormat="false" ht="15" hidden="false" customHeight="false" outlineLevel="0" collapsed="false">
      <c r="A240" s="10" t="s">
        <v>915</v>
      </c>
      <c r="B240" s="10" t="s">
        <v>916</v>
      </c>
      <c r="C240" s="11" t="s">
        <v>913</v>
      </c>
      <c r="D240" s="12" t="n">
        <v>1.37</v>
      </c>
      <c r="E240" s="12"/>
      <c r="F240" s="12"/>
      <c r="G240" s="10" t="s">
        <v>55</v>
      </c>
      <c r="H240" s="10" t="s">
        <v>71</v>
      </c>
      <c r="I240" s="10" t="s">
        <v>887</v>
      </c>
      <c r="J240" s="10" t="s">
        <v>797</v>
      </c>
      <c r="K240" s="10" t="s">
        <v>798</v>
      </c>
      <c r="L240" s="10" t="s">
        <v>60</v>
      </c>
      <c r="M240" s="10" t="s">
        <v>408</v>
      </c>
      <c r="N240" s="11" t="s">
        <v>701</v>
      </c>
      <c r="O240" s="11" t="s">
        <v>888</v>
      </c>
      <c r="P240" s="10" t="s">
        <v>629</v>
      </c>
      <c r="Q240" s="11" t="s">
        <v>64</v>
      </c>
      <c r="R240" s="11" t="s">
        <v>701</v>
      </c>
      <c r="S240" s="11" t="s">
        <v>702</v>
      </c>
      <c r="T240" s="11" t="s">
        <v>914</v>
      </c>
      <c r="U240" s="10" t="n">
        <f aca="false">IF(AND($D240="",$E240="",$F240=""),1,0)</f>
        <v>0</v>
      </c>
      <c r="V240" s="10" t="n">
        <f aca="false">IF(OR($I240="",$I240="—"),1,0)</f>
        <v>0</v>
      </c>
      <c r="W240" s="10" t="n">
        <f aca="false">IF(AND(ISNUMBER($D240),ISNUMBER($E240)),IF($E240&gt;$D240,1,0),0)+IF(AND(ISNUMBER($D240),ISNUMBER($F240)),IF($D240&gt;$F240,1,0),0)+IF(AND(ISNUMBER($E240),ISNUMBER($F240)),IF($E240&gt;$F240,1,0),0)</f>
        <v>0</v>
      </c>
      <c r="X240" s="13" t="s">
        <v>68</v>
      </c>
    </row>
    <row r="241" customFormat="false" ht="15" hidden="false" customHeight="false" outlineLevel="0" collapsed="false">
      <c r="A241" s="10" t="s">
        <v>917</v>
      </c>
      <c r="B241" s="10" t="s">
        <v>918</v>
      </c>
      <c r="C241" s="11" t="s">
        <v>913</v>
      </c>
      <c r="D241" s="12" t="n">
        <v>3.24</v>
      </c>
      <c r="E241" s="12"/>
      <c r="F241" s="12"/>
      <c r="G241" s="10" t="s">
        <v>55</v>
      </c>
      <c r="H241" s="10" t="s">
        <v>75</v>
      </c>
      <c r="I241" s="10" t="s">
        <v>887</v>
      </c>
      <c r="J241" s="10" t="s">
        <v>797</v>
      </c>
      <c r="K241" s="10" t="s">
        <v>798</v>
      </c>
      <c r="L241" s="10" t="s">
        <v>60</v>
      </c>
      <c r="M241" s="10" t="s">
        <v>408</v>
      </c>
      <c r="N241" s="11" t="s">
        <v>701</v>
      </c>
      <c r="O241" s="11" t="s">
        <v>888</v>
      </c>
      <c r="P241" s="10" t="s">
        <v>629</v>
      </c>
      <c r="Q241" s="11" t="s">
        <v>64</v>
      </c>
      <c r="R241" s="11" t="s">
        <v>701</v>
      </c>
      <c r="S241" s="11" t="s">
        <v>702</v>
      </c>
      <c r="T241" s="11" t="s">
        <v>914</v>
      </c>
      <c r="U241" s="10" t="n">
        <f aca="false">IF(AND($D241="",$E241="",$F241=""),1,0)</f>
        <v>0</v>
      </c>
      <c r="V241" s="10" t="n">
        <f aca="false">IF(OR($I241="",$I241="—"),1,0)</f>
        <v>0</v>
      </c>
      <c r="W241" s="10" t="n">
        <f aca="false">IF(AND(ISNUMBER($D241),ISNUMBER($E241)),IF($E241&gt;$D241,1,0),0)+IF(AND(ISNUMBER($D241),ISNUMBER($F241)),IF($D241&gt;$F241,1,0),0)+IF(AND(ISNUMBER($E241),ISNUMBER($F241)),IF($E241&gt;$F241,1,0),0)</f>
        <v>0</v>
      </c>
      <c r="X241" s="13" t="s">
        <v>68</v>
      </c>
    </row>
    <row r="242" customFormat="false" ht="15" hidden="false" customHeight="false" outlineLevel="0" collapsed="false">
      <c r="A242" s="10" t="s">
        <v>919</v>
      </c>
      <c r="B242" s="10" t="s">
        <v>920</v>
      </c>
      <c r="C242" s="11" t="s">
        <v>913</v>
      </c>
      <c r="D242" s="12" t="n">
        <v>2.66</v>
      </c>
      <c r="E242" s="12"/>
      <c r="F242" s="12"/>
      <c r="G242" s="10" t="s">
        <v>55</v>
      </c>
      <c r="H242" s="10" t="s">
        <v>84</v>
      </c>
      <c r="I242" s="10" t="s">
        <v>887</v>
      </c>
      <c r="J242" s="10" t="s">
        <v>797</v>
      </c>
      <c r="K242" s="10" t="s">
        <v>798</v>
      </c>
      <c r="L242" s="10" t="s">
        <v>60</v>
      </c>
      <c r="M242" s="10" t="s">
        <v>408</v>
      </c>
      <c r="N242" s="11" t="s">
        <v>701</v>
      </c>
      <c r="O242" s="11" t="s">
        <v>888</v>
      </c>
      <c r="P242" s="10" t="s">
        <v>629</v>
      </c>
      <c r="Q242" s="11" t="s">
        <v>64</v>
      </c>
      <c r="R242" s="11" t="s">
        <v>701</v>
      </c>
      <c r="S242" s="11" t="s">
        <v>702</v>
      </c>
      <c r="T242" s="11" t="s">
        <v>914</v>
      </c>
      <c r="U242" s="10" t="n">
        <f aca="false">IF(AND($D242="",$E242="",$F242=""),1,0)</f>
        <v>0</v>
      </c>
      <c r="V242" s="10" t="n">
        <f aca="false">IF(OR($I242="",$I242="—"),1,0)</f>
        <v>0</v>
      </c>
      <c r="W242" s="10" t="n">
        <f aca="false">IF(AND(ISNUMBER($D242),ISNUMBER($E242)),IF($E242&gt;$D242,1,0),0)+IF(AND(ISNUMBER($D242),ISNUMBER($F242)),IF($D242&gt;$F242,1,0),0)+IF(AND(ISNUMBER($E242),ISNUMBER($F242)),IF($E242&gt;$F242,1,0),0)</f>
        <v>0</v>
      </c>
      <c r="X242" s="13" t="s">
        <v>68</v>
      </c>
    </row>
    <row r="243" customFormat="false" ht="15" hidden="false" customHeight="false" outlineLevel="0" collapsed="false">
      <c r="A243" s="10" t="s">
        <v>921</v>
      </c>
      <c r="B243" s="10" t="s">
        <v>922</v>
      </c>
      <c r="C243" s="11" t="s">
        <v>923</v>
      </c>
      <c r="D243" s="12" t="n">
        <v>14.8</v>
      </c>
      <c r="E243" s="12"/>
      <c r="F243" s="12"/>
      <c r="G243" s="10" t="s">
        <v>393</v>
      </c>
      <c r="H243" s="10" t="s">
        <v>75</v>
      </c>
      <c r="I243" s="11" t="s">
        <v>924</v>
      </c>
      <c r="J243" s="10" t="s">
        <v>925</v>
      </c>
      <c r="K243" s="10" t="s">
        <v>904</v>
      </c>
      <c r="L243" s="10" t="s">
        <v>60</v>
      </c>
      <c r="M243" s="10" t="s">
        <v>408</v>
      </c>
      <c r="N243" s="11" t="s">
        <v>701</v>
      </c>
      <c r="O243" s="11" t="s">
        <v>888</v>
      </c>
      <c r="P243" s="10" t="s">
        <v>629</v>
      </c>
      <c r="Q243" s="11" t="s">
        <v>64</v>
      </c>
      <c r="R243" s="11" t="s">
        <v>701</v>
      </c>
      <c r="S243" s="11" t="s">
        <v>702</v>
      </c>
      <c r="T243" s="11" t="s">
        <v>926</v>
      </c>
      <c r="U243" s="10" t="n">
        <f aca="false">IF(AND($D243="",$E243="",$F243=""),1,0)</f>
        <v>0</v>
      </c>
      <c r="V243" s="10" t="n">
        <f aca="false">IF(OR($I243="",$I243="—"),1,0)</f>
        <v>0</v>
      </c>
      <c r="W243" s="10" t="n">
        <f aca="false">IF(AND(ISNUMBER($D243),ISNUMBER($E243)),IF($E243&gt;$D243,1,0),0)+IF(AND(ISNUMBER($D243),ISNUMBER($F243)),IF($D243&gt;$F243,1,0),0)+IF(AND(ISNUMBER($E243),ISNUMBER($F243)),IF($E243&gt;$F243,1,0),0)</f>
        <v>0</v>
      </c>
      <c r="X243" s="13" t="s">
        <v>68</v>
      </c>
    </row>
    <row r="244" customFormat="false" ht="15" hidden="false" customHeight="false" outlineLevel="0" collapsed="false">
      <c r="A244" s="10" t="s">
        <v>927</v>
      </c>
      <c r="B244" s="10" t="s">
        <v>928</v>
      </c>
      <c r="C244" s="11" t="s">
        <v>929</v>
      </c>
      <c r="D244" s="12" t="n">
        <v>74.4</v>
      </c>
      <c r="E244" s="12"/>
      <c r="F244" s="12"/>
      <c r="G244" s="10" t="s">
        <v>393</v>
      </c>
      <c r="H244" s="10" t="s">
        <v>432</v>
      </c>
      <c r="I244" s="11" t="s">
        <v>924</v>
      </c>
      <c r="J244" s="10" t="s">
        <v>925</v>
      </c>
      <c r="K244" s="10" t="s">
        <v>904</v>
      </c>
      <c r="L244" s="10" t="s">
        <v>60</v>
      </c>
      <c r="M244" s="10" t="s">
        <v>408</v>
      </c>
      <c r="N244" s="11" t="s">
        <v>701</v>
      </c>
      <c r="O244" s="11" t="s">
        <v>888</v>
      </c>
      <c r="P244" s="10" t="s">
        <v>629</v>
      </c>
      <c r="Q244" s="11" t="s">
        <v>64</v>
      </c>
      <c r="R244" s="11" t="s">
        <v>701</v>
      </c>
      <c r="S244" s="11" t="s">
        <v>702</v>
      </c>
      <c r="T244" s="11" t="s">
        <v>930</v>
      </c>
      <c r="U244" s="10" t="n">
        <f aca="false">IF(AND($D244="",$E244="",$F244=""),1,0)</f>
        <v>0</v>
      </c>
      <c r="V244" s="10" t="n">
        <f aca="false">IF(OR($I244="",$I244="—"),1,0)</f>
        <v>0</v>
      </c>
      <c r="W244" s="10" t="n">
        <f aca="false">IF(AND(ISNUMBER($D244),ISNUMBER($E244)),IF($E244&gt;$D244,1,0),0)+IF(AND(ISNUMBER($D244),ISNUMBER($F244)),IF($D244&gt;$F244,1,0),0)+IF(AND(ISNUMBER($E244),ISNUMBER($F244)),IF($E244&gt;$F244,1,0),0)</f>
        <v>0</v>
      </c>
      <c r="X244" s="13" t="s">
        <v>68</v>
      </c>
    </row>
    <row r="245" customFormat="false" ht="15" hidden="false" customHeight="false" outlineLevel="0" collapsed="false">
      <c r="A245" s="10" t="s">
        <v>931</v>
      </c>
      <c r="B245" s="10" t="s">
        <v>932</v>
      </c>
      <c r="C245" s="10" t="s">
        <v>933</v>
      </c>
      <c r="D245" s="12" t="n">
        <v>1.4</v>
      </c>
      <c r="E245" s="12"/>
      <c r="F245" s="12"/>
      <c r="G245" s="10" t="s">
        <v>934</v>
      </c>
      <c r="H245" s="10" t="s">
        <v>935</v>
      </c>
      <c r="I245" s="10" t="s">
        <v>936</v>
      </c>
      <c r="J245" s="10" t="s">
        <v>937</v>
      </c>
      <c r="K245" s="10" t="s">
        <v>60</v>
      </c>
      <c r="L245" s="10" t="s">
        <v>60</v>
      </c>
      <c r="M245" s="10" t="s">
        <v>61</v>
      </c>
      <c r="N245" s="10"/>
      <c r="O245" s="10"/>
      <c r="P245" s="10" t="s">
        <v>63</v>
      </c>
      <c r="Q245" s="11" t="s">
        <v>64</v>
      </c>
      <c r="R245" s="11" t="s">
        <v>938</v>
      </c>
      <c r="S245" s="11" t="s">
        <v>66</v>
      </c>
      <c r="T245" s="11" t="s">
        <v>939</v>
      </c>
      <c r="U245" s="10" t="n">
        <f aca="false">IF(AND($D245="",$E245="",$F245=""),1,0)</f>
        <v>0</v>
      </c>
      <c r="V245" s="10" t="n">
        <f aca="false">IF(OR($I245="",$I245="—"),1,0)</f>
        <v>0</v>
      </c>
      <c r="W245" s="10" t="n">
        <f aca="false">IF(AND(ISNUMBER($D245),ISNUMBER($E245)),IF($E245&gt;$D245,1,0),0)+IF(AND(ISNUMBER($D245),ISNUMBER($F245)),IF($D245&gt;$F245,1,0),0)+IF(AND(ISNUMBER($E245),ISNUMBER($F245)),IF($E245&gt;$F245,1,0),0)</f>
        <v>0</v>
      </c>
      <c r="X245" s="13" t="s">
        <v>68</v>
      </c>
    </row>
    <row r="246" customFormat="false" ht="15" hidden="false" customHeight="false" outlineLevel="0" collapsed="false">
      <c r="A246" s="10" t="s">
        <v>940</v>
      </c>
      <c r="B246" s="10" t="s">
        <v>941</v>
      </c>
      <c r="C246" s="10" t="s">
        <v>942</v>
      </c>
      <c r="D246" s="12" t="n">
        <v>0.26</v>
      </c>
      <c r="E246" s="12"/>
      <c r="F246" s="12"/>
      <c r="G246" s="10" t="s">
        <v>934</v>
      </c>
      <c r="H246" s="10" t="s">
        <v>935</v>
      </c>
      <c r="I246" s="10" t="s">
        <v>936</v>
      </c>
      <c r="J246" s="10" t="s">
        <v>937</v>
      </c>
      <c r="K246" s="10" t="s">
        <v>60</v>
      </c>
      <c r="L246" s="10" t="s">
        <v>60</v>
      </c>
      <c r="M246" s="10" t="s">
        <v>61</v>
      </c>
      <c r="N246" s="10"/>
      <c r="O246" s="10"/>
      <c r="P246" s="10" t="s">
        <v>63</v>
      </c>
      <c r="Q246" s="11" t="s">
        <v>64</v>
      </c>
      <c r="R246" s="11" t="s">
        <v>938</v>
      </c>
      <c r="S246" s="11" t="s">
        <v>66</v>
      </c>
      <c r="T246" s="11" t="s">
        <v>939</v>
      </c>
      <c r="U246" s="10" t="n">
        <f aca="false">IF(AND($D246="",$E246="",$F246=""),1,0)</f>
        <v>0</v>
      </c>
      <c r="V246" s="10" t="n">
        <f aca="false">IF(OR($I246="",$I246="—"),1,0)</f>
        <v>0</v>
      </c>
      <c r="W246" s="10" t="n">
        <f aca="false">IF(AND(ISNUMBER($D246),ISNUMBER($E246)),IF($E246&gt;$D246,1,0),0)+IF(AND(ISNUMBER($D246),ISNUMBER($F246)),IF($D246&gt;$F246,1,0),0)+IF(AND(ISNUMBER($E246),ISNUMBER($F246)),IF($E246&gt;$F246,1,0),0)</f>
        <v>0</v>
      </c>
      <c r="X246" s="13" t="s">
        <v>68</v>
      </c>
    </row>
    <row r="247" customFormat="false" ht="15" hidden="false" customHeight="false" outlineLevel="0" collapsed="false">
      <c r="A247" s="10" t="s">
        <v>943</v>
      </c>
      <c r="B247" s="10" t="s">
        <v>944</v>
      </c>
      <c r="C247" s="10" t="s">
        <v>945</v>
      </c>
      <c r="D247" s="12" t="n">
        <v>4.4</v>
      </c>
      <c r="E247" s="12"/>
      <c r="F247" s="12"/>
      <c r="G247" s="10" t="s">
        <v>934</v>
      </c>
      <c r="H247" s="10" t="s">
        <v>935</v>
      </c>
      <c r="I247" s="10" t="s">
        <v>936</v>
      </c>
      <c r="J247" s="10" t="s">
        <v>937</v>
      </c>
      <c r="K247" s="10" t="s">
        <v>60</v>
      </c>
      <c r="L247" s="10" t="s">
        <v>60</v>
      </c>
      <c r="M247" s="10" t="s">
        <v>61</v>
      </c>
      <c r="N247" s="10"/>
      <c r="O247" s="10"/>
      <c r="P247" s="10" t="s">
        <v>63</v>
      </c>
      <c r="Q247" s="11" t="s">
        <v>64</v>
      </c>
      <c r="R247" s="11" t="s">
        <v>938</v>
      </c>
      <c r="S247" s="11" t="s">
        <v>66</v>
      </c>
      <c r="T247" s="11" t="s">
        <v>939</v>
      </c>
      <c r="U247" s="10" t="n">
        <f aca="false">IF(AND($D247="",$E247="",$F247=""),1,0)</f>
        <v>0</v>
      </c>
      <c r="V247" s="10" t="n">
        <f aca="false">IF(OR($I247="",$I247="—"),1,0)</f>
        <v>0</v>
      </c>
      <c r="W247" s="10" t="n">
        <f aca="false">IF(AND(ISNUMBER($D247),ISNUMBER($E247)),IF($E247&gt;$D247,1,0),0)+IF(AND(ISNUMBER($D247),ISNUMBER($F247)),IF($D247&gt;$F247,1,0),0)+IF(AND(ISNUMBER($E247),ISNUMBER($F247)),IF($E247&gt;$F247,1,0),0)</f>
        <v>0</v>
      </c>
      <c r="X247" s="13" t="s">
        <v>68</v>
      </c>
    </row>
    <row r="248" customFormat="false" ht="15" hidden="false" customHeight="false" outlineLevel="0" collapsed="false">
      <c r="A248" s="10" t="s">
        <v>946</v>
      </c>
      <c r="B248" s="10" t="s">
        <v>947</v>
      </c>
      <c r="C248" s="10" t="s">
        <v>948</v>
      </c>
      <c r="D248" s="12" t="n">
        <v>1.4</v>
      </c>
      <c r="E248" s="12"/>
      <c r="F248" s="12"/>
      <c r="G248" s="10" t="s">
        <v>934</v>
      </c>
      <c r="H248" s="10" t="s">
        <v>935</v>
      </c>
      <c r="I248" s="10" t="s">
        <v>936</v>
      </c>
      <c r="J248" s="10" t="s">
        <v>937</v>
      </c>
      <c r="K248" s="10" t="s">
        <v>60</v>
      </c>
      <c r="L248" s="10" t="s">
        <v>60</v>
      </c>
      <c r="M248" s="10" t="s">
        <v>61</v>
      </c>
      <c r="N248" s="10"/>
      <c r="O248" s="10"/>
      <c r="P248" s="10" t="s">
        <v>63</v>
      </c>
      <c r="Q248" s="11" t="s">
        <v>64</v>
      </c>
      <c r="R248" s="11" t="s">
        <v>938</v>
      </c>
      <c r="S248" s="11" t="s">
        <v>66</v>
      </c>
      <c r="T248" s="11" t="s">
        <v>949</v>
      </c>
      <c r="U248" s="10" t="n">
        <f aca="false">IF(AND($D248="",$E248="",$F248=""),1,0)</f>
        <v>0</v>
      </c>
      <c r="V248" s="10" t="n">
        <f aca="false">IF(OR($I248="",$I248="—"),1,0)</f>
        <v>0</v>
      </c>
      <c r="W248" s="10" t="n">
        <f aca="false">IF(AND(ISNUMBER($D248),ISNUMBER($E248)),IF($E248&gt;$D248,1,0),0)+IF(AND(ISNUMBER($D248),ISNUMBER($F248)),IF($D248&gt;$F248,1,0),0)+IF(AND(ISNUMBER($E248),ISNUMBER($F248)),IF($E248&gt;$F248,1,0),0)</f>
        <v>0</v>
      </c>
      <c r="X248" s="13" t="s">
        <v>68</v>
      </c>
    </row>
    <row r="249" customFormat="false" ht="15" hidden="false" customHeight="false" outlineLevel="0" collapsed="false">
      <c r="A249" s="10" t="s">
        <v>950</v>
      </c>
      <c r="B249" s="10" t="s">
        <v>951</v>
      </c>
      <c r="C249" s="10" t="s">
        <v>952</v>
      </c>
      <c r="D249" s="12" t="n">
        <v>0.26</v>
      </c>
      <c r="E249" s="12"/>
      <c r="F249" s="12"/>
      <c r="G249" s="10" t="s">
        <v>934</v>
      </c>
      <c r="H249" s="10" t="s">
        <v>935</v>
      </c>
      <c r="I249" s="10" t="s">
        <v>936</v>
      </c>
      <c r="J249" s="10" t="s">
        <v>937</v>
      </c>
      <c r="K249" s="10" t="s">
        <v>60</v>
      </c>
      <c r="L249" s="10" t="s">
        <v>60</v>
      </c>
      <c r="M249" s="10" t="s">
        <v>61</v>
      </c>
      <c r="N249" s="10"/>
      <c r="O249" s="10"/>
      <c r="P249" s="10" t="s">
        <v>63</v>
      </c>
      <c r="Q249" s="11" t="s">
        <v>64</v>
      </c>
      <c r="R249" s="11" t="s">
        <v>938</v>
      </c>
      <c r="S249" s="11" t="s">
        <v>66</v>
      </c>
      <c r="T249" s="11" t="s">
        <v>949</v>
      </c>
      <c r="U249" s="10" t="n">
        <f aca="false">IF(AND($D249="",$E249="",$F249=""),1,0)</f>
        <v>0</v>
      </c>
      <c r="V249" s="10" t="n">
        <f aca="false">IF(OR($I249="",$I249="—"),1,0)</f>
        <v>0</v>
      </c>
      <c r="W249" s="10" t="n">
        <f aca="false">IF(AND(ISNUMBER($D249),ISNUMBER($E249)),IF($E249&gt;$D249,1,0),0)+IF(AND(ISNUMBER($D249),ISNUMBER($F249)),IF($D249&gt;$F249,1,0),0)+IF(AND(ISNUMBER($E249),ISNUMBER($F249)),IF($E249&gt;$F249,1,0),0)</f>
        <v>0</v>
      </c>
      <c r="X249" s="13" t="s">
        <v>68</v>
      </c>
    </row>
    <row r="250" customFormat="false" ht="15" hidden="false" customHeight="false" outlineLevel="0" collapsed="false">
      <c r="A250" s="10" t="s">
        <v>953</v>
      </c>
      <c r="B250" s="10" t="s">
        <v>954</v>
      </c>
      <c r="C250" s="10" t="s">
        <v>955</v>
      </c>
      <c r="D250" s="12" t="n">
        <v>4.4</v>
      </c>
      <c r="E250" s="12"/>
      <c r="F250" s="12"/>
      <c r="G250" s="10" t="s">
        <v>934</v>
      </c>
      <c r="H250" s="10" t="s">
        <v>935</v>
      </c>
      <c r="I250" s="10" t="s">
        <v>936</v>
      </c>
      <c r="J250" s="10" t="s">
        <v>937</v>
      </c>
      <c r="K250" s="10" t="s">
        <v>60</v>
      </c>
      <c r="L250" s="10" t="s">
        <v>60</v>
      </c>
      <c r="M250" s="10" t="s">
        <v>61</v>
      </c>
      <c r="N250" s="10"/>
      <c r="O250" s="10"/>
      <c r="P250" s="10" t="s">
        <v>63</v>
      </c>
      <c r="Q250" s="11" t="s">
        <v>64</v>
      </c>
      <c r="R250" s="11" t="s">
        <v>938</v>
      </c>
      <c r="S250" s="11" t="s">
        <v>66</v>
      </c>
      <c r="T250" s="11" t="s">
        <v>949</v>
      </c>
      <c r="U250" s="10" t="n">
        <f aca="false">IF(AND($D250="",$E250="",$F250=""),1,0)</f>
        <v>0</v>
      </c>
      <c r="V250" s="10" t="n">
        <f aca="false">IF(OR($I250="",$I250="—"),1,0)</f>
        <v>0</v>
      </c>
      <c r="W250" s="10" t="n">
        <f aca="false">IF(AND(ISNUMBER($D250),ISNUMBER($E250)),IF($E250&gt;$D250,1,0),0)+IF(AND(ISNUMBER($D250),ISNUMBER($F250)),IF($D250&gt;$F250,1,0),0)+IF(AND(ISNUMBER($E250),ISNUMBER($F250)),IF($E250&gt;$F250,1,0),0)</f>
        <v>0</v>
      </c>
      <c r="X250" s="13" t="s">
        <v>68</v>
      </c>
    </row>
    <row r="251" customFormat="false" ht="15" hidden="false" customHeight="false" outlineLevel="0" collapsed="false">
      <c r="A251" s="10" t="s">
        <v>956</v>
      </c>
      <c r="B251" s="10" t="s">
        <v>957</v>
      </c>
      <c r="C251" s="10" t="s">
        <v>958</v>
      </c>
      <c r="D251" s="12" t="n">
        <v>1.4</v>
      </c>
      <c r="E251" s="12"/>
      <c r="F251" s="12"/>
      <c r="G251" s="10" t="s">
        <v>934</v>
      </c>
      <c r="H251" s="10" t="s">
        <v>935</v>
      </c>
      <c r="I251" s="10" t="s">
        <v>936</v>
      </c>
      <c r="J251" s="10" t="s">
        <v>937</v>
      </c>
      <c r="K251" s="10" t="s">
        <v>60</v>
      </c>
      <c r="L251" s="10" t="s">
        <v>60</v>
      </c>
      <c r="M251" s="10" t="s">
        <v>61</v>
      </c>
      <c r="N251" s="10"/>
      <c r="O251" s="10"/>
      <c r="P251" s="10" t="s">
        <v>63</v>
      </c>
      <c r="Q251" s="11" t="s">
        <v>64</v>
      </c>
      <c r="R251" s="11" t="s">
        <v>938</v>
      </c>
      <c r="S251" s="11" t="s">
        <v>66</v>
      </c>
      <c r="T251" s="11" t="s">
        <v>959</v>
      </c>
      <c r="U251" s="10" t="n">
        <f aca="false">IF(AND($D251="",$E251="",$F251=""),1,0)</f>
        <v>0</v>
      </c>
      <c r="V251" s="10" t="n">
        <f aca="false">IF(OR($I251="",$I251="—"),1,0)</f>
        <v>0</v>
      </c>
      <c r="W251" s="10" t="n">
        <f aca="false">IF(AND(ISNUMBER($D251),ISNUMBER($E251)),IF($E251&gt;$D251,1,0),0)+IF(AND(ISNUMBER($D251),ISNUMBER($F251)),IF($D251&gt;$F251,1,0),0)+IF(AND(ISNUMBER($E251),ISNUMBER($F251)),IF($E251&gt;$F251,1,0),0)</f>
        <v>0</v>
      </c>
      <c r="X251" s="13" t="s">
        <v>68</v>
      </c>
    </row>
    <row r="252" customFormat="false" ht="15" hidden="false" customHeight="false" outlineLevel="0" collapsed="false">
      <c r="A252" s="10" t="s">
        <v>960</v>
      </c>
      <c r="B252" s="10" t="s">
        <v>961</v>
      </c>
      <c r="C252" s="10" t="s">
        <v>962</v>
      </c>
      <c r="D252" s="12" t="n">
        <v>0.26</v>
      </c>
      <c r="E252" s="12"/>
      <c r="F252" s="12"/>
      <c r="G252" s="10" t="s">
        <v>934</v>
      </c>
      <c r="H252" s="10" t="s">
        <v>935</v>
      </c>
      <c r="I252" s="10" t="s">
        <v>936</v>
      </c>
      <c r="J252" s="10" t="s">
        <v>937</v>
      </c>
      <c r="K252" s="10" t="s">
        <v>60</v>
      </c>
      <c r="L252" s="10" t="s">
        <v>60</v>
      </c>
      <c r="M252" s="10" t="s">
        <v>61</v>
      </c>
      <c r="N252" s="10"/>
      <c r="O252" s="10"/>
      <c r="P252" s="10" t="s">
        <v>63</v>
      </c>
      <c r="Q252" s="11" t="s">
        <v>64</v>
      </c>
      <c r="R252" s="11" t="s">
        <v>938</v>
      </c>
      <c r="S252" s="11" t="s">
        <v>66</v>
      </c>
      <c r="T252" s="11" t="s">
        <v>959</v>
      </c>
      <c r="U252" s="10" t="n">
        <f aca="false">IF(AND($D252="",$E252="",$F252=""),1,0)</f>
        <v>0</v>
      </c>
      <c r="V252" s="10" t="n">
        <f aca="false">IF(OR($I252="",$I252="—"),1,0)</f>
        <v>0</v>
      </c>
      <c r="W252" s="10" t="n">
        <f aca="false">IF(AND(ISNUMBER($D252),ISNUMBER($E252)),IF($E252&gt;$D252,1,0),0)+IF(AND(ISNUMBER($D252),ISNUMBER($F252)),IF($D252&gt;$F252,1,0),0)+IF(AND(ISNUMBER($E252),ISNUMBER($F252)),IF($E252&gt;$F252,1,0),0)</f>
        <v>0</v>
      </c>
      <c r="X252" s="13" t="s">
        <v>68</v>
      </c>
    </row>
    <row r="253" customFormat="false" ht="15" hidden="false" customHeight="false" outlineLevel="0" collapsed="false">
      <c r="A253" s="10" t="s">
        <v>963</v>
      </c>
      <c r="B253" s="10" t="s">
        <v>964</v>
      </c>
      <c r="C253" s="10" t="s">
        <v>965</v>
      </c>
      <c r="D253" s="12" t="n">
        <v>4.4</v>
      </c>
      <c r="E253" s="12"/>
      <c r="F253" s="12"/>
      <c r="G253" s="10" t="s">
        <v>934</v>
      </c>
      <c r="H253" s="10" t="s">
        <v>935</v>
      </c>
      <c r="I253" s="10" t="s">
        <v>936</v>
      </c>
      <c r="J253" s="10" t="s">
        <v>937</v>
      </c>
      <c r="K253" s="10" t="s">
        <v>60</v>
      </c>
      <c r="L253" s="10" t="s">
        <v>60</v>
      </c>
      <c r="M253" s="10" t="s">
        <v>61</v>
      </c>
      <c r="N253" s="10"/>
      <c r="O253" s="10"/>
      <c r="P253" s="10" t="s">
        <v>63</v>
      </c>
      <c r="Q253" s="11" t="s">
        <v>64</v>
      </c>
      <c r="R253" s="11" t="s">
        <v>938</v>
      </c>
      <c r="S253" s="11" t="s">
        <v>66</v>
      </c>
      <c r="T253" s="11" t="s">
        <v>959</v>
      </c>
      <c r="U253" s="10" t="n">
        <f aca="false">IF(AND($D253="",$E253="",$F253=""),1,0)</f>
        <v>0</v>
      </c>
      <c r="V253" s="10" t="n">
        <f aca="false">IF(OR($I253="",$I253="—"),1,0)</f>
        <v>0</v>
      </c>
      <c r="W253" s="10" t="n">
        <f aca="false">IF(AND(ISNUMBER($D253),ISNUMBER($E253)),IF($E253&gt;$D253,1,0),0)+IF(AND(ISNUMBER($D253),ISNUMBER($F253)),IF($D253&gt;$F253,1,0),0)+IF(AND(ISNUMBER($E253),ISNUMBER($F253)),IF($E253&gt;$F253,1,0),0)</f>
        <v>0</v>
      </c>
      <c r="X253" s="13" t="s">
        <v>68</v>
      </c>
    </row>
    <row r="254" customFormat="false" ht="15" hidden="false" customHeight="false" outlineLevel="0" collapsed="false">
      <c r="A254" s="10" t="s">
        <v>966</v>
      </c>
      <c r="B254" s="10" t="s">
        <v>967</v>
      </c>
      <c r="C254" s="10" t="s">
        <v>968</v>
      </c>
      <c r="D254" s="12" t="n">
        <v>1</v>
      </c>
      <c r="E254" s="12"/>
      <c r="F254" s="12"/>
      <c r="G254" s="10" t="s">
        <v>934</v>
      </c>
      <c r="H254" s="10" t="s">
        <v>935</v>
      </c>
      <c r="I254" s="10" t="s">
        <v>936</v>
      </c>
      <c r="J254" s="10" t="s">
        <v>937</v>
      </c>
      <c r="K254" s="10" t="s">
        <v>60</v>
      </c>
      <c r="L254" s="10" t="s">
        <v>60</v>
      </c>
      <c r="M254" s="10" t="s">
        <v>61</v>
      </c>
      <c r="N254" s="10"/>
      <c r="O254" s="10"/>
      <c r="P254" s="10" t="s">
        <v>63</v>
      </c>
      <c r="Q254" s="11" t="s">
        <v>64</v>
      </c>
      <c r="R254" s="11" t="s">
        <v>938</v>
      </c>
      <c r="S254" s="11" t="s">
        <v>66</v>
      </c>
      <c r="T254" s="11" t="s">
        <v>969</v>
      </c>
      <c r="U254" s="10" t="n">
        <f aca="false">IF(AND($D254="",$E254="",$F254=""),1,0)</f>
        <v>0</v>
      </c>
      <c r="V254" s="10" t="n">
        <f aca="false">IF(OR($I254="",$I254="—"),1,0)</f>
        <v>0</v>
      </c>
      <c r="W254" s="10" t="n">
        <f aca="false">IF(AND(ISNUMBER($D254),ISNUMBER($E254)),IF($E254&gt;$D254,1,0),0)+IF(AND(ISNUMBER($D254),ISNUMBER($F254)),IF($D254&gt;$F254,1,0),0)+IF(AND(ISNUMBER($E254),ISNUMBER($F254)),IF($E254&gt;$F254,1,0),0)</f>
        <v>0</v>
      </c>
      <c r="X254" s="13" t="s">
        <v>68</v>
      </c>
    </row>
    <row r="255" customFormat="false" ht="15" hidden="false" customHeight="false" outlineLevel="0" collapsed="false">
      <c r="A255" s="10" t="s">
        <v>970</v>
      </c>
      <c r="B255" s="10" t="s">
        <v>971</v>
      </c>
      <c r="C255" s="10" t="s">
        <v>972</v>
      </c>
      <c r="D255" s="12" t="n">
        <v>0.2</v>
      </c>
      <c r="E255" s="12"/>
      <c r="F255" s="12"/>
      <c r="G255" s="10" t="s">
        <v>934</v>
      </c>
      <c r="H255" s="10" t="s">
        <v>935</v>
      </c>
      <c r="I255" s="10" t="s">
        <v>936</v>
      </c>
      <c r="J255" s="10" t="s">
        <v>937</v>
      </c>
      <c r="K255" s="10" t="s">
        <v>60</v>
      </c>
      <c r="L255" s="10" t="s">
        <v>60</v>
      </c>
      <c r="M255" s="10" t="s">
        <v>61</v>
      </c>
      <c r="N255" s="10"/>
      <c r="O255" s="10"/>
      <c r="P255" s="10" t="s">
        <v>63</v>
      </c>
      <c r="Q255" s="11" t="s">
        <v>64</v>
      </c>
      <c r="R255" s="11" t="s">
        <v>938</v>
      </c>
      <c r="S255" s="11" t="s">
        <v>66</v>
      </c>
      <c r="T255" s="11" t="s">
        <v>969</v>
      </c>
      <c r="U255" s="10" t="n">
        <f aca="false">IF(AND($D255="",$E255="",$F255=""),1,0)</f>
        <v>0</v>
      </c>
      <c r="V255" s="10" t="n">
        <f aca="false">IF(OR($I255="",$I255="—"),1,0)</f>
        <v>0</v>
      </c>
      <c r="W255" s="10" t="n">
        <f aca="false">IF(AND(ISNUMBER($D255),ISNUMBER($E255)),IF($E255&gt;$D255,1,0),0)+IF(AND(ISNUMBER($D255),ISNUMBER($F255)),IF($D255&gt;$F255,1,0),0)+IF(AND(ISNUMBER($E255),ISNUMBER($F255)),IF($E255&gt;$F255,1,0),0)</f>
        <v>0</v>
      </c>
      <c r="X255" s="13" t="s">
        <v>68</v>
      </c>
    </row>
    <row r="256" customFormat="false" ht="15" hidden="false" customHeight="false" outlineLevel="0" collapsed="false">
      <c r="A256" s="10" t="s">
        <v>973</v>
      </c>
      <c r="B256" s="10" t="s">
        <v>974</v>
      </c>
      <c r="C256" s="10" t="s">
        <v>975</v>
      </c>
      <c r="D256" s="12" t="n">
        <v>3.2</v>
      </c>
      <c r="E256" s="12"/>
      <c r="F256" s="12"/>
      <c r="G256" s="10" t="s">
        <v>934</v>
      </c>
      <c r="H256" s="10" t="s">
        <v>935</v>
      </c>
      <c r="I256" s="10" t="s">
        <v>936</v>
      </c>
      <c r="J256" s="10" t="s">
        <v>937</v>
      </c>
      <c r="K256" s="10" t="s">
        <v>60</v>
      </c>
      <c r="L256" s="10" t="s">
        <v>60</v>
      </c>
      <c r="M256" s="10" t="s">
        <v>61</v>
      </c>
      <c r="N256" s="10"/>
      <c r="O256" s="10"/>
      <c r="P256" s="10" t="s">
        <v>63</v>
      </c>
      <c r="Q256" s="11" t="s">
        <v>64</v>
      </c>
      <c r="R256" s="11" t="s">
        <v>938</v>
      </c>
      <c r="S256" s="11" t="s">
        <v>66</v>
      </c>
      <c r="T256" s="11" t="s">
        <v>969</v>
      </c>
      <c r="U256" s="10" t="n">
        <f aca="false">IF(AND($D256="",$E256="",$F256=""),1,0)</f>
        <v>0</v>
      </c>
      <c r="V256" s="10" t="n">
        <f aca="false">IF(OR($I256="",$I256="—"),1,0)</f>
        <v>0</v>
      </c>
      <c r="W256" s="10" t="n">
        <f aca="false">IF(AND(ISNUMBER($D256),ISNUMBER($E256)),IF($E256&gt;$D256,1,0),0)+IF(AND(ISNUMBER($D256),ISNUMBER($F256)),IF($D256&gt;$F256,1,0),0)+IF(AND(ISNUMBER($E256),ISNUMBER($F256)),IF($E256&gt;$F256,1,0),0)</f>
        <v>0</v>
      </c>
      <c r="X256" s="13" t="s">
        <v>68</v>
      </c>
    </row>
    <row r="257" customFormat="false" ht="15" hidden="false" customHeight="false" outlineLevel="0" collapsed="false">
      <c r="A257" s="10" t="s">
        <v>976</v>
      </c>
      <c r="B257" s="10" t="s">
        <v>977</v>
      </c>
      <c r="C257" s="10" t="s">
        <v>978</v>
      </c>
      <c r="D257" s="12" t="n">
        <v>0.6</v>
      </c>
      <c r="E257" s="12"/>
      <c r="F257" s="12"/>
      <c r="G257" s="10" t="s">
        <v>934</v>
      </c>
      <c r="H257" s="10" t="s">
        <v>935</v>
      </c>
      <c r="I257" s="10" t="s">
        <v>936</v>
      </c>
      <c r="J257" s="10" t="s">
        <v>937</v>
      </c>
      <c r="K257" s="10" t="s">
        <v>60</v>
      </c>
      <c r="L257" s="10" t="s">
        <v>60</v>
      </c>
      <c r="M257" s="10" t="s">
        <v>61</v>
      </c>
      <c r="N257" s="10"/>
      <c r="O257" s="10"/>
      <c r="P257" s="10" t="s">
        <v>63</v>
      </c>
      <c r="Q257" s="11" t="s">
        <v>64</v>
      </c>
      <c r="R257" s="11" t="s">
        <v>938</v>
      </c>
      <c r="S257" s="11" t="s">
        <v>66</v>
      </c>
      <c r="T257" s="11" t="s">
        <v>979</v>
      </c>
      <c r="U257" s="10" t="n">
        <f aca="false">IF(AND($D257="",$E257="",$F257=""),1,0)</f>
        <v>0</v>
      </c>
      <c r="V257" s="10" t="n">
        <f aca="false">IF(OR($I257="",$I257="—"),1,0)</f>
        <v>0</v>
      </c>
      <c r="W257" s="10" t="n">
        <f aca="false">IF(AND(ISNUMBER($D257),ISNUMBER($E257)),IF($E257&gt;$D257,1,0),0)+IF(AND(ISNUMBER($D257),ISNUMBER($F257)),IF($D257&gt;$F257,1,0),0)+IF(AND(ISNUMBER($E257),ISNUMBER($F257)),IF($E257&gt;$F257,1,0),0)</f>
        <v>0</v>
      </c>
      <c r="X257" s="13" t="s">
        <v>68</v>
      </c>
    </row>
    <row r="258" customFormat="false" ht="15" hidden="false" customHeight="false" outlineLevel="0" collapsed="false">
      <c r="A258" s="10" t="s">
        <v>980</v>
      </c>
      <c r="B258" s="10" t="s">
        <v>981</v>
      </c>
      <c r="C258" s="10" t="s">
        <v>982</v>
      </c>
      <c r="D258" s="12" t="n">
        <v>0.11</v>
      </c>
      <c r="E258" s="12"/>
      <c r="F258" s="12"/>
      <c r="G258" s="10" t="s">
        <v>934</v>
      </c>
      <c r="H258" s="10" t="s">
        <v>935</v>
      </c>
      <c r="I258" s="10" t="s">
        <v>936</v>
      </c>
      <c r="J258" s="10" t="s">
        <v>937</v>
      </c>
      <c r="K258" s="10" t="s">
        <v>60</v>
      </c>
      <c r="L258" s="10" t="s">
        <v>60</v>
      </c>
      <c r="M258" s="10" t="s">
        <v>61</v>
      </c>
      <c r="N258" s="10"/>
      <c r="O258" s="10"/>
      <c r="P258" s="10" t="s">
        <v>63</v>
      </c>
      <c r="Q258" s="11" t="s">
        <v>64</v>
      </c>
      <c r="R258" s="11" t="s">
        <v>938</v>
      </c>
      <c r="S258" s="11" t="s">
        <v>66</v>
      </c>
      <c r="T258" s="11" t="s">
        <v>979</v>
      </c>
      <c r="U258" s="10" t="n">
        <f aca="false">IF(AND($D258="",$E258="",$F258=""),1,0)</f>
        <v>0</v>
      </c>
      <c r="V258" s="10" t="n">
        <f aca="false">IF(OR($I258="",$I258="—"),1,0)</f>
        <v>0</v>
      </c>
      <c r="W258" s="10" t="n">
        <f aca="false">IF(AND(ISNUMBER($D258),ISNUMBER($E258)),IF($E258&gt;$D258,1,0),0)+IF(AND(ISNUMBER($D258),ISNUMBER($F258)),IF($D258&gt;$F258,1,0),0)+IF(AND(ISNUMBER($E258),ISNUMBER($F258)),IF($E258&gt;$F258,1,0),0)</f>
        <v>0</v>
      </c>
      <c r="X258" s="13" t="s">
        <v>68</v>
      </c>
    </row>
    <row r="259" customFormat="false" ht="15" hidden="false" customHeight="false" outlineLevel="0" collapsed="false">
      <c r="A259" s="10" t="s">
        <v>983</v>
      </c>
      <c r="B259" s="10" t="s">
        <v>984</v>
      </c>
      <c r="C259" s="10" t="s">
        <v>985</v>
      </c>
      <c r="D259" s="12" t="n">
        <v>2.2</v>
      </c>
      <c r="E259" s="12"/>
      <c r="F259" s="12"/>
      <c r="G259" s="10" t="s">
        <v>934</v>
      </c>
      <c r="H259" s="10" t="s">
        <v>935</v>
      </c>
      <c r="I259" s="10" t="s">
        <v>936</v>
      </c>
      <c r="J259" s="10" t="s">
        <v>937</v>
      </c>
      <c r="K259" s="10" t="s">
        <v>60</v>
      </c>
      <c r="L259" s="10" t="s">
        <v>60</v>
      </c>
      <c r="M259" s="10" t="s">
        <v>61</v>
      </c>
      <c r="N259" s="10"/>
      <c r="O259" s="10"/>
      <c r="P259" s="10" t="s">
        <v>63</v>
      </c>
      <c r="Q259" s="11" t="s">
        <v>64</v>
      </c>
      <c r="R259" s="11" t="s">
        <v>938</v>
      </c>
      <c r="S259" s="11" t="s">
        <v>66</v>
      </c>
      <c r="T259" s="11" t="s">
        <v>979</v>
      </c>
      <c r="U259" s="10" t="n">
        <f aca="false">IF(AND($D259="",$E259="",$F259=""),1,0)</f>
        <v>0</v>
      </c>
      <c r="V259" s="10" t="n">
        <f aca="false">IF(OR($I259="",$I259="—"),1,0)</f>
        <v>0</v>
      </c>
      <c r="W259" s="10" t="n">
        <f aca="false">IF(AND(ISNUMBER($D259),ISNUMBER($E259)),IF($E259&gt;$D259,1,0),0)+IF(AND(ISNUMBER($D259),ISNUMBER($F259)),IF($D259&gt;$F259,1,0),0)+IF(AND(ISNUMBER($E259),ISNUMBER($F259)),IF($E259&gt;$F259,1,0),0)</f>
        <v>0</v>
      </c>
      <c r="X259" s="13" t="s">
        <v>68</v>
      </c>
    </row>
    <row r="260" customFormat="false" ht="15" hidden="false" customHeight="false" outlineLevel="0" collapsed="false">
      <c r="A260" s="10" t="s">
        <v>986</v>
      </c>
      <c r="B260" s="10" t="s">
        <v>987</v>
      </c>
      <c r="C260" s="10" t="s">
        <v>988</v>
      </c>
      <c r="D260" s="12" t="n">
        <v>0.6</v>
      </c>
      <c r="E260" s="12"/>
      <c r="F260" s="12"/>
      <c r="G260" s="10" t="s">
        <v>934</v>
      </c>
      <c r="H260" s="10" t="s">
        <v>935</v>
      </c>
      <c r="I260" s="10" t="s">
        <v>936</v>
      </c>
      <c r="J260" s="10" t="s">
        <v>937</v>
      </c>
      <c r="K260" s="10" t="s">
        <v>60</v>
      </c>
      <c r="L260" s="10" t="s">
        <v>60</v>
      </c>
      <c r="M260" s="10" t="s">
        <v>61</v>
      </c>
      <c r="N260" s="10"/>
      <c r="O260" s="10"/>
      <c r="P260" s="10" t="s">
        <v>63</v>
      </c>
      <c r="Q260" s="11" t="s">
        <v>64</v>
      </c>
      <c r="R260" s="11" t="s">
        <v>938</v>
      </c>
      <c r="S260" s="11" t="s">
        <v>66</v>
      </c>
      <c r="T260" s="11" t="s">
        <v>989</v>
      </c>
      <c r="U260" s="10" t="n">
        <f aca="false">IF(AND($D260="",$E260="",$F260=""),1,0)</f>
        <v>0</v>
      </c>
      <c r="V260" s="10" t="n">
        <f aca="false">IF(OR($I260="",$I260="—"),1,0)</f>
        <v>0</v>
      </c>
      <c r="W260" s="10" t="n">
        <f aca="false">IF(AND(ISNUMBER($D260),ISNUMBER($E260)),IF($E260&gt;$D260,1,0),0)+IF(AND(ISNUMBER($D260),ISNUMBER($F260)),IF($D260&gt;$F260,1,0),0)+IF(AND(ISNUMBER($E260),ISNUMBER($F260)),IF($E260&gt;$F260,1,0),0)</f>
        <v>0</v>
      </c>
      <c r="X260" s="13" t="s">
        <v>68</v>
      </c>
    </row>
    <row r="261" customFormat="false" ht="15" hidden="false" customHeight="false" outlineLevel="0" collapsed="false">
      <c r="A261" s="10" t="s">
        <v>990</v>
      </c>
      <c r="B261" s="10" t="s">
        <v>991</v>
      </c>
      <c r="C261" s="10" t="s">
        <v>992</v>
      </c>
      <c r="D261" s="12" t="n">
        <v>0.11</v>
      </c>
      <c r="E261" s="12"/>
      <c r="F261" s="12"/>
      <c r="G261" s="10" t="s">
        <v>934</v>
      </c>
      <c r="H261" s="10" t="s">
        <v>935</v>
      </c>
      <c r="I261" s="10" t="s">
        <v>936</v>
      </c>
      <c r="J261" s="10" t="s">
        <v>937</v>
      </c>
      <c r="K261" s="10" t="s">
        <v>60</v>
      </c>
      <c r="L261" s="10" t="s">
        <v>60</v>
      </c>
      <c r="M261" s="10" t="s">
        <v>61</v>
      </c>
      <c r="N261" s="10"/>
      <c r="O261" s="10"/>
      <c r="P261" s="10" t="s">
        <v>63</v>
      </c>
      <c r="Q261" s="11" t="s">
        <v>64</v>
      </c>
      <c r="R261" s="11" t="s">
        <v>938</v>
      </c>
      <c r="S261" s="11" t="s">
        <v>66</v>
      </c>
      <c r="T261" s="11" t="s">
        <v>989</v>
      </c>
      <c r="U261" s="10" t="n">
        <f aca="false">IF(AND($D261="",$E261="",$F261=""),1,0)</f>
        <v>0</v>
      </c>
      <c r="V261" s="10" t="n">
        <f aca="false">IF(OR($I261="",$I261="—"),1,0)</f>
        <v>0</v>
      </c>
      <c r="W261" s="10" t="n">
        <f aca="false">IF(AND(ISNUMBER($D261),ISNUMBER($E261)),IF($E261&gt;$D261,1,0),0)+IF(AND(ISNUMBER($D261),ISNUMBER($F261)),IF($D261&gt;$F261,1,0),0)+IF(AND(ISNUMBER($E261),ISNUMBER($F261)),IF($E261&gt;$F261,1,0),0)</f>
        <v>0</v>
      </c>
      <c r="X261" s="13" t="s">
        <v>68</v>
      </c>
    </row>
    <row r="262" customFormat="false" ht="15" hidden="false" customHeight="false" outlineLevel="0" collapsed="false">
      <c r="A262" s="10" t="s">
        <v>993</v>
      </c>
      <c r="B262" s="10" t="s">
        <v>994</v>
      </c>
      <c r="C262" s="10" t="s">
        <v>995</v>
      </c>
      <c r="D262" s="12" t="n">
        <v>2.2</v>
      </c>
      <c r="E262" s="12"/>
      <c r="F262" s="12"/>
      <c r="G262" s="10" t="s">
        <v>934</v>
      </c>
      <c r="H262" s="10" t="s">
        <v>935</v>
      </c>
      <c r="I262" s="10" t="s">
        <v>936</v>
      </c>
      <c r="J262" s="10" t="s">
        <v>937</v>
      </c>
      <c r="K262" s="10" t="s">
        <v>60</v>
      </c>
      <c r="L262" s="10" t="s">
        <v>60</v>
      </c>
      <c r="M262" s="10" t="s">
        <v>61</v>
      </c>
      <c r="N262" s="10"/>
      <c r="O262" s="10"/>
      <c r="P262" s="10" t="s">
        <v>63</v>
      </c>
      <c r="Q262" s="11" t="s">
        <v>64</v>
      </c>
      <c r="R262" s="11" t="s">
        <v>938</v>
      </c>
      <c r="S262" s="11" t="s">
        <v>66</v>
      </c>
      <c r="T262" s="11" t="s">
        <v>989</v>
      </c>
      <c r="U262" s="10" t="n">
        <f aca="false">IF(AND($D262="",$E262="",$F262=""),1,0)</f>
        <v>0</v>
      </c>
      <c r="V262" s="10" t="n">
        <f aca="false">IF(OR($I262="",$I262="—"),1,0)</f>
        <v>0</v>
      </c>
      <c r="W262" s="10" t="n">
        <f aca="false">IF(AND(ISNUMBER($D262),ISNUMBER($E262)),IF($E262&gt;$D262,1,0),0)+IF(AND(ISNUMBER($D262),ISNUMBER($F262)),IF($D262&gt;$F262,1,0),0)+IF(AND(ISNUMBER($E262),ISNUMBER($F262)),IF($E262&gt;$F262,1,0),0)</f>
        <v>0</v>
      </c>
      <c r="X262" s="13" t="s">
        <v>68</v>
      </c>
    </row>
    <row r="263" customFormat="false" ht="15" hidden="false" customHeight="false" outlineLevel="0" collapsed="false">
      <c r="A263" s="10" t="s">
        <v>996</v>
      </c>
      <c r="B263" s="10" t="s">
        <v>997</v>
      </c>
      <c r="C263" s="10" t="s">
        <v>998</v>
      </c>
      <c r="D263" s="12" t="n">
        <v>0.6</v>
      </c>
      <c r="E263" s="12"/>
      <c r="F263" s="12"/>
      <c r="G263" s="10" t="s">
        <v>934</v>
      </c>
      <c r="H263" s="10" t="s">
        <v>935</v>
      </c>
      <c r="I263" s="10" t="s">
        <v>936</v>
      </c>
      <c r="J263" s="10" t="s">
        <v>937</v>
      </c>
      <c r="K263" s="10" t="s">
        <v>60</v>
      </c>
      <c r="L263" s="10" t="s">
        <v>60</v>
      </c>
      <c r="M263" s="10" t="s">
        <v>61</v>
      </c>
      <c r="N263" s="10"/>
      <c r="O263" s="10"/>
      <c r="P263" s="10" t="s">
        <v>63</v>
      </c>
      <c r="Q263" s="11" t="s">
        <v>64</v>
      </c>
      <c r="R263" s="11" t="s">
        <v>938</v>
      </c>
      <c r="S263" s="11" t="s">
        <v>66</v>
      </c>
      <c r="T263" s="11" t="s">
        <v>999</v>
      </c>
      <c r="U263" s="10" t="n">
        <f aca="false">IF(AND($D263="",$E263="",$F263=""),1,0)</f>
        <v>0</v>
      </c>
      <c r="V263" s="10" t="n">
        <f aca="false">IF(OR($I263="",$I263="—"),1,0)</f>
        <v>0</v>
      </c>
      <c r="W263" s="10" t="n">
        <f aca="false">IF(AND(ISNUMBER($D263),ISNUMBER($E263)),IF($E263&gt;$D263,1,0),0)+IF(AND(ISNUMBER($D263),ISNUMBER($F263)),IF($D263&gt;$F263,1,0),0)+IF(AND(ISNUMBER($E263),ISNUMBER($F263)),IF($E263&gt;$F263,1,0),0)</f>
        <v>0</v>
      </c>
      <c r="X263" s="13" t="s">
        <v>68</v>
      </c>
    </row>
    <row r="264" customFormat="false" ht="15" hidden="false" customHeight="false" outlineLevel="0" collapsed="false">
      <c r="A264" s="10" t="s">
        <v>1000</v>
      </c>
      <c r="B264" s="10" t="s">
        <v>1001</v>
      </c>
      <c r="C264" s="10" t="s">
        <v>1002</v>
      </c>
      <c r="D264" s="12" t="n">
        <v>0.11</v>
      </c>
      <c r="E264" s="12"/>
      <c r="F264" s="12"/>
      <c r="G264" s="10" t="s">
        <v>934</v>
      </c>
      <c r="H264" s="10" t="s">
        <v>935</v>
      </c>
      <c r="I264" s="10" t="s">
        <v>936</v>
      </c>
      <c r="J264" s="10" t="s">
        <v>937</v>
      </c>
      <c r="K264" s="10" t="s">
        <v>60</v>
      </c>
      <c r="L264" s="10" t="s">
        <v>60</v>
      </c>
      <c r="M264" s="10" t="s">
        <v>61</v>
      </c>
      <c r="N264" s="10"/>
      <c r="O264" s="10"/>
      <c r="P264" s="10" t="s">
        <v>63</v>
      </c>
      <c r="Q264" s="11" t="s">
        <v>64</v>
      </c>
      <c r="R264" s="11" t="s">
        <v>938</v>
      </c>
      <c r="S264" s="11" t="s">
        <v>66</v>
      </c>
      <c r="T264" s="11" t="s">
        <v>999</v>
      </c>
      <c r="U264" s="10" t="n">
        <f aca="false">IF(AND($D264="",$E264="",$F264=""),1,0)</f>
        <v>0</v>
      </c>
      <c r="V264" s="10" t="n">
        <f aca="false">IF(OR($I264="",$I264="—"),1,0)</f>
        <v>0</v>
      </c>
      <c r="W264" s="10" t="n">
        <f aca="false">IF(AND(ISNUMBER($D264),ISNUMBER($E264)),IF($E264&gt;$D264,1,0),0)+IF(AND(ISNUMBER($D264),ISNUMBER($F264)),IF($D264&gt;$F264,1,0),0)+IF(AND(ISNUMBER($E264),ISNUMBER($F264)),IF($E264&gt;$F264,1,0),0)</f>
        <v>0</v>
      </c>
      <c r="X264" s="13" t="s">
        <v>68</v>
      </c>
    </row>
    <row r="265" customFormat="false" ht="15" hidden="false" customHeight="false" outlineLevel="0" collapsed="false">
      <c r="A265" s="10" t="s">
        <v>1003</v>
      </c>
      <c r="B265" s="10" t="s">
        <v>1004</v>
      </c>
      <c r="C265" s="10" t="s">
        <v>1005</v>
      </c>
      <c r="D265" s="12" t="n">
        <v>2.2</v>
      </c>
      <c r="E265" s="12"/>
      <c r="F265" s="12"/>
      <c r="G265" s="10" t="s">
        <v>934</v>
      </c>
      <c r="H265" s="10" t="s">
        <v>935</v>
      </c>
      <c r="I265" s="10" t="s">
        <v>936</v>
      </c>
      <c r="J265" s="10" t="s">
        <v>937</v>
      </c>
      <c r="K265" s="10" t="s">
        <v>60</v>
      </c>
      <c r="L265" s="10" t="s">
        <v>60</v>
      </c>
      <c r="M265" s="10" t="s">
        <v>61</v>
      </c>
      <c r="N265" s="10"/>
      <c r="O265" s="10"/>
      <c r="P265" s="10" t="s">
        <v>63</v>
      </c>
      <c r="Q265" s="11" t="s">
        <v>64</v>
      </c>
      <c r="R265" s="11" t="s">
        <v>938</v>
      </c>
      <c r="S265" s="11" t="s">
        <v>66</v>
      </c>
      <c r="T265" s="11" t="s">
        <v>999</v>
      </c>
      <c r="U265" s="10" t="n">
        <f aca="false">IF(AND($D265="",$E265="",$F265=""),1,0)</f>
        <v>0</v>
      </c>
      <c r="V265" s="10" t="n">
        <f aca="false">IF(OR($I265="",$I265="—"),1,0)</f>
        <v>0</v>
      </c>
      <c r="W265" s="10" t="n">
        <f aca="false">IF(AND(ISNUMBER($D265),ISNUMBER($E265)),IF($E265&gt;$D265,1,0),0)+IF(AND(ISNUMBER($D265),ISNUMBER($F265)),IF($D265&gt;$F265,1,0),0)+IF(AND(ISNUMBER($E265),ISNUMBER($F265)),IF($E265&gt;$F265,1,0),0)</f>
        <v>0</v>
      </c>
      <c r="X265" s="13" t="s">
        <v>68</v>
      </c>
    </row>
    <row r="266" customFormat="false" ht="15" hidden="false" customHeight="false" outlineLevel="0" collapsed="false">
      <c r="A266" s="10" t="s">
        <v>1006</v>
      </c>
      <c r="B266" s="10" t="s">
        <v>1007</v>
      </c>
      <c r="C266" s="10" t="s">
        <v>1008</v>
      </c>
      <c r="D266" s="12" t="n">
        <v>2.2</v>
      </c>
      <c r="E266" s="12"/>
      <c r="F266" s="12"/>
      <c r="G266" s="10" t="s">
        <v>934</v>
      </c>
      <c r="H266" s="10" t="s">
        <v>935</v>
      </c>
      <c r="I266" s="10" t="s">
        <v>936</v>
      </c>
      <c r="J266" s="10" t="s">
        <v>937</v>
      </c>
      <c r="K266" s="10" t="s">
        <v>60</v>
      </c>
      <c r="L266" s="10" t="s">
        <v>60</v>
      </c>
      <c r="M266" s="10" t="s">
        <v>61</v>
      </c>
      <c r="N266" s="10"/>
      <c r="O266" s="10"/>
      <c r="P266" s="10" t="s">
        <v>63</v>
      </c>
      <c r="Q266" s="11" t="s">
        <v>64</v>
      </c>
      <c r="R266" s="11" t="s">
        <v>938</v>
      </c>
      <c r="S266" s="11" t="s">
        <v>66</v>
      </c>
      <c r="T266" s="11" t="s">
        <v>1009</v>
      </c>
      <c r="U266" s="10" t="n">
        <f aca="false">IF(AND($D266="",$E266="",$F266=""),1,0)</f>
        <v>0</v>
      </c>
      <c r="V266" s="10" t="n">
        <f aca="false">IF(OR($I266="",$I266="—"),1,0)</f>
        <v>0</v>
      </c>
      <c r="W266" s="10" t="n">
        <f aca="false">IF(AND(ISNUMBER($D266),ISNUMBER($E266)),IF($E266&gt;$D266,1,0),0)+IF(AND(ISNUMBER($D266),ISNUMBER($F266)),IF($D266&gt;$F266,1,0),0)+IF(AND(ISNUMBER($E266),ISNUMBER($F266)),IF($E266&gt;$F266,1,0),0)</f>
        <v>0</v>
      </c>
      <c r="X266" s="13" t="s">
        <v>68</v>
      </c>
    </row>
    <row r="267" customFormat="false" ht="15" hidden="false" customHeight="false" outlineLevel="0" collapsed="false">
      <c r="A267" s="10" t="s">
        <v>1010</v>
      </c>
      <c r="B267" s="10" t="s">
        <v>1011</v>
      </c>
      <c r="C267" s="10" t="s">
        <v>1012</v>
      </c>
      <c r="D267" s="12" t="n">
        <v>0.45</v>
      </c>
      <c r="E267" s="12"/>
      <c r="F267" s="12"/>
      <c r="G267" s="10" t="s">
        <v>934</v>
      </c>
      <c r="H267" s="10" t="s">
        <v>935</v>
      </c>
      <c r="I267" s="10" t="s">
        <v>936</v>
      </c>
      <c r="J267" s="10" t="s">
        <v>937</v>
      </c>
      <c r="K267" s="10" t="s">
        <v>60</v>
      </c>
      <c r="L267" s="10" t="s">
        <v>60</v>
      </c>
      <c r="M267" s="10" t="s">
        <v>61</v>
      </c>
      <c r="N267" s="10"/>
      <c r="O267" s="10"/>
      <c r="P267" s="10" t="s">
        <v>63</v>
      </c>
      <c r="Q267" s="11" t="s">
        <v>64</v>
      </c>
      <c r="R267" s="11" t="s">
        <v>938</v>
      </c>
      <c r="S267" s="11" t="s">
        <v>66</v>
      </c>
      <c r="T267" s="11" t="s">
        <v>1009</v>
      </c>
      <c r="U267" s="10" t="n">
        <f aca="false">IF(AND($D267="",$E267="",$F267=""),1,0)</f>
        <v>0</v>
      </c>
      <c r="V267" s="10" t="n">
        <f aca="false">IF(OR($I267="",$I267="—"),1,0)</f>
        <v>0</v>
      </c>
      <c r="W267" s="10" t="n">
        <f aca="false">IF(AND(ISNUMBER($D267),ISNUMBER($E267)),IF($E267&gt;$D267,1,0),0)+IF(AND(ISNUMBER($D267),ISNUMBER($F267)),IF($D267&gt;$F267,1,0),0)+IF(AND(ISNUMBER($E267),ISNUMBER($F267)),IF($E267&gt;$F267,1,0),0)</f>
        <v>0</v>
      </c>
      <c r="X267" s="13" t="s">
        <v>68</v>
      </c>
    </row>
    <row r="268" customFormat="false" ht="15" hidden="false" customHeight="false" outlineLevel="0" collapsed="false">
      <c r="A268" s="10" t="s">
        <v>1013</v>
      </c>
      <c r="B268" s="10" t="s">
        <v>1014</v>
      </c>
      <c r="C268" s="10" t="s">
        <v>1015</v>
      </c>
      <c r="D268" s="12" t="n">
        <v>8.9</v>
      </c>
      <c r="E268" s="12"/>
      <c r="F268" s="12"/>
      <c r="G268" s="10" t="s">
        <v>934</v>
      </c>
      <c r="H268" s="10" t="s">
        <v>935</v>
      </c>
      <c r="I268" s="10" t="s">
        <v>936</v>
      </c>
      <c r="J268" s="10" t="s">
        <v>937</v>
      </c>
      <c r="K268" s="10" t="s">
        <v>60</v>
      </c>
      <c r="L268" s="10" t="s">
        <v>60</v>
      </c>
      <c r="M268" s="10" t="s">
        <v>61</v>
      </c>
      <c r="N268" s="10"/>
      <c r="O268" s="10"/>
      <c r="P268" s="10" t="s">
        <v>63</v>
      </c>
      <c r="Q268" s="11" t="s">
        <v>64</v>
      </c>
      <c r="R268" s="11" t="s">
        <v>938</v>
      </c>
      <c r="S268" s="11" t="s">
        <v>66</v>
      </c>
      <c r="T268" s="11" t="s">
        <v>1009</v>
      </c>
      <c r="U268" s="10" t="n">
        <f aca="false">IF(AND($D268="",$E268="",$F268=""),1,0)</f>
        <v>0</v>
      </c>
      <c r="V268" s="10" t="n">
        <f aca="false">IF(OR($I268="",$I268="—"),1,0)</f>
        <v>0</v>
      </c>
      <c r="W268" s="10" t="n">
        <f aca="false">IF(AND(ISNUMBER($D268),ISNUMBER($E268)),IF($E268&gt;$D268,1,0),0)+IF(AND(ISNUMBER($D268),ISNUMBER($F268)),IF($D268&gt;$F268,1,0),0)+IF(AND(ISNUMBER($E268),ISNUMBER($F268)),IF($E268&gt;$F268,1,0),0)</f>
        <v>0</v>
      </c>
      <c r="X268" s="13" t="s">
        <v>68</v>
      </c>
    </row>
    <row r="269" customFormat="false" ht="15" hidden="false" customHeight="false" outlineLevel="0" collapsed="false">
      <c r="A269" s="10" t="s">
        <v>1016</v>
      </c>
      <c r="B269" s="10" t="s">
        <v>1017</v>
      </c>
      <c r="C269" s="10" t="s">
        <v>1018</v>
      </c>
      <c r="D269" s="12" t="n">
        <v>0.2</v>
      </c>
      <c r="E269" s="12"/>
      <c r="F269" s="12"/>
      <c r="G269" s="10" t="s">
        <v>934</v>
      </c>
      <c r="H269" s="10" t="s">
        <v>935</v>
      </c>
      <c r="I269" s="10" t="s">
        <v>936</v>
      </c>
      <c r="J269" s="10" t="s">
        <v>937</v>
      </c>
      <c r="K269" s="10" t="s">
        <v>60</v>
      </c>
      <c r="L269" s="10" t="s">
        <v>60</v>
      </c>
      <c r="M269" s="10" t="s">
        <v>61</v>
      </c>
      <c r="N269" s="10"/>
      <c r="O269" s="10"/>
      <c r="P269" s="10" t="s">
        <v>63</v>
      </c>
      <c r="Q269" s="11" t="s">
        <v>64</v>
      </c>
      <c r="R269" s="11" t="s">
        <v>938</v>
      </c>
      <c r="S269" s="11" t="s">
        <v>66</v>
      </c>
      <c r="T269" s="11" t="s">
        <v>1019</v>
      </c>
      <c r="U269" s="10" t="n">
        <f aca="false">IF(AND($D269="",$E269="",$F269=""),1,0)</f>
        <v>0</v>
      </c>
      <c r="V269" s="10" t="n">
        <f aca="false">IF(OR($I269="",$I269="—"),1,0)</f>
        <v>0</v>
      </c>
      <c r="W269" s="10" t="n">
        <f aca="false">IF(AND(ISNUMBER($D269),ISNUMBER($E269)),IF($E269&gt;$D269,1,0),0)+IF(AND(ISNUMBER($D269),ISNUMBER($F269)),IF($D269&gt;$F269,1,0),0)+IF(AND(ISNUMBER($E269),ISNUMBER($F269)),IF($E269&gt;$F269,1,0),0)</f>
        <v>0</v>
      </c>
      <c r="X269" s="13" t="s">
        <v>68</v>
      </c>
    </row>
    <row r="270" customFormat="false" ht="15" hidden="false" customHeight="false" outlineLevel="0" collapsed="false">
      <c r="A270" s="10" t="s">
        <v>1020</v>
      </c>
      <c r="B270" s="10" t="s">
        <v>1021</v>
      </c>
      <c r="C270" s="10" t="s">
        <v>1022</v>
      </c>
      <c r="D270" s="12" t="n">
        <v>0.03</v>
      </c>
      <c r="E270" s="12"/>
      <c r="F270" s="12"/>
      <c r="G270" s="10" t="s">
        <v>934</v>
      </c>
      <c r="H270" s="10" t="s">
        <v>935</v>
      </c>
      <c r="I270" s="10" t="s">
        <v>936</v>
      </c>
      <c r="J270" s="10" t="s">
        <v>937</v>
      </c>
      <c r="K270" s="10" t="s">
        <v>60</v>
      </c>
      <c r="L270" s="10" t="s">
        <v>60</v>
      </c>
      <c r="M270" s="10" t="s">
        <v>61</v>
      </c>
      <c r="N270" s="10"/>
      <c r="O270" s="10"/>
      <c r="P270" s="10" t="s">
        <v>63</v>
      </c>
      <c r="Q270" s="11" t="s">
        <v>64</v>
      </c>
      <c r="R270" s="11" t="s">
        <v>938</v>
      </c>
      <c r="S270" s="11" t="s">
        <v>66</v>
      </c>
      <c r="T270" s="11" t="s">
        <v>1019</v>
      </c>
      <c r="U270" s="10" t="n">
        <f aca="false">IF(AND($D270="",$E270="",$F270=""),1,0)</f>
        <v>0</v>
      </c>
      <c r="V270" s="10" t="n">
        <f aca="false">IF(OR($I270="",$I270="—"),1,0)</f>
        <v>0</v>
      </c>
      <c r="W270" s="10" t="n">
        <f aca="false">IF(AND(ISNUMBER($D270),ISNUMBER($E270)),IF($E270&gt;$D270,1,0),0)+IF(AND(ISNUMBER($D270),ISNUMBER($F270)),IF($D270&gt;$F270,1,0),0)+IF(AND(ISNUMBER($E270),ISNUMBER($F270)),IF($E270&gt;$F270,1,0),0)</f>
        <v>0</v>
      </c>
      <c r="X270" s="13" t="s">
        <v>68</v>
      </c>
    </row>
    <row r="271" customFormat="false" ht="15" hidden="false" customHeight="false" outlineLevel="0" collapsed="false">
      <c r="A271" s="10" t="s">
        <v>1023</v>
      </c>
      <c r="B271" s="10" t="s">
        <v>1024</v>
      </c>
      <c r="C271" s="10" t="s">
        <v>1025</v>
      </c>
      <c r="D271" s="12" t="n">
        <v>1.1</v>
      </c>
      <c r="E271" s="12"/>
      <c r="F271" s="12"/>
      <c r="G271" s="10" t="s">
        <v>934</v>
      </c>
      <c r="H271" s="10" t="s">
        <v>935</v>
      </c>
      <c r="I271" s="10" t="s">
        <v>936</v>
      </c>
      <c r="J271" s="10" t="s">
        <v>937</v>
      </c>
      <c r="K271" s="10" t="s">
        <v>60</v>
      </c>
      <c r="L271" s="10" t="s">
        <v>60</v>
      </c>
      <c r="M271" s="10" t="s">
        <v>61</v>
      </c>
      <c r="N271" s="10"/>
      <c r="O271" s="10"/>
      <c r="P271" s="10" t="s">
        <v>63</v>
      </c>
      <c r="Q271" s="11" t="s">
        <v>64</v>
      </c>
      <c r="R271" s="11" t="s">
        <v>938</v>
      </c>
      <c r="S271" s="11" t="s">
        <v>66</v>
      </c>
      <c r="T271" s="11" t="s">
        <v>1019</v>
      </c>
      <c r="U271" s="10" t="n">
        <f aca="false">IF(AND($D271="",$E271="",$F271=""),1,0)</f>
        <v>0</v>
      </c>
      <c r="V271" s="10" t="n">
        <f aca="false">IF(OR($I271="",$I271="—"),1,0)</f>
        <v>0</v>
      </c>
      <c r="W271" s="10" t="n">
        <f aca="false">IF(AND(ISNUMBER($D271),ISNUMBER($E271)),IF($E271&gt;$D271,1,0),0)+IF(AND(ISNUMBER($D271),ISNUMBER($F271)),IF($D271&gt;$F271,1,0),0)+IF(AND(ISNUMBER($E271),ISNUMBER($F271)),IF($E271&gt;$F271,1,0),0)</f>
        <v>0</v>
      </c>
      <c r="X271" s="13" t="s">
        <v>68</v>
      </c>
    </row>
    <row r="272" customFormat="false" ht="15" hidden="false" customHeight="false" outlineLevel="0" collapsed="false">
      <c r="A272" s="10" t="s">
        <v>1026</v>
      </c>
      <c r="B272" s="10" t="s">
        <v>1027</v>
      </c>
      <c r="C272" s="10" t="s">
        <v>1028</v>
      </c>
      <c r="D272" s="12" t="n">
        <v>1.1</v>
      </c>
      <c r="E272" s="12"/>
      <c r="F272" s="12"/>
      <c r="G272" s="10" t="s">
        <v>934</v>
      </c>
      <c r="H272" s="10" t="s">
        <v>935</v>
      </c>
      <c r="I272" s="10" t="s">
        <v>936</v>
      </c>
      <c r="J272" s="10" t="s">
        <v>937</v>
      </c>
      <c r="K272" s="10" t="s">
        <v>60</v>
      </c>
      <c r="L272" s="10" t="s">
        <v>60</v>
      </c>
      <c r="M272" s="10" t="s">
        <v>61</v>
      </c>
      <c r="N272" s="10"/>
      <c r="O272" s="10"/>
      <c r="P272" s="10" t="s">
        <v>63</v>
      </c>
      <c r="Q272" s="11" t="s">
        <v>64</v>
      </c>
      <c r="R272" s="11" t="s">
        <v>938</v>
      </c>
      <c r="S272" s="11" t="s">
        <v>66</v>
      </c>
      <c r="T272" s="11" t="s">
        <v>1029</v>
      </c>
      <c r="U272" s="10" t="n">
        <f aca="false">IF(AND($D272="",$E272="",$F272=""),1,0)</f>
        <v>0</v>
      </c>
      <c r="V272" s="10" t="n">
        <f aca="false">IF(OR($I272="",$I272="—"),1,0)</f>
        <v>0</v>
      </c>
      <c r="W272" s="10" t="n">
        <f aca="false">IF(AND(ISNUMBER($D272),ISNUMBER($E272)),IF($E272&gt;$D272,1,0),0)+IF(AND(ISNUMBER($D272),ISNUMBER($F272)),IF($D272&gt;$F272,1,0),0)+IF(AND(ISNUMBER($E272),ISNUMBER($F272)),IF($E272&gt;$F272,1,0),0)</f>
        <v>0</v>
      </c>
      <c r="X272" s="13" t="s">
        <v>68</v>
      </c>
    </row>
    <row r="273" customFormat="false" ht="15" hidden="false" customHeight="false" outlineLevel="0" collapsed="false">
      <c r="A273" s="10" t="s">
        <v>1030</v>
      </c>
      <c r="B273" s="10" t="s">
        <v>1031</v>
      </c>
      <c r="C273" s="10" t="s">
        <v>1032</v>
      </c>
      <c r="D273" s="12" t="n">
        <v>0.22</v>
      </c>
      <c r="E273" s="12"/>
      <c r="F273" s="12"/>
      <c r="G273" s="10" t="s">
        <v>934</v>
      </c>
      <c r="H273" s="10" t="s">
        <v>935</v>
      </c>
      <c r="I273" s="10" t="s">
        <v>936</v>
      </c>
      <c r="J273" s="10" t="s">
        <v>937</v>
      </c>
      <c r="K273" s="10" t="s">
        <v>60</v>
      </c>
      <c r="L273" s="10" t="s">
        <v>60</v>
      </c>
      <c r="M273" s="10" t="s">
        <v>61</v>
      </c>
      <c r="N273" s="10"/>
      <c r="O273" s="10"/>
      <c r="P273" s="10" t="s">
        <v>63</v>
      </c>
      <c r="Q273" s="11" t="s">
        <v>64</v>
      </c>
      <c r="R273" s="11" t="s">
        <v>938</v>
      </c>
      <c r="S273" s="11" t="s">
        <v>66</v>
      </c>
      <c r="T273" s="11" t="s">
        <v>1029</v>
      </c>
      <c r="U273" s="10" t="n">
        <f aca="false">IF(AND($D273="",$E273="",$F273=""),1,0)</f>
        <v>0</v>
      </c>
      <c r="V273" s="10" t="n">
        <f aca="false">IF(OR($I273="",$I273="—"),1,0)</f>
        <v>0</v>
      </c>
      <c r="W273" s="10" t="n">
        <f aca="false">IF(AND(ISNUMBER($D273),ISNUMBER($E273)),IF($E273&gt;$D273,1,0),0)+IF(AND(ISNUMBER($D273),ISNUMBER($F273)),IF($D273&gt;$F273,1,0),0)+IF(AND(ISNUMBER($E273),ISNUMBER($F273)),IF($E273&gt;$F273,1,0),0)</f>
        <v>0</v>
      </c>
      <c r="X273" s="13" t="s">
        <v>68</v>
      </c>
    </row>
    <row r="274" customFormat="false" ht="15" hidden="false" customHeight="false" outlineLevel="0" collapsed="false">
      <c r="A274" s="10" t="s">
        <v>1033</v>
      </c>
      <c r="B274" s="10" t="s">
        <v>1034</v>
      </c>
      <c r="C274" s="10" t="s">
        <v>1035</v>
      </c>
      <c r="D274" s="12" t="n">
        <v>4.5</v>
      </c>
      <c r="E274" s="12"/>
      <c r="F274" s="12"/>
      <c r="G274" s="10" t="s">
        <v>934</v>
      </c>
      <c r="H274" s="10" t="s">
        <v>935</v>
      </c>
      <c r="I274" s="10" t="s">
        <v>936</v>
      </c>
      <c r="J274" s="10" t="s">
        <v>937</v>
      </c>
      <c r="K274" s="10" t="s">
        <v>60</v>
      </c>
      <c r="L274" s="10" t="s">
        <v>60</v>
      </c>
      <c r="M274" s="10" t="s">
        <v>61</v>
      </c>
      <c r="N274" s="10"/>
      <c r="O274" s="10"/>
      <c r="P274" s="10" t="s">
        <v>63</v>
      </c>
      <c r="Q274" s="11" t="s">
        <v>64</v>
      </c>
      <c r="R274" s="11" t="s">
        <v>938</v>
      </c>
      <c r="S274" s="11" t="s">
        <v>66</v>
      </c>
      <c r="T274" s="11" t="s">
        <v>1029</v>
      </c>
      <c r="U274" s="10" t="n">
        <f aca="false">IF(AND($D274="",$E274="",$F274=""),1,0)</f>
        <v>0</v>
      </c>
      <c r="V274" s="10" t="n">
        <f aca="false">IF(OR($I274="",$I274="—"),1,0)</f>
        <v>0</v>
      </c>
      <c r="W274" s="10" t="n">
        <f aca="false">IF(AND(ISNUMBER($D274),ISNUMBER($E274)),IF($E274&gt;$D274,1,0),0)+IF(AND(ISNUMBER($D274),ISNUMBER($F274)),IF($D274&gt;$F274,1,0),0)+IF(AND(ISNUMBER($E274),ISNUMBER($F274)),IF($E274&gt;$F274,1,0),0)</f>
        <v>0</v>
      </c>
      <c r="X274" s="13" t="s">
        <v>68</v>
      </c>
    </row>
    <row r="275" customFormat="false" ht="15" hidden="false" customHeight="false" outlineLevel="0" collapsed="false">
      <c r="A275" s="10" t="s">
        <v>1036</v>
      </c>
      <c r="B275" s="10" t="s">
        <v>1037</v>
      </c>
      <c r="C275" s="10" t="s">
        <v>1038</v>
      </c>
      <c r="D275" s="12" t="n">
        <v>0.15</v>
      </c>
      <c r="E275" s="12"/>
      <c r="F275" s="12"/>
      <c r="G275" s="10" t="s">
        <v>934</v>
      </c>
      <c r="H275" s="10" t="s">
        <v>935</v>
      </c>
      <c r="I275" s="10" t="s">
        <v>936</v>
      </c>
      <c r="J275" s="10" t="s">
        <v>937</v>
      </c>
      <c r="K275" s="10" t="s">
        <v>60</v>
      </c>
      <c r="L275" s="10" t="s">
        <v>60</v>
      </c>
      <c r="M275" s="10" t="s">
        <v>61</v>
      </c>
      <c r="N275" s="10"/>
      <c r="O275" s="10"/>
      <c r="P275" s="10" t="s">
        <v>63</v>
      </c>
      <c r="Q275" s="11" t="s">
        <v>64</v>
      </c>
      <c r="R275" s="11" t="s">
        <v>938</v>
      </c>
      <c r="S275" s="11" t="s">
        <v>66</v>
      </c>
      <c r="T275" s="11" t="s">
        <v>1039</v>
      </c>
      <c r="U275" s="10" t="n">
        <f aca="false">IF(AND($D275="",$E275="",$F275=""),1,0)</f>
        <v>0</v>
      </c>
      <c r="V275" s="10" t="n">
        <f aca="false">IF(OR($I275="",$I275="—"),1,0)</f>
        <v>0</v>
      </c>
      <c r="W275" s="10" t="n">
        <f aca="false">IF(AND(ISNUMBER($D275),ISNUMBER($E275)),IF($E275&gt;$D275,1,0),0)+IF(AND(ISNUMBER($D275),ISNUMBER($F275)),IF($D275&gt;$F275,1,0),0)+IF(AND(ISNUMBER($E275),ISNUMBER($F275)),IF($E275&gt;$F275,1,0),0)</f>
        <v>0</v>
      </c>
      <c r="X275" s="13" t="s">
        <v>68</v>
      </c>
    </row>
    <row r="276" customFormat="false" ht="15" hidden="false" customHeight="false" outlineLevel="0" collapsed="false">
      <c r="A276" s="10" t="s">
        <v>1040</v>
      </c>
      <c r="B276" s="10" t="s">
        <v>1041</v>
      </c>
      <c r="C276" s="10" t="s">
        <v>1042</v>
      </c>
      <c r="D276" s="12" t="n">
        <v>0.03</v>
      </c>
      <c r="E276" s="12"/>
      <c r="F276" s="12"/>
      <c r="G276" s="10" t="s">
        <v>934</v>
      </c>
      <c r="H276" s="10" t="s">
        <v>935</v>
      </c>
      <c r="I276" s="10" t="s">
        <v>936</v>
      </c>
      <c r="J276" s="10" t="s">
        <v>937</v>
      </c>
      <c r="K276" s="10" t="s">
        <v>60</v>
      </c>
      <c r="L276" s="10" t="s">
        <v>60</v>
      </c>
      <c r="M276" s="10" t="s">
        <v>61</v>
      </c>
      <c r="N276" s="10"/>
      <c r="O276" s="10"/>
      <c r="P276" s="10" t="s">
        <v>63</v>
      </c>
      <c r="Q276" s="11" t="s">
        <v>64</v>
      </c>
      <c r="R276" s="11" t="s">
        <v>938</v>
      </c>
      <c r="S276" s="11" t="s">
        <v>66</v>
      </c>
      <c r="T276" s="11" t="s">
        <v>1039</v>
      </c>
      <c r="U276" s="10" t="n">
        <f aca="false">IF(AND($D276="",$E276="",$F276=""),1,0)</f>
        <v>0</v>
      </c>
      <c r="V276" s="10" t="n">
        <f aca="false">IF(OR($I276="",$I276="—"),1,0)</f>
        <v>0</v>
      </c>
      <c r="W276" s="10" t="n">
        <f aca="false">IF(AND(ISNUMBER($D276),ISNUMBER($E276)),IF($E276&gt;$D276,1,0),0)+IF(AND(ISNUMBER($D276),ISNUMBER($F276)),IF($D276&gt;$F276,1,0),0)+IF(AND(ISNUMBER($E276),ISNUMBER($F276)),IF($E276&gt;$F276,1,0),0)</f>
        <v>0</v>
      </c>
      <c r="X276" s="13" t="s">
        <v>68</v>
      </c>
    </row>
    <row r="277" customFormat="false" ht="15" hidden="false" customHeight="false" outlineLevel="0" collapsed="false">
      <c r="A277" s="10" t="s">
        <v>1043</v>
      </c>
      <c r="B277" s="10" t="s">
        <v>1044</v>
      </c>
      <c r="C277" s="10" t="s">
        <v>1045</v>
      </c>
      <c r="D277" s="12" t="n">
        <v>0.5</v>
      </c>
      <c r="E277" s="12"/>
      <c r="F277" s="12"/>
      <c r="G277" s="10" t="s">
        <v>934</v>
      </c>
      <c r="H277" s="10" t="s">
        <v>935</v>
      </c>
      <c r="I277" s="10" t="s">
        <v>936</v>
      </c>
      <c r="J277" s="10" t="s">
        <v>937</v>
      </c>
      <c r="K277" s="10" t="s">
        <v>60</v>
      </c>
      <c r="L277" s="10" t="s">
        <v>60</v>
      </c>
      <c r="M277" s="10" t="s">
        <v>61</v>
      </c>
      <c r="N277" s="10"/>
      <c r="O277" s="10"/>
      <c r="P277" s="10" t="s">
        <v>63</v>
      </c>
      <c r="Q277" s="11" t="s">
        <v>64</v>
      </c>
      <c r="R277" s="11" t="s">
        <v>938</v>
      </c>
      <c r="S277" s="11" t="s">
        <v>66</v>
      </c>
      <c r="T277" s="11" t="s">
        <v>1039</v>
      </c>
      <c r="U277" s="10" t="n">
        <f aca="false">IF(AND($D277="",$E277="",$F277=""),1,0)</f>
        <v>0</v>
      </c>
      <c r="V277" s="10" t="n">
        <f aca="false">IF(OR($I277="",$I277="—"),1,0)</f>
        <v>0</v>
      </c>
      <c r="W277" s="10" t="n">
        <f aca="false">IF(AND(ISNUMBER($D277),ISNUMBER($E277)),IF($E277&gt;$D277,1,0),0)+IF(AND(ISNUMBER($D277),ISNUMBER($F277)),IF($D277&gt;$F277,1,0),0)+IF(AND(ISNUMBER($E277),ISNUMBER($F277)),IF($E277&gt;$F277,1,0),0)</f>
        <v>0</v>
      </c>
      <c r="X277" s="13" t="s">
        <v>68</v>
      </c>
    </row>
    <row r="278" customFormat="false" ht="15" hidden="false" customHeight="false" outlineLevel="0" collapsed="false">
      <c r="A278" s="10" t="s">
        <v>1046</v>
      </c>
      <c r="B278" s="10" t="s">
        <v>1047</v>
      </c>
      <c r="C278" s="10" t="s">
        <v>1048</v>
      </c>
      <c r="D278" s="12" t="n">
        <v>0.37</v>
      </c>
      <c r="E278" s="12"/>
      <c r="F278" s="12"/>
      <c r="G278" s="10" t="s">
        <v>934</v>
      </c>
      <c r="H278" s="10" t="s">
        <v>935</v>
      </c>
      <c r="I278" s="10" t="s">
        <v>936</v>
      </c>
      <c r="J278" s="10" t="s">
        <v>937</v>
      </c>
      <c r="K278" s="10" t="s">
        <v>60</v>
      </c>
      <c r="L278" s="10" t="s">
        <v>60</v>
      </c>
      <c r="M278" s="10" t="s">
        <v>61</v>
      </c>
      <c r="N278" s="10"/>
      <c r="O278" s="10"/>
      <c r="P278" s="10" t="s">
        <v>63</v>
      </c>
      <c r="Q278" s="11" t="s">
        <v>64</v>
      </c>
      <c r="R278" s="11" t="s">
        <v>938</v>
      </c>
      <c r="S278" s="11" t="s">
        <v>66</v>
      </c>
      <c r="T278" s="11" t="s">
        <v>1049</v>
      </c>
      <c r="U278" s="10" t="n">
        <f aca="false">IF(AND($D278="",$E278="",$F278=""),1,0)</f>
        <v>0</v>
      </c>
      <c r="V278" s="10" t="n">
        <f aca="false">IF(OR($I278="",$I278="—"),1,0)</f>
        <v>0</v>
      </c>
      <c r="W278" s="10" t="n">
        <f aca="false">IF(AND(ISNUMBER($D278),ISNUMBER($E278)),IF($E278&gt;$D278,1,0),0)+IF(AND(ISNUMBER($D278),ISNUMBER($F278)),IF($D278&gt;$F278,1,0),0)+IF(AND(ISNUMBER($E278),ISNUMBER($F278)),IF($E278&gt;$F278,1,0),0)</f>
        <v>0</v>
      </c>
      <c r="X278" s="13" t="s">
        <v>68</v>
      </c>
    </row>
    <row r="279" customFormat="false" ht="15" hidden="false" customHeight="false" outlineLevel="0" collapsed="false">
      <c r="A279" s="10" t="s">
        <v>1050</v>
      </c>
      <c r="B279" s="10" t="s">
        <v>1051</v>
      </c>
      <c r="C279" s="10" t="s">
        <v>1052</v>
      </c>
      <c r="D279" s="12" t="n">
        <v>0.075</v>
      </c>
      <c r="E279" s="12"/>
      <c r="F279" s="12"/>
      <c r="G279" s="10" t="s">
        <v>934</v>
      </c>
      <c r="H279" s="10" t="s">
        <v>935</v>
      </c>
      <c r="I279" s="10" t="s">
        <v>936</v>
      </c>
      <c r="J279" s="10" t="s">
        <v>937</v>
      </c>
      <c r="K279" s="10" t="s">
        <v>60</v>
      </c>
      <c r="L279" s="10" t="s">
        <v>60</v>
      </c>
      <c r="M279" s="10" t="s">
        <v>61</v>
      </c>
      <c r="N279" s="10"/>
      <c r="O279" s="10"/>
      <c r="P279" s="10" t="s">
        <v>63</v>
      </c>
      <c r="Q279" s="11" t="s">
        <v>64</v>
      </c>
      <c r="R279" s="11" t="s">
        <v>938</v>
      </c>
      <c r="S279" s="11" t="s">
        <v>66</v>
      </c>
      <c r="T279" s="11" t="s">
        <v>1049</v>
      </c>
      <c r="U279" s="10" t="n">
        <f aca="false">IF(AND($D279="",$E279="",$F279=""),1,0)</f>
        <v>0</v>
      </c>
      <c r="V279" s="10" t="n">
        <f aca="false">IF(OR($I279="",$I279="—"),1,0)</f>
        <v>0</v>
      </c>
      <c r="W279" s="10" t="n">
        <f aca="false">IF(AND(ISNUMBER($D279),ISNUMBER($E279)),IF($E279&gt;$D279,1,0),0)+IF(AND(ISNUMBER($D279),ISNUMBER($F279)),IF($D279&gt;$F279,1,0),0)+IF(AND(ISNUMBER($E279),ISNUMBER($F279)),IF($E279&gt;$F279,1,0),0)</f>
        <v>0</v>
      </c>
      <c r="X279" s="13" t="s">
        <v>68</v>
      </c>
    </row>
    <row r="280" customFormat="false" ht="15" hidden="false" customHeight="false" outlineLevel="0" collapsed="false">
      <c r="A280" s="10" t="s">
        <v>1053</v>
      </c>
      <c r="B280" s="10" t="s">
        <v>1054</v>
      </c>
      <c r="C280" s="10" t="s">
        <v>1055</v>
      </c>
      <c r="D280" s="12" t="n">
        <v>1.25</v>
      </c>
      <c r="E280" s="12"/>
      <c r="F280" s="12"/>
      <c r="G280" s="10" t="s">
        <v>934</v>
      </c>
      <c r="H280" s="10" t="s">
        <v>935</v>
      </c>
      <c r="I280" s="10" t="s">
        <v>936</v>
      </c>
      <c r="J280" s="10" t="s">
        <v>937</v>
      </c>
      <c r="K280" s="10" t="s">
        <v>60</v>
      </c>
      <c r="L280" s="10" t="s">
        <v>60</v>
      </c>
      <c r="M280" s="10" t="s">
        <v>61</v>
      </c>
      <c r="N280" s="10"/>
      <c r="O280" s="10"/>
      <c r="P280" s="10" t="s">
        <v>63</v>
      </c>
      <c r="Q280" s="11" t="s">
        <v>64</v>
      </c>
      <c r="R280" s="11" t="s">
        <v>938</v>
      </c>
      <c r="S280" s="11" t="s">
        <v>66</v>
      </c>
      <c r="T280" s="11" t="s">
        <v>1049</v>
      </c>
      <c r="U280" s="10" t="n">
        <f aca="false">IF(AND($D280="",$E280="",$F280=""),1,0)</f>
        <v>0</v>
      </c>
      <c r="V280" s="10" t="n">
        <f aca="false">IF(OR($I280="",$I280="—"),1,0)</f>
        <v>0</v>
      </c>
      <c r="W280" s="10" t="n">
        <f aca="false">IF(AND(ISNUMBER($D280),ISNUMBER($E280)),IF($E280&gt;$D280,1,0),0)+IF(AND(ISNUMBER($D280),ISNUMBER($F280)),IF($D280&gt;$F280,1,0),0)+IF(AND(ISNUMBER($E280),ISNUMBER($F280)),IF($E280&gt;$F280,1,0),0)</f>
        <v>0</v>
      </c>
      <c r="X280" s="13" t="s">
        <v>68</v>
      </c>
    </row>
    <row r="281" customFormat="false" ht="15" hidden="false" customHeight="false" outlineLevel="0" collapsed="false">
      <c r="A281" s="10" t="s">
        <v>1056</v>
      </c>
      <c r="B281" s="10" t="s">
        <v>1057</v>
      </c>
      <c r="C281" s="10" t="s">
        <v>1058</v>
      </c>
      <c r="D281" s="12" t="n">
        <v>0.07</v>
      </c>
      <c r="E281" s="12"/>
      <c r="F281" s="12"/>
      <c r="G281" s="10" t="s">
        <v>934</v>
      </c>
      <c r="H281" s="10" t="s">
        <v>935</v>
      </c>
      <c r="I281" s="10" t="s">
        <v>936</v>
      </c>
      <c r="J281" s="10" t="s">
        <v>937</v>
      </c>
      <c r="K281" s="10" t="s">
        <v>60</v>
      </c>
      <c r="L281" s="10" t="s">
        <v>60</v>
      </c>
      <c r="M281" s="10" t="s">
        <v>61</v>
      </c>
      <c r="N281" s="10"/>
      <c r="O281" s="10"/>
      <c r="P281" s="10" t="s">
        <v>63</v>
      </c>
      <c r="Q281" s="11" t="s">
        <v>64</v>
      </c>
      <c r="R281" s="11" t="s">
        <v>938</v>
      </c>
      <c r="S281" s="11" t="s">
        <v>66</v>
      </c>
      <c r="T281" s="11" t="s">
        <v>1059</v>
      </c>
      <c r="U281" s="10" t="n">
        <f aca="false">IF(AND($D281="",$E281="",$F281=""),1,0)</f>
        <v>0</v>
      </c>
      <c r="V281" s="10" t="n">
        <f aca="false">IF(OR($I281="",$I281="—"),1,0)</f>
        <v>0</v>
      </c>
      <c r="W281" s="10" t="n">
        <f aca="false">IF(AND(ISNUMBER($D281),ISNUMBER($E281)),IF($E281&gt;$D281,1,0),0)+IF(AND(ISNUMBER($D281),ISNUMBER($F281)),IF($D281&gt;$F281,1,0),0)+IF(AND(ISNUMBER($E281),ISNUMBER($F281)),IF($E281&gt;$F281,1,0),0)</f>
        <v>0</v>
      </c>
      <c r="X281" s="13" t="s">
        <v>68</v>
      </c>
    </row>
    <row r="282" customFormat="false" ht="15" hidden="false" customHeight="false" outlineLevel="0" collapsed="false">
      <c r="A282" s="10" t="s">
        <v>1060</v>
      </c>
      <c r="B282" s="10" t="s">
        <v>1061</v>
      </c>
      <c r="C282" s="10" t="s">
        <v>1062</v>
      </c>
      <c r="D282" s="12" t="n">
        <v>0.01</v>
      </c>
      <c r="E282" s="12"/>
      <c r="F282" s="12"/>
      <c r="G282" s="10" t="s">
        <v>934</v>
      </c>
      <c r="H282" s="10" t="s">
        <v>935</v>
      </c>
      <c r="I282" s="10" t="s">
        <v>936</v>
      </c>
      <c r="J282" s="10" t="s">
        <v>937</v>
      </c>
      <c r="K282" s="10" t="s">
        <v>60</v>
      </c>
      <c r="L282" s="10" t="s">
        <v>60</v>
      </c>
      <c r="M282" s="10" t="s">
        <v>61</v>
      </c>
      <c r="N282" s="10"/>
      <c r="O282" s="10"/>
      <c r="P282" s="10" t="s">
        <v>63</v>
      </c>
      <c r="Q282" s="11" t="s">
        <v>64</v>
      </c>
      <c r="R282" s="11" t="s">
        <v>938</v>
      </c>
      <c r="S282" s="11" t="s">
        <v>66</v>
      </c>
      <c r="T282" s="11" t="s">
        <v>1059</v>
      </c>
      <c r="U282" s="10" t="n">
        <f aca="false">IF(AND($D282="",$E282="",$F282=""),1,0)</f>
        <v>0</v>
      </c>
      <c r="V282" s="10" t="n">
        <f aca="false">IF(OR($I282="",$I282="—"),1,0)</f>
        <v>0</v>
      </c>
      <c r="W282" s="10" t="n">
        <f aca="false">IF(AND(ISNUMBER($D282),ISNUMBER($E282)),IF($E282&gt;$D282,1,0),0)+IF(AND(ISNUMBER($D282),ISNUMBER($F282)),IF($D282&gt;$F282,1,0),0)+IF(AND(ISNUMBER($E282),ISNUMBER($F282)),IF($E282&gt;$F282,1,0),0)</f>
        <v>0</v>
      </c>
      <c r="X282" s="13" t="s">
        <v>68</v>
      </c>
    </row>
    <row r="283" customFormat="false" ht="15" hidden="false" customHeight="false" outlineLevel="0" collapsed="false">
      <c r="A283" s="10" t="s">
        <v>1063</v>
      </c>
      <c r="B283" s="10" t="s">
        <v>1064</v>
      </c>
      <c r="C283" s="10" t="s">
        <v>1065</v>
      </c>
      <c r="D283" s="12" t="n">
        <v>0.4</v>
      </c>
      <c r="E283" s="12"/>
      <c r="F283" s="12"/>
      <c r="G283" s="10" t="s">
        <v>934</v>
      </c>
      <c r="H283" s="10" t="s">
        <v>935</v>
      </c>
      <c r="I283" s="10" t="s">
        <v>936</v>
      </c>
      <c r="J283" s="10" t="s">
        <v>937</v>
      </c>
      <c r="K283" s="10" t="s">
        <v>60</v>
      </c>
      <c r="L283" s="10" t="s">
        <v>60</v>
      </c>
      <c r="M283" s="10" t="s">
        <v>61</v>
      </c>
      <c r="N283" s="10"/>
      <c r="O283" s="10"/>
      <c r="P283" s="10" t="s">
        <v>63</v>
      </c>
      <c r="Q283" s="11" t="s">
        <v>64</v>
      </c>
      <c r="R283" s="11" t="s">
        <v>938</v>
      </c>
      <c r="S283" s="11" t="s">
        <v>66</v>
      </c>
      <c r="T283" s="11" t="s">
        <v>1059</v>
      </c>
      <c r="U283" s="10" t="n">
        <f aca="false">IF(AND($D283="",$E283="",$F283=""),1,0)</f>
        <v>0</v>
      </c>
      <c r="V283" s="10" t="n">
        <f aca="false">IF(OR($I283="",$I283="—"),1,0)</f>
        <v>0</v>
      </c>
      <c r="W283" s="10" t="n">
        <f aca="false">IF(AND(ISNUMBER($D283),ISNUMBER($E283)),IF($E283&gt;$D283,1,0),0)+IF(AND(ISNUMBER($D283),ISNUMBER($F283)),IF($D283&gt;$F283,1,0),0)+IF(AND(ISNUMBER($E283),ISNUMBER($F283)),IF($E283&gt;$F283,1,0),0)</f>
        <v>0</v>
      </c>
      <c r="X283" s="13" t="s">
        <v>68</v>
      </c>
    </row>
    <row r="284" customFormat="false" ht="15" hidden="false" customHeight="false" outlineLevel="0" collapsed="false">
      <c r="A284" s="10" t="s">
        <v>1066</v>
      </c>
      <c r="B284" s="10" t="s">
        <v>1067</v>
      </c>
      <c r="C284" s="11" t="s">
        <v>1068</v>
      </c>
      <c r="D284" s="12" t="n">
        <v>0</v>
      </c>
      <c r="E284" s="12"/>
      <c r="F284" s="12"/>
      <c r="G284" s="10" t="s">
        <v>934</v>
      </c>
      <c r="H284" s="10" t="s">
        <v>935</v>
      </c>
      <c r="I284" s="10" t="s">
        <v>936</v>
      </c>
      <c r="J284" s="10" t="s">
        <v>937</v>
      </c>
      <c r="K284" s="10" t="s">
        <v>60</v>
      </c>
      <c r="L284" s="10" t="s">
        <v>60</v>
      </c>
      <c r="M284" s="10" t="s">
        <v>61</v>
      </c>
      <c r="N284" s="10"/>
      <c r="O284" s="10"/>
      <c r="P284" s="10" t="s">
        <v>63</v>
      </c>
      <c r="Q284" s="11" t="s">
        <v>64</v>
      </c>
      <c r="R284" s="11" t="s">
        <v>938</v>
      </c>
      <c r="S284" s="11" t="s">
        <v>66</v>
      </c>
      <c r="T284" s="11" t="s">
        <v>1069</v>
      </c>
      <c r="U284" s="10" t="n">
        <f aca="false">IF(AND($D284="",$E284="",$F284=""),1,0)</f>
        <v>0</v>
      </c>
      <c r="V284" s="10" t="n">
        <f aca="false">IF(OR($I284="",$I284="—"),1,0)</f>
        <v>0</v>
      </c>
      <c r="W284" s="10" t="n">
        <f aca="false">IF(AND(ISNUMBER($D284),ISNUMBER($E284)),IF($E284&gt;$D284,1,0),0)+IF(AND(ISNUMBER($D284),ISNUMBER($F284)),IF($D284&gt;$F284,1,0),0)+IF(AND(ISNUMBER($E284),ISNUMBER($F284)),IF($E284&gt;$F284,1,0),0)</f>
        <v>0</v>
      </c>
      <c r="X284" s="13" t="s">
        <v>68</v>
      </c>
    </row>
    <row r="285" customFormat="false" ht="15" hidden="false" customHeight="false" outlineLevel="0" collapsed="false">
      <c r="A285" s="10" t="s">
        <v>1070</v>
      </c>
      <c r="B285" s="10" t="s">
        <v>1071</v>
      </c>
      <c r="C285" s="11" t="s">
        <v>1072</v>
      </c>
      <c r="D285" s="12" t="n">
        <v>0.01</v>
      </c>
      <c r="E285" s="12"/>
      <c r="F285" s="12"/>
      <c r="G285" s="10" t="s">
        <v>1073</v>
      </c>
      <c r="H285" s="10" t="s">
        <v>935</v>
      </c>
      <c r="I285" s="10" t="s">
        <v>936</v>
      </c>
      <c r="J285" s="10" t="s">
        <v>937</v>
      </c>
      <c r="K285" s="10" t="s">
        <v>60</v>
      </c>
      <c r="L285" s="10" t="s">
        <v>60</v>
      </c>
      <c r="M285" s="10" t="s">
        <v>61</v>
      </c>
      <c r="N285" s="10"/>
      <c r="O285" s="10"/>
      <c r="P285" s="10" t="s">
        <v>63</v>
      </c>
      <c r="Q285" s="11" t="s">
        <v>64</v>
      </c>
      <c r="R285" s="11" t="s">
        <v>938</v>
      </c>
      <c r="S285" s="11" t="s">
        <v>66</v>
      </c>
      <c r="T285" s="11" t="s">
        <v>1074</v>
      </c>
      <c r="U285" s="10" t="n">
        <f aca="false">IF(AND($D285="",$E285="",$F285=""),1,0)</f>
        <v>0</v>
      </c>
      <c r="V285" s="10" t="n">
        <f aca="false">IF(OR($I285="",$I285="—"),1,0)</f>
        <v>0</v>
      </c>
      <c r="W285" s="10" t="n">
        <f aca="false">IF(AND(ISNUMBER($D285),ISNUMBER($E285)),IF($E285&gt;$D285,1,0),0)+IF(AND(ISNUMBER($D285),ISNUMBER($F285)),IF($D285&gt;$F285,1,0),0)+IF(AND(ISNUMBER($E285),ISNUMBER($F285)),IF($E285&gt;$F285,1,0),0)</f>
        <v>0</v>
      </c>
      <c r="X285" s="13" t="s">
        <v>68</v>
      </c>
    </row>
    <row r="286" customFormat="false" ht="15" hidden="false" customHeight="false" outlineLevel="0" collapsed="false">
      <c r="A286" s="10" t="s">
        <v>1075</v>
      </c>
      <c r="B286" s="10" t="s">
        <v>1076</v>
      </c>
      <c r="C286" s="10" t="s">
        <v>1077</v>
      </c>
      <c r="D286" s="12" t="n">
        <v>1.2</v>
      </c>
      <c r="E286" s="12"/>
      <c r="F286" s="12"/>
      <c r="G286" s="10" t="s">
        <v>934</v>
      </c>
      <c r="H286" s="10" t="s">
        <v>1078</v>
      </c>
      <c r="I286" s="10" t="s">
        <v>1079</v>
      </c>
      <c r="J286" s="10" t="s">
        <v>1080</v>
      </c>
      <c r="K286" s="10" t="s">
        <v>1081</v>
      </c>
      <c r="L286" s="10" t="s">
        <v>60</v>
      </c>
      <c r="M286" s="10" t="s">
        <v>61</v>
      </c>
      <c r="N286" s="10"/>
      <c r="O286" s="10"/>
      <c r="P286" s="10" t="s">
        <v>629</v>
      </c>
      <c r="Q286" s="11" t="s">
        <v>64</v>
      </c>
      <c r="R286" s="11" t="s">
        <v>1082</v>
      </c>
      <c r="S286" s="11" t="s">
        <v>702</v>
      </c>
      <c r="T286" s="11" t="s">
        <v>1083</v>
      </c>
      <c r="U286" s="10" t="n">
        <f aca="false">IF(AND($D286="",$E286="",$F286=""),1,0)</f>
        <v>0</v>
      </c>
      <c r="V286" s="10" t="n">
        <f aca="false">IF(OR($I286="",$I286="—"),1,0)</f>
        <v>0</v>
      </c>
      <c r="W286" s="10" t="n">
        <f aca="false">IF(AND(ISNUMBER($D286),ISNUMBER($E286)),IF($E286&gt;$D286,1,0),0)+IF(AND(ISNUMBER($D286),ISNUMBER($F286)),IF($D286&gt;$F286,1,0),0)+IF(AND(ISNUMBER($E286),ISNUMBER($F286)),IF($E286&gt;$F286,1,0),0)</f>
        <v>0</v>
      </c>
      <c r="X286" s="13" t="s">
        <v>68</v>
      </c>
    </row>
    <row r="287" customFormat="false" ht="15" hidden="false" customHeight="false" outlineLevel="0" collapsed="false">
      <c r="A287" s="10" t="s">
        <v>1084</v>
      </c>
      <c r="B287" s="10" t="s">
        <v>1085</v>
      </c>
      <c r="C287" s="10" t="s">
        <v>1086</v>
      </c>
      <c r="D287" s="12" t="n">
        <v>4</v>
      </c>
      <c r="E287" s="12"/>
      <c r="F287" s="12"/>
      <c r="G287" s="10" t="s">
        <v>934</v>
      </c>
      <c r="H287" s="10" t="s">
        <v>1078</v>
      </c>
      <c r="I287" s="10" t="s">
        <v>1079</v>
      </c>
      <c r="J287" s="10" t="s">
        <v>1080</v>
      </c>
      <c r="K287" s="10" t="s">
        <v>1081</v>
      </c>
      <c r="L287" s="10" t="s">
        <v>60</v>
      </c>
      <c r="M287" s="10" t="s">
        <v>61</v>
      </c>
      <c r="N287" s="10"/>
      <c r="O287" s="10"/>
      <c r="P287" s="10" t="s">
        <v>629</v>
      </c>
      <c r="Q287" s="11" t="s">
        <v>64</v>
      </c>
      <c r="R287" s="11" t="s">
        <v>1082</v>
      </c>
      <c r="S287" s="11" t="s">
        <v>702</v>
      </c>
      <c r="T287" s="11" t="s">
        <v>1087</v>
      </c>
      <c r="U287" s="10" t="n">
        <f aca="false">IF(AND($D287="",$E287="",$F287=""),1,0)</f>
        <v>0</v>
      </c>
      <c r="V287" s="10" t="n">
        <f aca="false">IF(OR($I287="",$I287="—"),1,0)</f>
        <v>0</v>
      </c>
      <c r="W287" s="10" t="n">
        <f aca="false">IF(AND(ISNUMBER($D287),ISNUMBER($E287)),IF($E287&gt;$D287,1,0),0)+IF(AND(ISNUMBER($D287),ISNUMBER($F287)),IF($D287&gt;$F287,1,0),0)+IF(AND(ISNUMBER($E287),ISNUMBER($F287)),IF($E287&gt;$F287,1,0),0)</f>
        <v>0</v>
      </c>
      <c r="X287" s="13" t="s">
        <v>68</v>
      </c>
    </row>
    <row r="288" customFormat="false" ht="15" hidden="false" customHeight="false" outlineLevel="0" collapsed="false">
      <c r="A288" s="10" t="s">
        <v>1088</v>
      </c>
      <c r="B288" s="10" t="s">
        <v>1089</v>
      </c>
      <c r="C288" s="10" t="s">
        <v>1090</v>
      </c>
      <c r="D288" s="12" t="n">
        <v>8</v>
      </c>
      <c r="E288" s="12"/>
      <c r="F288" s="12"/>
      <c r="G288" s="10" t="s">
        <v>1091</v>
      </c>
      <c r="H288" s="10" t="s">
        <v>1092</v>
      </c>
      <c r="I288" s="11" t="s">
        <v>1093</v>
      </c>
      <c r="J288" s="10" t="s">
        <v>1094</v>
      </c>
      <c r="K288" s="10" t="s">
        <v>1095</v>
      </c>
      <c r="L288" s="10" t="s">
        <v>60</v>
      </c>
      <c r="M288" s="10" t="s">
        <v>61</v>
      </c>
      <c r="N288" s="10"/>
      <c r="O288" s="10"/>
      <c r="P288" s="10" t="s">
        <v>629</v>
      </c>
      <c r="Q288" s="11" t="s">
        <v>64</v>
      </c>
      <c r="R288" s="11" t="s">
        <v>65</v>
      </c>
      <c r="S288" s="11" t="s">
        <v>1096</v>
      </c>
      <c r="T288" s="11" t="s">
        <v>1097</v>
      </c>
      <c r="U288" s="10" t="n">
        <f aca="false">IF(AND($D288="",$E288="",$F288=""),1,0)</f>
        <v>0</v>
      </c>
      <c r="V288" s="10" t="n">
        <f aca="false">IF(OR($I288="",$I288="—"),1,0)</f>
        <v>0</v>
      </c>
      <c r="W288" s="10" t="n">
        <f aca="false">IF(AND(ISNUMBER($D288),ISNUMBER($E288)),IF($E288&gt;$D288,1,0),0)+IF(AND(ISNUMBER($D288),ISNUMBER($F288)),IF($D288&gt;$F288,1,0),0)+IF(AND(ISNUMBER($E288),ISNUMBER($F288)),IF($E288&gt;$F288,1,0),0)</f>
        <v>0</v>
      </c>
      <c r="X288" s="13" t="s">
        <v>68</v>
      </c>
    </row>
    <row r="289" customFormat="false" ht="15" hidden="false" customHeight="false" outlineLevel="0" collapsed="false">
      <c r="A289" s="10" t="s">
        <v>1098</v>
      </c>
      <c r="B289" s="10" t="s">
        <v>1099</v>
      </c>
      <c r="C289" s="10" t="s">
        <v>1100</v>
      </c>
      <c r="D289" s="12" t="n">
        <v>2</v>
      </c>
      <c r="E289" s="12"/>
      <c r="F289" s="12"/>
      <c r="G289" s="10" t="s">
        <v>1091</v>
      </c>
      <c r="H289" s="10" t="s">
        <v>1092</v>
      </c>
      <c r="I289" s="11" t="s">
        <v>1093</v>
      </c>
      <c r="J289" s="10" t="s">
        <v>1094</v>
      </c>
      <c r="K289" s="10" t="s">
        <v>1095</v>
      </c>
      <c r="L289" s="10" t="s">
        <v>60</v>
      </c>
      <c r="M289" s="10" t="s">
        <v>61</v>
      </c>
      <c r="N289" s="10"/>
      <c r="O289" s="10"/>
      <c r="P289" s="10" t="s">
        <v>629</v>
      </c>
      <c r="Q289" s="11" t="s">
        <v>64</v>
      </c>
      <c r="R289" s="11" t="s">
        <v>65</v>
      </c>
      <c r="S289" s="11" t="s">
        <v>1096</v>
      </c>
      <c r="T289" s="11" t="s">
        <v>1097</v>
      </c>
      <c r="U289" s="10" t="n">
        <f aca="false">IF(AND($D289="",$E289="",$F289=""),1,0)</f>
        <v>0</v>
      </c>
      <c r="V289" s="10" t="n">
        <f aca="false">IF(OR($I289="",$I289="—"),1,0)</f>
        <v>0</v>
      </c>
      <c r="W289" s="10" t="n">
        <f aca="false">IF(AND(ISNUMBER($D289),ISNUMBER($E289)),IF($E289&gt;$D289,1,0),0)+IF(AND(ISNUMBER($D289),ISNUMBER($F289)),IF($D289&gt;$F289,1,0),0)+IF(AND(ISNUMBER($E289),ISNUMBER($F289)),IF($E289&gt;$F289,1,0),0)</f>
        <v>0</v>
      </c>
      <c r="X289" s="13" t="s">
        <v>68</v>
      </c>
    </row>
    <row r="290" customFormat="false" ht="15" hidden="false" customHeight="false" outlineLevel="0" collapsed="false">
      <c r="A290" s="10" t="s">
        <v>1101</v>
      </c>
      <c r="B290" s="10" t="s">
        <v>1102</v>
      </c>
      <c r="C290" s="10" t="s">
        <v>1103</v>
      </c>
      <c r="D290" s="12" t="n">
        <v>28</v>
      </c>
      <c r="E290" s="12"/>
      <c r="F290" s="12"/>
      <c r="G290" s="10" t="s">
        <v>1091</v>
      </c>
      <c r="H290" s="10" t="s">
        <v>1092</v>
      </c>
      <c r="I290" s="11" t="s">
        <v>1093</v>
      </c>
      <c r="J290" s="10" t="s">
        <v>1094</v>
      </c>
      <c r="K290" s="10" t="s">
        <v>1095</v>
      </c>
      <c r="L290" s="10" t="s">
        <v>60</v>
      </c>
      <c r="M290" s="10" t="s">
        <v>61</v>
      </c>
      <c r="N290" s="10"/>
      <c r="O290" s="10"/>
      <c r="P290" s="10" t="s">
        <v>629</v>
      </c>
      <c r="Q290" s="11" t="s">
        <v>64</v>
      </c>
      <c r="R290" s="11" t="s">
        <v>65</v>
      </c>
      <c r="S290" s="11" t="s">
        <v>1096</v>
      </c>
      <c r="T290" s="11" t="s">
        <v>1097</v>
      </c>
      <c r="U290" s="10" t="n">
        <f aca="false">IF(AND($D290="",$E290="",$F290=""),1,0)</f>
        <v>0</v>
      </c>
      <c r="V290" s="10" t="n">
        <f aca="false">IF(OR($I290="",$I290="—"),1,0)</f>
        <v>0</v>
      </c>
      <c r="W290" s="10" t="n">
        <f aca="false">IF(AND(ISNUMBER($D290),ISNUMBER($E290)),IF($E290&gt;$D290,1,0),0)+IF(AND(ISNUMBER($D290),ISNUMBER($F290)),IF($D290&gt;$F290,1,0),0)+IF(AND(ISNUMBER($E290),ISNUMBER($F290)),IF($E290&gt;$F290,1,0),0)</f>
        <v>0</v>
      </c>
      <c r="X290" s="13" t="s">
        <v>68</v>
      </c>
    </row>
    <row r="291" customFormat="false" ht="15" hidden="false" customHeight="false" outlineLevel="0" collapsed="false">
      <c r="A291" s="10" t="s">
        <v>1104</v>
      </c>
      <c r="B291" s="10" t="s">
        <v>1105</v>
      </c>
      <c r="C291" s="10" t="s">
        <v>1106</v>
      </c>
      <c r="D291" s="12" t="n">
        <v>8</v>
      </c>
      <c r="E291" s="12"/>
      <c r="F291" s="12"/>
      <c r="G291" s="10" t="s">
        <v>1091</v>
      </c>
      <c r="H291" s="10" t="s">
        <v>1092</v>
      </c>
      <c r="I291" s="11" t="s">
        <v>1093</v>
      </c>
      <c r="J291" s="10" t="s">
        <v>1094</v>
      </c>
      <c r="K291" s="10" t="s">
        <v>1095</v>
      </c>
      <c r="L291" s="10" t="s">
        <v>60</v>
      </c>
      <c r="M291" s="10" t="s">
        <v>61</v>
      </c>
      <c r="N291" s="10"/>
      <c r="O291" s="10"/>
      <c r="P291" s="10" t="s">
        <v>629</v>
      </c>
      <c r="Q291" s="11" t="s">
        <v>64</v>
      </c>
      <c r="R291" s="11" t="s">
        <v>65</v>
      </c>
      <c r="S291" s="11" t="s">
        <v>1096</v>
      </c>
      <c r="T291" s="11" t="s">
        <v>1107</v>
      </c>
      <c r="U291" s="10" t="n">
        <f aca="false">IF(AND($D291="",$E291="",$F291=""),1,0)</f>
        <v>0</v>
      </c>
      <c r="V291" s="10" t="n">
        <f aca="false">IF(OR($I291="",$I291="—"),1,0)</f>
        <v>0</v>
      </c>
      <c r="W291" s="10" t="n">
        <f aca="false">IF(AND(ISNUMBER($D291),ISNUMBER($E291)),IF($E291&gt;$D291,1,0),0)+IF(AND(ISNUMBER($D291),ISNUMBER($F291)),IF($D291&gt;$F291,1,0),0)+IF(AND(ISNUMBER($E291),ISNUMBER($F291)),IF($E291&gt;$F291,1,0),0)</f>
        <v>0</v>
      </c>
      <c r="X291" s="13" t="s">
        <v>68</v>
      </c>
    </row>
    <row r="292" customFormat="false" ht="15" hidden="false" customHeight="false" outlineLevel="0" collapsed="false">
      <c r="A292" s="10" t="s">
        <v>1108</v>
      </c>
      <c r="B292" s="10" t="s">
        <v>1109</v>
      </c>
      <c r="C292" s="10" t="s">
        <v>1110</v>
      </c>
      <c r="D292" s="12" t="n">
        <v>2</v>
      </c>
      <c r="E292" s="12"/>
      <c r="F292" s="12"/>
      <c r="G292" s="10" t="s">
        <v>1091</v>
      </c>
      <c r="H292" s="10" t="s">
        <v>1092</v>
      </c>
      <c r="I292" s="11" t="s">
        <v>1093</v>
      </c>
      <c r="J292" s="10" t="s">
        <v>1094</v>
      </c>
      <c r="K292" s="10" t="s">
        <v>1095</v>
      </c>
      <c r="L292" s="10" t="s">
        <v>60</v>
      </c>
      <c r="M292" s="10" t="s">
        <v>61</v>
      </c>
      <c r="N292" s="10"/>
      <c r="O292" s="10"/>
      <c r="P292" s="10" t="s">
        <v>629</v>
      </c>
      <c r="Q292" s="11" t="s">
        <v>64</v>
      </c>
      <c r="R292" s="11" t="s">
        <v>65</v>
      </c>
      <c r="S292" s="11" t="s">
        <v>1096</v>
      </c>
      <c r="T292" s="11" t="s">
        <v>1107</v>
      </c>
      <c r="U292" s="10" t="n">
        <f aca="false">IF(AND($D292="",$E292="",$F292=""),1,0)</f>
        <v>0</v>
      </c>
      <c r="V292" s="10" t="n">
        <f aca="false">IF(OR($I292="",$I292="—"),1,0)</f>
        <v>0</v>
      </c>
      <c r="W292" s="10" t="n">
        <f aca="false">IF(AND(ISNUMBER($D292),ISNUMBER($E292)),IF($E292&gt;$D292,1,0),0)+IF(AND(ISNUMBER($D292),ISNUMBER($F292)),IF($D292&gt;$F292,1,0),0)+IF(AND(ISNUMBER($E292),ISNUMBER($F292)),IF($E292&gt;$F292,1,0),0)</f>
        <v>0</v>
      </c>
      <c r="X292" s="13" t="s">
        <v>68</v>
      </c>
    </row>
    <row r="293" customFormat="false" ht="15" hidden="false" customHeight="false" outlineLevel="0" collapsed="false">
      <c r="A293" s="10" t="s">
        <v>1111</v>
      </c>
      <c r="B293" s="10" t="s">
        <v>1112</v>
      </c>
      <c r="C293" s="10" t="s">
        <v>1113</v>
      </c>
      <c r="D293" s="12" t="n">
        <v>28</v>
      </c>
      <c r="E293" s="12"/>
      <c r="F293" s="12"/>
      <c r="G293" s="10" t="s">
        <v>1091</v>
      </c>
      <c r="H293" s="10" t="s">
        <v>1092</v>
      </c>
      <c r="I293" s="11" t="s">
        <v>1093</v>
      </c>
      <c r="J293" s="10" t="s">
        <v>1094</v>
      </c>
      <c r="K293" s="10" t="s">
        <v>1095</v>
      </c>
      <c r="L293" s="10" t="s">
        <v>60</v>
      </c>
      <c r="M293" s="10" t="s">
        <v>61</v>
      </c>
      <c r="N293" s="10"/>
      <c r="O293" s="10"/>
      <c r="P293" s="10" t="s">
        <v>629</v>
      </c>
      <c r="Q293" s="11" t="s">
        <v>64</v>
      </c>
      <c r="R293" s="11" t="s">
        <v>65</v>
      </c>
      <c r="S293" s="11" t="s">
        <v>1096</v>
      </c>
      <c r="T293" s="11" t="s">
        <v>1107</v>
      </c>
      <c r="U293" s="10" t="n">
        <f aca="false">IF(AND($D293="",$E293="",$F293=""),1,0)</f>
        <v>0</v>
      </c>
      <c r="V293" s="10" t="n">
        <f aca="false">IF(OR($I293="",$I293="—"),1,0)</f>
        <v>0</v>
      </c>
      <c r="W293" s="10" t="n">
        <f aca="false">IF(AND(ISNUMBER($D293),ISNUMBER($E293)),IF($E293&gt;$D293,1,0),0)+IF(AND(ISNUMBER($D293),ISNUMBER($F293)),IF($D293&gt;$F293,1,0),0)+IF(AND(ISNUMBER($E293),ISNUMBER($F293)),IF($E293&gt;$F293,1,0),0)</f>
        <v>0</v>
      </c>
      <c r="X293" s="13" t="s">
        <v>68</v>
      </c>
    </row>
    <row r="294" customFormat="false" ht="15" hidden="false" customHeight="false" outlineLevel="0" collapsed="false">
      <c r="A294" s="10" t="s">
        <v>1114</v>
      </c>
      <c r="B294" s="10" t="s">
        <v>1115</v>
      </c>
      <c r="C294" s="10" t="s">
        <v>1116</v>
      </c>
      <c r="D294" s="12" t="n">
        <v>6</v>
      </c>
      <c r="E294" s="12"/>
      <c r="F294" s="12"/>
      <c r="G294" s="10" t="s">
        <v>1091</v>
      </c>
      <c r="H294" s="10" t="s">
        <v>1092</v>
      </c>
      <c r="I294" s="11" t="s">
        <v>1093</v>
      </c>
      <c r="J294" s="10" t="s">
        <v>1094</v>
      </c>
      <c r="K294" s="10" t="s">
        <v>1095</v>
      </c>
      <c r="L294" s="10" t="s">
        <v>60</v>
      </c>
      <c r="M294" s="10" t="s">
        <v>61</v>
      </c>
      <c r="N294" s="10"/>
      <c r="O294" s="10"/>
      <c r="P294" s="10" t="s">
        <v>629</v>
      </c>
      <c r="Q294" s="11" t="s">
        <v>64</v>
      </c>
      <c r="R294" s="11" t="s">
        <v>65</v>
      </c>
      <c r="S294" s="11" t="s">
        <v>1096</v>
      </c>
      <c r="T294" s="11" t="s">
        <v>1117</v>
      </c>
      <c r="U294" s="10" t="n">
        <f aca="false">IF(AND($D294="",$E294="",$F294=""),1,0)</f>
        <v>0</v>
      </c>
      <c r="V294" s="10" t="n">
        <f aca="false">IF(OR($I294="",$I294="—"),1,0)</f>
        <v>0</v>
      </c>
      <c r="W294" s="10" t="n">
        <f aca="false">IF(AND(ISNUMBER($D294),ISNUMBER($E294)),IF($E294&gt;$D294,1,0),0)+IF(AND(ISNUMBER($D294),ISNUMBER($F294)),IF($D294&gt;$F294,1,0),0)+IF(AND(ISNUMBER($E294),ISNUMBER($F294)),IF($E294&gt;$F294,1,0),0)</f>
        <v>0</v>
      </c>
      <c r="X294" s="13" t="s">
        <v>68</v>
      </c>
    </row>
    <row r="295" customFormat="false" ht="15" hidden="false" customHeight="false" outlineLevel="0" collapsed="false">
      <c r="A295" s="10" t="s">
        <v>1118</v>
      </c>
      <c r="B295" s="10" t="s">
        <v>1119</v>
      </c>
      <c r="C295" s="10" t="s">
        <v>1120</v>
      </c>
      <c r="D295" s="12" t="n">
        <v>1.3</v>
      </c>
      <c r="E295" s="12"/>
      <c r="F295" s="12"/>
      <c r="G295" s="10" t="s">
        <v>1091</v>
      </c>
      <c r="H295" s="10" t="s">
        <v>1092</v>
      </c>
      <c r="I295" s="11" t="s">
        <v>1093</v>
      </c>
      <c r="J295" s="10" t="s">
        <v>1094</v>
      </c>
      <c r="K295" s="10" t="s">
        <v>1095</v>
      </c>
      <c r="L295" s="10" t="s">
        <v>60</v>
      </c>
      <c r="M295" s="10" t="s">
        <v>61</v>
      </c>
      <c r="N295" s="10"/>
      <c r="O295" s="10"/>
      <c r="P295" s="10" t="s">
        <v>629</v>
      </c>
      <c r="Q295" s="11" t="s">
        <v>64</v>
      </c>
      <c r="R295" s="11" t="s">
        <v>65</v>
      </c>
      <c r="S295" s="11" t="s">
        <v>1096</v>
      </c>
      <c r="T295" s="11" t="s">
        <v>1117</v>
      </c>
      <c r="U295" s="10" t="n">
        <f aca="false">IF(AND($D295="",$E295="",$F295=""),1,0)</f>
        <v>0</v>
      </c>
      <c r="V295" s="10" t="n">
        <f aca="false">IF(OR($I295="",$I295="—"),1,0)</f>
        <v>0</v>
      </c>
      <c r="W295" s="10" t="n">
        <f aca="false">IF(AND(ISNUMBER($D295),ISNUMBER($E295)),IF($E295&gt;$D295,1,0),0)+IF(AND(ISNUMBER($D295),ISNUMBER($F295)),IF($D295&gt;$F295,1,0),0)+IF(AND(ISNUMBER($E295),ISNUMBER($F295)),IF($E295&gt;$F295,1,0),0)</f>
        <v>0</v>
      </c>
      <c r="X295" s="13" t="s">
        <v>68</v>
      </c>
    </row>
    <row r="296" customFormat="false" ht="15" hidden="false" customHeight="false" outlineLevel="0" collapsed="false">
      <c r="A296" s="10" t="s">
        <v>1121</v>
      </c>
      <c r="B296" s="10" t="s">
        <v>1122</v>
      </c>
      <c r="C296" s="10" t="s">
        <v>1123</v>
      </c>
      <c r="D296" s="12" t="n">
        <v>24</v>
      </c>
      <c r="E296" s="12"/>
      <c r="F296" s="12"/>
      <c r="G296" s="10" t="s">
        <v>1091</v>
      </c>
      <c r="H296" s="10" t="s">
        <v>1092</v>
      </c>
      <c r="I296" s="11" t="s">
        <v>1093</v>
      </c>
      <c r="J296" s="10" t="s">
        <v>1094</v>
      </c>
      <c r="K296" s="10" t="s">
        <v>1095</v>
      </c>
      <c r="L296" s="10" t="s">
        <v>60</v>
      </c>
      <c r="M296" s="10" t="s">
        <v>61</v>
      </c>
      <c r="N296" s="10"/>
      <c r="O296" s="10"/>
      <c r="P296" s="10" t="s">
        <v>629</v>
      </c>
      <c r="Q296" s="11" t="s">
        <v>64</v>
      </c>
      <c r="R296" s="11" t="s">
        <v>65</v>
      </c>
      <c r="S296" s="11" t="s">
        <v>1096</v>
      </c>
      <c r="T296" s="11" t="s">
        <v>1117</v>
      </c>
      <c r="U296" s="10" t="n">
        <f aca="false">IF(AND($D296="",$E296="",$F296=""),1,0)</f>
        <v>0</v>
      </c>
      <c r="V296" s="10" t="n">
        <f aca="false">IF(OR($I296="",$I296="—"),1,0)</f>
        <v>0</v>
      </c>
      <c r="W296" s="10" t="n">
        <f aca="false">IF(AND(ISNUMBER($D296),ISNUMBER($E296)),IF($E296&gt;$D296,1,0),0)+IF(AND(ISNUMBER($D296),ISNUMBER($F296)),IF($D296&gt;$F296,1,0),0)+IF(AND(ISNUMBER($E296),ISNUMBER($F296)),IF($E296&gt;$F296,1,0),0)</f>
        <v>0</v>
      </c>
      <c r="X296" s="13" t="s">
        <v>68</v>
      </c>
    </row>
    <row r="297" customFormat="false" ht="15" hidden="false" customHeight="false" outlineLevel="0" collapsed="false">
      <c r="A297" s="10" t="s">
        <v>1124</v>
      </c>
      <c r="B297" s="10" t="s">
        <v>1125</v>
      </c>
      <c r="C297" s="10" t="s">
        <v>1126</v>
      </c>
      <c r="D297" s="12" t="n">
        <v>8</v>
      </c>
      <c r="E297" s="12"/>
      <c r="F297" s="12"/>
      <c r="G297" s="10" t="s">
        <v>1091</v>
      </c>
      <c r="H297" s="10" t="s">
        <v>1092</v>
      </c>
      <c r="I297" s="11" t="s">
        <v>1093</v>
      </c>
      <c r="J297" s="10" t="s">
        <v>1094</v>
      </c>
      <c r="K297" s="10" t="s">
        <v>1095</v>
      </c>
      <c r="L297" s="10" t="s">
        <v>60</v>
      </c>
      <c r="M297" s="10" t="s">
        <v>61</v>
      </c>
      <c r="N297" s="10"/>
      <c r="O297" s="10"/>
      <c r="P297" s="10" t="s">
        <v>629</v>
      </c>
      <c r="Q297" s="11" t="s">
        <v>64</v>
      </c>
      <c r="R297" s="11" t="s">
        <v>65</v>
      </c>
      <c r="S297" s="11" t="s">
        <v>1096</v>
      </c>
      <c r="T297" s="11" t="s">
        <v>1127</v>
      </c>
      <c r="U297" s="10" t="n">
        <f aca="false">IF(AND($D297="",$E297="",$F297=""),1,0)</f>
        <v>0</v>
      </c>
      <c r="V297" s="10" t="n">
        <f aca="false">IF(OR($I297="",$I297="—"),1,0)</f>
        <v>0</v>
      </c>
      <c r="W297" s="10" t="n">
        <f aca="false">IF(AND(ISNUMBER($D297),ISNUMBER($E297)),IF($E297&gt;$D297,1,0),0)+IF(AND(ISNUMBER($D297),ISNUMBER($F297)),IF($D297&gt;$F297,1,0),0)+IF(AND(ISNUMBER($E297),ISNUMBER($F297)),IF($E297&gt;$F297,1,0),0)</f>
        <v>0</v>
      </c>
      <c r="X297" s="13" t="s">
        <v>68</v>
      </c>
    </row>
    <row r="298" customFormat="false" ht="15" hidden="false" customHeight="false" outlineLevel="0" collapsed="false">
      <c r="A298" s="10" t="s">
        <v>1128</v>
      </c>
      <c r="B298" s="10" t="s">
        <v>1129</v>
      </c>
      <c r="C298" s="10" t="s">
        <v>1130</v>
      </c>
      <c r="D298" s="12" t="n">
        <v>2</v>
      </c>
      <c r="E298" s="12"/>
      <c r="F298" s="12"/>
      <c r="G298" s="10" t="s">
        <v>1091</v>
      </c>
      <c r="H298" s="10" t="s">
        <v>1092</v>
      </c>
      <c r="I298" s="11" t="s">
        <v>1093</v>
      </c>
      <c r="J298" s="10" t="s">
        <v>1094</v>
      </c>
      <c r="K298" s="10" t="s">
        <v>1095</v>
      </c>
      <c r="L298" s="10" t="s">
        <v>60</v>
      </c>
      <c r="M298" s="10" t="s">
        <v>61</v>
      </c>
      <c r="N298" s="10"/>
      <c r="O298" s="10"/>
      <c r="P298" s="10" t="s">
        <v>629</v>
      </c>
      <c r="Q298" s="11" t="s">
        <v>64</v>
      </c>
      <c r="R298" s="11" t="s">
        <v>65</v>
      </c>
      <c r="S298" s="11" t="s">
        <v>1096</v>
      </c>
      <c r="T298" s="11" t="s">
        <v>1127</v>
      </c>
      <c r="U298" s="10" t="n">
        <f aca="false">IF(AND($D298="",$E298="",$F298=""),1,0)</f>
        <v>0</v>
      </c>
      <c r="V298" s="10" t="n">
        <f aca="false">IF(OR($I298="",$I298="—"),1,0)</f>
        <v>0</v>
      </c>
      <c r="W298" s="10" t="n">
        <f aca="false">IF(AND(ISNUMBER($D298),ISNUMBER($E298)),IF($E298&gt;$D298,1,0),0)+IF(AND(ISNUMBER($D298),ISNUMBER($F298)),IF($D298&gt;$F298,1,0),0)+IF(AND(ISNUMBER($E298),ISNUMBER($F298)),IF($E298&gt;$F298,1,0),0)</f>
        <v>0</v>
      </c>
      <c r="X298" s="13" t="s">
        <v>68</v>
      </c>
    </row>
    <row r="299" customFormat="false" ht="15" hidden="false" customHeight="false" outlineLevel="0" collapsed="false">
      <c r="A299" s="10" t="s">
        <v>1131</v>
      </c>
      <c r="B299" s="10" t="s">
        <v>1132</v>
      </c>
      <c r="C299" s="10" t="s">
        <v>1133</v>
      </c>
      <c r="D299" s="12" t="n">
        <v>28</v>
      </c>
      <c r="E299" s="12"/>
      <c r="F299" s="12"/>
      <c r="G299" s="10" t="s">
        <v>1091</v>
      </c>
      <c r="H299" s="10" t="s">
        <v>1092</v>
      </c>
      <c r="I299" s="11" t="s">
        <v>1093</v>
      </c>
      <c r="J299" s="10" t="s">
        <v>1094</v>
      </c>
      <c r="K299" s="10" t="s">
        <v>1095</v>
      </c>
      <c r="L299" s="10" t="s">
        <v>60</v>
      </c>
      <c r="M299" s="10" t="s">
        <v>61</v>
      </c>
      <c r="N299" s="10"/>
      <c r="O299" s="10"/>
      <c r="P299" s="10" t="s">
        <v>629</v>
      </c>
      <c r="Q299" s="11" t="s">
        <v>64</v>
      </c>
      <c r="R299" s="11" t="s">
        <v>65</v>
      </c>
      <c r="S299" s="11" t="s">
        <v>1096</v>
      </c>
      <c r="T299" s="11" t="s">
        <v>1127</v>
      </c>
      <c r="U299" s="10" t="n">
        <f aca="false">IF(AND($D299="",$E299="",$F299=""),1,0)</f>
        <v>0</v>
      </c>
      <c r="V299" s="10" t="n">
        <f aca="false">IF(OR($I299="",$I299="—"),1,0)</f>
        <v>0</v>
      </c>
      <c r="W299" s="10" t="n">
        <f aca="false">IF(AND(ISNUMBER($D299),ISNUMBER($E299)),IF($E299&gt;$D299,1,0),0)+IF(AND(ISNUMBER($D299),ISNUMBER($F299)),IF($D299&gt;$F299,1,0),0)+IF(AND(ISNUMBER($E299),ISNUMBER($F299)),IF($E299&gt;$F299,1,0),0)</f>
        <v>0</v>
      </c>
      <c r="X299" s="13" t="s">
        <v>68</v>
      </c>
    </row>
    <row r="300" customFormat="false" ht="15" hidden="false" customHeight="false" outlineLevel="0" collapsed="false">
      <c r="A300" s="10" t="s">
        <v>1134</v>
      </c>
      <c r="B300" s="10" t="s">
        <v>1135</v>
      </c>
      <c r="C300" s="10" t="s">
        <v>1136</v>
      </c>
      <c r="D300" s="12" t="n">
        <v>5</v>
      </c>
      <c r="E300" s="12"/>
      <c r="F300" s="12"/>
      <c r="G300" s="10" t="s">
        <v>1091</v>
      </c>
      <c r="H300" s="10" t="s">
        <v>1092</v>
      </c>
      <c r="I300" s="11" t="s">
        <v>1093</v>
      </c>
      <c r="J300" s="10" t="s">
        <v>1094</v>
      </c>
      <c r="K300" s="10" t="s">
        <v>1095</v>
      </c>
      <c r="L300" s="10" t="s">
        <v>60</v>
      </c>
      <c r="M300" s="10" t="s">
        <v>61</v>
      </c>
      <c r="N300" s="10"/>
      <c r="O300" s="10"/>
      <c r="P300" s="10" t="s">
        <v>629</v>
      </c>
      <c r="Q300" s="11" t="s">
        <v>64</v>
      </c>
      <c r="R300" s="11" t="s">
        <v>65</v>
      </c>
      <c r="S300" s="11" t="s">
        <v>1096</v>
      </c>
      <c r="T300" s="11" t="s">
        <v>1137</v>
      </c>
      <c r="U300" s="10" t="n">
        <f aca="false">IF(AND($D300="",$E300="",$F300=""),1,0)</f>
        <v>0</v>
      </c>
      <c r="V300" s="10" t="n">
        <f aca="false">IF(OR($I300="",$I300="—"),1,0)</f>
        <v>0</v>
      </c>
      <c r="W300" s="10" t="n">
        <f aca="false">IF(AND(ISNUMBER($D300),ISNUMBER($E300)),IF($E300&gt;$D300,1,0),0)+IF(AND(ISNUMBER($D300),ISNUMBER($F300)),IF($D300&gt;$F300,1,0),0)+IF(AND(ISNUMBER($E300),ISNUMBER($F300)),IF($E300&gt;$F300,1,0),0)</f>
        <v>0</v>
      </c>
      <c r="X300" s="13" t="s">
        <v>68</v>
      </c>
    </row>
    <row r="301" customFormat="false" ht="15" hidden="false" customHeight="false" outlineLevel="0" collapsed="false">
      <c r="A301" s="10" t="s">
        <v>1138</v>
      </c>
      <c r="B301" s="10" t="s">
        <v>1139</v>
      </c>
      <c r="C301" s="10" t="s">
        <v>1140</v>
      </c>
      <c r="D301" s="12" t="n">
        <v>1.2</v>
      </c>
      <c r="E301" s="12"/>
      <c r="F301" s="12"/>
      <c r="G301" s="10" t="s">
        <v>1091</v>
      </c>
      <c r="H301" s="10" t="s">
        <v>1092</v>
      </c>
      <c r="I301" s="11" t="s">
        <v>1093</v>
      </c>
      <c r="J301" s="10" t="s">
        <v>1094</v>
      </c>
      <c r="K301" s="10" t="s">
        <v>1095</v>
      </c>
      <c r="L301" s="10" t="s">
        <v>60</v>
      </c>
      <c r="M301" s="10" t="s">
        <v>61</v>
      </c>
      <c r="N301" s="10"/>
      <c r="O301" s="10"/>
      <c r="P301" s="10" t="s">
        <v>629</v>
      </c>
      <c r="Q301" s="11" t="s">
        <v>64</v>
      </c>
      <c r="R301" s="11" t="s">
        <v>65</v>
      </c>
      <c r="S301" s="11" t="s">
        <v>1096</v>
      </c>
      <c r="T301" s="11" t="s">
        <v>1137</v>
      </c>
      <c r="U301" s="10" t="n">
        <f aca="false">IF(AND($D301="",$E301="",$F301=""),1,0)</f>
        <v>0</v>
      </c>
      <c r="V301" s="10" t="n">
        <f aca="false">IF(OR($I301="",$I301="—"),1,0)</f>
        <v>0</v>
      </c>
      <c r="W301" s="10" t="n">
        <f aca="false">IF(AND(ISNUMBER($D301),ISNUMBER($E301)),IF($E301&gt;$D301,1,0),0)+IF(AND(ISNUMBER($D301),ISNUMBER($F301)),IF($D301&gt;$F301,1,0),0)+IF(AND(ISNUMBER($E301),ISNUMBER($F301)),IF($E301&gt;$F301,1,0),0)</f>
        <v>0</v>
      </c>
      <c r="X301" s="13" t="s">
        <v>68</v>
      </c>
    </row>
    <row r="302" customFormat="false" ht="15" hidden="false" customHeight="false" outlineLevel="0" collapsed="false">
      <c r="A302" s="10" t="s">
        <v>1141</v>
      </c>
      <c r="B302" s="10" t="s">
        <v>1142</v>
      </c>
      <c r="C302" s="10" t="s">
        <v>1143</v>
      </c>
      <c r="D302" s="12" t="n">
        <v>22</v>
      </c>
      <c r="E302" s="12"/>
      <c r="F302" s="12"/>
      <c r="G302" s="10" t="s">
        <v>1091</v>
      </c>
      <c r="H302" s="10" t="s">
        <v>1092</v>
      </c>
      <c r="I302" s="11" t="s">
        <v>1093</v>
      </c>
      <c r="J302" s="10" t="s">
        <v>1094</v>
      </c>
      <c r="K302" s="10" t="s">
        <v>1095</v>
      </c>
      <c r="L302" s="10" t="s">
        <v>60</v>
      </c>
      <c r="M302" s="10" t="s">
        <v>61</v>
      </c>
      <c r="N302" s="10"/>
      <c r="O302" s="10"/>
      <c r="P302" s="10" t="s">
        <v>629</v>
      </c>
      <c r="Q302" s="11" t="s">
        <v>64</v>
      </c>
      <c r="R302" s="11" t="s">
        <v>65</v>
      </c>
      <c r="S302" s="11" t="s">
        <v>1096</v>
      </c>
      <c r="T302" s="11" t="s">
        <v>1137</v>
      </c>
      <c r="U302" s="10" t="n">
        <f aca="false">IF(AND($D302="",$E302="",$F302=""),1,0)</f>
        <v>0</v>
      </c>
      <c r="V302" s="10" t="n">
        <f aca="false">IF(OR($I302="",$I302="—"),1,0)</f>
        <v>0</v>
      </c>
      <c r="W302" s="10" t="n">
        <f aca="false">IF(AND(ISNUMBER($D302),ISNUMBER($E302)),IF($E302&gt;$D302,1,0),0)+IF(AND(ISNUMBER($D302),ISNUMBER($F302)),IF($D302&gt;$F302,1,0),0)+IF(AND(ISNUMBER($E302),ISNUMBER($F302)),IF($E302&gt;$F302,1,0),0)</f>
        <v>0</v>
      </c>
      <c r="X302" s="13" t="s">
        <v>68</v>
      </c>
    </row>
    <row r="303" customFormat="false" ht="15" hidden="false" customHeight="false" outlineLevel="0" collapsed="false">
      <c r="A303" s="10" t="s">
        <v>1144</v>
      </c>
      <c r="B303" s="10" t="s">
        <v>1145</v>
      </c>
      <c r="C303" s="10" t="s">
        <v>1146</v>
      </c>
      <c r="D303" s="12" t="n">
        <v>7</v>
      </c>
      <c r="E303" s="12"/>
      <c r="F303" s="12"/>
      <c r="G303" s="10" t="s">
        <v>1091</v>
      </c>
      <c r="H303" s="10" t="s">
        <v>1092</v>
      </c>
      <c r="I303" s="11" t="s">
        <v>1093</v>
      </c>
      <c r="J303" s="10" t="s">
        <v>1094</v>
      </c>
      <c r="K303" s="10" t="s">
        <v>1095</v>
      </c>
      <c r="L303" s="10" t="s">
        <v>60</v>
      </c>
      <c r="M303" s="10" t="s">
        <v>61</v>
      </c>
      <c r="N303" s="10"/>
      <c r="O303" s="10"/>
      <c r="P303" s="10" t="s">
        <v>629</v>
      </c>
      <c r="Q303" s="11" t="s">
        <v>64</v>
      </c>
      <c r="R303" s="11" t="s">
        <v>65</v>
      </c>
      <c r="S303" s="11" t="s">
        <v>1096</v>
      </c>
      <c r="T303" s="11" t="s">
        <v>1147</v>
      </c>
      <c r="U303" s="10" t="n">
        <f aca="false">IF(AND($D303="",$E303="",$F303=""),1,0)</f>
        <v>0</v>
      </c>
      <c r="V303" s="10" t="n">
        <f aca="false">IF(OR($I303="",$I303="—"),1,0)</f>
        <v>0</v>
      </c>
      <c r="W303" s="10" t="n">
        <f aca="false">IF(AND(ISNUMBER($D303),ISNUMBER($E303)),IF($E303&gt;$D303,1,0),0)+IF(AND(ISNUMBER($D303),ISNUMBER($F303)),IF($D303&gt;$F303,1,0),0)+IF(AND(ISNUMBER($E303),ISNUMBER($F303)),IF($E303&gt;$F303,1,0),0)</f>
        <v>0</v>
      </c>
      <c r="X303" s="13" t="s">
        <v>68</v>
      </c>
    </row>
    <row r="304" customFormat="false" ht="15" hidden="false" customHeight="false" outlineLevel="0" collapsed="false">
      <c r="A304" s="10" t="s">
        <v>1148</v>
      </c>
      <c r="B304" s="10" t="s">
        <v>1149</v>
      </c>
      <c r="C304" s="10" t="s">
        <v>1150</v>
      </c>
      <c r="D304" s="12" t="n">
        <v>1.8</v>
      </c>
      <c r="E304" s="12"/>
      <c r="F304" s="12"/>
      <c r="G304" s="10" t="s">
        <v>1091</v>
      </c>
      <c r="H304" s="10" t="s">
        <v>1092</v>
      </c>
      <c r="I304" s="11" t="s">
        <v>1093</v>
      </c>
      <c r="J304" s="10" t="s">
        <v>1094</v>
      </c>
      <c r="K304" s="10" t="s">
        <v>1095</v>
      </c>
      <c r="L304" s="10" t="s">
        <v>60</v>
      </c>
      <c r="M304" s="10" t="s">
        <v>61</v>
      </c>
      <c r="N304" s="10"/>
      <c r="O304" s="10"/>
      <c r="P304" s="10" t="s">
        <v>629</v>
      </c>
      <c r="Q304" s="11" t="s">
        <v>64</v>
      </c>
      <c r="R304" s="11" t="s">
        <v>65</v>
      </c>
      <c r="S304" s="11" t="s">
        <v>1096</v>
      </c>
      <c r="T304" s="11" t="s">
        <v>1147</v>
      </c>
      <c r="U304" s="10" t="n">
        <f aca="false">IF(AND($D304="",$E304="",$F304=""),1,0)</f>
        <v>0</v>
      </c>
      <c r="V304" s="10" t="n">
        <f aca="false">IF(OR($I304="",$I304="—"),1,0)</f>
        <v>0</v>
      </c>
      <c r="W304" s="10" t="n">
        <f aca="false">IF(AND(ISNUMBER($D304),ISNUMBER($E304)),IF($E304&gt;$D304,1,0),0)+IF(AND(ISNUMBER($D304),ISNUMBER($F304)),IF($D304&gt;$F304,1,0),0)+IF(AND(ISNUMBER($E304),ISNUMBER($F304)),IF($E304&gt;$F304,1,0),0)</f>
        <v>0</v>
      </c>
      <c r="X304" s="13" t="s">
        <v>68</v>
      </c>
    </row>
    <row r="305" customFormat="false" ht="15" hidden="false" customHeight="false" outlineLevel="0" collapsed="false">
      <c r="A305" s="10" t="s">
        <v>1151</v>
      </c>
      <c r="B305" s="10" t="s">
        <v>1152</v>
      </c>
      <c r="C305" s="10" t="s">
        <v>1153</v>
      </c>
      <c r="D305" s="12" t="n">
        <v>26</v>
      </c>
      <c r="E305" s="12"/>
      <c r="F305" s="12"/>
      <c r="G305" s="10" t="s">
        <v>1091</v>
      </c>
      <c r="H305" s="10" t="s">
        <v>1092</v>
      </c>
      <c r="I305" s="11" t="s">
        <v>1093</v>
      </c>
      <c r="J305" s="10" t="s">
        <v>1094</v>
      </c>
      <c r="K305" s="10" t="s">
        <v>1095</v>
      </c>
      <c r="L305" s="10" t="s">
        <v>60</v>
      </c>
      <c r="M305" s="10" t="s">
        <v>61</v>
      </c>
      <c r="N305" s="10"/>
      <c r="O305" s="10"/>
      <c r="P305" s="10" t="s">
        <v>629</v>
      </c>
      <c r="Q305" s="11" t="s">
        <v>64</v>
      </c>
      <c r="R305" s="11" t="s">
        <v>65</v>
      </c>
      <c r="S305" s="11" t="s">
        <v>1096</v>
      </c>
      <c r="T305" s="11" t="s">
        <v>1147</v>
      </c>
      <c r="U305" s="10" t="n">
        <f aca="false">IF(AND($D305="",$E305="",$F305=""),1,0)</f>
        <v>0</v>
      </c>
      <c r="V305" s="10" t="n">
        <f aca="false">IF(OR($I305="",$I305="—"),1,0)</f>
        <v>0</v>
      </c>
      <c r="W305" s="10" t="n">
        <f aca="false">IF(AND(ISNUMBER($D305),ISNUMBER($E305)),IF($E305&gt;$D305,1,0),0)+IF(AND(ISNUMBER($D305),ISNUMBER($F305)),IF($D305&gt;$F305,1,0),0)+IF(AND(ISNUMBER($E305),ISNUMBER($F305)),IF($E305&gt;$F305,1,0),0)</f>
        <v>0</v>
      </c>
      <c r="X305" s="13" t="s">
        <v>68</v>
      </c>
    </row>
    <row r="306" customFormat="false" ht="15" hidden="false" customHeight="false" outlineLevel="0" collapsed="false">
      <c r="A306" s="10" t="s">
        <v>1154</v>
      </c>
      <c r="B306" s="10" t="s">
        <v>1155</v>
      </c>
      <c r="C306" s="10" t="s">
        <v>1156</v>
      </c>
      <c r="D306" s="12" t="n">
        <v>4</v>
      </c>
      <c r="E306" s="12"/>
      <c r="F306" s="12"/>
      <c r="G306" s="10" t="s">
        <v>1091</v>
      </c>
      <c r="H306" s="10" t="s">
        <v>1092</v>
      </c>
      <c r="I306" s="11" t="s">
        <v>1093</v>
      </c>
      <c r="J306" s="10" t="s">
        <v>1094</v>
      </c>
      <c r="K306" s="10" t="s">
        <v>1095</v>
      </c>
      <c r="L306" s="10" t="s">
        <v>60</v>
      </c>
      <c r="M306" s="10" t="s">
        <v>61</v>
      </c>
      <c r="N306" s="10"/>
      <c r="O306" s="10"/>
      <c r="P306" s="10" t="s">
        <v>629</v>
      </c>
      <c r="Q306" s="11" t="s">
        <v>64</v>
      </c>
      <c r="R306" s="11" t="s">
        <v>65</v>
      </c>
      <c r="S306" s="11" t="s">
        <v>1096</v>
      </c>
      <c r="T306" s="11" t="s">
        <v>1157</v>
      </c>
      <c r="U306" s="10" t="n">
        <f aca="false">IF(AND($D306="",$E306="",$F306=""),1,0)</f>
        <v>0</v>
      </c>
      <c r="V306" s="10" t="n">
        <f aca="false">IF(OR($I306="",$I306="—"),1,0)</f>
        <v>0</v>
      </c>
      <c r="W306" s="10" t="n">
        <f aca="false">IF(AND(ISNUMBER($D306),ISNUMBER($E306)),IF($E306&gt;$D306,1,0),0)+IF(AND(ISNUMBER($D306),ISNUMBER($F306)),IF($D306&gt;$F306,1,0),0)+IF(AND(ISNUMBER($E306),ISNUMBER($F306)),IF($E306&gt;$F306,1,0),0)</f>
        <v>0</v>
      </c>
      <c r="X306" s="13" t="s">
        <v>68</v>
      </c>
    </row>
    <row r="307" customFormat="false" ht="15" hidden="false" customHeight="false" outlineLevel="0" collapsed="false">
      <c r="A307" s="10" t="s">
        <v>1158</v>
      </c>
      <c r="B307" s="10" t="s">
        <v>1159</v>
      </c>
      <c r="C307" s="10" t="s">
        <v>1160</v>
      </c>
      <c r="D307" s="12" t="n">
        <v>1</v>
      </c>
      <c r="E307" s="12"/>
      <c r="F307" s="12"/>
      <c r="G307" s="10" t="s">
        <v>1091</v>
      </c>
      <c r="H307" s="10" t="s">
        <v>1092</v>
      </c>
      <c r="I307" s="11" t="s">
        <v>1093</v>
      </c>
      <c r="J307" s="10" t="s">
        <v>1094</v>
      </c>
      <c r="K307" s="10" t="s">
        <v>1095</v>
      </c>
      <c r="L307" s="10" t="s">
        <v>60</v>
      </c>
      <c r="M307" s="10" t="s">
        <v>61</v>
      </c>
      <c r="N307" s="10"/>
      <c r="O307" s="10"/>
      <c r="P307" s="10" t="s">
        <v>629</v>
      </c>
      <c r="Q307" s="11" t="s">
        <v>64</v>
      </c>
      <c r="R307" s="11" t="s">
        <v>65</v>
      </c>
      <c r="S307" s="11" t="s">
        <v>1096</v>
      </c>
      <c r="T307" s="11" t="s">
        <v>1157</v>
      </c>
      <c r="U307" s="10" t="n">
        <f aca="false">IF(AND($D307="",$E307="",$F307=""),1,0)</f>
        <v>0</v>
      </c>
      <c r="V307" s="10" t="n">
        <f aca="false">IF(OR($I307="",$I307="—"),1,0)</f>
        <v>0</v>
      </c>
      <c r="W307" s="10" t="n">
        <f aca="false">IF(AND(ISNUMBER($D307),ISNUMBER($E307)),IF($E307&gt;$D307,1,0),0)+IF(AND(ISNUMBER($D307),ISNUMBER($F307)),IF($D307&gt;$F307,1,0),0)+IF(AND(ISNUMBER($E307),ISNUMBER($F307)),IF($E307&gt;$F307,1,0),0)</f>
        <v>0</v>
      </c>
      <c r="X307" s="13" t="s">
        <v>68</v>
      </c>
    </row>
    <row r="308" customFormat="false" ht="15" hidden="false" customHeight="false" outlineLevel="0" collapsed="false">
      <c r="A308" s="10" t="s">
        <v>1161</v>
      </c>
      <c r="B308" s="10" t="s">
        <v>1162</v>
      </c>
      <c r="C308" s="10" t="s">
        <v>1163</v>
      </c>
      <c r="D308" s="12" t="n">
        <v>18</v>
      </c>
      <c r="E308" s="12"/>
      <c r="F308" s="12"/>
      <c r="G308" s="10" t="s">
        <v>1091</v>
      </c>
      <c r="H308" s="10" t="s">
        <v>1092</v>
      </c>
      <c r="I308" s="11" t="s">
        <v>1093</v>
      </c>
      <c r="J308" s="10" t="s">
        <v>1094</v>
      </c>
      <c r="K308" s="10" t="s">
        <v>1095</v>
      </c>
      <c r="L308" s="10" t="s">
        <v>60</v>
      </c>
      <c r="M308" s="10" t="s">
        <v>61</v>
      </c>
      <c r="N308" s="10"/>
      <c r="O308" s="10"/>
      <c r="P308" s="10" t="s">
        <v>629</v>
      </c>
      <c r="Q308" s="11" t="s">
        <v>64</v>
      </c>
      <c r="R308" s="11" t="s">
        <v>65</v>
      </c>
      <c r="S308" s="11" t="s">
        <v>1096</v>
      </c>
      <c r="T308" s="11" t="s">
        <v>1157</v>
      </c>
      <c r="U308" s="10" t="n">
        <f aca="false">IF(AND($D308="",$E308="",$F308=""),1,0)</f>
        <v>0</v>
      </c>
      <c r="V308" s="10" t="n">
        <f aca="false">IF(OR($I308="",$I308="—"),1,0)</f>
        <v>0</v>
      </c>
      <c r="W308" s="10" t="n">
        <f aca="false">IF(AND(ISNUMBER($D308),ISNUMBER($E308)),IF($E308&gt;$D308,1,0),0)+IF(AND(ISNUMBER($D308),ISNUMBER($F308)),IF($D308&gt;$F308,1,0),0)+IF(AND(ISNUMBER($E308),ISNUMBER($F308)),IF($E308&gt;$F308,1,0),0)</f>
        <v>0</v>
      </c>
      <c r="X308" s="13" t="s">
        <v>68</v>
      </c>
    </row>
    <row r="309" customFormat="false" ht="15" hidden="false" customHeight="false" outlineLevel="0" collapsed="false">
      <c r="A309" s="10" t="s">
        <v>1164</v>
      </c>
      <c r="B309" s="10" t="s">
        <v>1165</v>
      </c>
      <c r="C309" s="10" t="s">
        <v>1166</v>
      </c>
      <c r="D309" s="12" t="n">
        <v>6</v>
      </c>
      <c r="E309" s="12"/>
      <c r="F309" s="12"/>
      <c r="G309" s="10" t="s">
        <v>1091</v>
      </c>
      <c r="H309" s="10" t="s">
        <v>1092</v>
      </c>
      <c r="I309" s="11" t="s">
        <v>1093</v>
      </c>
      <c r="J309" s="10" t="s">
        <v>1094</v>
      </c>
      <c r="K309" s="10" t="s">
        <v>1095</v>
      </c>
      <c r="L309" s="10" t="s">
        <v>60</v>
      </c>
      <c r="M309" s="10" t="s">
        <v>61</v>
      </c>
      <c r="N309" s="10"/>
      <c r="O309" s="10"/>
      <c r="P309" s="10" t="s">
        <v>629</v>
      </c>
      <c r="Q309" s="11" t="s">
        <v>64</v>
      </c>
      <c r="R309" s="11" t="s">
        <v>65</v>
      </c>
      <c r="S309" s="11" t="s">
        <v>1096</v>
      </c>
      <c r="T309" s="11" t="s">
        <v>1167</v>
      </c>
      <c r="U309" s="10" t="n">
        <f aca="false">IF(AND($D309="",$E309="",$F309=""),1,0)</f>
        <v>0</v>
      </c>
      <c r="V309" s="10" t="n">
        <f aca="false">IF(OR($I309="",$I309="—"),1,0)</f>
        <v>0</v>
      </c>
      <c r="W309" s="10" t="n">
        <f aca="false">IF(AND(ISNUMBER($D309),ISNUMBER($E309)),IF($E309&gt;$D309,1,0),0)+IF(AND(ISNUMBER($D309),ISNUMBER($F309)),IF($D309&gt;$F309,1,0),0)+IF(AND(ISNUMBER($E309),ISNUMBER($F309)),IF($E309&gt;$F309,1,0),0)</f>
        <v>0</v>
      </c>
      <c r="X309" s="13" t="s">
        <v>68</v>
      </c>
    </row>
    <row r="310" customFormat="false" ht="15" hidden="false" customHeight="false" outlineLevel="0" collapsed="false">
      <c r="A310" s="10" t="s">
        <v>1168</v>
      </c>
      <c r="B310" s="10" t="s">
        <v>1169</v>
      </c>
      <c r="C310" s="10" t="s">
        <v>1170</v>
      </c>
      <c r="D310" s="12" t="n">
        <v>1.5</v>
      </c>
      <c r="E310" s="12"/>
      <c r="F310" s="12"/>
      <c r="G310" s="10" t="s">
        <v>1091</v>
      </c>
      <c r="H310" s="10" t="s">
        <v>1092</v>
      </c>
      <c r="I310" s="11" t="s">
        <v>1093</v>
      </c>
      <c r="J310" s="10" t="s">
        <v>1094</v>
      </c>
      <c r="K310" s="10" t="s">
        <v>1095</v>
      </c>
      <c r="L310" s="10" t="s">
        <v>60</v>
      </c>
      <c r="M310" s="10" t="s">
        <v>61</v>
      </c>
      <c r="N310" s="10"/>
      <c r="O310" s="10"/>
      <c r="P310" s="10" t="s">
        <v>629</v>
      </c>
      <c r="Q310" s="11" t="s">
        <v>64</v>
      </c>
      <c r="R310" s="11" t="s">
        <v>65</v>
      </c>
      <c r="S310" s="11" t="s">
        <v>1096</v>
      </c>
      <c r="T310" s="11" t="s">
        <v>1167</v>
      </c>
      <c r="U310" s="10" t="n">
        <f aca="false">IF(AND($D310="",$E310="",$F310=""),1,0)</f>
        <v>0</v>
      </c>
      <c r="V310" s="10" t="n">
        <f aca="false">IF(OR($I310="",$I310="—"),1,0)</f>
        <v>0</v>
      </c>
      <c r="W310" s="10" t="n">
        <f aca="false">IF(AND(ISNUMBER($D310),ISNUMBER($E310)),IF($E310&gt;$D310,1,0),0)+IF(AND(ISNUMBER($D310),ISNUMBER($F310)),IF($D310&gt;$F310,1,0),0)+IF(AND(ISNUMBER($E310),ISNUMBER($F310)),IF($E310&gt;$F310,1,0),0)</f>
        <v>0</v>
      </c>
      <c r="X310" s="13" t="s">
        <v>68</v>
      </c>
    </row>
    <row r="311" customFormat="false" ht="15" hidden="false" customHeight="false" outlineLevel="0" collapsed="false">
      <c r="A311" s="10" t="s">
        <v>1171</v>
      </c>
      <c r="B311" s="10" t="s">
        <v>1172</v>
      </c>
      <c r="C311" s="10" t="s">
        <v>1173</v>
      </c>
      <c r="D311" s="12" t="n">
        <v>22</v>
      </c>
      <c r="E311" s="12"/>
      <c r="F311" s="12"/>
      <c r="G311" s="10" t="s">
        <v>1091</v>
      </c>
      <c r="H311" s="10" t="s">
        <v>1092</v>
      </c>
      <c r="I311" s="11" t="s">
        <v>1093</v>
      </c>
      <c r="J311" s="10" t="s">
        <v>1094</v>
      </c>
      <c r="K311" s="10" t="s">
        <v>1095</v>
      </c>
      <c r="L311" s="10" t="s">
        <v>60</v>
      </c>
      <c r="M311" s="10" t="s">
        <v>61</v>
      </c>
      <c r="N311" s="10"/>
      <c r="O311" s="10"/>
      <c r="P311" s="10" t="s">
        <v>629</v>
      </c>
      <c r="Q311" s="11" t="s">
        <v>64</v>
      </c>
      <c r="R311" s="11" t="s">
        <v>65</v>
      </c>
      <c r="S311" s="11" t="s">
        <v>1096</v>
      </c>
      <c r="T311" s="11" t="s">
        <v>1167</v>
      </c>
      <c r="U311" s="10" t="n">
        <f aca="false">IF(AND($D311="",$E311="",$F311=""),1,0)</f>
        <v>0</v>
      </c>
      <c r="V311" s="10" t="n">
        <f aca="false">IF(OR($I311="",$I311="—"),1,0)</f>
        <v>0</v>
      </c>
      <c r="W311" s="10" t="n">
        <f aca="false">IF(AND(ISNUMBER($D311),ISNUMBER($E311)),IF($E311&gt;$D311,1,0),0)+IF(AND(ISNUMBER($D311),ISNUMBER($F311)),IF($D311&gt;$F311,1,0),0)+IF(AND(ISNUMBER($E311),ISNUMBER($F311)),IF($E311&gt;$F311,1,0),0)</f>
        <v>0</v>
      </c>
      <c r="X311" s="13" t="s">
        <v>68</v>
      </c>
    </row>
    <row r="312" customFormat="false" ht="15" hidden="false" customHeight="false" outlineLevel="0" collapsed="false">
      <c r="A312" s="10" t="s">
        <v>1174</v>
      </c>
      <c r="B312" s="10" t="s">
        <v>1175</v>
      </c>
      <c r="C312" s="10" t="s">
        <v>1176</v>
      </c>
      <c r="D312" s="12" t="n">
        <v>2</v>
      </c>
      <c r="E312" s="12"/>
      <c r="F312" s="12"/>
      <c r="G312" s="10" t="s">
        <v>1091</v>
      </c>
      <c r="H312" s="10" t="s">
        <v>1092</v>
      </c>
      <c r="I312" s="11" t="s">
        <v>1093</v>
      </c>
      <c r="J312" s="10" t="s">
        <v>1094</v>
      </c>
      <c r="K312" s="10" t="s">
        <v>1095</v>
      </c>
      <c r="L312" s="10" t="s">
        <v>60</v>
      </c>
      <c r="M312" s="10" t="s">
        <v>61</v>
      </c>
      <c r="N312" s="10"/>
      <c r="O312" s="10"/>
      <c r="P312" s="10" t="s">
        <v>629</v>
      </c>
      <c r="Q312" s="11" t="s">
        <v>64</v>
      </c>
      <c r="R312" s="11" t="s">
        <v>65</v>
      </c>
      <c r="S312" s="11" t="s">
        <v>1096</v>
      </c>
      <c r="T312" s="11" t="s">
        <v>1177</v>
      </c>
      <c r="U312" s="10" t="n">
        <f aca="false">IF(AND($D312="",$E312="",$F312=""),1,0)</f>
        <v>0</v>
      </c>
      <c r="V312" s="10" t="n">
        <f aca="false">IF(OR($I312="",$I312="—"),1,0)</f>
        <v>0</v>
      </c>
      <c r="W312" s="10" t="n">
        <f aca="false">IF(AND(ISNUMBER($D312),ISNUMBER($E312)),IF($E312&gt;$D312,1,0),0)+IF(AND(ISNUMBER($D312),ISNUMBER($F312)),IF($D312&gt;$F312,1,0),0)+IF(AND(ISNUMBER($E312),ISNUMBER($F312)),IF($E312&gt;$F312,1,0),0)</f>
        <v>0</v>
      </c>
      <c r="X312" s="13" t="s">
        <v>68</v>
      </c>
    </row>
    <row r="313" customFormat="false" ht="15" hidden="false" customHeight="false" outlineLevel="0" collapsed="false">
      <c r="A313" s="10" t="s">
        <v>1178</v>
      </c>
      <c r="B313" s="10" t="s">
        <v>1179</v>
      </c>
      <c r="C313" s="10" t="s">
        <v>1180</v>
      </c>
      <c r="D313" s="12" t="n">
        <v>0.4</v>
      </c>
      <c r="E313" s="12"/>
      <c r="F313" s="12"/>
      <c r="G313" s="10" t="s">
        <v>1091</v>
      </c>
      <c r="H313" s="10" t="s">
        <v>1092</v>
      </c>
      <c r="I313" s="11" t="s">
        <v>1093</v>
      </c>
      <c r="J313" s="10" t="s">
        <v>1094</v>
      </c>
      <c r="K313" s="10" t="s">
        <v>1095</v>
      </c>
      <c r="L313" s="10" t="s">
        <v>60</v>
      </c>
      <c r="M313" s="10" t="s">
        <v>61</v>
      </c>
      <c r="N313" s="10"/>
      <c r="O313" s="10"/>
      <c r="P313" s="10" t="s">
        <v>629</v>
      </c>
      <c r="Q313" s="11" t="s">
        <v>64</v>
      </c>
      <c r="R313" s="11" t="s">
        <v>65</v>
      </c>
      <c r="S313" s="11" t="s">
        <v>1096</v>
      </c>
      <c r="T313" s="11" t="s">
        <v>1177</v>
      </c>
      <c r="U313" s="10" t="n">
        <f aca="false">IF(AND($D313="",$E313="",$F313=""),1,0)</f>
        <v>0</v>
      </c>
      <c r="V313" s="10" t="n">
        <f aca="false">IF(OR($I313="",$I313="—"),1,0)</f>
        <v>0</v>
      </c>
      <c r="W313" s="10" t="n">
        <f aca="false">IF(AND(ISNUMBER($D313),ISNUMBER($E313)),IF($E313&gt;$D313,1,0),0)+IF(AND(ISNUMBER($D313),ISNUMBER($F313)),IF($D313&gt;$F313,1,0),0)+IF(AND(ISNUMBER($E313),ISNUMBER($F313)),IF($E313&gt;$F313,1,0),0)</f>
        <v>0</v>
      </c>
      <c r="X313" s="13" t="s">
        <v>68</v>
      </c>
    </row>
    <row r="314" customFormat="false" ht="15" hidden="false" customHeight="false" outlineLevel="0" collapsed="false">
      <c r="A314" s="10" t="s">
        <v>1181</v>
      </c>
      <c r="B314" s="10" t="s">
        <v>1182</v>
      </c>
      <c r="C314" s="10" t="s">
        <v>1183</v>
      </c>
      <c r="D314" s="12" t="n">
        <v>8</v>
      </c>
      <c r="E314" s="12"/>
      <c r="F314" s="12"/>
      <c r="G314" s="10" t="s">
        <v>1091</v>
      </c>
      <c r="H314" s="10" t="s">
        <v>1092</v>
      </c>
      <c r="I314" s="11" t="s">
        <v>1093</v>
      </c>
      <c r="J314" s="10" t="s">
        <v>1094</v>
      </c>
      <c r="K314" s="10" t="s">
        <v>1095</v>
      </c>
      <c r="L314" s="10" t="s">
        <v>60</v>
      </c>
      <c r="M314" s="10" t="s">
        <v>61</v>
      </c>
      <c r="N314" s="10"/>
      <c r="O314" s="10"/>
      <c r="P314" s="10" t="s">
        <v>629</v>
      </c>
      <c r="Q314" s="11" t="s">
        <v>64</v>
      </c>
      <c r="R314" s="11" t="s">
        <v>65</v>
      </c>
      <c r="S314" s="11" t="s">
        <v>1096</v>
      </c>
      <c r="T314" s="11" t="s">
        <v>1177</v>
      </c>
      <c r="U314" s="10" t="n">
        <f aca="false">IF(AND($D314="",$E314="",$F314=""),1,0)</f>
        <v>0</v>
      </c>
      <c r="V314" s="10" t="n">
        <f aca="false">IF(OR($I314="",$I314="—"),1,0)</f>
        <v>0</v>
      </c>
      <c r="W314" s="10" t="n">
        <f aca="false">IF(AND(ISNUMBER($D314),ISNUMBER($E314)),IF($E314&gt;$D314,1,0),0)+IF(AND(ISNUMBER($D314),ISNUMBER($F314)),IF($D314&gt;$F314,1,0),0)+IF(AND(ISNUMBER($E314),ISNUMBER($F314)),IF($E314&gt;$F314,1,0),0)</f>
        <v>0</v>
      </c>
      <c r="X314" s="13" t="s">
        <v>68</v>
      </c>
    </row>
    <row r="315" customFormat="false" ht="15" hidden="false" customHeight="false" outlineLevel="0" collapsed="false">
      <c r="A315" s="10" t="s">
        <v>1184</v>
      </c>
      <c r="B315" s="10" t="s">
        <v>1185</v>
      </c>
      <c r="C315" s="10" t="s">
        <v>1186</v>
      </c>
      <c r="D315" s="12" t="n">
        <v>3</v>
      </c>
      <c r="E315" s="12"/>
      <c r="F315" s="12"/>
      <c r="G315" s="10" t="s">
        <v>1091</v>
      </c>
      <c r="H315" s="10" t="s">
        <v>1092</v>
      </c>
      <c r="I315" s="11" t="s">
        <v>1093</v>
      </c>
      <c r="J315" s="10" t="s">
        <v>1094</v>
      </c>
      <c r="K315" s="10" t="s">
        <v>1095</v>
      </c>
      <c r="L315" s="10" t="s">
        <v>60</v>
      </c>
      <c r="M315" s="10" t="s">
        <v>61</v>
      </c>
      <c r="N315" s="10"/>
      <c r="O315" s="10"/>
      <c r="P315" s="10" t="s">
        <v>629</v>
      </c>
      <c r="Q315" s="11" t="s">
        <v>64</v>
      </c>
      <c r="R315" s="11" t="s">
        <v>65</v>
      </c>
      <c r="S315" s="11" t="s">
        <v>1096</v>
      </c>
      <c r="T315" s="11" t="s">
        <v>1187</v>
      </c>
      <c r="U315" s="10" t="n">
        <f aca="false">IF(AND($D315="",$E315="",$F315=""),1,0)</f>
        <v>0</v>
      </c>
      <c r="V315" s="10" t="n">
        <f aca="false">IF(OR($I315="",$I315="—"),1,0)</f>
        <v>0</v>
      </c>
      <c r="W315" s="10" t="n">
        <f aca="false">IF(AND(ISNUMBER($D315),ISNUMBER($E315)),IF($E315&gt;$D315,1,0),0)+IF(AND(ISNUMBER($D315),ISNUMBER($F315)),IF($D315&gt;$F315,1,0),0)+IF(AND(ISNUMBER($E315),ISNUMBER($F315)),IF($E315&gt;$F315,1,0),0)</f>
        <v>0</v>
      </c>
      <c r="X315" s="13" t="s">
        <v>68</v>
      </c>
    </row>
    <row r="316" customFormat="false" ht="15" hidden="false" customHeight="false" outlineLevel="0" collapsed="false">
      <c r="A316" s="10" t="s">
        <v>1188</v>
      </c>
      <c r="B316" s="10" t="s">
        <v>1189</v>
      </c>
      <c r="C316" s="10" t="s">
        <v>1190</v>
      </c>
      <c r="D316" s="12" t="n">
        <v>0.6</v>
      </c>
      <c r="E316" s="12"/>
      <c r="F316" s="12"/>
      <c r="G316" s="10" t="s">
        <v>1091</v>
      </c>
      <c r="H316" s="10" t="s">
        <v>1092</v>
      </c>
      <c r="I316" s="11" t="s">
        <v>1093</v>
      </c>
      <c r="J316" s="10" t="s">
        <v>1094</v>
      </c>
      <c r="K316" s="10" t="s">
        <v>1095</v>
      </c>
      <c r="L316" s="10" t="s">
        <v>60</v>
      </c>
      <c r="M316" s="10" t="s">
        <v>61</v>
      </c>
      <c r="N316" s="10"/>
      <c r="O316" s="10"/>
      <c r="P316" s="10" t="s">
        <v>629</v>
      </c>
      <c r="Q316" s="11" t="s">
        <v>64</v>
      </c>
      <c r="R316" s="11" t="s">
        <v>65</v>
      </c>
      <c r="S316" s="11" t="s">
        <v>1096</v>
      </c>
      <c r="T316" s="11" t="s">
        <v>1187</v>
      </c>
      <c r="U316" s="10" t="n">
        <f aca="false">IF(AND($D316="",$E316="",$F316=""),1,0)</f>
        <v>0</v>
      </c>
      <c r="V316" s="10" t="n">
        <f aca="false">IF(OR($I316="",$I316="—"),1,0)</f>
        <v>0</v>
      </c>
      <c r="W316" s="10" t="n">
        <f aca="false">IF(AND(ISNUMBER($D316),ISNUMBER($E316)),IF($E316&gt;$D316,1,0),0)+IF(AND(ISNUMBER($D316),ISNUMBER($F316)),IF($D316&gt;$F316,1,0),0)+IF(AND(ISNUMBER($E316),ISNUMBER($F316)),IF($E316&gt;$F316,1,0),0)</f>
        <v>0</v>
      </c>
      <c r="X316" s="13" t="s">
        <v>68</v>
      </c>
    </row>
    <row r="317" customFormat="false" ht="15" hidden="false" customHeight="false" outlineLevel="0" collapsed="false">
      <c r="A317" s="10" t="s">
        <v>1191</v>
      </c>
      <c r="B317" s="10" t="s">
        <v>1192</v>
      </c>
      <c r="C317" s="10" t="s">
        <v>1193</v>
      </c>
      <c r="D317" s="12" t="n">
        <v>14</v>
      </c>
      <c r="E317" s="12"/>
      <c r="F317" s="12"/>
      <c r="G317" s="10" t="s">
        <v>1091</v>
      </c>
      <c r="H317" s="10" t="s">
        <v>1092</v>
      </c>
      <c r="I317" s="11" t="s">
        <v>1093</v>
      </c>
      <c r="J317" s="10" t="s">
        <v>1094</v>
      </c>
      <c r="K317" s="10" t="s">
        <v>1095</v>
      </c>
      <c r="L317" s="10" t="s">
        <v>60</v>
      </c>
      <c r="M317" s="10" t="s">
        <v>61</v>
      </c>
      <c r="N317" s="10"/>
      <c r="O317" s="10"/>
      <c r="P317" s="10" t="s">
        <v>629</v>
      </c>
      <c r="Q317" s="11" t="s">
        <v>64</v>
      </c>
      <c r="R317" s="11" t="s">
        <v>65</v>
      </c>
      <c r="S317" s="11" t="s">
        <v>1096</v>
      </c>
      <c r="T317" s="11" t="s">
        <v>1187</v>
      </c>
      <c r="U317" s="10" t="n">
        <f aca="false">IF(AND($D317="",$E317="",$F317=""),1,0)</f>
        <v>0</v>
      </c>
      <c r="V317" s="10" t="n">
        <f aca="false">IF(OR($I317="",$I317="—"),1,0)</f>
        <v>0</v>
      </c>
      <c r="W317" s="10" t="n">
        <f aca="false">IF(AND(ISNUMBER($D317),ISNUMBER($E317)),IF($E317&gt;$D317,1,0),0)+IF(AND(ISNUMBER($D317),ISNUMBER($F317)),IF($D317&gt;$F317,1,0),0)+IF(AND(ISNUMBER($E317),ISNUMBER($F317)),IF($E317&gt;$F317,1,0),0)</f>
        <v>0</v>
      </c>
      <c r="X317" s="13" t="s">
        <v>68</v>
      </c>
    </row>
    <row r="318" customFormat="false" ht="15" hidden="false" customHeight="false" outlineLevel="0" collapsed="false">
      <c r="A318" s="10" t="s">
        <v>1194</v>
      </c>
      <c r="B318" s="10" t="s">
        <v>1195</v>
      </c>
      <c r="C318" s="10" t="s">
        <v>1196</v>
      </c>
      <c r="D318" s="12" t="n">
        <v>4</v>
      </c>
      <c r="E318" s="12"/>
      <c r="F318" s="12"/>
      <c r="G318" s="10" t="s">
        <v>1091</v>
      </c>
      <c r="H318" s="10" t="s">
        <v>1092</v>
      </c>
      <c r="I318" s="11" t="s">
        <v>1093</v>
      </c>
      <c r="J318" s="10" t="s">
        <v>1094</v>
      </c>
      <c r="K318" s="10" t="s">
        <v>1095</v>
      </c>
      <c r="L318" s="10" t="s">
        <v>60</v>
      </c>
      <c r="M318" s="10" t="s">
        <v>61</v>
      </c>
      <c r="N318" s="10"/>
      <c r="O318" s="10"/>
      <c r="P318" s="10" t="s">
        <v>629</v>
      </c>
      <c r="Q318" s="11" t="s">
        <v>64</v>
      </c>
      <c r="R318" s="11" t="s">
        <v>65</v>
      </c>
      <c r="S318" s="11" t="s">
        <v>1096</v>
      </c>
      <c r="T318" s="11" t="s">
        <v>1197</v>
      </c>
      <c r="U318" s="10" t="n">
        <f aca="false">IF(AND($D318="",$E318="",$F318=""),1,0)</f>
        <v>0</v>
      </c>
      <c r="V318" s="10" t="n">
        <f aca="false">IF(OR($I318="",$I318="—"),1,0)</f>
        <v>0</v>
      </c>
      <c r="W318" s="10" t="n">
        <f aca="false">IF(AND(ISNUMBER($D318),ISNUMBER($E318)),IF($E318&gt;$D318,1,0),0)+IF(AND(ISNUMBER($D318),ISNUMBER($F318)),IF($D318&gt;$F318,1,0),0)+IF(AND(ISNUMBER($E318),ISNUMBER($F318)),IF($E318&gt;$F318,1,0),0)</f>
        <v>0</v>
      </c>
      <c r="X318" s="13" t="s">
        <v>68</v>
      </c>
    </row>
    <row r="319" customFormat="false" ht="15" hidden="false" customHeight="false" outlineLevel="0" collapsed="false">
      <c r="A319" s="10" t="s">
        <v>1198</v>
      </c>
      <c r="B319" s="10" t="s">
        <v>1199</v>
      </c>
      <c r="C319" s="10" t="s">
        <v>1200</v>
      </c>
      <c r="D319" s="12" t="n">
        <v>0.8</v>
      </c>
      <c r="E319" s="12"/>
      <c r="F319" s="12"/>
      <c r="G319" s="10" t="s">
        <v>1091</v>
      </c>
      <c r="H319" s="10" t="s">
        <v>1092</v>
      </c>
      <c r="I319" s="11" t="s">
        <v>1093</v>
      </c>
      <c r="J319" s="10" t="s">
        <v>1094</v>
      </c>
      <c r="K319" s="10" t="s">
        <v>1095</v>
      </c>
      <c r="L319" s="10" t="s">
        <v>60</v>
      </c>
      <c r="M319" s="10" t="s">
        <v>61</v>
      </c>
      <c r="N319" s="10"/>
      <c r="O319" s="10"/>
      <c r="P319" s="10" t="s">
        <v>629</v>
      </c>
      <c r="Q319" s="11" t="s">
        <v>64</v>
      </c>
      <c r="R319" s="11" t="s">
        <v>65</v>
      </c>
      <c r="S319" s="11" t="s">
        <v>1096</v>
      </c>
      <c r="T319" s="11" t="s">
        <v>1197</v>
      </c>
      <c r="U319" s="10" t="n">
        <f aca="false">IF(AND($D319="",$E319="",$F319=""),1,0)</f>
        <v>0</v>
      </c>
      <c r="V319" s="10" t="n">
        <f aca="false">IF(OR($I319="",$I319="—"),1,0)</f>
        <v>0</v>
      </c>
      <c r="W319" s="10" t="n">
        <f aca="false">IF(AND(ISNUMBER($D319),ISNUMBER($E319)),IF($E319&gt;$D319,1,0),0)+IF(AND(ISNUMBER($D319),ISNUMBER($F319)),IF($D319&gt;$F319,1,0),0)+IF(AND(ISNUMBER($E319),ISNUMBER($F319)),IF($E319&gt;$F319,1,0),0)</f>
        <v>0</v>
      </c>
      <c r="X319" s="13" t="s">
        <v>68</v>
      </c>
    </row>
    <row r="320" customFormat="false" ht="15" hidden="false" customHeight="false" outlineLevel="0" collapsed="false">
      <c r="A320" s="10" t="s">
        <v>1201</v>
      </c>
      <c r="B320" s="10" t="s">
        <v>1202</v>
      </c>
      <c r="C320" s="10" t="s">
        <v>1203</v>
      </c>
      <c r="D320" s="12" t="n">
        <v>16</v>
      </c>
      <c r="E320" s="12"/>
      <c r="F320" s="12"/>
      <c r="G320" s="10" t="s">
        <v>1091</v>
      </c>
      <c r="H320" s="10" t="s">
        <v>1092</v>
      </c>
      <c r="I320" s="11" t="s">
        <v>1093</v>
      </c>
      <c r="J320" s="10" t="s">
        <v>1094</v>
      </c>
      <c r="K320" s="10" t="s">
        <v>1095</v>
      </c>
      <c r="L320" s="10" t="s">
        <v>60</v>
      </c>
      <c r="M320" s="10" t="s">
        <v>61</v>
      </c>
      <c r="N320" s="10"/>
      <c r="O320" s="10"/>
      <c r="P320" s="10" t="s">
        <v>629</v>
      </c>
      <c r="Q320" s="11" t="s">
        <v>64</v>
      </c>
      <c r="R320" s="11" t="s">
        <v>65</v>
      </c>
      <c r="S320" s="11" t="s">
        <v>1096</v>
      </c>
      <c r="T320" s="11" t="s">
        <v>1197</v>
      </c>
      <c r="U320" s="10" t="n">
        <f aca="false">IF(AND($D320="",$E320="",$F320=""),1,0)</f>
        <v>0</v>
      </c>
      <c r="V320" s="10" t="n">
        <f aca="false">IF(OR($I320="",$I320="—"),1,0)</f>
        <v>0</v>
      </c>
      <c r="W320" s="10" t="n">
        <f aca="false">IF(AND(ISNUMBER($D320),ISNUMBER($E320)),IF($E320&gt;$D320,1,0),0)+IF(AND(ISNUMBER($D320),ISNUMBER($F320)),IF($D320&gt;$F320,1,0),0)+IF(AND(ISNUMBER($E320),ISNUMBER($F320)),IF($E320&gt;$F320,1,0),0)</f>
        <v>0</v>
      </c>
      <c r="X320" s="13" t="s">
        <v>68</v>
      </c>
    </row>
    <row r="321" customFormat="false" ht="15" hidden="false" customHeight="false" outlineLevel="0" collapsed="false">
      <c r="A321" s="10" t="s">
        <v>1204</v>
      </c>
      <c r="B321" s="10" t="s">
        <v>1205</v>
      </c>
      <c r="C321" s="10" t="s">
        <v>1206</v>
      </c>
      <c r="D321" s="12" t="n">
        <v>0.8</v>
      </c>
      <c r="E321" s="12"/>
      <c r="F321" s="12"/>
      <c r="G321" s="10" t="s">
        <v>1091</v>
      </c>
      <c r="H321" s="10" t="s">
        <v>1092</v>
      </c>
      <c r="I321" s="11" t="s">
        <v>1093</v>
      </c>
      <c r="J321" s="10" t="s">
        <v>1094</v>
      </c>
      <c r="K321" s="10" t="s">
        <v>1095</v>
      </c>
      <c r="L321" s="10" t="s">
        <v>60</v>
      </c>
      <c r="M321" s="10" t="s">
        <v>61</v>
      </c>
      <c r="N321" s="10"/>
      <c r="O321" s="10"/>
      <c r="P321" s="10" t="s">
        <v>629</v>
      </c>
      <c r="Q321" s="11" t="s">
        <v>64</v>
      </c>
      <c r="R321" s="11" t="s">
        <v>65</v>
      </c>
      <c r="S321" s="11" t="s">
        <v>1096</v>
      </c>
      <c r="T321" s="11" t="s">
        <v>1207</v>
      </c>
      <c r="U321" s="10" t="n">
        <f aca="false">IF(AND($D321="",$E321="",$F321=""),1,0)</f>
        <v>0</v>
      </c>
      <c r="V321" s="10" t="n">
        <f aca="false">IF(OR($I321="",$I321="—"),1,0)</f>
        <v>0</v>
      </c>
      <c r="W321" s="10" t="n">
        <f aca="false">IF(AND(ISNUMBER($D321),ISNUMBER($E321)),IF($E321&gt;$D321,1,0),0)+IF(AND(ISNUMBER($D321),ISNUMBER($F321)),IF($D321&gt;$F321,1,0),0)+IF(AND(ISNUMBER($E321),ISNUMBER($F321)),IF($E321&gt;$F321,1,0),0)</f>
        <v>0</v>
      </c>
      <c r="X321" s="13" t="s">
        <v>68</v>
      </c>
    </row>
    <row r="322" customFormat="false" ht="15" hidden="false" customHeight="false" outlineLevel="0" collapsed="false">
      <c r="A322" s="10" t="s">
        <v>1208</v>
      </c>
      <c r="B322" s="10" t="s">
        <v>1209</v>
      </c>
      <c r="C322" s="10" t="s">
        <v>1210</v>
      </c>
      <c r="D322" s="12" t="n">
        <v>0.16</v>
      </c>
      <c r="E322" s="12"/>
      <c r="F322" s="12"/>
      <c r="G322" s="10" t="s">
        <v>1091</v>
      </c>
      <c r="H322" s="10" t="s">
        <v>1092</v>
      </c>
      <c r="I322" s="11" t="s">
        <v>1093</v>
      </c>
      <c r="J322" s="10" t="s">
        <v>1094</v>
      </c>
      <c r="K322" s="10" t="s">
        <v>1095</v>
      </c>
      <c r="L322" s="10" t="s">
        <v>60</v>
      </c>
      <c r="M322" s="10" t="s">
        <v>61</v>
      </c>
      <c r="N322" s="10"/>
      <c r="O322" s="10"/>
      <c r="P322" s="10" t="s">
        <v>629</v>
      </c>
      <c r="Q322" s="11" t="s">
        <v>64</v>
      </c>
      <c r="R322" s="11" t="s">
        <v>65</v>
      </c>
      <c r="S322" s="11" t="s">
        <v>1096</v>
      </c>
      <c r="T322" s="11" t="s">
        <v>1207</v>
      </c>
      <c r="U322" s="10" t="n">
        <f aca="false">IF(AND($D322="",$E322="",$F322=""),1,0)</f>
        <v>0</v>
      </c>
      <c r="V322" s="10" t="n">
        <f aca="false">IF(OR($I322="",$I322="—"),1,0)</f>
        <v>0</v>
      </c>
      <c r="W322" s="10" t="n">
        <f aca="false">IF(AND(ISNUMBER($D322),ISNUMBER($E322)),IF($E322&gt;$D322,1,0),0)+IF(AND(ISNUMBER($D322),ISNUMBER($F322)),IF($D322&gt;$F322,1,0),0)+IF(AND(ISNUMBER($E322),ISNUMBER($F322)),IF($E322&gt;$F322,1,0),0)</f>
        <v>0</v>
      </c>
      <c r="X322" s="13" t="s">
        <v>68</v>
      </c>
    </row>
    <row r="323" customFormat="false" ht="15" hidden="false" customHeight="false" outlineLevel="0" collapsed="false">
      <c r="A323" s="10" t="s">
        <v>1211</v>
      </c>
      <c r="B323" s="10" t="s">
        <v>1212</v>
      </c>
      <c r="C323" s="10" t="s">
        <v>1213</v>
      </c>
      <c r="D323" s="12" t="n">
        <v>2</v>
      </c>
      <c r="E323" s="12"/>
      <c r="F323" s="12"/>
      <c r="G323" s="10" t="s">
        <v>1091</v>
      </c>
      <c r="H323" s="10" t="s">
        <v>1092</v>
      </c>
      <c r="I323" s="11" t="s">
        <v>1093</v>
      </c>
      <c r="J323" s="10" t="s">
        <v>1094</v>
      </c>
      <c r="K323" s="10" t="s">
        <v>1095</v>
      </c>
      <c r="L323" s="10" t="s">
        <v>60</v>
      </c>
      <c r="M323" s="10" t="s">
        <v>61</v>
      </c>
      <c r="N323" s="10"/>
      <c r="O323" s="10"/>
      <c r="P323" s="10" t="s">
        <v>629</v>
      </c>
      <c r="Q323" s="11" t="s">
        <v>64</v>
      </c>
      <c r="R323" s="11" t="s">
        <v>65</v>
      </c>
      <c r="S323" s="11" t="s">
        <v>1096</v>
      </c>
      <c r="T323" s="11" t="s">
        <v>1207</v>
      </c>
      <c r="U323" s="10" t="n">
        <f aca="false">IF(AND($D323="",$E323="",$F323=""),1,0)</f>
        <v>0</v>
      </c>
      <c r="V323" s="10" t="n">
        <f aca="false">IF(OR($I323="",$I323="—"),1,0)</f>
        <v>0</v>
      </c>
      <c r="W323" s="10" t="n">
        <f aca="false">IF(AND(ISNUMBER($D323),ISNUMBER($E323)),IF($E323&gt;$D323,1,0),0)+IF(AND(ISNUMBER($D323),ISNUMBER($F323)),IF($D323&gt;$F323,1,0),0)+IF(AND(ISNUMBER($E323),ISNUMBER($F323)),IF($E323&gt;$F323,1,0),0)</f>
        <v>0</v>
      </c>
      <c r="X323" s="13" t="s">
        <v>68</v>
      </c>
    </row>
    <row r="324" customFormat="false" ht="15" hidden="false" customHeight="false" outlineLevel="0" collapsed="false">
      <c r="A324" s="10" t="s">
        <v>1214</v>
      </c>
      <c r="B324" s="10" t="s">
        <v>1215</v>
      </c>
      <c r="C324" s="10" t="s">
        <v>1216</v>
      </c>
      <c r="D324" s="12" t="n">
        <v>0.8</v>
      </c>
      <c r="E324" s="12"/>
      <c r="F324" s="12"/>
      <c r="G324" s="10" t="s">
        <v>1091</v>
      </c>
      <c r="H324" s="10" t="s">
        <v>1092</v>
      </c>
      <c r="I324" s="11" t="s">
        <v>1093</v>
      </c>
      <c r="J324" s="10" t="s">
        <v>1094</v>
      </c>
      <c r="K324" s="10" t="s">
        <v>1095</v>
      </c>
      <c r="L324" s="10" t="s">
        <v>60</v>
      </c>
      <c r="M324" s="10" t="s">
        <v>61</v>
      </c>
      <c r="N324" s="10"/>
      <c r="O324" s="10"/>
      <c r="P324" s="10" t="s">
        <v>629</v>
      </c>
      <c r="Q324" s="11" t="s">
        <v>64</v>
      </c>
      <c r="R324" s="11" t="s">
        <v>65</v>
      </c>
      <c r="S324" s="11" t="s">
        <v>1096</v>
      </c>
      <c r="T324" s="11" t="s">
        <v>1217</v>
      </c>
      <c r="U324" s="10" t="n">
        <f aca="false">IF(AND($D324="",$E324="",$F324=""),1,0)</f>
        <v>0</v>
      </c>
      <c r="V324" s="10" t="n">
        <f aca="false">IF(OR($I324="",$I324="—"),1,0)</f>
        <v>0</v>
      </c>
      <c r="W324" s="10" t="n">
        <f aca="false">IF(AND(ISNUMBER($D324),ISNUMBER($E324)),IF($E324&gt;$D324,1,0),0)+IF(AND(ISNUMBER($D324),ISNUMBER($F324)),IF($D324&gt;$F324,1,0),0)+IF(AND(ISNUMBER($E324),ISNUMBER($F324)),IF($E324&gt;$F324,1,0),0)</f>
        <v>0</v>
      </c>
      <c r="X324" s="13" t="s">
        <v>68</v>
      </c>
    </row>
    <row r="325" customFormat="false" ht="15" hidden="false" customHeight="false" outlineLevel="0" collapsed="false">
      <c r="A325" s="10" t="s">
        <v>1218</v>
      </c>
      <c r="B325" s="10" t="s">
        <v>1219</v>
      </c>
      <c r="C325" s="10" t="s">
        <v>1220</v>
      </c>
      <c r="D325" s="12" t="n">
        <v>0.16</v>
      </c>
      <c r="E325" s="12"/>
      <c r="F325" s="12"/>
      <c r="G325" s="10" t="s">
        <v>1091</v>
      </c>
      <c r="H325" s="10" t="s">
        <v>1092</v>
      </c>
      <c r="I325" s="11" t="s">
        <v>1093</v>
      </c>
      <c r="J325" s="10" t="s">
        <v>1094</v>
      </c>
      <c r="K325" s="10" t="s">
        <v>1095</v>
      </c>
      <c r="L325" s="10" t="s">
        <v>60</v>
      </c>
      <c r="M325" s="10" t="s">
        <v>61</v>
      </c>
      <c r="N325" s="10"/>
      <c r="O325" s="10"/>
      <c r="P325" s="10" t="s">
        <v>629</v>
      </c>
      <c r="Q325" s="11" t="s">
        <v>64</v>
      </c>
      <c r="R325" s="11" t="s">
        <v>65</v>
      </c>
      <c r="S325" s="11" t="s">
        <v>1096</v>
      </c>
      <c r="T325" s="11" t="s">
        <v>1217</v>
      </c>
      <c r="U325" s="10" t="n">
        <f aca="false">IF(AND($D325="",$E325="",$F325=""),1,0)</f>
        <v>0</v>
      </c>
      <c r="V325" s="10" t="n">
        <f aca="false">IF(OR($I325="",$I325="—"),1,0)</f>
        <v>0</v>
      </c>
      <c r="W325" s="10" t="n">
        <f aca="false">IF(AND(ISNUMBER($D325),ISNUMBER($E325)),IF($E325&gt;$D325,1,0),0)+IF(AND(ISNUMBER($D325),ISNUMBER($F325)),IF($D325&gt;$F325,1,0),0)+IF(AND(ISNUMBER($E325),ISNUMBER($F325)),IF($E325&gt;$F325,1,0),0)</f>
        <v>0</v>
      </c>
      <c r="X325" s="13" t="s">
        <v>68</v>
      </c>
    </row>
    <row r="326" customFormat="false" ht="15" hidden="false" customHeight="false" outlineLevel="0" collapsed="false">
      <c r="A326" s="10" t="s">
        <v>1221</v>
      </c>
      <c r="B326" s="10" t="s">
        <v>1222</v>
      </c>
      <c r="C326" s="10" t="s">
        <v>1223</v>
      </c>
      <c r="D326" s="12" t="n">
        <v>6</v>
      </c>
      <c r="E326" s="12"/>
      <c r="F326" s="12"/>
      <c r="G326" s="10" t="s">
        <v>1091</v>
      </c>
      <c r="H326" s="10" t="s">
        <v>1092</v>
      </c>
      <c r="I326" s="11" t="s">
        <v>1093</v>
      </c>
      <c r="J326" s="10" t="s">
        <v>1094</v>
      </c>
      <c r="K326" s="10" t="s">
        <v>1095</v>
      </c>
      <c r="L326" s="10" t="s">
        <v>60</v>
      </c>
      <c r="M326" s="10" t="s">
        <v>61</v>
      </c>
      <c r="N326" s="10"/>
      <c r="O326" s="10"/>
      <c r="P326" s="10" t="s">
        <v>629</v>
      </c>
      <c r="Q326" s="11" t="s">
        <v>64</v>
      </c>
      <c r="R326" s="11" t="s">
        <v>65</v>
      </c>
      <c r="S326" s="11" t="s">
        <v>1096</v>
      </c>
      <c r="T326" s="11" t="s">
        <v>1217</v>
      </c>
      <c r="U326" s="10" t="n">
        <f aca="false">IF(AND($D326="",$E326="",$F326=""),1,0)</f>
        <v>0</v>
      </c>
      <c r="V326" s="10" t="n">
        <f aca="false">IF(OR($I326="",$I326="—"),1,0)</f>
        <v>0</v>
      </c>
      <c r="W326" s="10" t="n">
        <f aca="false">IF(AND(ISNUMBER($D326),ISNUMBER($E326)),IF($E326&gt;$D326,1,0),0)+IF(AND(ISNUMBER($D326),ISNUMBER($F326)),IF($D326&gt;$F326,1,0),0)+IF(AND(ISNUMBER($E326),ISNUMBER($F326)),IF($E326&gt;$F326,1,0),0)</f>
        <v>0</v>
      </c>
      <c r="X326" s="13" t="s">
        <v>68</v>
      </c>
    </row>
    <row r="327" customFormat="false" ht="15" hidden="false" customHeight="false" outlineLevel="0" collapsed="false">
      <c r="A327" s="10" t="s">
        <v>1224</v>
      </c>
      <c r="B327" s="10" t="s">
        <v>1225</v>
      </c>
      <c r="C327" s="10" t="s">
        <v>1226</v>
      </c>
      <c r="D327" s="12" t="n">
        <v>1.2</v>
      </c>
      <c r="E327" s="12"/>
      <c r="F327" s="12"/>
      <c r="G327" s="10" t="s">
        <v>1091</v>
      </c>
      <c r="H327" s="10" t="s">
        <v>1092</v>
      </c>
      <c r="I327" s="11" t="s">
        <v>1093</v>
      </c>
      <c r="J327" s="10" t="s">
        <v>1094</v>
      </c>
      <c r="K327" s="10" t="s">
        <v>1095</v>
      </c>
      <c r="L327" s="10" t="s">
        <v>60</v>
      </c>
      <c r="M327" s="10" t="s">
        <v>61</v>
      </c>
      <c r="N327" s="10"/>
      <c r="O327" s="10"/>
      <c r="P327" s="10" t="s">
        <v>629</v>
      </c>
      <c r="Q327" s="11" t="s">
        <v>64</v>
      </c>
      <c r="R327" s="11" t="s">
        <v>65</v>
      </c>
      <c r="S327" s="11" t="s">
        <v>1096</v>
      </c>
      <c r="T327" s="11" t="s">
        <v>1227</v>
      </c>
      <c r="U327" s="10" t="n">
        <f aca="false">IF(AND($D327="",$E327="",$F327=""),1,0)</f>
        <v>0</v>
      </c>
      <c r="V327" s="10" t="n">
        <f aca="false">IF(OR($I327="",$I327="—"),1,0)</f>
        <v>0</v>
      </c>
      <c r="W327" s="10" t="n">
        <f aca="false">IF(AND(ISNUMBER($D327),ISNUMBER($E327)),IF($E327&gt;$D327,1,0),0)+IF(AND(ISNUMBER($D327),ISNUMBER($F327)),IF($D327&gt;$F327,1,0),0)+IF(AND(ISNUMBER($E327),ISNUMBER($F327)),IF($E327&gt;$F327,1,0),0)</f>
        <v>0</v>
      </c>
      <c r="X327" s="13" t="s">
        <v>68</v>
      </c>
    </row>
    <row r="328" customFormat="false" ht="15" hidden="false" customHeight="false" outlineLevel="0" collapsed="false">
      <c r="A328" s="10" t="s">
        <v>1228</v>
      </c>
      <c r="B328" s="10" t="s">
        <v>1229</v>
      </c>
      <c r="C328" s="10" t="s">
        <v>1230</v>
      </c>
      <c r="D328" s="12" t="n">
        <v>0.24</v>
      </c>
      <c r="E328" s="12"/>
      <c r="F328" s="12"/>
      <c r="G328" s="10" t="s">
        <v>1091</v>
      </c>
      <c r="H328" s="10" t="s">
        <v>1092</v>
      </c>
      <c r="I328" s="11" t="s">
        <v>1093</v>
      </c>
      <c r="J328" s="10" t="s">
        <v>1094</v>
      </c>
      <c r="K328" s="10" t="s">
        <v>1095</v>
      </c>
      <c r="L328" s="10" t="s">
        <v>60</v>
      </c>
      <c r="M328" s="10" t="s">
        <v>61</v>
      </c>
      <c r="N328" s="10"/>
      <c r="O328" s="10"/>
      <c r="P328" s="10" t="s">
        <v>629</v>
      </c>
      <c r="Q328" s="11" t="s">
        <v>64</v>
      </c>
      <c r="R328" s="11" t="s">
        <v>65</v>
      </c>
      <c r="S328" s="11" t="s">
        <v>1096</v>
      </c>
      <c r="T328" s="11" t="s">
        <v>1227</v>
      </c>
      <c r="U328" s="10" t="n">
        <f aca="false">IF(AND($D328="",$E328="",$F328=""),1,0)</f>
        <v>0</v>
      </c>
      <c r="V328" s="10" t="n">
        <f aca="false">IF(OR($I328="",$I328="—"),1,0)</f>
        <v>0</v>
      </c>
      <c r="W328" s="10" t="n">
        <f aca="false">IF(AND(ISNUMBER($D328),ISNUMBER($E328)),IF($E328&gt;$D328,1,0),0)+IF(AND(ISNUMBER($D328),ISNUMBER($F328)),IF($D328&gt;$F328,1,0),0)+IF(AND(ISNUMBER($E328),ISNUMBER($F328)),IF($E328&gt;$F328,1,0),0)</f>
        <v>0</v>
      </c>
      <c r="X328" s="13" t="s">
        <v>68</v>
      </c>
    </row>
    <row r="329" customFormat="false" ht="15" hidden="false" customHeight="false" outlineLevel="0" collapsed="false">
      <c r="A329" s="10" t="s">
        <v>1231</v>
      </c>
      <c r="B329" s="10" t="s">
        <v>1232</v>
      </c>
      <c r="C329" s="10" t="s">
        <v>1233</v>
      </c>
      <c r="D329" s="12" t="n">
        <v>8</v>
      </c>
      <c r="E329" s="12"/>
      <c r="F329" s="12"/>
      <c r="G329" s="10" t="s">
        <v>1091</v>
      </c>
      <c r="H329" s="10" t="s">
        <v>1092</v>
      </c>
      <c r="I329" s="11" t="s">
        <v>1093</v>
      </c>
      <c r="J329" s="10" t="s">
        <v>1094</v>
      </c>
      <c r="K329" s="10" t="s">
        <v>1095</v>
      </c>
      <c r="L329" s="10" t="s">
        <v>60</v>
      </c>
      <c r="M329" s="10" t="s">
        <v>61</v>
      </c>
      <c r="N329" s="10"/>
      <c r="O329" s="10"/>
      <c r="P329" s="10" t="s">
        <v>629</v>
      </c>
      <c r="Q329" s="11" t="s">
        <v>64</v>
      </c>
      <c r="R329" s="11" t="s">
        <v>65</v>
      </c>
      <c r="S329" s="11" t="s">
        <v>1096</v>
      </c>
      <c r="T329" s="11" t="s">
        <v>1227</v>
      </c>
      <c r="U329" s="10" t="n">
        <f aca="false">IF(AND($D329="",$E329="",$F329=""),1,0)</f>
        <v>0</v>
      </c>
      <c r="V329" s="10" t="n">
        <f aca="false">IF(OR($I329="",$I329="—"),1,0)</f>
        <v>0</v>
      </c>
      <c r="W329" s="10" t="n">
        <f aca="false">IF(AND(ISNUMBER($D329),ISNUMBER($E329)),IF($E329&gt;$D329,1,0),0)+IF(AND(ISNUMBER($D329),ISNUMBER($F329)),IF($D329&gt;$F329,1,0),0)+IF(AND(ISNUMBER($E329),ISNUMBER($F329)),IF($E329&gt;$F329,1,0),0)</f>
        <v>0</v>
      </c>
      <c r="X329" s="13" t="s">
        <v>68</v>
      </c>
    </row>
    <row r="330" customFormat="false" ht="15" hidden="false" customHeight="false" outlineLevel="0" collapsed="false">
      <c r="A330" s="10" t="s">
        <v>1234</v>
      </c>
      <c r="B330" s="10" t="s">
        <v>1235</v>
      </c>
      <c r="C330" s="10" t="s">
        <v>1236</v>
      </c>
      <c r="D330" s="12" t="n">
        <v>0.5</v>
      </c>
      <c r="E330" s="12"/>
      <c r="F330" s="12"/>
      <c r="G330" s="10" t="s">
        <v>1091</v>
      </c>
      <c r="H330" s="10" t="s">
        <v>1092</v>
      </c>
      <c r="I330" s="11" t="s">
        <v>1093</v>
      </c>
      <c r="J330" s="10" t="s">
        <v>1094</v>
      </c>
      <c r="K330" s="10" t="s">
        <v>1095</v>
      </c>
      <c r="L330" s="10" t="s">
        <v>60</v>
      </c>
      <c r="M330" s="10" t="s">
        <v>61</v>
      </c>
      <c r="N330" s="10"/>
      <c r="O330" s="10"/>
      <c r="P330" s="10" t="s">
        <v>629</v>
      </c>
      <c r="Q330" s="11" t="s">
        <v>64</v>
      </c>
      <c r="R330" s="11" t="s">
        <v>65</v>
      </c>
      <c r="S330" s="11" t="s">
        <v>1096</v>
      </c>
      <c r="T330" s="11" t="s">
        <v>1237</v>
      </c>
      <c r="U330" s="10" t="n">
        <f aca="false">IF(AND($D330="",$E330="",$F330=""),1,0)</f>
        <v>0</v>
      </c>
      <c r="V330" s="10" t="n">
        <f aca="false">IF(OR($I330="",$I330="—"),1,0)</f>
        <v>0</v>
      </c>
      <c r="W330" s="10" t="n">
        <f aca="false">IF(AND(ISNUMBER($D330),ISNUMBER($E330)),IF($E330&gt;$D330,1,0),0)+IF(AND(ISNUMBER($D330),ISNUMBER($F330)),IF($D330&gt;$F330,1,0),0)+IF(AND(ISNUMBER($E330),ISNUMBER($F330)),IF($E330&gt;$F330,1,0),0)</f>
        <v>0</v>
      </c>
      <c r="X330" s="13" t="s">
        <v>68</v>
      </c>
    </row>
    <row r="331" customFormat="false" ht="15" hidden="false" customHeight="false" outlineLevel="0" collapsed="false">
      <c r="A331" s="10" t="s">
        <v>1238</v>
      </c>
      <c r="B331" s="10" t="s">
        <v>1239</v>
      </c>
      <c r="C331" s="10" t="s">
        <v>1240</v>
      </c>
      <c r="D331" s="12" t="n">
        <v>0.1</v>
      </c>
      <c r="E331" s="12"/>
      <c r="F331" s="12"/>
      <c r="G331" s="10" t="s">
        <v>1091</v>
      </c>
      <c r="H331" s="10" t="s">
        <v>1092</v>
      </c>
      <c r="I331" s="11" t="s">
        <v>1093</v>
      </c>
      <c r="J331" s="10" t="s">
        <v>1094</v>
      </c>
      <c r="K331" s="10" t="s">
        <v>1095</v>
      </c>
      <c r="L331" s="10" t="s">
        <v>60</v>
      </c>
      <c r="M331" s="10" t="s">
        <v>61</v>
      </c>
      <c r="N331" s="10"/>
      <c r="O331" s="10"/>
      <c r="P331" s="10" t="s">
        <v>629</v>
      </c>
      <c r="Q331" s="11" t="s">
        <v>64</v>
      </c>
      <c r="R331" s="11" t="s">
        <v>65</v>
      </c>
      <c r="S331" s="11" t="s">
        <v>1096</v>
      </c>
      <c r="T331" s="11" t="s">
        <v>1237</v>
      </c>
      <c r="U331" s="10" t="n">
        <f aca="false">IF(AND($D331="",$E331="",$F331=""),1,0)</f>
        <v>0</v>
      </c>
      <c r="V331" s="10" t="n">
        <f aca="false">IF(OR($I331="",$I331="—"),1,0)</f>
        <v>0</v>
      </c>
      <c r="W331" s="10" t="n">
        <f aca="false">IF(AND(ISNUMBER($D331),ISNUMBER($E331)),IF($E331&gt;$D331,1,0),0)+IF(AND(ISNUMBER($D331),ISNUMBER($F331)),IF($D331&gt;$F331,1,0),0)+IF(AND(ISNUMBER($E331),ISNUMBER($F331)),IF($E331&gt;$F331,1,0),0)</f>
        <v>0</v>
      </c>
      <c r="X331" s="13" t="s">
        <v>68</v>
      </c>
    </row>
    <row r="332" customFormat="false" ht="15" hidden="false" customHeight="false" outlineLevel="0" collapsed="false">
      <c r="A332" s="10" t="s">
        <v>1241</v>
      </c>
      <c r="B332" s="10" t="s">
        <v>1242</v>
      </c>
      <c r="C332" s="10" t="s">
        <v>1243</v>
      </c>
      <c r="D332" s="12" t="n">
        <v>3</v>
      </c>
      <c r="E332" s="12"/>
      <c r="F332" s="12"/>
      <c r="G332" s="10" t="s">
        <v>1091</v>
      </c>
      <c r="H332" s="10" t="s">
        <v>1092</v>
      </c>
      <c r="I332" s="11" t="s">
        <v>1093</v>
      </c>
      <c r="J332" s="10" t="s">
        <v>1094</v>
      </c>
      <c r="K332" s="10" t="s">
        <v>1095</v>
      </c>
      <c r="L332" s="10" t="s">
        <v>60</v>
      </c>
      <c r="M332" s="10" t="s">
        <v>61</v>
      </c>
      <c r="N332" s="10"/>
      <c r="O332" s="10"/>
      <c r="P332" s="10" t="s">
        <v>629</v>
      </c>
      <c r="Q332" s="11" t="s">
        <v>64</v>
      </c>
      <c r="R332" s="11" t="s">
        <v>65</v>
      </c>
      <c r="S332" s="11" t="s">
        <v>1096</v>
      </c>
      <c r="T332" s="11" t="s">
        <v>1237</v>
      </c>
      <c r="U332" s="10" t="n">
        <f aca="false">IF(AND($D332="",$E332="",$F332=""),1,0)</f>
        <v>0</v>
      </c>
      <c r="V332" s="10" t="n">
        <f aca="false">IF(OR($I332="",$I332="—"),1,0)</f>
        <v>0</v>
      </c>
      <c r="W332" s="10" t="n">
        <f aca="false">IF(AND(ISNUMBER($D332),ISNUMBER($E332)),IF($E332&gt;$D332,1,0),0)+IF(AND(ISNUMBER($D332),ISNUMBER($F332)),IF($D332&gt;$F332,1,0),0)+IF(AND(ISNUMBER($E332),ISNUMBER($F332)),IF($E332&gt;$F332,1,0),0)</f>
        <v>0</v>
      </c>
      <c r="X332" s="13" t="s">
        <v>68</v>
      </c>
    </row>
    <row r="333" customFormat="false" ht="15" hidden="false" customHeight="false" outlineLevel="0" collapsed="false">
      <c r="A333" s="10" t="s">
        <v>1244</v>
      </c>
      <c r="B333" s="10" t="s">
        <v>1245</v>
      </c>
      <c r="C333" s="10" t="s">
        <v>1246</v>
      </c>
      <c r="D333" s="12" t="n">
        <v>0.8</v>
      </c>
      <c r="E333" s="12"/>
      <c r="F333" s="12"/>
      <c r="G333" s="10" t="s">
        <v>1091</v>
      </c>
      <c r="H333" s="10" t="s">
        <v>1092</v>
      </c>
      <c r="I333" s="11" t="s">
        <v>1093</v>
      </c>
      <c r="J333" s="10" t="s">
        <v>1094</v>
      </c>
      <c r="K333" s="10" t="s">
        <v>1095</v>
      </c>
      <c r="L333" s="10" t="s">
        <v>60</v>
      </c>
      <c r="M333" s="10" t="s">
        <v>61</v>
      </c>
      <c r="N333" s="10"/>
      <c r="O333" s="10"/>
      <c r="P333" s="10" t="s">
        <v>629</v>
      </c>
      <c r="Q333" s="11" t="s">
        <v>64</v>
      </c>
      <c r="R333" s="11" t="s">
        <v>65</v>
      </c>
      <c r="S333" s="11" t="s">
        <v>1096</v>
      </c>
      <c r="T333" s="11" t="s">
        <v>1247</v>
      </c>
      <c r="U333" s="10" t="n">
        <f aca="false">IF(AND($D333="",$E333="",$F333=""),1,0)</f>
        <v>0</v>
      </c>
      <c r="V333" s="10" t="n">
        <f aca="false">IF(OR($I333="",$I333="—"),1,0)</f>
        <v>0</v>
      </c>
      <c r="W333" s="10" t="n">
        <f aca="false">IF(AND(ISNUMBER($D333),ISNUMBER($E333)),IF($E333&gt;$D333,1,0),0)+IF(AND(ISNUMBER($D333),ISNUMBER($F333)),IF($D333&gt;$F333,1,0),0)+IF(AND(ISNUMBER($E333),ISNUMBER($F333)),IF($E333&gt;$F333,1,0),0)</f>
        <v>0</v>
      </c>
      <c r="X333" s="13" t="s">
        <v>68</v>
      </c>
    </row>
    <row r="334" customFormat="false" ht="15" hidden="false" customHeight="false" outlineLevel="0" collapsed="false">
      <c r="A334" s="10" t="s">
        <v>1248</v>
      </c>
      <c r="B334" s="10" t="s">
        <v>1249</v>
      </c>
      <c r="C334" s="10" t="s">
        <v>1250</v>
      </c>
      <c r="D334" s="12" t="n">
        <v>0.23</v>
      </c>
      <c r="E334" s="12"/>
      <c r="F334" s="12"/>
      <c r="G334" s="10" t="s">
        <v>1091</v>
      </c>
      <c r="H334" s="10" t="s">
        <v>1092</v>
      </c>
      <c r="I334" s="11" t="s">
        <v>1093</v>
      </c>
      <c r="J334" s="10" t="s">
        <v>1094</v>
      </c>
      <c r="K334" s="10" t="s">
        <v>1095</v>
      </c>
      <c r="L334" s="10" t="s">
        <v>60</v>
      </c>
      <c r="M334" s="10" t="s">
        <v>61</v>
      </c>
      <c r="N334" s="10"/>
      <c r="O334" s="10"/>
      <c r="P334" s="10" t="s">
        <v>629</v>
      </c>
      <c r="Q334" s="11" t="s">
        <v>64</v>
      </c>
      <c r="R334" s="11" t="s">
        <v>65</v>
      </c>
      <c r="S334" s="11" t="s">
        <v>1096</v>
      </c>
      <c r="T334" s="11" t="s">
        <v>1247</v>
      </c>
      <c r="U334" s="10" t="n">
        <f aca="false">IF(AND($D334="",$E334="",$F334=""),1,0)</f>
        <v>0</v>
      </c>
      <c r="V334" s="10" t="n">
        <f aca="false">IF(OR($I334="",$I334="—"),1,0)</f>
        <v>0</v>
      </c>
      <c r="W334" s="10" t="n">
        <f aca="false">IF(AND(ISNUMBER($D334),ISNUMBER($E334)),IF($E334&gt;$D334,1,0),0)+IF(AND(ISNUMBER($D334),ISNUMBER($F334)),IF($D334&gt;$F334,1,0),0)+IF(AND(ISNUMBER($E334),ISNUMBER($F334)),IF($E334&gt;$F334,1,0),0)</f>
        <v>0</v>
      </c>
      <c r="X334" s="13" t="s">
        <v>68</v>
      </c>
    </row>
    <row r="335" customFormat="false" ht="15" hidden="false" customHeight="false" outlineLevel="0" collapsed="false">
      <c r="A335" s="10" t="s">
        <v>1251</v>
      </c>
      <c r="B335" s="10" t="s">
        <v>1252</v>
      </c>
      <c r="C335" s="10" t="s">
        <v>1253</v>
      </c>
      <c r="D335" s="12" t="n">
        <v>2.8</v>
      </c>
      <c r="E335" s="12"/>
      <c r="F335" s="12"/>
      <c r="G335" s="10" t="s">
        <v>1091</v>
      </c>
      <c r="H335" s="10" t="s">
        <v>1092</v>
      </c>
      <c r="I335" s="11" t="s">
        <v>1093</v>
      </c>
      <c r="J335" s="10" t="s">
        <v>1094</v>
      </c>
      <c r="K335" s="10" t="s">
        <v>1095</v>
      </c>
      <c r="L335" s="10" t="s">
        <v>60</v>
      </c>
      <c r="M335" s="10" t="s">
        <v>61</v>
      </c>
      <c r="N335" s="10"/>
      <c r="O335" s="10"/>
      <c r="P335" s="10" t="s">
        <v>629</v>
      </c>
      <c r="Q335" s="11" t="s">
        <v>64</v>
      </c>
      <c r="R335" s="11" t="s">
        <v>65</v>
      </c>
      <c r="S335" s="11" t="s">
        <v>1096</v>
      </c>
      <c r="T335" s="11" t="s">
        <v>1247</v>
      </c>
      <c r="U335" s="10" t="n">
        <f aca="false">IF(AND($D335="",$E335="",$F335=""),1,0)</f>
        <v>0</v>
      </c>
      <c r="V335" s="10" t="n">
        <f aca="false">IF(OR($I335="",$I335="—"),1,0)</f>
        <v>0</v>
      </c>
      <c r="W335" s="10" t="n">
        <f aca="false">IF(AND(ISNUMBER($D335),ISNUMBER($E335)),IF($E335&gt;$D335,1,0),0)+IF(AND(ISNUMBER($D335),ISNUMBER($F335)),IF($D335&gt;$F335,1,0),0)+IF(AND(ISNUMBER($E335),ISNUMBER($F335)),IF($E335&gt;$F335,1,0),0)</f>
        <v>0</v>
      </c>
      <c r="X335" s="13" t="s">
        <v>68</v>
      </c>
    </row>
    <row r="336" customFormat="false" ht="15" hidden="false" customHeight="false" outlineLevel="0" collapsed="false">
      <c r="A336" s="10" t="s">
        <v>1254</v>
      </c>
      <c r="B336" s="10" t="s">
        <v>1255</v>
      </c>
      <c r="C336" s="11" t="s">
        <v>1256</v>
      </c>
      <c r="D336" s="12" t="n">
        <v>0.5</v>
      </c>
      <c r="E336" s="12"/>
      <c r="F336" s="12"/>
      <c r="G336" s="11" t="s">
        <v>1257</v>
      </c>
      <c r="H336" s="10" t="s">
        <v>1258</v>
      </c>
      <c r="I336" s="11" t="s">
        <v>1093</v>
      </c>
      <c r="J336" s="10" t="s">
        <v>1094</v>
      </c>
      <c r="K336" s="10" t="s">
        <v>1095</v>
      </c>
      <c r="L336" s="10" t="s">
        <v>60</v>
      </c>
      <c r="M336" s="10" t="s">
        <v>61</v>
      </c>
      <c r="N336" s="10"/>
      <c r="O336" s="10"/>
      <c r="P336" s="10" t="s">
        <v>629</v>
      </c>
      <c r="Q336" s="11" t="s">
        <v>64</v>
      </c>
      <c r="R336" s="11" t="s">
        <v>65</v>
      </c>
      <c r="S336" s="11" t="s">
        <v>1096</v>
      </c>
      <c r="T336" s="11" t="s">
        <v>1259</v>
      </c>
      <c r="U336" s="10" t="n">
        <f aca="false">IF(AND($D336="",$E336="",$F336=""),1,0)</f>
        <v>0</v>
      </c>
      <c r="V336" s="10" t="n">
        <f aca="false">IF(OR($I336="",$I336="—"),1,0)</f>
        <v>0</v>
      </c>
      <c r="W336" s="10" t="n">
        <f aca="false">IF(AND(ISNUMBER($D336),ISNUMBER($E336)),IF($E336&gt;$D336,1,0),0)+IF(AND(ISNUMBER($D336),ISNUMBER($F336)),IF($D336&gt;$F336,1,0),0)+IF(AND(ISNUMBER($E336),ISNUMBER($F336)),IF($E336&gt;$F336,1,0),0)</f>
        <v>0</v>
      </c>
      <c r="X336" s="13" t="s">
        <v>68</v>
      </c>
    </row>
    <row r="337" customFormat="false" ht="15" hidden="false" customHeight="false" outlineLevel="0" collapsed="false">
      <c r="A337" s="10" t="s">
        <v>1260</v>
      </c>
      <c r="B337" s="10" t="s">
        <v>1261</v>
      </c>
      <c r="C337" s="10" t="s">
        <v>1262</v>
      </c>
      <c r="D337" s="12" t="n">
        <v>0</v>
      </c>
      <c r="E337" s="12"/>
      <c r="F337" s="12"/>
      <c r="G337" s="10" t="s">
        <v>1091</v>
      </c>
      <c r="H337" s="10" t="s">
        <v>1258</v>
      </c>
      <c r="I337" s="11" t="s">
        <v>1093</v>
      </c>
      <c r="J337" s="10" t="s">
        <v>1094</v>
      </c>
      <c r="K337" s="10" t="s">
        <v>1095</v>
      </c>
      <c r="L337" s="10" t="s">
        <v>60</v>
      </c>
      <c r="M337" s="10" t="s">
        <v>61</v>
      </c>
      <c r="N337" s="10"/>
      <c r="O337" s="10"/>
      <c r="P337" s="10" t="s">
        <v>629</v>
      </c>
      <c r="Q337" s="11" t="s">
        <v>64</v>
      </c>
      <c r="R337" s="11" t="s">
        <v>65</v>
      </c>
      <c r="S337" s="11" t="s">
        <v>1096</v>
      </c>
      <c r="T337" s="11" t="s">
        <v>1263</v>
      </c>
      <c r="U337" s="10" t="n">
        <f aca="false">IF(AND($D337="",$E337="",$F337=""),1,0)</f>
        <v>0</v>
      </c>
      <c r="V337" s="10" t="n">
        <f aca="false">IF(OR($I337="",$I337="—"),1,0)</f>
        <v>0</v>
      </c>
      <c r="W337" s="10" t="n">
        <f aca="false">IF(AND(ISNUMBER($D337),ISNUMBER($E337)),IF($E337&gt;$D337,1,0),0)+IF(AND(ISNUMBER($D337),ISNUMBER($F337)),IF($D337&gt;$F337,1,0),0)+IF(AND(ISNUMBER($E337),ISNUMBER($F337)),IF($E337&gt;$F337,1,0),0)</f>
        <v>0</v>
      </c>
      <c r="X337" s="13" t="s">
        <v>68</v>
      </c>
    </row>
    <row r="338" customFormat="false" ht="15" hidden="false" customHeight="false" outlineLevel="0" collapsed="false">
      <c r="A338" s="10" t="s">
        <v>1264</v>
      </c>
      <c r="B338" s="10" t="s">
        <v>1265</v>
      </c>
      <c r="C338" s="10" t="s">
        <v>1266</v>
      </c>
      <c r="D338" s="12"/>
      <c r="E338" s="12" t="n">
        <v>5.6</v>
      </c>
      <c r="F338" s="12" t="n">
        <v>8</v>
      </c>
      <c r="G338" s="10" t="s">
        <v>1091</v>
      </c>
      <c r="H338" s="10" t="s">
        <v>935</v>
      </c>
      <c r="I338" s="11" t="s">
        <v>1267</v>
      </c>
      <c r="J338" s="10" t="s">
        <v>1268</v>
      </c>
      <c r="K338" s="10" t="s">
        <v>60</v>
      </c>
      <c r="L338" s="10" t="s">
        <v>60</v>
      </c>
      <c r="M338" s="10" t="s">
        <v>408</v>
      </c>
      <c r="N338" s="11" t="s">
        <v>1269</v>
      </c>
      <c r="O338" s="10"/>
      <c r="P338" s="10" t="s">
        <v>629</v>
      </c>
      <c r="Q338" s="11" t="s">
        <v>64</v>
      </c>
      <c r="R338" s="11" t="s">
        <v>1269</v>
      </c>
      <c r="S338" s="11" t="s">
        <v>1270</v>
      </c>
      <c r="T338" s="11" t="s">
        <v>1271</v>
      </c>
      <c r="U338" s="10" t="n">
        <f aca="false">IF(AND($D338="",$E338="",$F338=""),1,0)</f>
        <v>0</v>
      </c>
      <c r="V338" s="10" t="n">
        <f aca="false">IF(OR($I338="",$I338="—"),1,0)</f>
        <v>0</v>
      </c>
      <c r="W338" s="10" t="n">
        <f aca="false">IF(AND(ISNUMBER($D338),ISNUMBER($E338)),IF($E338&gt;$D338,1,0),0)+IF(AND(ISNUMBER($D338),ISNUMBER($F338)),IF($D338&gt;$F338,1,0),0)+IF(AND(ISNUMBER($E338),ISNUMBER($F338)),IF($E338&gt;$F338,1,0),0)</f>
        <v>0</v>
      </c>
      <c r="X338" s="13" t="s">
        <v>68</v>
      </c>
    </row>
    <row r="339" customFormat="false" ht="15" hidden="false" customHeight="false" outlineLevel="0" collapsed="false">
      <c r="A339" s="10" t="s">
        <v>1272</v>
      </c>
      <c r="B339" s="10" t="s">
        <v>1273</v>
      </c>
      <c r="C339" s="10" t="s">
        <v>1274</v>
      </c>
      <c r="D339" s="12"/>
      <c r="E339" s="12" t="n">
        <v>19.6</v>
      </c>
      <c r="F339" s="12" t="n">
        <v>28</v>
      </c>
      <c r="G339" s="10" t="s">
        <v>1091</v>
      </c>
      <c r="H339" s="10" t="s">
        <v>935</v>
      </c>
      <c r="I339" s="11" t="s">
        <v>1267</v>
      </c>
      <c r="J339" s="10" t="s">
        <v>1268</v>
      </c>
      <c r="K339" s="10" t="s">
        <v>60</v>
      </c>
      <c r="L339" s="10" t="s">
        <v>60</v>
      </c>
      <c r="M339" s="10" t="s">
        <v>408</v>
      </c>
      <c r="N339" s="11" t="s">
        <v>1269</v>
      </c>
      <c r="O339" s="10"/>
      <c r="P339" s="10" t="s">
        <v>629</v>
      </c>
      <c r="Q339" s="11" t="s">
        <v>64</v>
      </c>
      <c r="R339" s="11" t="s">
        <v>1269</v>
      </c>
      <c r="S339" s="11" t="s">
        <v>1270</v>
      </c>
      <c r="T339" s="11" t="s">
        <v>1275</v>
      </c>
      <c r="U339" s="10" t="n">
        <f aca="false">IF(AND($D339="",$E339="",$F339=""),1,0)</f>
        <v>0</v>
      </c>
      <c r="V339" s="10" t="n">
        <f aca="false">IF(OR($I339="",$I339="—"),1,0)</f>
        <v>0</v>
      </c>
      <c r="W339" s="10" t="n">
        <f aca="false">IF(AND(ISNUMBER($D339),ISNUMBER($E339)),IF($E339&gt;$D339,1,0),0)+IF(AND(ISNUMBER($D339),ISNUMBER($F339)),IF($D339&gt;$F339,1,0),0)+IF(AND(ISNUMBER($E339),ISNUMBER($F339)),IF($E339&gt;$F339,1,0),0)</f>
        <v>0</v>
      </c>
      <c r="X339" s="13" t="s">
        <v>68</v>
      </c>
    </row>
    <row r="340" customFormat="false" ht="15" hidden="false" customHeight="false" outlineLevel="0" collapsed="false">
      <c r="A340" s="10" t="s">
        <v>1276</v>
      </c>
      <c r="B340" s="10" t="s">
        <v>1277</v>
      </c>
      <c r="C340" s="10" t="s">
        <v>1278</v>
      </c>
      <c r="D340" s="12" t="n">
        <v>0.8</v>
      </c>
      <c r="E340" s="12"/>
      <c r="F340" s="12"/>
      <c r="G340" s="10" t="s">
        <v>1091</v>
      </c>
      <c r="H340" s="10" t="s">
        <v>1279</v>
      </c>
      <c r="I340" s="11" t="s">
        <v>1280</v>
      </c>
      <c r="J340" s="10" t="s">
        <v>1281</v>
      </c>
      <c r="K340" s="10" t="s">
        <v>1282</v>
      </c>
      <c r="L340" s="10" t="s">
        <v>60</v>
      </c>
      <c r="M340" s="10" t="s">
        <v>61</v>
      </c>
      <c r="N340" s="10"/>
      <c r="O340" s="10"/>
      <c r="P340" s="10" t="s">
        <v>629</v>
      </c>
      <c r="Q340" s="11" t="s">
        <v>64</v>
      </c>
      <c r="R340" s="11" t="s">
        <v>1082</v>
      </c>
      <c r="S340" s="11" t="s">
        <v>1270</v>
      </c>
      <c r="T340" s="11" t="s">
        <v>1283</v>
      </c>
      <c r="U340" s="10" t="n">
        <f aca="false">IF(AND($D340="",$E340="",$F340=""),1,0)</f>
        <v>0</v>
      </c>
      <c r="V340" s="10" t="n">
        <f aca="false">IF(OR($I340="",$I340="—"),1,0)</f>
        <v>0</v>
      </c>
      <c r="W340" s="10" t="n">
        <f aca="false">IF(AND(ISNUMBER($D340),ISNUMBER($E340)),IF($E340&gt;$D340,1,0),0)+IF(AND(ISNUMBER($D340),ISNUMBER($F340)),IF($D340&gt;$F340,1,0),0)+IF(AND(ISNUMBER($E340),ISNUMBER($F340)),IF($E340&gt;$F340,1,0),0)</f>
        <v>0</v>
      </c>
      <c r="X340" s="13" t="s">
        <v>68</v>
      </c>
    </row>
    <row r="341" customFormat="false" ht="15" hidden="false" customHeight="false" outlineLevel="0" collapsed="false">
      <c r="A341" s="10" t="s">
        <v>1284</v>
      </c>
      <c r="B341" s="10" t="s">
        <v>1285</v>
      </c>
      <c r="C341" s="10" t="s">
        <v>1286</v>
      </c>
      <c r="D341" s="12" t="n">
        <v>2</v>
      </c>
      <c r="E341" s="12"/>
      <c r="F341" s="12"/>
      <c r="G341" s="10" t="s">
        <v>1091</v>
      </c>
      <c r="H341" s="10" t="s">
        <v>1279</v>
      </c>
      <c r="I341" s="11" t="s">
        <v>1280</v>
      </c>
      <c r="J341" s="10" t="s">
        <v>1281</v>
      </c>
      <c r="K341" s="10" t="s">
        <v>1282</v>
      </c>
      <c r="L341" s="10" t="s">
        <v>60</v>
      </c>
      <c r="M341" s="10" t="s">
        <v>61</v>
      </c>
      <c r="N341" s="10"/>
      <c r="O341" s="10"/>
      <c r="P341" s="10" t="s">
        <v>629</v>
      </c>
      <c r="Q341" s="11" t="s">
        <v>64</v>
      </c>
      <c r="R341" s="11" t="s">
        <v>1082</v>
      </c>
      <c r="S341" s="11" t="s">
        <v>1270</v>
      </c>
      <c r="T341" s="11" t="s">
        <v>1087</v>
      </c>
      <c r="U341" s="10" t="n">
        <f aca="false">IF(AND($D341="",$E341="",$F341=""),1,0)</f>
        <v>0</v>
      </c>
      <c r="V341" s="10" t="n">
        <f aca="false">IF(OR($I341="",$I341="—"),1,0)</f>
        <v>0</v>
      </c>
      <c r="W341" s="10" t="n">
        <f aca="false">IF(AND(ISNUMBER($D341),ISNUMBER($E341)),IF($E341&gt;$D341,1,0),0)+IF(AND(ISNUMBER($D341),ISNUMBER($F341)),IF($D341&gt;$F341,1,0),0)+IF(AND(ISNUMBER($E341),ISNUMBER($F341)),IF($E341&gt;$F341,1,0),0)</f>
        <v>0</v>
      </c>
      <c r="X341" s="13" t="s">
        <v>68</v>
      </c>
    </row>
    <row r="342" customFormat="false" ht="15" hidden="false" customHeight="false" outlineLevel="0" collapsed="false">
      <c r="A342" s="10" t="s">
        <v>1287</v>
      </c>
      <c r="B342" s="10" t="s">
        <v>1288</v>
      </c>
      <c r="C342" s="10" t="s">
        <v>1289</v>
      </c>
      <c r="D342" s="12" t="n">
        <v>5</v>
      </c>
      <c r="E342" s="12"/>
      <c r="F342" s="12"/>
      <c r="G342" s="10" t="s">
        <v>1091</v>
      </c>
      <c r="H342" s="10" t="s">
        <v>1290</v>
      </c>
      <c r="I342" s="11" t="s">
        <v>1291</v>
      </c>
      <c r="J342" s="10" t="s">
        <v>1292</v>
      </c>
      <c r="K342" s="10" t="s">
        <v>1290</v>
      </c>
      <c r="L342" s="10" t="s">
        <v>60</v>
      </c>
      <c r="M342" s="10" t="s">
        <v>61</v>
      </c>
      <c r="N342" s="10"/>
      <c r="O342" s="10"/>
      <c r="P342" s="10" t="s">
        <v>629</v>
      </c>
      <c r="Q342" s="11" t="s">
        <v>64</v>
      </c>
      <c r="R342" s="11" t="s">
        <v>1082</v>
      </c>
      <c r="S342" s="11" t="s">
        <v>1270</v>
      </c>
      <c r="T342" s="10" t="s">
        <v>1293</v>
      </c>
      <c r="U342" s="10" t="n">
        <f aca="false">IF(AND($D342="",$E342="",$F342=""),1,0)</f>
        <v>0</v>
      </c>
      <c r="V342" s="10" t="n">
        <f aca="false">IF(OR($I342="",$I342="—"),1,0)</f>
        <v>0</v>
      </c>
      <c r="W342" s="10" t="n">
        <f aca="false">IF(AND(ISNUMBER($D342),ISNUMBER($E342)),IF($E342&gt;$D342,1,0),0)+IF(AND(ISNUMBER($D342),ISNUMBER($F342)),IF($D342&gt;$F342,1,0),0)+IF(AND(ISNUMBER($E342),ISNUMBER($F342)),IF($E342&gt;$F342,1,0),0)</f>
        <v>0</v>
      </c>
      <c r="X342" s="13" t="s">
        <v>68</v>
      </c>
    </row>
    <row r="343" customFormat="false" ht="15" hidden="false" customHeight="false" outlineLevel="0" collapsed="false">
      <c r="A343" s="10" t="s">
        <v>1294</v>
      </c>
      <c r="B343" s="10" t="s">
        <v>1295</v>
      </c>
      <c r="C343" s="10" t="s">
        <v>1296</v>
      </c>
      <c r="D343" s="12" t="n">
        <v>0.6</v>
      </c>
      <c r="E343" s="12" t="n">
        <v>0.6</v>
      </c>
      <c r="F343" s="12" t="n">
        <v>0.6</v>
      </c>
      <c r="G343" s="10" t="s">
        <v>934</v>
      </c>
      <c r="H343" s="10" t="s">
        <v>1297</v>
      </c>
      <c r="I343" s="10" t="s">
        <v>1298</v>
      </c>
      <c r="J343" s="10" t="s">
        <v>1299</v>
      </c>
      <c r="K343" s="10" t="s">
        <v>1297</v>
      </c>
      <c r="L343" s="10" t="s">
        <v>60</v>
      </c>
      <c r="M343" s="10" t="s">
        <v>1300</v>
      </c>
      <c r="N343" s="10"/>
      <c r="O343" s="10"/>
      <c r="P343" s="10" t="s">
        <v>629</v>
      </c>
      <c r="Q343" s="11" t="s">
        <v>1301</v>
      </c>
      <c r="R343" s="11" t="s">
        <v>1302</v>
      </c>
      <c r="S343" s="11" t="s">
        <v>1270</v>
      </c>
      <c r="T343" s="11" t="s">
        <v>1303</v>
      </c>
      <c r="U343" s="10" t="n">
        <f aca="false">IF(AND($D343="",$E343="",$F343=""),1,0)</f>
        <v>0</v>
      </c>
      <c r="V343" s="10" t="n">
        <f aca="false">IF(OR($I343="",$I343="—"),1,0)</f>
        <v>0</v>
      </c>
      <c r="W343" s="10" t="n">
        <f aca="false">IF(AND(ISNUMBER($D343),ISNUMBER($E343)),IF($E343&gt;$D343,1,0),0)+IF(AND(ISNUMBER($D343),ISNUMBER($F343)),IF($D343&gt;$F343,1,0),0)+IF(AND(ISNUMBER($E343),ISNUMBER($F343)),IF($E343&gt;$F343,1,0),0)</f>
        <v>0</v>
      </c>
      <c r="X343" s="13" t="s">
        <v>68</v>
      </c>
    </row>
    <row r="344" customFormat="false" ht="15" hidden="false" customHeight="false" outlineLevel="0" collapsed="false">
      <c r="A344" s="10" t="s">
        <v>1304</v>
      </c>
      <c r="B344" s="10" t="s">
        <v>1305</v>
      </c>
      <c r="C344" s="10" t="s">
        <v>1306</v>
      </c>
      <c r="D344" s="12" t="n">
        <v>1</v>
      </c>
      <c r="E344" s="12" t="n">
        <v>1</v>
      </c>
      <c r="F344" s="12" t="n">
        <v>1</v>
      </c>
      <c r="G344" s="10" t="s">
        <v>934</v>
      </c>
      <c r="H344" s="10" t="s">
        <v>1307</v>
      </c>
      <c r="I344" s="10" t="s">
        <v>1308</v>
      </c>
      <c r="J344" s="10" t="s">
        <v>1309</v>
      </c>
      <c r="K344" s="10" t="s">
        <v>1307</v>
      </c>
      <c r="L344" s="10" t="s">
        <v>60</v>
      </c>
      <c r="M344" s="10" t="s">
        <v>1300</v>
      </c>
      <c r="N344" s="10"/>
      <c r="O344" s="10"/>
      <c r="P344" s="10" t="s">
        <v>629</v>
      </c>
      <c r="Q344" s="11" t="s">
        <v>1301</v>
      </c>
      <c r="R344" s="11" t="s">
        <v>1302</v>
      </c>
      <c r="S344" s="11" t="s">
        <v>1270</v>
      </c>
      <c r="T344" s="11" t="s">
        <v>1310</v>
      </c>
      <c r="U344" s="10" t="n">
        <f aca="false">IF(AND($D344="",$E344="",$F344=""),1,0)</f>
        <v>0</v>
      </c>
      <c r="V344" s="10" t="n">
        <f aca="false">IF(OR($I344="",$I344="—"),1,0)</f>
        <v>0</v>
      </c>
      <c r="W344" s="10" t="n">
        <f aca="false">IF(AND(ISNUMBER($D344),ISNUMBER($E344)),IF($E344&gt;$D344,1,0),0)+IF(AND(ISNUMBER($D344),ISNUMBER($F344)),IF($D344&gt;$F344,1,0),0)+IF(AND(ISNUMBER($E344),ISNUMBER($F344)),IF($E344&gt;$F344,1,0),0)</f>
        <v>0</v>
      </c>
      <c r="X344" s="13" t="s">
        <v>68</v>
      </c>
    </row>
    <row r="345" customFormat="false" ht="15" hidden="false" customHeight="false" outlineLevel="0" collapsed="false">
      <c r="A345" s="10" t="s">
        <v>1311</v>
      </c>
      <c r="B345" s="10" t="s">
        <v>1312</v>
      </c>
      <c r="C345" s="10" t="s">
        <v>1313</v>
      </c>
      <c r="D345" s="12" t="n">
        <v>0.15</v>
      </c>
      <c r="E345" s="12"/>
      <c r="F345" s="12"/>
      <c r="G345" s="10" t="s">
        <v>934</v>
      </c>
      <c r="H345" s="10" t="s">
        <v>1314</v>
      </c>
      <c r="I345" s="10" t="s">
        <v>1315</v>
      </c>
      <c r="J345" s="10" t="s">
        <v>1316</v>
      </c>
      <c r="K345" s="10" t="s">
        <v>1314</v>
      </c>
      <c r="L345" s="10" t="s">
        <v>60</v>
      </c>
      <c r="M345" s="10" t="s">
        <v>61</v>
      </c>
      <c r="N345" s="10"/>
      <c r="O345" s="10"/>
      <c r="P345" s="10" t="s">
        <v>629</v>
      </c>
      <c r="Q345" s="11" t="s">
        <v>64</v>
      </c>
      <c r="R345" s="11" t="s">
        <v>1082</v>
      </c>
      <c r="S345" s="11" t="s">
        <v>1270</v>
      </c>
      <c r="T345" s="11" t="s">
        <v>1317</v>
      </c>
      <c r="U345" s="10" t="n">
        <f aca="false">IF(AND($D345="",$E345="",$F345=""),1,0)</f>
        <v>0</v>
      </c>
      <c r="V345" s="10" t="n">
        <f aca="false">IF(OR($I345="",$I345="—"),1,0)</f>
        <v>0</v>
      </c>
      <c r="W345" s="10" t="n">
        <f aca="false">IF(AND(ISNUMBER($D345),ISNUMBER($E345)),IF($E345&gt;$D345,1,0),0)+IF(AND(ISNUMBER($D345),ISNUMBER($F345)),IF($D345&gt;$F345,1,0),0)+IF(AND(ISNUMBER($E345),ISNUMBER($F345)),IF($E345&gt;$F345,1,0),0)</f>
        <v>0</v>
      </c>
      <c r="X345" s="13" t="s">
        <v>68</v>
      </c>
    </row>
    <row r="346" customFormat="false" ht="15" hidden="false" customHeight="false" outlineLevel="0" collapsed="false">
      <c r="A346" s="10" t="s">
        <v>1318</v>
      </c>
      <c r="B346" s="10" t="s">
        <v>1319</v>
      </c>
      <c r="C346" s="11" t="s">
        <v>1320</v>
      </c>
      <c r="D346" s="12"/>
      <c r="E346" s="12" t="n">
        <v>67</v>
      </c>
      <c r="F346" s="12" t="n">
        <v>100</v>
      </c>
      <c r="G346" s="10" t="s">
        <v>393</v>
      </c>
      <c r="H346" s="10" t="s">
        <v>1321</v>
      </c>
      <c r="I346" s="10" t="s">
        <v>1322</v>
      </c>
      <c r="J346" s="10" t="s">
        <v>1323</v>
      </c>
      <c r="K346" s="10" t="s">
        <v>1324</v>
      </c>
      <c r="L346" s="10" t="s">
        <v>60</v>
      </c>
      <c r="M346" s="10" t="s">
        <v>408</v>
      </c>
      <c r="N346" s="11" t="s">
        <v>1325</v>
      </c>
      <c r="O346" s="10"/>
      <c r="P346" s="10" t="s">
        <v>629</v>
      </c>
      <c r="Q346" s="11" t="s">
        <v>64</v>
      </c>
      <c r="R346" s="11" t="s">
        <v>1325</v>
      </c>
      <c r="S346" s="11" t="s">
        <v>702</v>
      </c>
      <c r="T346" s="11" t="s">
        <v>1326</v>
      </c>
      <c r="U346" s="10" t="n">
        <f aca="false">IF(AND($D346="",$E346="",$F346=""),1,0)</f>
        <v>0</v>
      </c>
      <c r="V346" s="10" t="n">
        <f aca="false">IF(OR($I346="",$I346="—"),1,0)</f>
        <v>0</v>
      </c>
      <c r="W346" s="10" t="n">
        <f aca="false">IF(AND(ISNUMBER($D346),ISNUMBER($E346)),IF($E346&gt;$D346,1,0),0)+IF(AND(ISNUMBER($D346),ISNUMBER($F346)),IF($D346&gt;$F346,1,0),0)+IF(AND(ISNUMBER($E346),ISNUMBER($F346)),IF($E346&gt;$F346,1,0),0)</f>
        <v>0</v>
      </c>
      <c r="X346" s="13" t="s">
        <v>68</v>
      </c>
    </row>
    <row r="347" customFormat="false" ht="15" hidden="false" customHeight="false" outlineLevel="0" collapsed="false">
      <c r="A347" s="10" t="s">
        <v>1327</v>
      </c>
      <c r="B347" s="10" t="s">
        <v>1328</v>
      </c>
      <c r="C347" s="10" t="s">
        <v>1329</v>
      </c>
      <c r="D347" s="12" t="n">
        <v>10</v>
      </c>
      <c r="E347" s="12"/>
      <c r="F347" s="12"/>
      <c r="G347" s="10" t="s">
        <v>393</v>
      </c>
      <c r="H347" s="10" t="s">
        <v>1330</v>
      </c>
      <c r="I347" s="11" t="s">
        <v>1331</v>
      </c>
      <c r="J347" s="10" t="s">
        <v>1332</v>
      </c>
      <c r="K347" s="10" t="s">
        <v>1333</v>
      </c>
      <c r="L347" s="10" t="s">
        <v>60</v>
      </c>
      <c r="M347" s="10" t="s">
        <v>408</v>
      </c>
      <c r="N347" s="11" t="s">
        <v>1334</v>
      </c>
      <c r="O347" s="10"/>
      <c r="P347" s="10" t="s">
        <v>629</v>
      </c>
      <c r="Q347" s="11" t="s">
        <v>64</v>
      </c>
      <c r="R347" s="11" t="s">
        <v>1334</v>
      </c>
      <c r="S347" s="11" t="s">
        <v>702</v>
      </c>
      <c r="T347" s="11" t="s">
        <v>1335</v>
      </c>
      <c r="U347" s="10" t="n">
        <f aca="false">IF(AND($D347="",$E347="",$F347=""),1,0)</f>
        <v>0</v>
      </c>
      <c r="V347" s="10" t="n">
        <f aca="false">IF(OR($I347="",$I347="—"),1,0)</f>
        <v>0</v>
      </c>
      <c r="W347" s="10" t="n">
        <f aca="false">IF(AND(ISNUMBER($D347),ISNUMBER($E347)),IF($E347&gt;$D347,1,0),0)+IF(AND(ISNUMBER($D347),ISNUMBER($F347)),IF($D347&gt;$F347,1,0),0)+IF(AND(ISNUMBER($E347),ISNUMBER($F347)),IF($E347&gt;$F347,1,0),0)</f>
        <v>0</v>
      </c>
      <c r="X347" s="13" t="s">
        <v>68</v>
      </c>
    </row>
    <row r="348" customFormat="false" ht="15" hidden="false" customHeight="false" outlineLevel="0" collapsed="false">
      <c r="A348" s="10" t="s">
        <v>1336</v>
      </c>
      <c r="B348" s="10" t="s">
        <v>1337</v>
      </c>
      <c r="C348" s="10" t="s">
        <v>1338</v>
      </c>
      <c r="D348" s="12"/>
      <c r="E348" s="12" t="n">
        <v>8</v>
      </c>
      <c r="F348" s="12" t="n">
        <v>17</v>
      </c>
      <c r="G348" s="10" t="s">
        <v>393</v>
      </c>
      <c r="H348" s="10" t="s">
        <v>1339</v>
      </c>
      <c r="I348" s="11" t="s">
        <v>1331</v>
      </c>
      <c r="J348" s="10" t="s">
        <v>1332</v>
      </c>
      <c r="K348" s="10" t="s">
        <v>1333</v>
      </c>
      <c r="L348" s="10" t="s">
        <v>60</v>
      </c>
      <c r="M348" s="10" t="s">
        <v>408</v>
      </c>
      <c r="N348" s="11" t="s">
        <v>701</v>
      </c>
      <c r="O348" s="10"/>
      <c r="P348" s="10" t="s">
        <v>629</v>
      </c>
      <c r="Q348" s="11" t="s">
        <v>64</v>
      </c>
      <c r="R348" s="11" t="s">
        <v>701</v>
      </c>
      <c r="S348" s="11" t="s">
        <v>702</v>
      </c>
      <c r="T348" s="11" t="s">
        <v>1340</v>
      </c>
      <c r="U348" s="10" t="n">
        <f aca="false">IF(AND($D348="",$E348="",$F348=""),1,0)</f>
        <v>0</v>
      </c>
      <c r="V348" s="10" t="n">
        <f aca="false">IF(OR($I348="",$I348="—"),1,0)</f>
        <v>0</v>
      </c>
      <c r="W348" s="10" t="n">
        <f aca="false">IF(AND(ISNUMBER($D348),ISNUMBER($E348)),IF($E348&gt;$D348,1,0),0)+IF(AND(ISNUMBER($D348),ISNUMBER($F348)),IF($D348&gt;$F348,1,0),0)+IF(AND(ISNUMBER($E348),ISNUMBER($F348)),IF($E348&gt;$F348,1,0),0)</f>
        <v>0</v>
      </c>
      <c r="X348" s="13" t="s">
        <v>68</v>
      </c>
    </row>
    <row r="349" customFormat="false" ht="15" hidden="false" customHeight="false" outlineLevel="0" collapsed="false">
      <c r="A349" s="10" t="s">
        <v>1341</v>
      </c>
      <c r="B349" s="10" t="s">
        <v>1342</v>
      </c>
      <c r="C349" s="10" t="s">
        <v>1343</v>
      </c>
      <c r="D349" s="12" t="n">
        <v>83</v>
      </c>
      <c r="E349" s="12"/>
      <c r="F349" s="12"/>
      <c r="G349" s="10" t="s">
        <v>393</v>
      </c>
      <c r="H349" s="10" t="s">
        <v>1344</v>
      </c>
      <c r="I349" s="11" t="s">
        <v>1345</v>
      </c>
      <c r="J349" s="10" t="s">
        <v>1346</v>
      </c>
      <c r="K349" s="10" t="s">
        <v>1347</v>
      </c>
      <c r="L349" s="10" t="s">
        <v>60</v>
      </c>
      <c r="M349" s="10" t="s">
        <v>408</v>
      </c>
      <c r="N349" s="11" t="s">
        <v>1348</v>
      </c>
      <c r="O349" s="10"/>
      <c r="P349" s="10" t="s">
        <v>629</v>
      </c>
      <c r="Q349" s="11" t="s">
        <v>64</v>
      </c>
      <c r="R349" s="11" t="s">
        <v>1348</v>
      </c>
      <c r="S349" s="11" t="s">
        <v>702</v>
      </c>
      <c r="T349" s="11" t="s">
        <v>1349</v>
      </c>
      <c r="U349" s="10" t="n">
        <f aca="false">IF(AND($D349="",$E349="",$F349=""),1,0)</f>
        <v>0</v>
      </c>
      <c r="V349" s="10" t="n">
        <f aca="false">IF(OR($I349="",$I349="—"),1,0)</f>
        <v>0</v>
      </c>
      <c r="W349" s="10" t="n">
        <f aca="false">IF(AND(ISNUMBER($D349),ISNUMBER($E349)),IF($E349&gt;$D349,1,0),0)+IF(AND(ISNUMBER($D349),ISNUMBER($F349)),IF($D349&gt;$F349,1,0),0)+IF(AND(ISNUMBER($E349),ISNUMBER($F349)),IF($E349&gt;$F349,1,0),0)</f>
        <v>0</v>
      </c>
      <c r="X349" s="13" t="s">
        <v>68</v>
      </c>
    </row>
    <row r="350" customFormat="false" ht="15" hidden="false" customHeight="false" outlineLevel="0" collapsed="false">
      <c r="A350" s="10" t="s">
        <v>1350</v>
      </c>
      <c r="B350" s="10" t="s">
        <v>1351</v>
      </c>
      <c r="C350" s="10" t="s">
        <v>1352</v>
      </c>
      <c r="D350" s="12" t="n">
        <v>83</v>
      </c>
      <c r="E350" s="12"/>
      <c r="F350" s="12"/>
      <c r="G350" s="10" t="s">
        <v>393</v>
      </c>
      <c r="H350" s="11" t="s">
        <v>1353</v>
      </c>
      <c r="I350" s="11" t="s">
        <v>1354</v>
      </c>
      <c r="J350" s="10" t="s">
        <v>440</v>
      </c>
      <c r="K350" s="10" t="s">
        <v>441</v>
      </c>
      <c r="L350" s="10" t="s">
        <v>60</v>
      </c>
      <c r="M350" s="10" t="s">
        <v>408</v>
      </c>
      <c r="N350" s="11" t="s">
        <v>1355</v>
      </c>
      <c r="O350" s="10"/>
      <c r="P350" s="10" t="s">
        <v>63</v>
      </c>
      <c r="Q350" s="11" t="s">
        <v>64</v>
      </c>
      <c r="R350" s="11" t="s">
        <v>1355</v>
      </c>
      <c r="S350" s="11" t="s">
        <v>66</v>
      </c>
      <c r="T350" s="11" t="s">
        <v>1356</v>
      </c>
      <c r="U350" s="10" t="n">
        <f aca="false">IF(AND($D350="",$E350="",$F350=""),1,0)</f>
        <v>0</v>
      </c>
      <c r="V350" s="10" t="n">
        <f aca="false">IF(OR($I350="",$I350="—"),1,0)</f>
        <v>0</v>
      </c>
      <c r="W350" s="10" t="n">
        <f aca="false">IF(AND(ISNUMBER($D350),ISNUMBER($E350)),IF($E350&gt;$D350,1,0),0)+IF(AND(ISNUMBER($D350),ISNUMBER($F350)),IF($D350&gt;$F350,1,0),0)+IF(AND(ISNUMBER($E350),ISNUMBER($F350)),IF($E350&gt;$F350,1,0),0)</f>
        <v>0</v>
      </c>
      <c r="X350" s="13" t="s">
        <v>68</v>
      </c>
    </row>
    <row r="351" customFormat="false" ht="15" hidden="false" customHeight="false" outlineLevel="0" collapsed="false">
      <c r="A351" s="10" t="s">
        <v>1357</v>
      </c>
      <c r="B351" s="10" t="s">
        <v>1358</v>
      </c>
      <c r="C351" s="10" t="s">
        <v>1359</v>
      </c>
      <c r="D351" s="12" t="n">
        <v>101</v>
      </c>
      <c r="E351" s="12"/>
      <c r="F351" s="12"/>
      <c r="G351" s="10" t="s">
        <v>393</v>
      </c>
      <c r="H351" s="10" t="s">
        <v>1360</v>
      </c>
      <c r="I351" s="11" t="s">
        <v>1361</v>
      </c>
      <c r="J351" s="10" t="s">
        <v>656</v>
      </c>
      <c r="K351" s="10" t="s">
        <v>657</v>
      </c>
      <c r="L351" s="10" t="s">
        <v>60</v>
      </c>
      <c r="M351" s="10" t="s">
        <v>408</v>
      </c>
      <c r="N351" s="11" t="s">
        <v>1355</v>
      </c>
      <c r="O351" s="10"/>
      <c r="P351" s="10" t="s">
        <v>63</v>
      </c>
      <c r="Q351" s="11" t="s">
        <v>64</v>
      </c>
      <c r="R351" s="11" t="s">
        <v>1355</v>
      </c>
      <c r="S351" s="11" t="s">
        <v>66</v>
      </c>
      <c r="T351" s="11" t="s">
        <v>1362</v>
      </c>
      <c r="U351" s="10" t="n">
        <f aca="false">IF(AND($D351="",$E351="",$F351=""),1,0)</f>
        <v>0</v>
      </c>
      <c r="V351" s="10" t="n">
        <f aca="false">IF(OR($I351="",$I351="—"),1,0)</f>
        <v>0</v>
      </c>
      <c r="W351" s="10" t="n">
        <f aca="false">IF(AND(ISNUMBER($D351),ISNUMBER($E351)),IF($E351&gt;$D351,1,0),0)+IF(AND(ISNUMBER($D351),ISNUMBER($F351)),IF($D351&gt;$F351,1,0),0)+IF(AND(ISNUMBER($E351),ISNUMBER($F351)),IF($E351&gt;$F351,1,0),0)</f>
        <v>0</v>
      </c>
      <c r="X351" s="13" t="s">
        <v>68</v>
      </c>
    </row>
    <row r="352" customFormat="false" ht="15" hidden="false" customHeight="false" outlineLevel="0" collapsed="false">
      <c r="A352" s="10" t="s">
        <v>1363</v>
      </c>
      <c r="B352" s="10" t="s">
        <v>1364</v>
      </c>
      <c r="C352" s="10" t="s">
        <v>1365</v>
      </c>
      <c r="D352" s="12" t="n">
        <v>101</v>
      </c>
      <c r="E352" s="12"/>
      <c r="F352" s="12"/>
      <c r="G352" s="10" t="s">
        <v>393</v>
      </c>
      <c r="H352" s="10" t="s">
        <v>654</v>
      </c>
      <c r="I352" s="11" t="s">
        <v>1366</v>
      </c>
      <c r="J352" s="10" t="s">
        <v>1367</v>
      </c>
      <c r="K352" s="10" t="s">
        <v>657</v>
      </c>
      <c r="L352" s="10" t="s">
        <v>60</v>
      </c>
      <c r="M352" s="10" t="s">
        <v>408</v>
      </c>
      <c r="N352" s="11" t="s">
        <v>1355</v>
      </c>
      <c r="O352" s="10"/>
      <c r="P352" s="10" t="s">
        <v>629</v>
      </c>
      <c r="Q352" s="11" t="s">
        <v>64</v>
      </c>
      <c r="R352" s="11" t="s">
        <v>1355</v>
      </c>
      <c r="S352" s="11" t="s">
        <v>702</v>
      </c>
      <c r="T352" s="11" t="s">
        <v>1368</v>
      </c>
      <c r="U352" s="10" t="n">
        <f aca="false">IF(AND($D352="",$E352="",$F352=""),1,0)</f>
        <v>0</v>
      </c>
      <c r="V352" s="10" t="n">
        <f aca="false">IF(OR($I352="",$I352="—"),1,0)</f>
        <v>0</v>
      </c>
      <c r="W352" s="10" t="n">
        <f aca="false">IF(AND(ISNUMBER($D352),ISNUMBER($E352)),IF($E352&gt;$D352,1,0),0)+IF(AND(ISNUMBER($D352),ISNUMBER($F352)),IF($D352&gt;$F352,1,0),0)+IF(AND(ISNUMBER($E352),ISNUMBER($F352)),IF($E352&gt;$F352,1,0),0)</f>
        <v>0</v>
      </c>
      <c r="X352" s="13" t="s">
        <v>68</v>
      </c>
    </row>
    <row r="353" customFormat="false" ht="15" hidden="false" customHeight="false" outlineLevel="0" collapsed="false">
      <c r="A353" s="10" t="s">
        <v>1369</v>
      </c>
      <c r="B353" s="10" t="s">
        <v>1370</v>
      </c>
      <c r="C353" s="10" t="s">
        <v>1371</v>
      </c>
      <c r="D353" s="12" t="n">
        <v>30</v>
      </c>
      <c r="E353" s="12" t="n">
        <v>30</v>
      </c>
      <c r="F353" s="12"/>
      <c r="G353" s="10" t="s">
        <v>909</v>
      </c>
      <c r="H353" s="10" t="s">
        <v>1321</v>
      </c>
      <c r="I353" s="11" t="s">
        <v>1372</v>
      </c>
      <c r="J353" s="10" t="s">
        <v>1373</v>
      </c>
      <c r="K353" s="10" t="s">
        <v>1321</v>
      </c>
      <c r="L353" s="10" t="s">
        <v>60</v>
      </c>
      <c r="M353" s="10" t="s">
        <v>408</v>
      </c>
      <c r="N353" s="11" t="s">
        <v>1355</v>
      </c>
      <c r="O353" s="10"/>
      <c r="P353" s="10" t="s">
        <v>629</v>
      </c>
      <c r="Q353" s="11" t="s">
        <v>64</v>
      </c>
      <c r="R353" s="11" t="s">
        <v>1355</v>
      </c>
      <c r="S353" s="11" t="s">
        <v>702</v>
      </c>
      <c r="T353" s="11" t="s">
        <v>1374</v>
      </c>
      <c r="U353" s="10" t="n">
        <f aca="false">IF(AND($D353="",$E353="",$F353=""),1,0)</f>
        <v>0</v>
      </c>
      <c r="V353" s="10" t="n">
        <f aca="false">IF(OR($I353="",$I353="—"),1,0)</f>
        <v>0</v>
      </c>
      <c r="W353" s="10" t="n">
        <f aca="false">IF(AND(ISNUMBER($D353),ISNUMBER($E353)),IF($E353&gt;$D353,1,0),0)+IF(AND(ISNUMBER($D353),ISNUMBER($F353)),IF($D353&gt;$F353,1,0),0)+IF(AND(ISNUMBER($E353),ISNUMBER($F353)),IF($E353&gt;$F353,1,0),0)</f>
        <v>0</v>
      </c>
      <c r="X353" s="13" t="s">
        <v>68</v>
      </c>
    </row>
    <row r="354" customFormat="false" ht="15" hidden="false" customHeight="false" outlineLevel="0" collapsed="false">
      <c r="A354" s="10" t="s">
        <v>1375</v>
      </c>
      <c r="B354" s="10" t="s">
        <v>1376</v>
      </c>
      <c r="C354" s="10" t="s">
        <v>1377</v>
      </c>
      <c r="D354" s="12" t="n">
        <v>30</v>
      </c>
      <c r="E354" s="12"/>
      <c r="F354" s="12"/>
      <c r="G354" s="10" t="s">
        <v>393</v>
      </c>
      <c r="H354" s="10" t="s">
        <v>1378</v>
      </c>
      <c r="I354" s="11" t="s">
        <v>1354</v>
      </c>
      <c r="J354" s="10" t="s">
        <v>440</v>
      </c>
      <c r="K354" s="10" t="s">
        <v>441</v>
      </c>
      <c r="L354" s="10" t="s">
        <v>60</v>
      </c>
      <c r="M354" s="10" t="s">
        <v>408</v>
      </c>
      <c r="N354" s="11" t="s">
        <v>1355</v>
      </c>
      <c r="O354" s="10"/>
      <c r="P354" s="10" t="s">
        <v>63</v>
      </c>
      <c r="Q354" s="11" t="s">
        <v>64</v>
      </c>
      <c r="R354" s="11" t="s">
        <v>1355</v>
      </c>
      <c r="S354" s="11" t="s">
        <v>66</v>
      </c>
      <c r="T354" s="11" t="s">
        <v>1379</v>
      </c>
      <c r="U354" s="10" t="n">
        <f aca="false">IF(AND($D354="",$E354="",$F354=""),1,0)</f>
        <v>0</v>
      </c>
      <c r="V354" s="10" t="n">
        <f aca="false">IF(OR($I354="",$I354="—"),1,0)</f>
        <v>0</v>
      </c>
      <c r="W354" s="10" t="n">
        <f aca="false">IF(AND(ISNUMBER($D354),ISNUMBER($E354)),IF($E354&gt;$D354,1,0),0)+IF(AND(ISNUMBER($D354),ISNUMBER($F354)),IF($D354&gt;$F354,1,0),0)+IF(AND(ISNUMBER($E354),ISNUMBER($F354)),IF($E354&gt;$F354,1,0),0)</f>
        <v>0</v>
      </c>
      <c r="X354" s="13" t="s">
        <v>68</v>
      </c>
    </row>
    <row r="355" customFormat="false" ht="15" hidden="false" customHeight="false" outlineLevel="0" collapsed="false">
      <c r="A355" s="10" t="s">
        <v>1380</v>
      </c>
      <c r="B355" s="10" t="s">
        <v>1381</v>
      </c>
      <c r="C355" s="11" t="s">
        <v>1382</v>
      </c>
      <c r="D355" s="12"/>
      <c r="E355" s="12" t="n">
        <v>30</v>
      </c>
      <c r="F355" s="12" t="n">
        <v>60</v>
      </c>
      <c r="G355" s="10" t="s">
        <v>393</v>
      </c>
      <c r="H355" s="10" t="s">
        <v>1321</v>
      </c>
      <c r="I355" s="10" t="s">
        <v>1383</v>
      </c>
      <c r="J355" s="10" t="s">
        <v>1323</v>
      </c>
      <c r="K355" s="10" t="s">
        <v>1324</v>
      </c>
      <c r="L355" s="10" t="s">
        <v>60</v>
      </c>
      <c r="M355" s="10" t="s">
        <v>408</v>
      </c>
      <c r="N355" s="11" t="s">
        <v>701</v>
      </c>
      <c r="O355" s="10"/>
      <c r="P355" s="10" t="s">
        <v>629</v>
      </c>
      <c r="Q355" s="11" t="s">
        <v>64</v>
      </c>
      <c r="R355" s="11" t="s">
        <v>701</v>
      </c>
      <c r="S355" s="11" t="s">
        <v>702</v>
      </c>
      <c r="T355" s="11" t="s">
        <v>1384</v>
      </c>
      <c r="U355" s="10" t="n">
        <f aca="false">IF(AND($D355="",$E355="",$F355=""),1,0)</f>
        <v>0</v>
      </c>
      <c r="V355" s="10" t="n">
        <f aca="false">IF(OR($I355="",$I355="—"),1,0)</f>
        <v>0</v>
      </c>
      <c r="W355" s="10" t="n">
        <f aca="false">IF(AND(ISNUMBER($D355),ISNUMBER($E355)),IF($E355&gt;$D355,1,0),0)+IF(AND(ISNUMBER($D355),ISNUMBER($F355)),IF($D355&gt;$F355,1,0),0)+IF(AND(ISNUMBER($E355),ISNUMBER($F355)),IF($E355&gt;$F355,1,0),0)</f>
        <v>0</v>
      </c>
      <c r="X355" s="13" t="s">
        <v>68</v>
      </c>
    </row>
    <row r="356" customFormat="false" ht="15" hidden="false" customHeight="false" outlineLevel="0" collapsed="false">
      <c r="A356" s="10" t="s">
        <v>1385</v>
      </c>
      <c r="B356" s="10" t="s">
        <v>1386</v>
      </c>
      <c r="C356" s="11" t="s">
        <v>1387</v>
      </c>
      <c r="D356" s="12"/>
      <c r="E356" s="12" t="n">
        <v>80</v>
      </c>
      <c r="F356" s="12" t="n">
        <v>150</v>
      </c>
      <c r="G356" s="10" t="s">
        <v>393</v>
      </c>
      <c r="H356" s="10" t="s">
        <v>1388</v>
      </c>
      <c r="I356" s="11" t="s">
        <v>1345</v>
      </c>
      <c r="J356" s="10" t="s">
        <v>1346</v>
      </c>
      <c r="K356" s="10" t="s">
        <v>1347</v>
      </c>
      <c r="L356" s="10" t="s">
        <v>60</v>
      </c>
      <c r="M356" s="10" t="s">
        <v>408</v>
      </c>
      <c r="N356" s="11" t="s">
        <v>701</v>
      </c>
      <c r="O356" s="10"/>
      <c r="P356" s="10" t="s">
        <v>629</v>
      </c>
      <c r="Q356" s="11" t="s">
        <v>64</v>
      </c>
      <c r="R356" s="11" t="s">
        <v>701</v>
      </c>
      <c r="S356" s="11" t="s">
        <v>702</v>
      </c>
      <c r="T356" s="11" t="s">
        <v>1389</v>
      </c>
      <c r="U356" s="10" t="n">
        <f aca="false">IF(AND($D356="",$E356="",$F356=""),1,0)</f>
        <v>0</v>
      </c>
      <c r="V356" s="10" t="n">
        <f aca="false">IF(OR($I356="",$I356="—"),1,0)</f>
        <v>0</v>
      </c>
      <c r="W356" s="10" t="n">
        <f aca="false">IF(AND(ISNUMBER($D356),ISNUMBER($E356)),IF($E356&gt;$D356,1,0),0)+IF(AND(ISNUMBER($D356),ISNUMBER($F356)),IF($D356&gt;$F356,1,0),0)+IF(AND(ISNUMBER($E356),ISNUMBER($F356)),IF($E356&gt;$F356,1,0),0)</f>
        <v>0</v>
      </c>
      <c r="X356" s="13" t="s">
        <v>68</v>
      </c>
    </row>
    <row r="357" customFormat="false" ht="15" hidden="false" customHeight="false" outlineLevel="0" collapsed="false">
      <c r="A357" s="10" t="s">
        <v>1390</v>
      </c>
      <c r="B357" s="10" t="s">
        <v>1391</v>
      </c>
      <c r="C357" s="10" t="s">
        <v>1392</v>
      </c>
      <c r="D357" s="12"/>
      <c r="E357" s="12"/>
      <c r="F357" s="12"/>
      <c r="G357" s="11" t="s">
        <v>1393</v>
      </c>
      <c r="H357" s="10" t="s">
        <v>1394</v>
      </c>
      <c r="I357" s="10" t="s">
        <v>1395</v>
      </c>
      <c r="J357" s="10" t="s">
        <v>1396</v>
      </c>
      <c r="K357" s="10" t="s">
        <v>1397</v>
      </c>
      <c r="L357" s="10" t="s">
        <v>60</v>
      </c>
      <c r="M357" s="10" t="s">
        <v>61</v>
      </c>
      <c r="N357" s="10"/>
      <c r="O357" s="10"/>
      <c r="P357" s="10" t="s">
        <v>629</v>
      </c>
      <c r="Q357" s="11" t="s">
        <v>64</v>
      </c>
      <c r="R357" s="11" t="s">
        <v>1082</v>
      </c>
      <c r="S357" s="11" t="s">
        <v>702</v>
      </c>
      <c r="T357" s="11" t="s">
        <v>1398</v>
      </c>
      <c r="U357" s="10" t="n">
        <f aca="false">IF(AND($D357="",$E357="",$F357=""),1,0)</f>
        <v>1</v>
      </c>
      <c r="V357" s="10" t="n">
        <f aca="false">IF(OR($I357="",$I357="—"),1,0)</f>
        <v>0</v>
      </c>
      <c r="W357" s="10" t="n">
        <f aca="false">IF(AND(ISNUMBER($D357),ISNUMBER($E357)),IF($E357&gt;$D357,1,0),0)+IF(AND(ISNUMBER($D357),ISNUMBER($F357)),IF($D357&gt;$F357,1,0),0)+IF(AND(ISNUMBER($E357),ISNUMBER($F357)),IF($E357&gt;$F357,1,0),0)</f>
        <v>0</v>
      </c>
      <c r="X357" s="13" t="s">
        <v>68</v>
      </c>
    </row>
    <row r="358" customFormat="false" ht="15" hidden="false" customHeight="false" outlineLevel="0" collapsed="false">
      <c r="A358" s="10" t="s">
        <v>1399</v>
      </c>
      <c r="B358" s="10" t="s">
        <v>1400</v>
      </c>
      <c r="C358" s="10" t="s">
        <v>1401</v>
      </c>
      <c r="D358" s="12"/>
      <c r="E358" s="12" t="n">
        <v>20</v>
      </c>
      <c r="F358" s="12" t="n">
        <v>100</v>
      </c>
      <c r="G358" s="10" t="s">
        <v>1402</v>
      </c>
      <c r="H358" s="10" t="s">
        <v>1403</v>
      </c>
      <c r="I358" s="11" t="s">
        <v>1404</v>
      </c>
      <c r="J358" s="10" t="s">
        <v>1405</v>
      </c>
      <c r="K358" s="10" t="s">
        <v>1406</v>
      </c>
      <c r="L358" s="10" t="s">
        <v>60</v>
      </c>
      <c r="M358" s="10" t="s">
        <v>61</v>
      </c>
      <c r="N358" s="10"/>
      <c r="O358" s="10"/>
      <c r="P358" s="10" t="s">
        <v>629</v>
      </c>
      <c r="Q358" s="11" t="s">
        <v>64</v>
      </c>
      <c r="R358" s="11" t="s">
        <v>1082</v>
      </c>
      <c r="S358" s="11" t="s">
        <v>702</v>
      </c>
      <c r="T358" s="11" t="s">
        <v>1407</v>
      </c>
      <c r="U358" s="10" t="n">
        <f aca="false">IF(AND($D358="",$E358="",$F358=""),1,0)</f>
        <v>0</v>
      </c>
      <c r="V358" s="10" t="n">
        <f aca="false">IF(OR($I358="",$I358="—"),1,0)</f>
        <v>0</v>
      </c>
      <c r="W358" s="10" t="n">
        <f aca="false">IF(AND(ISNUMBER($D358),ISNUMBER($E358)),IF($E358&gt;$D358,1,0),0)+IF(AND(ISNUMBER($D358),ISNUMBER($F358)),IF($D358&gt;$F358,1,0),0)+IF(AND(ISNUMBER($E358),ISNUMBER($F358)),IF($E358&gt;$F358,1,0),0)</f>
        <v>0</v>
      </c>
      <c r="X358" s="13" t="s">
        <v>68</v>
      </c>
    </row>
    <row r="359" customFormat="false" ht="15" hidden="false" customHeight="false" outlineLevel="0" collapsed="false">
      <c r="A359" s="10" t="s">
        <v>1408</v>
      </c>
      <c r="B359" s="10" t="s">
        <v>1409</v>
      </c>
      <c r="C359" s="11" t="s">
        <v>1410</v>
      </c>
      <c r="D359" s="12" t="n">
        <v>3</v>
      </c>
      <c r="E359" s="12" t="n">
        <v>3</v>
      </c>
      <c r="F359" s="12" t="n">
        <v>3</v>
      </c>
      <c r="G359" s="10" t="s">
        <v>1411</v>
      </c>
      <c r="H359" s="10" t="s">
        <v>1412</v>
      </c>
      <c r="I359" s="10" t="s">
        <v>1413</v>
      </c>
      <c r="J359" s="10" t="s">
        <v>1414</v>
      </c>
      <c r="K359" s="10" t="s">
        <v>1415</v>
      </c>
      <c r="L359" s="10" t="s">
        <v>60</v>
      </c>
      <c r="M359" s="10" t="s">
        <v>1300</v>
      </c>
      <c r="N359" s="10"/>
      <c r="O359" s="10"/>
      <c r="P359" s="10" t="s">
        <v>629</v>
      </c>
      <c r="Q359" s="11" t="s">
        <v>1301</v>
      </c>
      <c r="R359" s="11" t="s">
        <v>1302</v>
      </c>
      <c r="S359" s="11" t="s">
        <v>702</v>
      </c>
      <c r="T359" s="11" t="s">
        <v>1416</v>
      </c>
      <c r="U359" s="10" t="n">
        <f aca="false">IF(AND($D359="",$E359="",$F359=""),1,0)</f>
        <v>0</v>
      </c>
      <c r="V359" s="10" t="n">
        <f aca="false">IF(OR($I359="",$I359="—"),1,0)</f>
        <v>0</v>
      </c>
      <c r="W359" s="10" t="n">
        <f aca="false">IF(AND(ISNUMBER($D359),ISNUMBER($E359)),IF($E359&gt;$D359,1,0),0)+IF(AND(ISNUMBER($D359),ISNUMBER($F359)),IF($D359&gt;$F359,1,0),0)+IF(AND(ISNUMBER($E359),ISNUMBER($F359)),IF($E359&gt;$F359,1,0),0)</f>
        <v>0</v>
      </c>
      <c r="X359" s="13" t="s">
        <v>68</v>
      </c>
    </row>
    <row r="360" customFormat="false" ht="15" hidden="false" customHeight="false" outlineLevel="0" collapsed="false">
      <c r="A360" s="10" t="s">
        <v>1417</v>
      </c>
      <c r="B360" s="10" t="s">
        <v>1418</v>
      </c>
      <c r="C360" s="10" t="s">
        <v>1419</v>
      </c>
      <c r="D360" s="12" t="n">
        <v>49</v>
      </c>
      <c r="E360" s="12"/>
      <c r="F360" s="12"/>
      <c r="G360" s="10" t="s">
        <v>1402</v>
      </c>
      <c r="H360" s="10" t="s">
        <v>1420</v>
      </c>
      <c r="I360" s="10" t="s">
        <v>1421</v>
      </c>
      <c r="J360" s="10" t="s">
        <v>1422</v>
      </c>
      <c r="K360" s="10" t="s">
        <v>1423</v>
      </c>
      <c r="L360" s="10" t="s">
        <v>60</v>
      </c>
      <c r="M360" s="10" t="s">
        <v>61</v>
      </c>
      <c r="N360" s="10"/>
      <c r="O360" s="10"/>
      <c r="P360" s="10" t="s">
        <v>629</v>
      </c>
      <c r="Q360" s="11" t="s">
        <v>64</v>
      </c>
      <c r="R360" s="11" t="s">
        <v>1082</v>
      </c>
      <c r="S360" s="11" t="s">
        <v>702</v>
      </c>
      <c r="T360" s="11" t="s">
        <v>1424</v>
      </c>
      <c r="U360" s="10" t="n">
        <f aca="false">IF(AND($D360="",$E360="",$F360=""),1,0)</f>
        <v>0</v>
      </c>
      <c r="V360" s="10" t="n">
        <f aca="false">IF(OR($I360="",$I360="—"),1,0)</f>
        <v>0</v>
      </c>
      <c r="W360" s="10" t="n">
        <f aca="false">IF(AND(ISNUMBER($D360),ISNUMBER($E360)),IF($E360&gt;$D360,1,0),0)+IF(AND(ISNUMBER($D360),ISNUMBER($F360)),IF($D360&gt;$F360,1,0),0)+IF(AND(ISNUMBER($E360),ISNUMBER($F360)),IF($E360&gt;$F360,1,0),0)</f>
        <v>0</v>
      </c>
      <c r="X360" s="13" t="s">
        <v>68</v>
      </c>
    </row>
    <row r="361" customFormat="false" ht="15" hidden="false" customHeight="false" outlineLevel="0" collapsed="false">
      <c r="A361" s="10" t="s">
        <v>1425</v>
      </c>
      <c r="B361" s="10" t="s">
        <v>1426</v>
      </c>
      <c r="C361" s="10" t="s">
        <v>1427</v>
      </c>
      <c r="D361" s="12" t="n">
        <v>44</v>
      </c>
      <c r="E361" s="12"/>
      <c r="F361" s="12"/>
      <c r="G361" s="10" t="s">
        <v>1402</v>
      </c>
      <c r="H361" s="10" t="s">
        <v>1428</v>
      </c>
      <c r="I361" s="10" t="s">
        <v>1421</v>
      </c>
      <c r="J361" s="10" t="s">
        <v>1422</v>
      </c>
      <c r="K361" s="10" t="s">
        <v>1423</v>
      </c>
      <c r="L361" s="10" t="s">
        <v>60</v>
      </c>
      <c r="M361" s="10" t="s">
        <v>61</v>
      </c>
      <c r="N361" s="10"/>
      <c r="O361" s="10"/>
      <c r="P361" s="10" t="s">
        <v>629</v>
      </c>
      <c r="Q361" s="11" t="s">
        <v>64</v>
      </c>
      <c r="R361" s="11" t="s">
        <v>1082</v>
      </c>
      <c r="S361" s="11" t="s">
        <v>702</v>
      </c>
      <c r="T361" s="11" t="s">
        <v>1429</v>
      </c>
      <c r="U361" s="10" t="n">
        <f aca="false">IF(AND($D361="",$E361="",$F361=""),1,0)</f>
        <v>0</v>
      </c>
      <c r="V361" s="10" t="n">
        <f aca="false">IF(OR($I361="",$I361="—"),1,0)</f>
        <v>0</v>
      </c>
      <c r="W361" s="10" t="n">
        <f aca="false">IF(AND(ISNUMBER($D361),ISNUMBER($E361)),IF($E361&gt;$D361,1,0),0)+IF(AND(ISNUMBER($D361),ISNUMBER($F361)),IF($D361&gt;$F361,1,0),0)+IF(AND(ISNUMBER($E361),ISNUMBER($F361)),IF($E361&gt;$F361,1,0),0)</f>
        <v>0</v>
      </c>
      <c r="X361" s="13" t="s">
        <v>68</v>
      </c>
    </row>
    <row r="362" customFormat="false" ht="15" hidden="false" customHeight="false" outlineLevel="0" collapsed="false">
      <c r="A362" s="10" t="s">
        <v>1430</v>
      </c>
      <c r="B362" s="10" t="s">
        <v>1431</v>
      </c>
      <c r="C362" s="10" t="s">
        <v>1432</v>
      </c>
      <c r="D362" s="12" t="n">
        <v>34</v>
      </c>
      <c r="E362" s="12"/>
      <c r="F362" s="12"/>
      <c r="G362" s="10" t="s">
        <v>1402</v>
      </c>
      <c r="H362" s="10" t="s">
        <v>1428</v>
      </c>
      <c r="I362" s="10" t="s">
        <v>1421</v>
      </c>
      <c r="J362" s="10" t="s">
        <v>1422</v>
      </c>
      <c r="K362" s="10" t="s">
        <v>1423</v>
      </c>
      <c r="L362" s="10" t="s">
        <v>60</v>
      </c>
      <c r="M362" s="10" t="s">
        <v>61</v>
      </c>
      <c r="N362" s="10"/>
      <c r="O362" s="10"/>
      <c r="P362" s="10" t="s">
        <v>629</v>
      </c>
      <c r="Q362" s="11" t="s">
        <v>64</v>
      </c>
      <c r="R362" s="11" t="s">
        <v>1082</v>
      </c>
      <c r="S362" s="11" t="s">
        <v>702</v>
      </c>
      <c r="T362" s="11" t="s">
        <v>1433</v>
      </c>
      <c r="U362" s="10" t="n">
        <f aca="false">IF(AND($D362="",$E362="",$F362=""),1,0)</f>
        <v>0</v>
      </c>
      <c r="V362" s="10" t="n">
        <f aca="false">IF(OR($I362="",$I362="—"),1,0)</f>
        <v>0</v>
      </c>
      <c r="W362" s="10" t="n">
        <f aca="false">IF(AND(ISNUMBER($D362),ISNUMBER($E362)),IF($E362&gt;$D362,1,0),0)+IF(AND(ISNUMBER($D362),ISNUMBER($F362)),IF($D362&gt;$F362,1,0),0)+IF(AND(ISNUMBER($E362),ISNUMBER($F362)),IF($E362&gt;$F362,1,0),0)</f>
        <v>0</v>
      </c>
      <c r="X362" s="13" t="s">
        <v>68</v>
      </c>
    </row>
    <row r="363" customFormat="false" ht="15" hidden="false" customHeight="false" outlineLevel="0" collapsed="false">
      <c r="A363" s="10" t="s">
        <v>1434</v>
      </c>
      <c r="B363" s="10" t="s">
        <v>1435</v>
      </c>
      <c r="C363" s="10" t="s">
        <v>1436</v>
      </c>
      <c r="D363" s="12" t="n">
        <v>149</v>
      </c>
      <c r="E363" s="12"/>
      <c r="F363" s="12"/>
      <c r="G363" s="10" t="s">
        <v>1402</v>
      </c>
      <c r="H363" s="10" t="s">
        <v>1420</v>
      </c>
      <c r="I363" s="10" t="s">
        <v>1421</v>
      </c>
      <c r="J363" s="10" t="s">
        <v>1422</v>
      </c>
      <c r="K363" s="10" t="s">
        <v>1423</v>
      </c>
      <c r="L363" s="10" t="s">
        <v>60</v>
      </c>
      <c r="M363" s="10" t="s">
        <v>61</v>
      </c>
      <c r="N363" s="10"/>
      <c r="O363" s="10"/>
      <c r="P363" s="10" t="s">
        <v>629</v>
      </c>
      <c r="Q363" s="11" t="s">
        <v>64</v>
      </c>
      <c r="R363" s="11" t="s">
        <v>1082</v>
      </c>
      <c r="S363" s="11" t="s">
        <v>702</v>
      </c>
      <c r="T363" s="11" t="s">
        <v>1437</v>
      </c>
      <c r="U363" s="10" t="n">
        <f aca="false">IF(AND($D363="",$E363="",$F363=""),1,0)</f>
        <v>0</v>
      </c>
      <c r="V363" s="10" t="n">
        <f aca="false">IF(OR($I363="",$I363="—"),1,0)</f>
        <v>0</v>
      </c>
      <c r="W363" s="10" t="n">
        <f aca="false">IF(AND(ISNUMBER($D363),ISNUMBER($E363)),IF($E363&gt;$D363,1,0),0)+IF(AND(ISNUMBER($D363),ISNUMBER($F363)),IF($D363&gt;$F363,1,0),0)+IF(AND(ISNUMBER($E363),ISNUMBER($F363)),IF($E363&gt;$F363,1,0),0)</f>
        <v>0</v>
      </c>
      <c r="X363" s="13" t="s">
        <v>68</v>
      </c>
    </row>
    <row r="364" customFormat="false" ht="15" hidden="false" customHeight="false" outlineLevel="0" collapsed="false">
      <c r="A364" s="10" t="s">
        <v>1438</v>
      </c>
      <c r="B364" s="10" t="s">
        <v>1439</v>
      </c>
      <c r="C364" s="10" t="s">
        <v>1440</v>
      </c>
      <c r="D364" s="12" t="n">
        <v>134</v>
      </c>
      <c r="E364" s="12"/>
      <c r="F364" s="12"/>
      <c r="G364" s="10" t="s">
        <v>1402</v>
      </c>
      <c r="H364" s="10" t="s">
        <v>1428</v>
      </c>
      <c r="I364" s="10" t="s">
        <v>1421</v>
      </c>
      <c r="J364" s="10" t="s">
        <v>1422</v>
      </c>
      <c r="K364" s="10" t="s">
        <v>1423</v>
      </c>
      <c r="L364" s="10" t="s">
        <v>60</v>
      </c>
      <c r="M364" s="10" t="s">
        <v>61</v>
      </c>
      <c r="N364" s="10"/>
      <c r="O364" s="10"/>
      <c r="P364" s="10" t="s">
        <v>629</v>
      </c>
      <c r="Q364" s="11" t="s">
        <v>64</v>
      </c>
      <c r="R364" s="11" t="s">
        <v>1082</v>
      </c>
      <c r="S364" s="11" t="s">
        <v>702</v>
      </c>
      <c r="T364" s="11" t="s">
        <v>1429</v>
      </c>
      <c r="U364" s="10" t="n">
        <f aca="false">IF(AND($D364="",$E364="",$F364=""),1,0)</f>
        <v>0</v>
      </c>
      <c r="V364" s="10" t="n">
        <f aca="false">IF(OR($I364="",$I364="—"),1,0)</f>
        <v>0</v>
      </c>
      <c r="W364" s="10" t="n">
        <f aca="false">IF(AND(ISNUMBER($D364),ISNUMBER($E364)),IF($E364&gt;$D364,1,0),0)+IF(AND(ISNUMBER($D364),ISNUMBER($F364)),IF($D364&gt;$F364,1,0),0)+IF(AND(ISNUMBER($E364),ISNUMBER($F364)),IF($E364&gt;$F364,1,0),0)</f>
        <v>0</v>
      </c>
      <c r="X364" s="13" t="s">
        <v>68</v>
      </c>
    </row>
    <row r="365" customFormat="false" ht="15" hidden="false" customHeight="false" outlineLevel="0" collapsed="false">
      <c r="A365" s="10" t="s">
        <v>1441</v>
      </c>
      <c r="B365" s="10" t="s">
        <v>1442</v>
      </c>
      <c r="C365" s="10" t="s">
        <v>1443</v>
      </c>
      <c r="D365" s="12" t="n">
        <v>104</v>
      </c>
      <c r="E365" s="12"/>
      <c r="F365" s="12"/>
      <c r="G365" s="10" t="s">
        <v>1402</v>
      </c>
      <c r="H365" s="10" t="s">
        <v>1428</v>
      </c>
      <c r="I365" s="10" t="s">
        <v>1421</v>
      </c>
      <c r="J365" s="10" t="s">
        <v>1422</v>
      </c>
      <c r="K365" s="10" t="s">
        <v>1423</v>
      </c>
      <c r="L365" s="10" t="s">
        <v>60</v>
      </c>
      <c r="M365" s="10" t="s">
        <v>61</v>
      </c>
      <c r="N365" s="10"/>
      <c r="O365" s="10"/>
      <c r="P365" s="10" t="s">
        <v>629</v>
      </c>
      <c r="Q365" s="11" t="s">
        <v>64</v>
      </c>
      <c r="R365" s="11" t="s">
        <v>1082</v>
      </c>
      <c r="S365" s="11" t="s">
        <v>702</v>
      </c>
      <c r="T365" s="11" t="s">
        <v>1433</v>
      </c>
      <c r="U365" s="10" t="n">
        <f aca="false">IF(AND($D365="",$E365="",$F365=""),1,0)</f>
        <v>0</v>
      </c>
      <c r="V365" s="10" t="n">
        <f aca="false">IF(OR($I365="",$I365="—"),1,0)</f>
        <v>0</v>
      </c>
      <c r="W365" s="10" t="n">
        <f aca="false">IF(AND(ISNUMBER($D365),ISNUMBER($E365)),IF($E365&gt;$D365,1,0),0)+IF(AND(ISNUMBER($D365),ISNUMBER($F365)),IF($D365&gt;$F365,1,0),0)+IF(AND(ISNUMBER($E365),ISNUMBER($F365)),IF($E365&gt;$F365,1,0),0)</f>
        <v>0</v>
      </c>
      <c r="X365" s="13" t="s">
        <v>68</v>
      </c>
    </row>
    <row r="366" customFormat="false" ht="15" hidden="false" customHeight="false" outlineLevel="0" collapsed="false">
      <c r="A366" s="10" t="s">
        <v>1444</v>
      </c>
      <c r="B366" s="10" t="s">
        <v>1445</v>
      </c>
      <c r="C366" s="10" t="s">
        <v>1446</v>
      </c>
      <c r="D366" s="12" t="n">
        <v>469</v>
      </c>
      <c r="E366" s="12"/>
      <c r="F366" s="12"/>
      <c r="G366" s="10" t="s">
        <v>1402</v>
      </c>
      <c r="H366" s="10" t="s">
        <v>1420</v>
      </c>
      <c r="I366" s="10" t="s">
        <v>1421</v>
      </c>
      <c r="J366" s="10" t="s">
        <v>1422</v>
      </c>
      <c r="K366" s="10" t="s">
        <v>1423</v>
      </c>
      <c r="L366" s="10" t="s">
        <v>60</v>
      </c>
      <c r="M366" s="10" t="s">
        <v>61</v>
      </c>
      <c r="N366" s="10"/>
      <c r="O366" s="10"/>
      <c r="P366" s="10" t="s">
        <v>629</v>
      </c>
      <c r="Q366" s="11" t="s">
        <v>64</v>
      </c>
      <c r="R366" s="11" t="s">
        <v>1082</v>
      </c>
      <c r="S366" s="11" t="s">
        <v>702</v>
      </c>
      <c r="T366" s="11" t="s">
        <v>1447</v>
      </c>
      <c r="U366" s="10" t="n">
        <f aca="false">IF(AND($D366="",$E366="",$F366=""),1,0)</f>
        <v>0</v>
      </c>
      <c r="V366" s="10" t="n">
        <f aca="false">IF(OR($I366="",$I366="—"),1,0)</f>
        <v>0</v>
      </c>
      <c r="W366" s="10" t="n">
        <f aca="false">IF(AND(ISNUMBER($D366),ISNUMBER($E366)),IF($E366&gt;$D366,1,0),0)+IF(AND(ISNUMBER($D366),ISNUMBER($F366)),IF($D366&gt;$F366,1,0),0)+IF(AND(ISNUMBER($E366),ISNUMBER($F366)),IF($E366&gt;$F366,1,0),0)</f>
        <v>0</v>
      </c>
      <c r="X366" s="13" t="s">
        <v>68</v>
      </c>
    </row>
    <row r="367" customFormat="false" ht="15" hidden="false" customHeight="false" outlineLevel="0" collapsed="false">
      <c r="A367" s="10" t="s">
        <v>1448</v>
      </c>
      <c r="B367" s="10" t="s">
        <v>1449</v>
      </c>
      <c r="C367" s="10" t="s">
        <v>1450</v>
      </c>
      <c r="D367" s="12" t="n">
        <v>422</v>
      </c>
      <c r="E367" s="12"/>
      <c r="F367" s="12"/>
      <c r="G367" s="10" t="s">
        <v>1402</v>
      </c>
      <c r="H367" s="10" t="s">
        <v>1428</v>
      </c>
      <c r="I367" s="10" t="s">
        <v>1421</v>
      </c>
      <c r="J367" s="10" t="s">
        <v>1422</v>
      </c>
      <c r="K367" s="10" t="s">
        <v>1423</v>
      </c>
      <c r="L367" s="10" t="s">
        <v>60</v>
      </c>
      <c r="M367" s="10" t="s">
        <v>61</v>
      </c>
      <c r="N367" s="10"/>
      <c r="O367" s="10"/>
      <c r="P367" s="10" t="s">
        <v>629</v>
      </c>
      <c r="Q367" s="11" t="s">
        <v>64</v>
      </c>
      <c r="R367" s="11" t="s">
        <v>1082</v>
      </c>
      <c r="S367" s="11" t="s">
        <v>702</v>
      </c>
      <c r="T367" s="11" t="s">
        <v>1429</v>
      </c>
      <c r="U367" s="10" t="n">
        <f aca="false">IF(AND($D367="",$E367="",$F367=""),1,0)</f>
        <v>0</v>
      </c>
      <c r="V367" s="10" t="n">
        <f aca="false">IF(OR($I367="",$I367="—"),1,0)</f>
        <v>0</v>
      </c>
      <c r="W367" s="10" t="n">
        <f aca="false">IF(AND(ISNUMBER($D367),ISNUMBER($E367)),IF($E367&gt;$D367,1,0),0)+IF(AND(ISNUMBER($D367),ISNUMBER($F367)),IF($D367&gt;$F367,1,0),0)+IF(AND(ISNUMBER($E367),ISNUMBER($F367)),IF($E367&gt;$F367,1,0),0)</f>
        <v>0</v>
      </c>
      <c r="X367" s="13" t="s">
        <v>68</v>
      </c>
    </row>
    <row r="368" customFormat="false" ht="15" hidden="false" customHeight="false" outlineLevel="0" collapsed="false">
      <c r="A368" s="10" t="s">
        <v>1451</v>
      </c>
      <c r="B368" s="10" t="s">
        <v>1452</v>
      </c>
      <c r="C368" s="10" t="s">
        <v>1453</v>
      </c>
      <c r="D368" s="12" t="n">
        <v>328</v>
      </c>
      <c r="E368" s="12"/>
      <c r="F368" s="12"/>
      <c r="G368" s="10" t="s">
        <v>1402</v>
      </c>
      <c r="H368" s="10" t="s">
        <v>1428</v>
      </c>
      <c r="I368" s="10" t="s">
        <v>1421</v>
      </c>
      <c r="J368" s="10" t="s">
        <v>1422</v>
      </c>
      <c r="K368" s="10" t="s">
        <v>1423</v>
      </c>
      <c r="L368" s="10" t="s">
        <v>60</v>
      </c>
      <c r="M368" s="10" t="s">
        <v>61</v>
      </c>
      <c r="N368" s="10"/>
      <c r="O368" s="10"/>
      <c r="P368" s="10" t="s">
        <v>629</v>
      </c>
      <c r="Q368" s="11" t="s">
        <v>64</v>
      </c>
      <c r="R368" s="11" t="s">
        <v>1082</v>
      </c>
      <c r="S368" s="11" t="s">
        <v>702</v>
      </c>
      <c r="T368" s="11" t="s">
        <v>1433</v>
      </c>
      <c r="U368" s="10" t="n">
        <f aca="false">IF(AND($D368="",$E368="",$F368=""),1,0)</f>
        <v>0</v>
      </c>
      <c r="V368" s="10" t="n">
        <f aca="false">IF(OR($I368="",$I368="—"),1,0)</f>
        <v>0</v>
      </c>
      <c r="W368" s="10" t="n">
        <f aca="false">IF(AND(ISNUMBER($D368),ISNUMBER($E368)),IF($E368&gt;$D368,1,0),0)+IF(AND(ISNUMBER($D368),ISNUMBER($F368)),IF($D368&gt;$F368,1,0),0)+IF(AND(ISNUMBER($E368),ISNUMBER($F368)),IF($E368&gt;$F368,1,0),0)</f>
        <v>0</v>
      </c>
      <c r="X368" s="13" t="s">
        <v>68</v>
      </c>
    </row>
    <row r="369" customFormat="false" ht="15" hidden="false" customHeight="false" outlineLevel="0" collapsed="false">
      <c r="A369" s="10" t="s">
        <v>1454</v>
      </c>
      <c r="B369" s="10" t="s">
        <v>1455</v>
      </c>
      <c r="C369" s="10" t="s">
        <v>1456</v>
      </c>
      <c r="D369" s="12" t="n">
        <v>402</v>
      </c>
      <c r="E369" s="12"/>
      <c r="F369" s="12"/>
      <c r="G369" s="10" t="s">
        <v>1457</v>
      </c>
      <c r="H369" s="10" t="s">
        <v>1324</v>
      </c>
      <c r="I369" s="10" t="s">
        <v>1458</v>
      </c>
      <c r="J369" s="10" t="s">
        <v>1459</v>
      </c>
      <c r="K369" s="10" t="s">
        <v>1324</v>
      </c>
      <c r="L369" s="10" t="s">
        <v>60</v>
      </c>
      <c r="M369" s="10" t="s">
        <v>61</v>
      </c>
      <c r="N369" s="10"/>
      <c r="O369" s="10"/>
      <c r="P369" s="10" t="s">
        <v>629</v>
      </c>
      <c r="Q369" s="11" t="s">
        <v>64</v>
      </c>
      <c r="R369" s="11" t="s">
        <v>1082</v>
      </c>
      <c r="S369" s="11" t="s">
        <v>1270</v>
      </c>
      <c r="T369" s="11" t="s">
        <v>1460</v>
      </c>
      <c r="U369" s="10" t="n">
        <f aca="false">IF(AND($D369="",$E369="",$F369=""),1,0)</f>
        <v>0</v>
      </c>
      <c r="V369" s="10" t="n">
        <f aca="false">IF(OR($I369="",$I369="—"),1,0)</f>
        <v>0</v>
      </c>
      <c r="W369" s="10" t="n">
        <f aca="false">IF(AND(ISNUMBER($D369),ISNUMBER($E369)),IF($E369&gt;$D369,1,0),0)+IF(AND(ISNUMBER($D369),ISNUMBER($F369)),IF($D369&gt;$F369,1,0),0)+IF(AND(ISNUMBER($E369),ISNUMBER($F369)),IF($E369&gt;$F369,1,0),0)</f>
        <v>0</v>
      </c>
      <c r="X369" s="13" t="s">
        <v>68</v>
      </c>
    </row>
    <row r="370" customFormat="false" ht="15" hidden="false" customHeight="false" outlineLevel="0" collapsed="false">
      <c r="A370" s="10" t="s">
        <v>1461</v>
      </c>
      <c r="B370" s="10" t="s">
        <v>1462</v>
      </c>
      <c r="C370" s="10" t="s">
        <v>1463</v>
      </c>
      <c r="D370" s="12" t="n">
        <v>1251</v>
      </c>
      <c r="E370" s="12"/>
      <c r="F370" s="12"/>
      <c r="G370" s="10" t="s">
        <v>1464</v>
      </c>
      <c r="H370" s="10" t="s">
        <v>1324</v>
      </c>
      <c r="I370" s="10" t="s">
        <v>1458</v>
      </c>
      <c r="J370" s="10" t="s">
        <v>1459</v>
      </c>
      <c r="K370" s="10" t="s">
        <v>1324</v>
      </c>
      <c r="L370" s="10" t="s">
        <v>60</v>
      </c>
      <c r="M370" s="10" t="s">
        <v>61</v>
      </c>
      <c r="N370" s="10"/>
      <c r="O370" s="10"/>
      <c r="P370" s="10" t="s">
        <v>629</v>
      </c>
      <c r="Q370" s="11" t="s">
        <v>64</v>
      </c>
      <c r="R370" s="11" t="s">
        <v>1082</v>
      </c>
      <c r="S370" s="11" t="s">
        <v>1270</v>
      </c>
      <c r="T370" s="11" t="s">
        <v>1465</v>
      </c>
      <c r="U370" s="10" t="n">
        <f aca="false">IF(AND($D370="",$E370="",$F370=""),1,0)</f>
        <v>0</v>
      </c>
      <c r="V370" s="10" t="n">
        <f aca="false">IF(OR($I370="",$I370="—"),1,0)</f>
        <v>0</v>
      </c>
      <c r="W370" s="10" t="n">
        <f aca="false">IF(AND(ISNUMBER($D370),ISNUMBER($E370)),IF($E370&gt;$D370,1,0),0)+IF(AND(ISNUMBER($D370),ISNUMBER($F370)),IF($D370&gt;$F370,1,0),0)+IF(AND(ISNUMBER($E370),ISNUMBER($F370)),IF($E370&gt;$F370,1,0),0)</f>
        <v>0</v>
      </c>
      <c r="X370" s="13" t="s">
        <v>68</v>
      </c>
    </row>
    <row r="371" customFormat="false" ht="15" hidden="false" customHeight="false" outlineLevel="0" collapsed="false">
      <c r="A371" s="10" t="s">
        <v>1466</v>
      </c>
      <c r="B371" s="10" t="s">
        <v>1467</v>
      </c>
      <c r="C371" s="10" t="s">
        <v>1468</v>
      </c>
      <c r="D371" s="12" t="n">
        <v>18</v>
      </c>
      <c r="E371" s="12"/>
      <c r="F371" s="12"/>
      <c r="G371" s="10" t="s">
        <v>1411</v>
      </c>
      <c r="H371" s="10" t="s">
        <v>1469</v>
      </c>
      <c r="I371" s="10" t="s">
        <v>1470</v>
      </c>
      <c r="J371" s="10" t="s">
        <v>1471</v>
      </c>
      <c r="K371" s="10" t="s">
        <v>1472</v>
      </c>
      <c r="L371" s="10" t="s">
        <v>60</v>
      </c>
      <c r="M371" s="10" t="s">
        <v>61</v>
      </c>
      <c r="N371" s="10"/>
      <c r="O371" s="10"/>
      <c r="P371" s="10" t="s">
        <v>629</v>
      </c>
      <c r="Q371" s="11" t="s">
        <v>64</v>
      </c>
      <c r="R371" s="11" t="s">
        <v>1082</v>
      </c>
      <c r="S371" s="11" t="s">
        <v>702</v>
      </c>
      <c r="T371" s="11" t="s">
        <v>1473</v>
      </c>
      <c r="U371" s="10" t="n">
        <f aca="false">IF(AND($D371="",$E371="",$F371=""),1,0)</f>
        <v>0</v>
      </c>
      <c r="V371" s="10" t="n">
        <f aca="false">IF(OR($I371="",$I371="—"),1,0)</f>
        <v>0</v>
      </c>
      <c r="W371" s="10" t="n">
        <f aca="false">IF(AND(ISNUMBER($D371),ISNUMBER($E371)),IF($E371&gt;$D371,1,0),0)+IF(AND(ISNUMBER($D371),ISNUMBER($F371)),IF($D371&gt;$F371,1,0),0)+IF(AND(ISNUMBER($E371),ISNUMBER($F371)),IF($E371&gt;$F371,1,0),0)</f>
        <v>0</v>
      </c>
      <c r="X371" s="13" t="s">
        <v>68</v>
      </c>
    </row>
    <row r="372" customFormat="false" ht="15" hidden="false" customHeight="false" outlineLevel="0" collapsed="false">
      <c r="A372" s="10" t="s">
        <v>1474</v>
      </c>
      <c r="B372" s="10" t="s">
        <v>1475</v>
      </c>
      <c r="C372" s="10" t="s">
        <v>1476</v>
      </c>
      <c r="D372" s="12" t="n">
        <v>12.6</v>
      </c>
      <c r="E372" s="12"/>
      <c r="F372" s="12"/>
      <c r="G372" s="10" t="s">
        <v>1411</v>
      </c>
      <c r="H372" s="10" t="s">
        <v>1477</v>
      </c>
      <c r="I372" s="10" t="s">
        <v>1478</v>
      </c>
      <c r="J372" s="10" t="s">
        <v>1080</v>
      </c>
      <c r="K372" s="10" t="s">
        <v>1081</v>
      </c>
      <c r="L372" s="10" t="s">
        <v>60</v>
      </c>
      <c r="M372" s="10" t="s">
        <v>61</v>
      </c>
      <c r="N372" s="10"/>
      <c r="O372" s="10"/>
      <c r="P372" s="10" t="s">
        <v>629</v>
      </c>
      <c r="Q372" s="11" t="s">
        <v>64</v>
      </c>
      <c r="R372" s="11" t="s">
        <v>1082</v>
      </c>
      <c r="S372" s="11" t="s">
        <v>702</v>
      </c>
      <c r="T372" s="11" t="s">
        <v>1479</v>
      </c>
      <c r="U372" s="10" t="n">
        <f aca="false">IF(AND($D372="",$E372="",$F372=""),1,0)</f>
        <v>0</v>
      </c>
      <c r="V372" s="10" t="n">
        <f aca="false">IF(OR($I372="",$I372="—"),1,0)</f>
        <v>0</v>
      </c>
      <c r="W372" s="10" t="n">
        <f aca="false">IF(AND(ISNUMBER($D372),ISNUMBER($E372)),IF($E372&gt;$D372,1,0),0)+IF(AND(ISNUMBER($D372),ISNUMBER($F372)),IF($D372&gt;$F372,1,0),0)+IF(AND(ISNUMBER($E372),ISNUMBER($F372)),IF($E372&gt;$F372,1,0),0)</f>
        <v>0</v>
      </c>
      <c r="X372" s="13" t="s">
        <v>68</v>
      </c>
    </row>
    <row r="373" customFormat="false" ht="15" hidden="false" customHeight="false" outlineLevel="0" collapsed="false">
      <c r="A373" s="10" t="s">
        <v>1480</v>
      </c>
      <c r="B373" s="10" t="s">
        <v>1481</v>
      </c>
      <c r="C373" s="10" t="s">
        <v>1482</v>
      </c>
      <c r="D373" s="12" t="n">
        <v>72</v>
      </c>
      <c r="E373" s="12"/>
      <c r="F373" s="12"/>
      <c r="G373" s="10" t="s">
        <v>1411</v>
      </c>
      <c r="H373" s="10" t="s">
        <v>1469</v>
      </c>
      <c r="I373" s="10" t="s">
        <v>1470</v>
      </c>
      <c r="J373" s="10" t="s">
        <v>1471</v>
      </c>
      <c r="K373" s="10" t="s">
        <v>1472</v>
      </c>
      <c r="L373" s="10" t="s">
        <v>60</v>
      </c>
      <c r="M373" s="10" t="s">
        <v>61</v>
      </c>
      <c r="N373" s="10"/>
      <c r="O373" s="10"/>
      <c r="P373" s="10" t="s">
        <v>629</v>
      </c>
      <c r="Q373" s="11" t="s">
        <v>64</v>
      </c>
      <c r="R373" s="11" t="s">
        <v>1082</v>
      </c>
      <c r="S373" s="11" t="s">
        <v>702</v>
      </c>
      <c r="T373" s="11" t="s">
        <v>1483</v>
      </c>
      <c r="U373" s="10" t="n">
        <f aca="false">IF(AND($D373="",$E373="",$F373=""),1,0)</f>
        <v>0</v>
      </c>
      <c r="V373" s="10" t="n">
        <f aca="false">IF(OR($I373="",$I373="—"),1,0)</f>
        <v>0</v>
      </c>
      <c r="W373" s="10" t="n">
        <f aca="false">IF(AND(ISNUMBER($D373),ISNUMBER($E373)),IF($E373&gt;$D373,1,0),0)+IF(AND(ISNUMBER($D373),ISNUMBER($F373)),IF($D373&gt;$F373,1,0),0)+IF(AND(ISNUMBER($E373),ISNUMBER($F373)),IF($E373&gt;$F373,1,0),0)</f>
        <v>0</v>
      </c>
      <c r="X373" s="13" t="s">
        <v>68</v>
      </c>
    </row>
    <row r="374" customFormat="false" ht="15" hidden="false" customHeight="false" outlineLevel="0" collapsed="false">
      <c r="A374" s="10" t="s">
        <v>1484</v>
      </c>
      <c r="B374" s="10" t="s">
        <v>1485</v>
      </c>
      <c r="C374" s="10" t="s">
        <v>1486</v>
      </c>
      <c r="D374" s="12" t="n">
        <v>50.4</v>
      </c>
      <c r="E374" s="12"/>
      <c r="F374" s="12"/>
      <c r="G374" s="10" t="s">
        <v>1411</v>
      </c>
      <c r="H374" s="10" t="s">
        <v>1477</v>
      </c>
      <c r="I374" s="10" t="s">
        <v>1478</v>
      </c>
      <c r="J374" s="10" t="s">
        <v>1080</v>
      </c>
      <c r="K374" s="10" t="s">
        <v>1081</v>
      </c>
      <c r="L374" s="10" t="s">
        <v>60</v>
      </c>
      <c r="M374" s="10" t="s">
        <v>61</v>
      </c>
      <c r="N374" s="10"/>
      <c r="O374" s="10"/>
      <c r="P374" s="10" t="s">
        <v>629</v>
      </c>
      <c r="Q374" s="11" t="s">
        <v>64</v>
      </c>
      <c r="R374" s="11" t="s">
        <v>1082</v>
      </c>
      <c r="S374" s="11" t="s">
        <v>702</v>
      </c>
      <c r="T374" s="11" t="s">
        <v>1479</v>
      </c>
      <c r="U374" s="10" t="n">
        <f aca="false">IF(AND($D374="",$E374="",$F374=""),1,0)</f>
        <v>0</v>
      </c>
      <c r="V374" s="10" t="n">
        <f aca="false">IF(OR($I374="",$I374="—"),1,0)</f>
        <v>0</v>
      </c>
      <c r="W374" s="10" t="n">
        <f aca="false">IF(AND(ISNUMBER($D374),ISNUMBER($E374)),IF($E374&gt;$D374,1,0),0)+IF(AND(ISNUMBER($D374),ISNUMBER($F374)),IF($D374&gt;$F374,1,0),0)+IF(AND(ISNUMBER($E374),ISNUMBER($F374)),IF($E374&gt;$F374,1,0),0)</f>
        <v>0</v>
      </c>
      <c r="X374" s="13" t="s">
        <v>68</v>
      </c>
    </row>
    <row r="375" customFormat="false" ht="15" hidden="false" customHeight="false" outlineLevel="0" collapsed="false">
      <c r="A375" s="10" t="s">
        <v>1487</v>
      </c>
      <c r="B375" s="10" t="s">
        <v>1488</v>
      </c>
      <c r="C375" s="10" t="s">
        <v>1489</v>
      </c>
      <c r="D375" s="12" t="n">
        <v>160</v>
      </c>
      <c r="E375" s="12"/>
      <c r="F375" s="12"/>
      <c r="G375" s="10" t="s">
        <v>1411</v>
      </c>
      <c r="H375" s="10" t="s">
        <v>1469</v>
      </c>
      <c r="I375" s="10" t="s">
        <v>1470</v>
      </c>
      <c r="J375" s="10" t="s">
        <v>1471</v>
      </c>
      <c r="K375" s="10" t="s">
        <v>1472</v>
      </c>
      <c r="L375" s="10" t="s">
        <v>60</v>
      </c>
      <c r="M375" s="10" t="s">
        <v>61</v>
      </c>
      <c r="N375" s="10"/>
      <c r="O375" s="10"/>
      <c r="P375" s="10" t="s">
        <v>629</v>
      </c>
      <c r="Q375" s="11" t="s">
        <v>64</v>
      </c>
      <c r="R375" s="11" t="s">
        <v>1082</v>
      </c>
      <c r="S375" s="11" t="s">
        <v>702</v>
      </c>
      <c r="T375" s="11" t="s">
        <v>1490</v>
      </c>
      <c r="U375" s="10" t="n">
        <f aca="false">IF(AND($D375="",$E375="",$F375=""),1,0)</f>
        <v>0</v>
      </c>
      <c r="V375" s="10" t="n">
        <f aca="false">IF(OR($I375="",$I375="—"),1,0)</f>
        <v>0</v>
      </c>
      <c r="W375" s="10" t="n">
        <f aca="false">IF(AND(ISNUMBER($D375),ISNUMBER($E375)),IF($E375&gt;$D375,1,0),0)+IF(AND(ISNUMBER($D375),ISNUMBER($F375)),IF($D375&gt;$F375,1,0),0)+IF(AND(ISNUMBER($E375),ISNUMBER($F375)),IF($E375&gt;$F375,1,0),0)</f>
        <v>0</v>
      </c>
      <c r="X375" s="13" t="s">
        <v>68</v>
      </c>
    </row>
    <row r="376" customFormat="false" ht="15" hidden="false" customHeight="false" outlineLevel="0" collapsed="false">
      <c r="A376" s="10" t="s">
        <v>1491</v>
      </c>
      <c r="B376" s="10" t="s">
        <v>1492</v>
      </c>
      <c r="C376" s="10" t="s">
        <v>1493</v>
      </c>
      <c r="D376" s="12" t="n">
        <v>112</v>
      </c>
      <c r="E376" s="12"/>
      <c r="F376" s="12"/>
      <c r="G376" s="10" t="s">
        <v>1411</v>
      </c>
      <c r="H376" s="10" t="s">
        <v>1477</v>
      </c>
      <c r="I376" s="10" t="s">
        <v>1478</v>
      </c>
      <c r="J376" s="10" t="s">
        <v>1080</v>
      </c>
      <c r="K376" s="10" t="s">
        <v>1081</v>
      </c>
      <c r="L376" s="10" t="s">
        <v>60</v>
      </c>
      <c r="M376" s="10" t="s">
        <v>61</v>
      </c>
      <c r="N376" s="10"/>
      <c r="O376" s="10"/>
      <c r="P376" s="10" t="s">
        <v>629</v>
      </c>
      <c r="Q376" s="11" t="s">
        <v>64</v>
      </c>
      <c r="R376" s="11" t="s">
        <v>1082</v>
      </c>
      <c r="S376" s="11" t="s">
        <v>702</v>
      </c>
      <c r="T376" s="11" t="s">
        <v>1479</v>
      </c>
      <c r="U376" s="10" t="n">
        <f aca="false">IF(AND($D376="",$E376="",$F376=""),1,0)</f>
        <v>0</v>
      </c>
      <c r="V376" s="10" t="n">
        <f aca="false">IF(OR($I376="",$I376="—"),1,0)</f>
        <v>0</v>
      </c>
      <c r="W376" s="10" t="n">
        <f aca="false">IF(AND(ISNUMBER($D376),ISNUMBER($E376)),IF($E376&gt;$D376,1,0),0)+IF(AND(ISNUMBER($D376),ISNUMBER($F376)),IF($D376&gt;$F376,1,0),0)+IF(AND(ISNUMBER($E376),ISNUMBER($F376)),IF($E376&gt;$F376,1,0),0)</f>
        <v>0</v>
      </c>
      <c r="X376" s="13" t="s">
        <v>68</v>
      </c>
    </row>
    <row r="377" customFormat="false" ht="15" hidden="false" customHeight="false" outlineLevel="0" collapsed="false">
      <c r="A377" s="10" t="s">
        <v>1494</v>
      </c>
      <c r="B377" s="10" t="s">
        <v>1495</v>
      </c>
      <c r="C377" s="10" t="s">
        <v>1496</v>
      </c>
      <c r="D377" s="12" t="n">
        <v>30</v>
      </c>
      <c r="E377" s="12"/>
      <c r="F377" s="12"/>
      <c r="G377" s="10" t="s">
        <v>1497</v>
      </c>
      <c r="H377" s="10" t="s">
        <v>1498</v>
      </c>
      <c r="I377" s="10" t="s">
        <v>1499</v>
      </c>
      <c r="J377" s="10" t="s">
        <v>1080</v>
      </c>
      <c r="K377" s="10" t="s">
        <v>1081</v>
      </c>
      <c r="L377" s="10" t="s">
        <v>60</v>
      </c>
      <c r="M377" s="10" t="s">
        <v>61</v>
      </c>
      <c r="N377" s="10"/>
      <c r="O377" s="10"/>
      <c r="P377" s="10" t="s">
        <v>629</v>
      </c>
      <c r="Q377" s="11" t="s">
        <v>64</v>
      </c>
      <c r="R377" s="11" t="s">
        <v>1082</v>
      </c>
      <c r="S377" s="11" t="s">
        <v>702</v>
      </c>
      <c r="T377" s="10" t="s">
        <v>1500</v>
      </c>
      <c r="U377" s="10" t="n">
        <f aca="false">IF(AND($D377="",$E377="",$F377=""),1,0)</f>
        <v>0</v>
      </c>
      <c r="V377" s="10" t="n">
        <f aca="false">IF(OR($I377="",$I377="—"),1,0)</f>
        <v>0</v>
      </c>
      <c r="W377" s="10" t="n">
        <f aca="false">IF(AND(ISNUMBER($D377),ISNUMBER($E377)),IF($E377&gt;$D377,1,0),0)+IF(AND(ISNUMBER($D377),ISNUMBER($F377)),IF($D377&gt;$F377,1,0),0)+IF(AND(ISNUMBER($E377),ISNUMBER($F377)),IF($E377&gt;$F377,1,0),0)</f>
        <v>0</v>
      </c>
      <c r="X377" s="13" t="s">
        <v>68</v>
      </c>
    </row>
    <row r="378" customFormat="false" ht="15" hidden="false" customHeight="false" outlineLevel="0" collapsed="false">
      <c r="A378" s="10" t="s">
        <v>1501</v>
      </c>
      <c r="B378" s="10" t="s">
        <v>1502</v>
      </c>
      <c r="C378" s="10" t="s">
        <v>1503</v>
      </c>
      <c r="D378" s="12" t="n">
        <v>90</v>
      </c>
      <c r="E378" s="12"/>
      <c r="F378" s="12"/>
      <c r="G378" s="10" t="s">
        <v>1497</v>
      </c>
      <c r="H378" s="10" t="s">
        <v>1498</v>
      </c>
      <c r="I378" s="10" t="s">
        <v>1499</v>
      </c>
      <c r="J378" s="10" t="s">
        <v>1080</v>
      </c>
      <c r="K378" s="10" t="s">
        <v>1081</v>
      </c>
      <c r="L378" s="10" t="s">
        <v>60</v>
      </c>
      <c r="M378" s="10" t="s">
        <v>61</v>
      </c>
      <c r="N378" s="10"/>
      <c r="O378" s="10"/>
      <c r="P378" s="10" t="s">
        <v>629</v>
      </c>
      <c r="Q378" s="11" t="s">
        <v>64</v>
      </c>
      <c r="R378" s="11" t="s">
        <v>1082</v>
      </c>
      <c r="S378" s="11" t="s">
        <v>702</v>
      </c>
      <c r="T378" s="10" t="s">
        <v>1504</v>
      </c>
      <c r="U378" s="10" t="n">
        <f aca="false">IF(AND($D378="",$E378="",$F378=""),1,0)</f>
        <v>0</v>
      </c>
      <c r="V378" s="10" t="n">
        <f aca="false">IF(OR($I378="",$I378="—"),1,0)</f>
        <v>0</v>
      </c>
      <c r="W378" s="10" t="n">
        <f aca="false">IF(AND(ISNUMBER($D378),ISNUMBER($E378)),IF($E378&gt;$D378,1,0),0)+IF(AND(ISNUMBER($D378),ISNUMBER($F378)),IF($D378&gt;$F378,1,0),0)+IF(AND(ISNUMBER($E378),ISNUMBER($F378)),IF($E378&gt;$F378,1,0),0)</f>
        <v>0</v>
      </c>
      <c r="X378" s="13" t="s">
        <v>68</v>
      </c>
    </row>
    <row r="379" customFormat="false" ht="15" hidden="false" customHeight="false" outlineLevel="0" collapsed="false">
      <c r="A379" s="10" t="s">
        <v>1505</v>
      </c>
      <c r="B379" s="10" t="s">
        <v>1506</v>
      </c>
      <c r="C379" s="10" t="s">
        <v>1507</v>
      </c>
      <c r="D379" s="12" t="n">
        <v>240</v>
      </c>
      <c r="E379" s="12"/>
      <c r="F379" s="12"/>
      <c r="G379" s="10" t="s">
        <v>1497</v>
      </c>
      <c r="H379" s="10" t="s">
        <v>1498</v>
      </c>
      <c r="I379" s="10" t="s">
        <v>1499</v>
      </c>
      <c r="J379" s="10" t="s">
        <v>1080</v>
      </c>
      <c r="K379" s="10" t="s">
        <v>1081</v>
      </c>
      <c r="L379" s="10" t="s">
        <v>60</v>
      </c>
      <c r="M379" s="10" t="s">
        <v>61</v>
      </c>
      <c r="N379" s="10"/>
      <c r="O379" s="10"/>
      <c r="P379" s="10" t="s">
        <v>629</v>
      </c>
      <c r="Q379" s="11" t="s">
        <v>64</v>
      </c>
      <c r="R379" s="11" t="s">
        <v>1082</v>
      </c>
      <c r="S379" s="11" t="s">
        <v>702</v>
      </c>
      <c r="T379" s="10" t="s">
        <v>1508</v>
      </c>
      <c r="U379" s="10" t="n">
        <f aca="false">IF(AND($D379="",$E379="",$F379=""),1,0)</f>
        <v>0</v>
      </c>
      <c r="V379" s="10" t="n">
        <f aca="false">IF(OR($I379="",$I379="—"),1,0)</f>
        <v>0</v>
      </c>
      <c r="W379" s="10" t="n">
        <f aca="false">IF(AND(ISNUMBER($D379),ISNUMBER($E379)),IF($E379&gt;$D379,1,0),0)+IF(AND(ISNUMBER($D379),ISNUMBER($F379)),IF($D379&gt;$F379,1,0),0)+IF(AND(ISNUMBER($E379),ISNUMBER($F379)),IF($E379&gt;$F379,1,0),0)</f>
        <v>0</v>
      </c>
      <c r="X379" s="13" t="s">
        <v>68</v>
      </c>
    </row>
    <row r="380" customFormat="false" ht="15" hidden="false" customHeight="false" outlineLevel="0" collapsed="false">
      <c r="A380" s="10" t="s">
        <v>1509</v>
      </c>
      <c r="B380" s="10" t="s">
        <v>1510</v>
      </c>
      <c r="C380" s="10" t="s">
        <v>1511</v>
      </c>
      <c r="D380" s="12" t="n">
        <v>80</v>
      </c>
      <c r="E380" s="12"/>
      <c r="F380" s="12"/>
      <c r="G380" s="10" t="s">
        <v>1512</v>
      </c>
      <c r="H380" s="10" t="s">
        <v>1513</v>
      </c>
      <c r="I380" s="10" t="s">
        <v>1395</v>
      </c>
      <c r="J380" s="10" t="s">
        <v>1396</v>
      </c>
      <c r="K380" s="10" t="s">
        <v>1397</v>
      </c>
      <c r="L380" s="10" t="s">
        <v>60</v>
      </c>
      <c r="M380" s="10" t="s">
        <v>61</v>
      </c>
      <c r="N380" s="10"/>
      <c r="O380" s="10"/>
      <c r="P380" s="10" t="s">
        <v>629</v>
      </c>
      <c r="Q380" s="11" t="s">
        <v>64</v>
      </c>
      <c r="R380" s="11" t="s">
        <v>1082</v>
      </c>
      <c r="S380" s="11" t="s">
        <v>702</v>
      </c>
      <c r="T380" s="10" t="s">
        <v>1514</v>
      </c>
      <c r="U380" s="10" t="n">
        <f aca="false">IF(AND($D380="",$E380="",$F380=""),1,0)</f>
        <v>0</v>
      </c>
      <c r="V380" s="10" t="n">
        <f aca="false">IF(OR($I380="",$I380="—"),1,0)</f>
        <v>0</v>
      </c>
      <c r="W380" s="10" t="n">
        <f aca="false">IF(AND(ISNUMBER($D380),ISNUMBER($E380)),IF($E380&gt;$D380,1,0),0)+IF(AND(ISNUMBER($D380),ISNUMBER($F380)),IF($D380&gt;$F380,1,0),0)+IF(AND(ISNUMBER($E380),ISNUMBER($F380)),IF($E380&gt;$F380,1,0),0)</f>
        <v>0</v>
      </c>
      <c r="X380" s="13" t="s">
        <v>68</v>
      </c>
    </row>
    <row r="381" customFormat="false" ht="15" hidden="false" customHeight="false" outlineLevel="0" collapsed="false">
      <c r="A381" s="10" t="s">
        <v>1515</v>
      </c>
      <c r="B381" s="10" t="s">
        <v>1516</v>
      </c>
      <c r="C381" s="10" t="s">
        <v>1517</v>
      </c>
      <c r="D381" s="12" t="n">
        <v>400</v>
      </c>
      <c r="E381" s="12"/>
      <c r="F381" s="12"/>
      <c r="G381" s="10" t="s">
        <v>1512</v>
      </c>
      <c r="H381" s="10" t="s">
        <v>1513</v>
      </c>
      <c r="I381" s="10" t="s">
        <v>1395</v>
      </c>
      <c r="J381" s="10" t="s">
        <v>1396</v>
      </c>
      <c r="K381" s="10" t="s">
        <v>1397</v>
      </c>
      <c r="L381" s="10" t="s">
        <v>60</v>
      </c>
      <c r="M381" s="10" t="s">
        <v>61</v>
      </c>
      <c r="N381" s="10"/>
      <c r="O381" s="10"/>
      <c r="P381" s="10" t="s">
        <v>629</v>
      </c>
      <c r="Q381" s="11" t="s">
        <v>64</v>
      </c>
      <c r="R381" s="11" t="s">
        <v>1082</v>
      </c>
      <c r="S381" s="11" t="s">
        <v>702</v>
      </c>
      <c r="T381" s="10" t="s">
        <v>1518</v>
      </c>
      <c r="U381" s="10" t="n">
        <f aca="false">IF(AND($D381="",$E381="",$F381=""),1,0)</f>
        <v>0</v>
      </c>
      <c r="V381" s="10" t="n">
        <f aca="false">IF(OR($I381="",$I381="—"),1,0)</f>
        <v>0</v>
      </c>
      <c r="W381" s="10" t="n">
        <f aca="false">IF(AND(ISNUMBER($D381),ISNUMBER($E381)),IF($E381&gt;$D381,1,0),0)+IF(AND(ISNUMBER($D381),ISNUMBER($F381)),IF($D381&gt;$F381,1,0),0)+IF(AND(ISNUMBER($E381),ISNUMBER($F381)),IF($E381&gt;$F381,1,0),0)</f>
        <v>0</v>
      </c>
      <c r="X381" s="13" t="s">
        <v>68</v>
      </c>
    </row>
    <row r="382" customFormat="false" ht="15" hidden="false" customHeight="false" outlineLevel="0" collapsed="false">
      <c r="A382" s="10" t="s">
        <v>1519</v>
      </c>
      <c r="B382" s="10" t="s">
        <v>1520</v>
      </c>
      <c r="C382" s="10" t="s">
        <v>1521</v>
      </c>
      <c r="D382" s="12" t="n">
        <v>1600</v>
      </c>
      <c r="E382" s="12"/>
      <c r="F382" s="12"/>
      <c r="G382" s="10" t="s">
        <v>1512</v>
      </c>
      <c r="H382" s="10" t="s">
        <v>1513</v>
      </c>
      <c r="I382" s="10" t="s">
        <v>1395</v>
      </c>
      <c r="J382" s="10" t="s">
        <v>1396</v>
      </c>
      <c r="K382" s="10" t="s">
        <v>1397</v>
      </c>
      <c r="L382" s="10" t="s">
        <v>60</v>
      </c>
      <c r="M382" s="10" t="s">
        <v>61</v>
      </c>
      <c r="N382" s="10"/>
      <c r="O382" s="10"/>
      <c r="P382" s="10" t="s">
        <v>629</v>
      </c>
      <c r="Q382" s="11" t="s">
        <v>64</v>
      </c>
      <c r="R382" s="11" t="s">
        <v>1082</v>
      </c>
      <c r="S382" s="11" t="s">
        <v>702</v>
      </c>
      <c r="T382" s="10" t="s">
        <v>1522</v>
      </c>
      <c r="U382" s="10" t="n">
        <f aca="false">IF(AND($D382="",$E382="",$F382=""),1,0)</f>
        <v>0</v>
      </c>
      <c r="V382" s="10" t="n">
        <f aca="false">IF(OR($I382="",$I382="—"),1,0)</f>
        <v>0</v>
      </c>
      <c r="W382" s="10" t="n">
        <f aca="false">IF(AND(ISNUMBER($D382),ISNUMBER($E382)),IF($E382&gt;$D382,1,0),0)+IF(AND(ISNUMBER($D382),ISNUMBER($F382)),IF($D382&gt;$F382,1,0),0)+IF(AND(ISNUMBER($E382),ISNUMBER($F382)),IF($E382&gt;$F382,1,0),0)</f>
        <v>0</v>
      </c>
      <c r="X382" s="13" t="s">
        <v>68</v>
      </c>
    </row>
    <row r="383" customFormat="false" ht="15" hidden="false" customHeight="false" outlineLevel="0" collapsed="false">
      <c r="A383" s="10" t="s">
        <v>1523</v>
      </c>
      <c r="B383" s="10" t="s">
        <v>1524</v>
      </c>
      <c r="C383" s="11" t="s">
        <v>1525</v>
      </c>
      <c r="D383" s="12"/>
      <c r="E383" s="12" t="n">
        <v>15</v>
      </c>
      <c r="F383" s="12" t="n">
        <v>20</v>
      </c>
      <c r="G383" s="11" t="s">
        <v>1526</v>
      </c>
      <c r="H383" s="10" t="s">
        <v>1339</v>
      </c>
      <c r="I383" s="10" t="s">
        <v>1395</v>
      </c>
      <c r="J383" s="10" t="s">
        <v>1396</v>
      </c>
      <c r="K383" s="10" t="s">
        <v>1397</v>
      </c>
      <c r="L383" s="10" t="s">
        <v>60</v>
      </c>
      <c r="M383" s="10" t="s">
        <v>408</v>
      </c>
      <c r="N383" s="11" t="s">
        <v>1355</v>
      </c>
      <c r="O383" s="10"/>
      <c r="P383" s="10" t="s">
        <v>629</v>
      </c>
      <c r="Q383" s="11" t="s">
        <v>64</v>
      </c>
      <c r="R383" s="11" t="s">
        <v>1355</v>
      </c>
      <c r="S383" s="11" t="s">
        <v>702</v>
      </c>
      <c r="T383" s="11" t="s">
        <v>1527</v>
      </c>
      <c r="U383" s="10" t="n">
        <f aca="false">IF(AND($D383="",$E383="",$F383=""),1,0)</f>
        <v>0</v>
      </c>
      <c r="V383" s="10" t="n">
        <f aca="false">IF(OR($I383="",$I383="—"),1,0)</f>
        <v>0</v>
      </c>
      <c r="W383" s="10" t="n">
        <f aca="false">IF(AND(ISNUMBER($D383),ISNUMBER($E383)),IF($E383&gt;$D383,1,0),0)+IF(AND(ISNUMBER($D383),ISNUMBER($F383)),IF($D383&gt;$F383,1,0),0)+IF(AND(ISNUMBER($E383),ISNUMBER($F383)),IF($E383&gt;$F383,1,0),0)</f>
        <v>0</v>
      </c>
      <c r="X383" s="13" t="s">
        <v>68</v>
      </c>
    </row>
    <row r="384" customFormat="false" ht="15" hidden="false" customHeight="false" outlineLevel="0" collapsed="false">
      <c r="A384" s="10" t="s">
        <v>1528</v>
      </c>
      <c r="B384" s="10" t="s">
        <v>1529</v>
      </c>
      <c r="C384" s="11" t="s">
        <v>1530</v>
      </c>
      <c r="D384" s="12" t="n">
        <v>79</v>
      </c>
      <c r="E384" s="12"/>
      <c r="F384" s="12"/>
      <c r="G384" s="10" t="s">
        <v>1402</v>
      </c>
      <c r="H384" s="10" t="s">
        <v>1531</v>
      </c>
      <c r="I384" s="10" t="s">
        <v>1532</v>
      </c>
      <c r="J384" s="10" t="s">
        <v>1533</v>
      </c>
      <c r="K384" s="10" t="s">
        <v>60</v>
      </c>
      <c r="L384" s="10" t="s">
        <v>60</v>
      </c>
      <c r="M384" s="10" t="s">
        <v>61</v>
      </c>
      <c r="N384" s="10"/>
      <c r="O384" s="10"/>
      <c r="P384" s="10" t="s">
        <v>63</v>
      </c>
      <c r="Q384" s="11" t="s">
        <v>64</v>
      </c>
      <c r="R384" s="11" t="s">
        <v>938</v>
      </c>
      <c r="S384" s="11" t="s">
        <v>66</v>
      </c>
      <c r="T384" s="10" t="s">
        <v>1534</v>
      </c>
      <c r="U384" s="10" t="n">
        <f aca="false">IF(AND($D384="",$E384="",$F384=""),1,0)</f>
        <v>0</v>
      </c>
      <c r="V384" s="10" t="n">
        <f aca="false">IF(OR($I384="",$I384="—"),1,0)</f>
        <v>0</v>
      </c>
      <c r="W384" s="10" t="n">
        <f aca="false">IF(AND(ISNUMBER($D384),ISNUMBER($E384)),IF($E384&gt;$D384,1,0),0)+IF(AND(ISNUMBER($D384),ISNUMBER($F384)),IF($D384&gt;$F384,1,0),0)+IF(AND(ISNUMBER($E384),ISNUMBER($F384)),IF($E384&gt;$F384,1,0),0)</f>
        <v>0</v>
      </c>
      <c r="X384" s="13" t="s">
        <v>68</v>
      </c>
    </row>
    <row r="385" customFormat="false" ht="15" hidden="false" customHeight="false" outlineLevel="0" collapsed="false">
      <c r="A385" s="10" t="s">
        <v>1535</v>
      </c>
      <c r="B385" s="10" t="s">
        <v>1536</v>
      </c>
      <c r="C385" s="11" t="s">
        <v>1537</v>
      </c>
      <c r="D385" s="12" t="n">
        <v>219</v>
      </c>
      <c r="E385" s="12"/>
      <c r="F385" s="12"/>
      <c r="G385" s="10" t="s">
        <v>1457</v>
      </c>
      <c r="H385" s="10" t="s">
        <v>1531</v>
      </c>
      <c r="I385" s="10" t="s">
        <v>1532</v>
      </c>
      <c r="J385" s="10" t="s">
        <v>1533</v>
      </c>
      <c r="K385" s="10" t="s">
        <v>60</v>
      </c>
      <c r="L385" s="10" t="s">
        <v>60</v>
      </c>
      <c r="M385" s="10" t="s">
        <v>61</v>
      </c>
      <c r="N385" s="10"/>
      <c r="O385" s="10"/>
      <c r="P385" s="10" t="s">
        <v>63</v>
      </c>
      <c r="Q385" s="11" t="s">
        <v>64</v>
      </c>
      <c r="R385" s="11" t="s">
        <v>938</v>
      </c>
      <c r="S385" s="11" t="s">
        <v>66</v>
      </c>
      <c r="T385" s="11" t="s">
        <v>1538</v>
      </c>
      <c r="U385" s="10" t="n">
        <f aca="false">IF(AND($D385="",$E385="",$F385=""),1,0)</f>
        <v>0</v>
      </c>
      <c r="V385" s="10" t="n">
        <f aca="false">IF(OR($I385="",$I385="—"),1,0)</f>
        <v>0</v>
      </c>
      <c r="W385" s="10" t="n">
        <f aca="false">IF(AND(ISNUMBER($D385),ISNUMBER($E385)),IF($E385&gt;$D385,1,0),0)+IF(AND(ISNUMBER($D385),ISNUMBER($F385)),IF($D385&gt;$F385,1,0),0)+IF(AND(ISNUMBER($E385),ISNUMBER($F385)),IF($E385&gt;$F385,1,0),0)</f>
        <v>0</v>
      </c>
      <c r="X385" s="13" t="s">
        <v>68</v>
      </c>
    </row>
    <row r="386" customFormat="false" ht="15" hidden="false" customHeight="false" outlineLevel="0" collapsed="false">
      <c r="A386" s="10" t="s">
        <v>1539</v>
      </c>
      <c r="B386" s="10" t="s">
        <v>1540</v>
      </c>
      <c r="C386" s="11" t="s">
        <v>1541</v>
      </c>
      <c r="D386" s="12" t="n">
        <v>859</v>
      </c>
      <c r="E386" s="12"/>
      <c r="F386" s="12"/>
      <c r="G386" s="10" t="s">
        <v>1464</v>
      </c>
      <c r="H386" s="10" t="s">
        <v>1531</v>
      </c>
      <c r="I386" s="10" t="s">
        <v>1532</v>
      </c>
      <c r="J386" s="10" t="s">
        <v>1533</v>
      </c>
      <c r="K386" s="10" t="s">
        <v>60</v>
      </c>
      <c r="L386" s="10" t="s">
        <v>60</v>
      </c>
      <c r="M386" s="10" t="s">
        <v>61</v>
      </c>
      <c r="N386" s="10"/>
      <c r="O386" s="10"/>
      <c r="P386" s="10" t="s">
        <v>63</v>
      </c>
      <c r="Q386" s="11" t="s">
        <v>64</v>
      </c>
      <c r="R386" s="11" t="s">
        <v>938</v>
      </c>
      <c r="S386" s="11" t="s">
        <v>66</v>
      </c>
      <c r="T386" s="11" t="s">
        <v>1542</v>
      </c>
      <c r="U386" s="10" t="n">
        <f aca="false">IF(AND($D386="",$E386="",$F386=""),1,0)</f>
        <v>0</v>
      </c>
      <c r="V386" s="10" t="n">
        <f aca="false">IF(OR($I386="",$I386="—"),1,0)</f>
        <v>0</v>
      </c>
      <c r="W386" s="10" t="n">
        <f aca="false">IF(AND(ISNUMBER($D386),ISNUMBER($E386)),IF($E386&gt;$D386,1,0),0)+IF(AND(ISNUMBER($D386),ISNUMBER($F386)),IF($D386&gt;$F386,1,0),0)+IF(AND(ISNUMBER($E386),ISNUMBER($F386)),IF($E386&gt;$F386,1,0),0)</f>
        <v>0</v>
      </c>
      <c r="X386" s="13" t="s">
        <v>68</v>
      </c>
    </row>
    <row r="387" customFormat="false" ht="15" hidden="false" customHeight="false" outlineLevel="0" collapsed="false">
      <c r="A387" s="10" t="s">
        <v>1543</v>
      </c>
      <c r="B387" s="10" t="s">
        <v>1544</v>
      </c>
      <c r="C387" s="11" t="s">
        <v>1545</v>
      </c>
      <c r="D387" s="12" t="n">
        <v>119</v>
      </c>
      <c r="E387" s="12"/>
      <c r="F387" s="12"/>
      <c r="G387" s="10" t="s">
        <v>1402</v>
      </c>
      <c r="H387" s="10" t="s">
        <v>1531</v>
      </c>
      <c r="I387" s="10" t="s">
        <v>1532</v>
      </c>
      <c r="J387" s="10" t="s">
        <v>1533</v>
      </c>
      <c r="K387" s="10" t="s">
        <v>60</v>
      </c>
      <c r="L387" s="10" t="s">
        <v>60</v>
      </c>
      <c r="M387" s="10" t="s">
        <v>61</v>
      </c>
      <c r="N387" s="10"/>
      <c r="O387" s="10"/>
      <c r="P387" s="10" t="s">
        <v>63</v>
      </c>
      <c r="Q387" s="11" t="s">
        <v>64</v>
      </c>
      <c r="R387" s="11" t="s">
        <v>938</v>
      </c>
      <c r="S387" s="11" t="s">
        <v>66</v>
      </c>
      <c r="T387" s="11" t="s">
        <v>1546</v>
      </c>
      <c r="U387" s="10" t="n">
        <f aca="false">IF(AND($D387="",$E387="",$F387=""),1,0)</f>
        <v>0</v>
      </c>
      <c r="V387" s="10" t="n">
        <f aca="false">IF(OR($I387="",$I387="—"),1,0)</f>
        <v>0</v>
      </c>
      <c r="W387" s="10" t="n">
        <f aca="false">IF(AND(ISNUMBER($D387),ISNUMBER($E387)),IF($E387&gt;$D387,1,0),0)+IF(AND(ISNUMBER($D387),ISNUMBER($F387)),IF($D387&gt;$F387,1,0),0)+IF(AND(ISNUMBER($E387),ISNUMBER($F387)),IF($E387&gt;$F387,1,0),0)</f>
        <v>0</v>
      </c>
      <c r="X387" s="13" t="s">
        <v>68</v>
      </c>
    </row>
    <row r="388" customFormat="false" ht="15" hidden="false" customHeight="false" outlineLevel="0" collapsed="false">
      <c r="A388" s="10" t="s">
        <v>1547</v>
      </c>
      <c r="B388" s="10" t="s">
        <v>1548</v>
      </c>
      <c r="C388" s="11" t="s">
        <v>1549</v>
      </c>
      <c r="D388" s="12" t="n">
        <v>229</v>
      </c>
      <c r="E388" s="12"/>
      <c r="F388" s="12"/>
      <c r="G388" s="10" t="s">
        <v>1402</v>
      </c>
      <c r="H388" s="10" t="s">
        <v>1531</v>
      </c>
      <c r="I388" s="10" t="s">
        <v>1532</v>
      </c>
      <c r="J388" s="10" t="s">
        <v>1533</v>
      </c>
      <c r="K388" s="10" t="s">
        <v>60</v>
      </c>
      <c r="L388" s="10" t="s">
        <v>60</v>
      </c>
      <c r="M388" s="10" t="s">
        <v>61</v>
      </c>
      <c r="N388" s="10"/>
      <c r="O388" s="10"/>
      <c r="P388" s="10" t="s">
        <v>63</v>
      </c>
      <c r="Q388" s="11" t="s">
        <v>64</v>
      </c>
      <c r="R388" s="11" t="s">
        <v>938</v>
      </c>
      <c r="S388" s="11" t="s">
        <v>66</v>
      </c>
      <c r="T388" s="11" t="s">
        <v>1550</v>
      </c>
      <c r="U388" s="10" t="n">
        <f aca="false">IF(AND($D388="",$E388="",$F388=""),1,0)</f>
        <v>0</v>
      </c>
      <c r="V388" s="10" t="n">
        <f aca="false">IF(OR($I388="",$I388="—"),1,0)</f>
        <v>0</v>
      </c>
      <c r="W388" s="10" t="n">
        <f aca="false">IF(AND(ISNUMBER($D388),ISNUMBER($E388)),IF($E388&gt;$D388,1,0),0)+IF(AND(ISNUMBER($D388),ISNUMBER($F388)),IF($D388&gt;$F388,1,0),0)+IF(AND(ISNUMBER($E388),ISNUMBER($F388)),IF($E388&gt;$F388,1,0),0)</f>
        <v>0</v>
      </c>
      <c r="X388" s="13" t="s">
        <v>68</v>
      </c>
    </row>
    <row r="389" customFormat="false" ht="15" hidden="false" customHeight="false" outlineLevel="0" collapsed="false">
      <c r="A389" s="10" t="s">
        <v>1551</v>
      </c>
      <c r="B389" s="10" t="s">
        <v>1552</v>
      </c>
      <c r="C389" s="11" t="s">
        <v>1553</v>
      </c>
      <c r="D389" s="12" t="n">
        <v>19</v>
      </c>
      <c r="E389" s="12"/>
      <c r="F389" s="12"/>
      <c r="G389" s="10" t="s">
        <v>1402</v>
      </c>
      <c r="H389" s="11" t="s">
        <v>1554</v>
      </c>
      <c r="I389" s="10" t="s">
        <v>1532</v>
      </c>
      <c r="J389" s="10" t="s">
        <v>1533</v>
      </c>
      <c r="K389" s="10" t="s">
        <v>60</v>
      </c>
      <c r="L389" s="10" t="s">
        <v>60</v>
      </c>
      <c r="M389" s="10" t="s">
        <v>61</v>
      </c>
      <c r="N389" s="10"/>
      <c r="O389" s="10"/>
      <c r="P389" s="10" t="s">
        <v>63</v>
      </c>
      <c r="Q389" s="11" t="s">
        <v>64</v>
      </c>
      <c r="R389" s="11" t="s">
        <v>938</v>
      </c>
      <c r="S389" s="11" t="s">
        <v>66</v>
      </c>
      <c r="T389" s="11" t="s">
        <v>1555</v>
      </c>
      <c r="U389" s="10" t="n">
        <f aca="false">IF(AND($D389="",$E389="",$F389=""),1,0)</f>
        <v>0</v>
      </c>
      <c r="V389" s="10" t="n">
        <f aca="false">IF(OR($I389="",$I389="—"),1,0)</f>
        <v>0</v>
      </c>
      <c r="W389" s="10" t="n">
        <f aca="false">IF(AND(ISNUMBER($D389),ISNUMBER($E389)),IF($E389&gt;$D389,1,0),0)+IF(AND(ISNUMBER($D389),ISNUMBER($F389)),IF($D389&gt;$F389,1,0),0)+IF(AND(ISNUMBER($E389),ISNUMBER($F389)),IF($E389&gt;$F389,1,0),0)</f>
        <v>0</v>
      </c>
      <c r="X389" s="13" t="s">
        <v>68</v>
      </c>
    </row>
    <row r="390" customFormat="false" ht="15" hidden="false" customHeight="false" outlineLevel="0" collapsed="false">
      <c r="A390" s="10" t="s">
        <v>1556</v>
      </c>
      <c r="B390" s="10" t="s">
        <v>1557</v>
      </c>
      <c r="C390" s="10" t="s">
        <v>1558</v>
      </c>
      <c r="D390" s="12"/>
      <c r="E390" s="12"/>
      <c r="F390" s="12"/>
      <c r="G390" s="11" t="s">
        <v>1393</v>
      </c>
      <c r="H390" s="10" t="s">
        <v>1559</v>
      </c>
      <c r="I390" s="10" t="s">
        <v>1560</v>
      </c>
      <c r="J390" s="10" t="s">
        <v>1561</v>
      </c>
      <c r="K390" s="10" t="s">
        <v>60</v>
      </c>
      <c r="L390" s="10" t="s">
        <v>60</v>
      </c>
      <c r="M390" s="10" t="s">
        <v>61</v>
      </c>
      <c r="N390" s="10"/>
      <c r="O390" s="10"/>
      <c r="P390" s="10" t="s">
        <v>629</v>
      </c>
      <c r="Q390" s="11" t="s">
        <v>64</v>
      </c>
      <c r="R390" s="11" t="s">
        <v>1082</v>
      </c>
      <c r="S390" s="11" t="s">
        <v>702</v>
      </c>
      <c r="T390" s="11" t="s">
        <v>1562</v>
      </c>
      <c r="U390" s="10" t="n">
        <f aca="false">IF(AND($D390="",$E390="",$F390=""),1,0)</f>
        <v>1</v>
      </c>
      <c r="V390" s="10" t="n">
        <f aca="false">IF(OR($I390="",$I390="—"),1,0)</f>
        <v>0</v>
      </c>
      <c r="W390" s="10" t="n">
        <f aca="false">IF(AND(ISNUMBER($D390),ISNUMBER($E390)),IF($E390&gt;$D390,1,0),0)+IF(AND(ISNUMBER($D390),ISNUMBER($F390)),IF($D390&gt;$F390,1,0),0)+IF(AND(ISNUMBER($E390),ISNUMBER($F390)),IF($E390&gt;$F390,1,0),0)</f>
        <v>0</v>
      </c>
      <c r="X390" s="13" t="s">
        <v>68</v>
      </c>
    </row>
    <row r="391" customFormat="false" ht="15" hidden="false" customHeight="false" outlineLevel="0" collapsed="false">
      <c r="A391" s="10" t="s">
        <v>1563</v>
      </c>
      <c r="B391" s="10" t="s">
        <v>1564</v>
      </c>
      <c r="C391" s="10" t="s">
        <v>1565</v>
      </c>
      <c r="D391" s="12"/>
      <c r="E391" s="12"/>
      <c r="F391" s="12"/>
      <c r="G391" s="11" t="s">
        <v>1393</v>
      </c>
      <c r="H391" s="10" t="s">
        <v>1566</v>
      </c>
      <c r="I391" s="10" t="s">
        <v>1567</v>
      </c>
      <c r="J391" s="10" t="s">
        <v>1568</v>
      </c>
      <c r="K391" s="10" t="s">
        <v>60</v>
      </c>
      <c r="L391" s="10" t="s">
        <v>60</v>
      </c>
      <c r="M391" s="10" t="s">
        <v>61</v>
      </c>
      <c r="N391" s="10"/>
      <c r="O391" s="10"/>
      <c r="P391" s="10" t="s">
        <v>629</v>
      </c>
      <c r="Q391" s="11" t="s">
        <v>64</v>
      </c>
      <c r="R391" s="11" t="s">
        <v>1082</v>
      </c>
      <c r="S391" s="11" t="s">
        <v>1270</v>
      </c>
      <c r="T391" s="11" t="s">
        <v>1569</v>
      </c>
      <c r="U391" s="10" t="n">
        <f aca="false">IF(AND($D391="",$E391="",$F391=""),1,0)</f>
        <v>1</v>
      </c>
      <c r="V391" s="10" t="n">
        <f aca="false">IF(OR($I391="",$I391="—"),1,0)</f>
        <v>0</v>
      </c>
      <c r="W391" s="10" t="n">
        <f aca="false">IF(AND(ISNUMBER($D391),ISNUMBER($E391)),IF($E391&gt;$D391,1,0),0)+IF(AND(ISNUMBER($D391),ISNUMBER($F391)),IF($D391&gt;$F391,1,0),0)+IF(AND(ISNUMBER($E391),ISNUMBER($F391)),IF($E391&gt;$F391,1,0),0)</f>
        <v>0</v>
      </c>
      <c r="X391" s="13" t="s">
        <v>68</v>
      </c>
    </row>
    <row r="392" customFormat="false" ht="15" hidden="false" customHeight="false" outlineLevel="0" collapsed="false">
      <c r="A392" s="10" t="s">
        <v>1570</v>
      </c>
      <c r="B392" s="10" t="s">
        <v>1571</v>
      </c>
      <c r="C392" s="10" t="s">
        <v>1572</v>
      </c>
      <c r="D392" s="12"/>
      <c r="E392" s="12"/>
      <c r="F392" s="12"/>
      <c r="G392" s="11" t="s">
        <v>1393</v>
      </c>
      <c r="H392" s="10" t="s">
        <v>1297</v>
      </c>
      <c r="I392" s="10" t="s">
        <v>1560</v>
      </c>
      <c r="J392" s="10" t="s">
        <v>1561</v>
      </c>
      <c r="K392" s="10" t="s">
        <v>60</v>
      </c>
      <c r="L392" s="10" t="s">
        <v>60</v>
      </c>
      <c r="M392" s="10" t="s">
        <v>61</v>
      </c>
      <c r="N392" s="10"/>
      <c r="O392" s="10"/>
      <c r="P392" s="10" t="s">
        <v>629</v>
      </c>
      <c r="Q392" s="11" t="s">
        <v>64</v>
      </c>
      <c r="R392" s="11" t="s">
        <v>1082</v>
      </c>
      <c r="S392" s="11" t="s">
        <v>702</v>
      </c>
      <c r="T392" s="11" t="s">
        <v>1573</v>
      </c>
      <c r="U392" s="10" t="n">
        <f aca="false">IF(AND($D392="",$E392="",$F392=""),1,0)</f>
        <v>1</v>
      </c>
      <c r="V392" s="10" t="n">
        <f aca="false">IF(OR($I392="",$I392="—"),1,0)</f>
        <v>0</v>
      </c>
      <c r="W392" s="10" t="n">
        <f aca="false">IF(AND(ISNUMBER($D392),ISNUMBER($E392)),IF($E392&gt;$D392,1,0),0)+IF(AND(ISNUMBER($D392),ISNUMBER($F392)),IF($D392&gt;$F392,1,0),0)+IF(AND(ISNUMBER($E392),ISNUMBER($F392)),IF($E392&gt;$F392,1,0),0)</f>
        <v>0</v>
      </c>
      <c r="X392" s="13" t="s">
        <v>68</v>
      </c>
    </row>
    <row r="393" customFormat="false" ht="15" hidden="false" customHeight="false" outlineLevel="0" collapsed="false">
      <c r="A393" s="10" t="s">
        <v>1574</v>
      </c>
      <c r="B393" s="10" t="s">
        <v>1575</v>
      </c>
      <c r="C393" s="10" t="s">
        <v>1576</v>
      </c>
      <c r="D393" s="12"/>
      <c r="E393" s="12"/>
      <c r="F393" s="12"/>
      <c r="G393" s="11" t="s">
        <v>1393</v>
      </c>
      <c r="H393" s="10" t="s">
        <v>1577</v>
      </c>
      <c r="I393" s="10" t="s">
        <v>1567</v>
      </c>
      <c r="J393" s="10" t="s">
        <v>1568</v>
      </c>
      <c r="K393" s="10" t="s">
        <v>60</v>
      </c>
      <c r="L393" s="10" t="s">
        <v>60</v>
      </c>
      <c r="M393" s="10" t="s">
        <v>61</v>
      </c>
      <c r="N393" s="10"/>
      <c r="O393" s="10"/>
      <c r="P393" s="10" t="s">
        <v>629</v>
      </c>
      <c r="Q393" s="11" t="s">
        <v>64</v>
      </c>
      <c r="R393" s="11" t="s">
        <v>1082</v>
      </c>
      <c r="S393" s="11" t="s">
        <v>1270</v>
      </c>
      <c r="T393" s="11" t="s">
        <v>1578</v>
      </c>
      <c r="U393" s="10" t="n">
        <f aca="false">IF(AND($D393="",$E393="",$F393=""),1,0)</f>
        <v>1</v>
      </c>
      <c r="V393" s="10" t="n">
        <f aca="false">IF(OR($I393="",$I393="—"),1,0)</f>
        <v>0</v>
      </c>
      <c r="W393" s="10" t="n">
        <f aca="false">IF(AND(ISNUMBER($D393),ISNUMBER($E393)),IF($E393&gt;$D393,1,0),0)+IF(AND(ISNUMBER($D393),ISNUMBER($F393)),IF($D393&gt;$F393,1,0),0)+IF(AND(ISNUMBER($E393),ISNUMBER($F393)),IF($E393&gt;$F393,1,0),0)</f>
        <v>0</v>
      </c>
      <c r="X393" s="13" t="s">
        <v>68</v>
      </c>
    </row>
    <row r="394" customFormat="false" ht="15" hidden="false" customHeight="false" outlineLevel="0" collapsed="false">
      <c r="A394" s="10" t="s">
        <v>1579</v>
      </c>
      <c r="B394" s="10" t="s">
        <v>1580</v>
      </c>
      <c r="C394" s="10" t="s">
        <v>1581</v>
      </c>
      <c r="D394" s="12"/>
      <c r="E394" s="12"/>
      <c r="F394" s="12"/>
      <c r="G394" s="11" t="s">
        <v>1393</v>
      </c>
      <c r="H394" s="10" t="s">
        <v>1321</v>
      </c>
      <c r="I394" s="11" t="s">
        <v>1582</v>
      </c>
      <c r="J394" s="10" t="s">
        <v>1583</v>
      </c>
      <c r="K394" s="10" t="s">
        <v>1324</v>
      </c>
      <c r="L394" s="10" t="s">
        <v>60</v>
      </c>
      <c r="M394" s="10" t="s">
        <v>61</v>
      </c>
      <c r="N394" s="10"/>
      <c r="O394" s="10"/>
      <c r="P394" s="10" t="s">
        <v>629</v>
      </c>
      <c r="Q394" s="11" t="s">
        <v>64</v>
      </c>
      <c r="R394" s="11" t="s">
        <v>1082</v>
      </c>
      <c r="S394" s="11" t="s">
        <v>702</v>
      </c>
      <c r="T394" s="10" t="s">
        <v>1584</v>
      </c>
      <c r="U394" s="10" t="n">
        <f aca="false">IF(AND($D394="",$E394="",$F394=""),1,0)</f>
        <v>1</v>
      </c>
      <c r="V394" s="10" t="n">
        <f aca="false">IF(OR($I394="",$I394="—"),1,0)</f>
        <v>0</v>
      </c>
      <c r="W394" s="10" t="n">
        <f aca="false">IF(AND(ISNUMBER($D394),ISNUMBER($E394)),IF($E394&gt;$D394,1,0),0)+IF(AND(ISNUMBER($D394),ISNUMBER($F394)),IF($D394&gt;$F394,1,0),0)+IF(AND(ISNUMBER($E394),ISNUMBER($F394)),IF($E394&gt;$F394,1,0),0)</f>
        <v>0</v>
      </c>
      <c r="X394" s="13" t="s">
        <v>68</v>
      </c>
    </row>
    <row r="395" customFormat="false" ht="15" hidden="false" customHeight="false" outlineLevel="0" collapsed="false">
      <c r="A395" s="10" t="s">
        <v>1585</v>
      </c>
      <c r="B395" s="10" t="s">
        <v>1586</v>
      </c>
      <c r="C395" s="10" t="s">
        <v>1587</v>
      </c>
      <c r="D395" s="12"/>
      <c r="E395" s="12"/>
      <c r="F395" s="12"/>
      <c r="G395" s="11" t="s">
        <v>1393</v>
      </c>
      <c r="H395" s="10" t="s">
        <v>1307</v>
      </c>
      <c r="I395" s="10" t="s">
        <v>1567</v>
      </c>
      <c r="J395" s="10" t="s">
        <v>1568</v>
      </c>
      <c r="K395" s="10" t="s">
        <v>60</v>
      </c>
      <c r="L395" s="10" t="s">
        <v>60</v>
      </c>
      <c r="M395" s="10" t="s">
        <v>61</v>
      </c>
      <c r="N395" s="10"/>
      <c r="O395" s="10"/>
      <c r="P395" s="10" t="s">
        <v>629</v>
      </c>
      <c r="Q395" s="11" t="s">
        <v>64</v>
      </c>
      <c r="R395" s="11" t="s">
        <v>1082</v>
      </c>
      <c r="S395" s="11" t="s">
        <v>1270</v>
      </c>
      <c r="T395" s="11" t="s">
        <v>1588</v>
      </c>
      <c r="U395" s="10" t="n">
        <f aca="false">IF(AND($D395="",$E395="",$F395=""),1,0)</f>
        <v>1</v>
      </c>
      <c r="V395" s="10" t="n">
        <f aca="false">IF(OR($I395="",$I395="—"),1,0)</f>
        <v>0</v>
      </c>
      <c r="W395" s="10" t="n">
        <f aca="false">IF(AND(ISNUMBER($D395),ISNUMBER($E395)),IF($E395&gt;$D395,1,0),0)+IF(AND(ISNUMBER($D395),ISNUMBER($F395)),IF($D395&gt;$F395,1,0),0)+IF(AND(ISNUMBER($E395),ISNUMBER($F395)),IF($E395&gt;$F395,1,0),0)</f>
        <v>0</v>
      </c>
      <c r="X395" s="13" t="s">
        <v>68</v>
      </c>
    </row>
    <row r="396" customFormat="false" ht="15" hidden="false" customHeight="false" outlineLevel="0" collapsed="false">
      <c r="A396" s="10" t="s">
        <v>1589</v>
      </c>
      <c r="B396" s="10" t="s">
        <v>1590</v>
      </c>
      <c r="C396" s="10" t="s">
        <v>1591</v>
      </c>
      <c r="D396" s="12"/>
      <c r="E396" s="12"/>
      <c r="F396" s="12"/>
      <c r="G396" s="11" t="s">
        <v>1393</v>
      </c>
      <c r="H396" s="10" t="s">
        <v>1330</v>
      </c>
      <c r="I396" s="10" t="s">
        <v>1592</v>
      </c>
      <c r="J396" s="10" t="s">
        <v>1561</v>
      </c>
      <c r="K396" s="10" t="s">
        <v>60</v>
      </c>
      <c r="L396" s="10" t="s">
        <v>60</v>
      </c>
      <c r="M396" s="10" t="s">
        <v>61</v>
      </c>
      <c r="N396" s="10"/>
      <c r="O396" s="10"/>
      <c r="P396" s="10" t="s">
        <v>629</v>
      </c>
      <c r="Q396" s="11" t="s">
        <v>64</v>
      </c>
      <c r="R396" s="11" t="s">
        <v>1082</v>
      </c>
      <c r="S396" s="11" t="s">
        <v>702</v>
      </c>
      <c r="T396" s="11" t="s">
        <v>1593</v>
      </c>
      <c r="U396" s="10" t="n">
        <f aca="false">IF(AND($D396="",$E396="",$F396=""),1,0)</f>
        <v>1</v>
      </c>
      <c r="V396" s="10" t="n">
        <f aca="false">IF(OR($I396="",$I396="—"),1,0)</f>
        <v>0</v>
      </c>
      <c r="W396" s="10" t="n">
        <f aca="false">IF(AND(ISNUMBER($D396),ISNUMBER($E396)),IF($E396&gt;$D396,1,0),0)+IF(AND(ISNUMBER($D396),ISNUMBER($F396)),IF($D396&gt;$F396,1,0),0)+IF(AND(ISNUMBER($E396),ISNUMBER($F396)),IF($E396&gt;$F396,1,0),0)</f>
        <v>0</v>
      </c>
      <c r="X396" s="13" t="s">
        <v>68</v>
      </c>
    </row>
    <row r="397" customFormat="false" ht="15" hidden="false" customHeight="false" outlineLevel="0" collapsed="false">
      <c r="A397" s="10" t="s">
        <v>1594</v>
      </c>
      <c r="B397" s="10" t="s">
        <v>1595</v>
      </c>
      <c r="C397" s="10" t="s">
        <v>1596</v>
      </c>
      <c r="D397" s="12"/>
      <c r="E397" s="12"/>
      <c r="F397" s="12"/>
      <c r="G397" s="11" t="s">
        <v>1393</v>
      </c>
      <c r="H397" s="10" t="s">
        <v>1597</v>
      </c>
      <c r="I397" s="10" t="s">
        <v>1598</v>
      </c>
      <c r="J397" s="10" t="s">
        <v>1599</v>
      </c>
      <c r="K397" s="10" t="s">
        <v>1600</v>
      </c>
      <c r="L397" s="10" t="s">
        <v>60</v>
      </c>
      <c r="M397" s="10" t="s">
        <v>61</v>
      </c>
      <c r="N397" s="10"/>
      <c r="O397" s="10"/>
      <c r="P397" s="10" t="s">
        <v>629</v>
      </c>
      <c r="Q397" s="11" t="s">
        <v>64</v>
      </c>
      <c r="R397" s="11" t="s">
        <v>1082</v>
      </c>
      <c r="S397" s="11" t="s">
        <v>702</v>
      </c>
      <c r="T397" s="11" t="s">
        <v>1601</v>
      </c>
      <c r="U397" s="10" t="n">
        <f aca="false">IF(AND($D397="",$E397="",$F397=""),1,0)</f>
        <v>1</v>
      </c>
      <c r="V397" s="10" t="n">
        <f aca="false">IF(OR($I397="",$I397="—"),1,0)</f>
        <v>0</v>
      </c>
      <c r="W397" s="10" t="n">
        <f aca="false">IF(AND(ISNUMBER($D397),ISNUMBER($E397)),IF($E397&gt;$D397,1,0),0)+IF(AND(ISNUMBER($D397),ISNUMBER($F397)),IF($D397&gt;$F397,1,0),0)+IF(AND(ISNUMBER($E397),ISNUMBER($F397)),IF($E397&gt;$F397,1,0),0)</f>
        <v>0</v>
      </c>
      <c r="X397" s="13" t="s">
        <v>68</v>
      </c>
    </row>
    <row r="398" customFormat="false" ht="15" hidden="false" customHeight="false" outlineLevel="0" collapsed="false">
      <c r="A398" s="10" t="s">
        <v>1602</v>
      </c>
      <c r="B398" s="10" t="s">
        <v>1603</v>
      </c>
      <c r="C398" s="10" t="s">
        <v>1604</v>
      </c>
      <c r="D398" s="12"/>
      <c r="E398" s="12"/>
      <c r="F398" s="12"/>
      <c r="G398" s="11" t="s">
        <v>1393</v>
      </c>
      <c r="H398" s="10" t="s">
        <v>1605</v>
      </c>
      <c r="I398" s="11" t="s">
        <v>1606</v>
      </c>
      <c r="J398" s="10" t="s">
        <v>1268</v>
      </c>
      <c r="K398" s="10" t="s">
        <v>60</v>
      </c>
      <c r="L398" s="10" t="s">
        <v>60</v>
      </c>
      <c r="M398" s="10" t="s">
        <v>61</v>
      </c>
      <c r="N398" s="10"/>
      <c r="O398" s="10"/>
      <c r="P398" s="10" t="s">
        <v>629</v>
      </c>
      <c r="Q398" s="11" t="s">
        <v>64</v>
      </c>
      <c r="R398" s="11" t="s">
        <v>1082</v>
      </c>
      <c r="S398" s="11" t="s">
        <v>1270</v>
      </c>
      <c r="T398" s="11" t="s">
        <v>1607</v>
      </c>
      <c r="U398" s="10" t="n">
        <f aca="false">IF(AND($D398="",$E398="",$F398=""),1,0)</f>
        <v>1</v>
      </c>
      <c r="V398" s="10" t="n">
        <f aca="false">IF(OR($I398="",$I398="—"),1,0)</f>
        <v>0</v>
      </c>
      <c r="W398" s="10" t="n">
        <f aca="false">IF(AND(ISNUMBER($D398),ISNUMBER($E398)),IF($E398&gt;$D398,1,0),0)+IF(AND(ISNUMBER($D398),ISNUMBER($F398)),IF($D398&gt;$F398,1,0),0)+IF(AND(ISNUMBER($E398),ISNUMBER($F398)),IF($E398&gt;$F398,1,0),0)</f>
        <v>0</v>
      </c>
      <c r="X398" s="13" t="s">
        <v>68</v>
      </c>
    </row>
    <row r="399" customFormat="false" ht="15" hidden="false" customHeight="false" outlineLevel="0" collapsed="false">
      <c r="A399" s="10" t="s">
        <v>1608</v>
      </c>
      <c r="B399" s="10" t="s">
        <v>1609</v>
      </c>
      <c r="C399" s="10" t="s">
        <v>1610</v>
      </c>
      <c r="D399" s="12"/>
      <c r="E399" s="12"/>
      <c r="F399" s="12"/>
      <c r="G399" s="11" t="s">
        <v>1393</v>
      </c>
      <c r="H399" s="10" t="s">
        <v>1611</v>
      </c>
      <c r="I399" s="10" t="s">
        <v>1612</v>
      </c>
      <c r="J399" s="10" t="s">
        <v>1613</v>
      </c>
      <c r="K399" s="10" t="s">
        <v>1614</v>
      </c>
      <c r="L399" s="10" t="s">
        <v>60</v>
      </c>
      <c r="M399" s="10" t="s">
        <v>61</v>
      </c>
      <c r="N399" s="10"/>
      <c r="O399" s="10"/>
      <c r="P399" s="10" t="s">
        <v>629</v>
      </c>
      <c r="Q399" s="11" t="s">
        <v>64</v>
      </c>
      <c r="R399" s="11" t="s">
        <v>1082</v>
      </c>
      <c r="S399" s="11" t="s">
        <v>1270</v>
      </c>
      <c r="T399" s="11" t="s">
        <v>1615</v>
      </c>
      <c r="U399" s="10" t="n">
        <f aca="false">IF(AND($D399="",$E399="",$F399=""),1,0)</f>
        <v>1</v>
      </c>
      <c r="V399" s="10" t="n">
        <f aca="false">IF(OR($I399="",$I399="—"),1,0)</f>
        <v>0</v>
      </c>
      <c r="W399" s="10" t="n">
        <f aca="false">IF(AND(ISNUMBER($D399),ISNUMBER($E399)),IF($E399&gt;$D399,1,0),0)+IF(AND(ISNUMBER($D399),ISNUMBER($F399)),IF($D399&gt;$F399,1,0),0)+IF(AND(ISNUMBER($E399),ISNUMBER($F399)),IF($E399&gt;$F399,1,0),0)</f>
        <v>0</v>
      </c>
      <c r="X399" s="13" t="s">
        <v>68</v>
      </c>
    </row>
    <row r="400" customFormat="false" ht="15" hidden="false" customHeight="false" outlineLevel="0" collapsed="false">
      <c r="A400" s="10" t="s">
        <v>1616</v>
      </c>
      <c r="B400" s="10" t="s">
        <v>1617</v>
      </c>
      <c r="C400" s="10" t="s">
        <v>1618</v>
      </c>
      <c r="D400" s="12"/>
      <c r="E400" s="12"/>
      <c r="F400" s="12"/>
      <c r="G400" s="11" t="s">
        <v>1393</v>
      </c>
      <c r="H400" s="10" t="s">
        <v>1314</v>
      </c>
      <c r="I400" s="10" t="s">
        <v>1619</v>
      </c>
      <c r="J400" s="10" t="s">
        <v>1620</v>
      </c>
      <c r="K400" s="10" t="s">
        <v>1621</v>
      </c>
      <c r="L400" s="10" t="s">
        <v>60</v>
      </c>
      <c r="M400" s="10" t="s">
        <v>61</v>
      </c>
      <c r="N400" s="10"/>
      <c r="O400" s="10"/>
      <c r="P400" s="10" t="s">
        <v>629</v>
      </c>
      <c r="Q400" s="11" t="s">
        <v>64</v>
      </c>
      <c r="R400" s="11" t="s">
        <v>1082</v>
      </c>
      <c r="S400" s="11" t="s">
        <v>1270</v>
      </c>
      <c r="T400" s="11" t="s">
        <v>1622</v>
      </c>
      <c r="U400" s="10" t="n">
        <f aca="false">IF(AND($D400="",$E400="",$F400=""),1,0)</f>
        <v>1</v>
      </c>
      <c r="V400" s="10" t="n">
        <f aca="false">IF(OR($I400="",$I400="—"),1,0)</f>
        <v>0</v>
      </c>
      <c r="W400" s="10" t="n">
        <f aca="false">IF(AND(ISNUMBER($D400),ISNUMBER($E400)),IF($E400&gt;$D400,1,0),0)+IF(AND(ISNUMBER($D400),ISNUMBER($F400)),IF($D400&gt;$F400,1,0),0)+IF(AND(ISNUMBER($E400),ISNUMBER($F400)),IF($E400&gt;$F400,1,0),0)</f>
        <v>0</v>
      </c>
      <c r="X400" s="13" t="s">
        <v>68</v>
      </c>
    </row>
    <row r="401" customFormat="false" ht="15" hidden="false" customHeight="false" outlineLevel="0" collapsed="false">
      <c r="A401" s="10" t="s">
        <v>1623</v>
      </c>
      <c r="B401" s="10" t="s">
        <v>1624</v>
      </c>
      <c r="C401" s="10" t="s">
        <v>1625</v>
      </c>
      <c r="D401" s="12" t="n">
        <v>580</v>
      </c>
      <c r="E401" s="12"/>
      <c r="F401" s="12"/>
      <c r="G401" s="11" t="s">
        <v>1626</v>
      </c>
      <c r="H401" s="10" t="s">
        <v>816</v>
      </c>
      <c r="I401" s="11" t="s">
        <v>1627</v>
      </c>
      <c r="J401" s="10" t="s">
        <v>656</v>
      </c>
      <c r="K401" s="10" t="s">
        <v>657</v>
      </c>
      <c r="L401" s="10" t="s">
        <v>60</v>
      </c>
      <c r="M401" s="10" t="s">
        <v>408</v>
      </c>
      <c r="N401" s="11" t="s">
        <v>1355</v>
      </c>
      <c r="O401" s="11" t="s">
        <v>433</v>
      </c>
      <c r="P401" s="10" t="s">
        <v>63</v>
      </c>
      <c r="Q401" s="11" t="s">
        <v>64</v>
      </c>
      <c r="R401" s="11" t="s">
        <v>1355</v>
      </c>
      <c r="S401" s="11" t="s">
        <v>66</v>
      </c>
      <c r="T401" s="11" t="s">
        <v>1628</v>
      </c>
      <c r="U401" s="10" t="n">
        <f aca="false">IF(AND($D401="",$E401="",$F401=""),1,0)</f>
        <v>0</v>
      </c>
      <c r="V401" s="10" t="n">
        <f aca="false">IF(OR($I401="",$I401="—"),1,0)</f>
        <v>0</v>
      </c>
      <c r="W401" s="10" t="n">
        <f aca="false">IF(AND(ISNUMBER($D401),ISNUMBER($E401)),IF($E401&gt;$D401,1,0),0)+IF(AND(ISNUMBER($D401),ISNUMBER($F401)),IF($D401&gt;$F401,1,0),0)+IF(AND(ISNUMBER($E401),ISNUMBER($F401)),IF($E401&gt;$F401,1,0),0)</f>
        <v>0</v>
      </c>
      <c r="X401" s="13" t="s">
        <v>68</v>
      </c>
    </row>
    <row r="402" customFormat="false" ht="15" hidden="false" customHeight="false" outlineLevel="0" collapsed="false">
      <c r="A402" s="10" t="s">
        <v>1629</v>
      </c>
      <c r="B402" s="10" t="s">
        <v>1630</v>
      </c>
      <c r="C402" s="10" t="s">
        <v>1631</v>
      </c>
      <c r="D402" s="12" t="n">
        <v>740</v>
      </c>
      <c r="E402" s="12"/>
      <c r="F402" s="12"/>
      <c r="G402" s="11" t="s">
        <v>1626</v>
      </c>
      <c r="H402" s="10" t="s">
        <v>1632</v>
      </c>
      <c r="I402" s="11" t="s">
        <v>1627</v>
      </c>
      <c r="J402" s="10" t="s">
        <v>656</v>
      </c>
      <c r="K402" s="10" t="s">
        <v>657</v>
      </c>
      <c r="L402" s="10" t="s">
        <v>60</v>
      </c>
      <c r="M402" s="10" t="s">
        <v>408</v>
      </c>
      <c r="N402" s="11" t="s">
        <v>1355</v>
      </c>
      <c r="O402" s="11" t="s">
        <v>433</v>
      </c>
      <c r="P402" s="10" t="s">
        <v>63</v>
      </c>
      <c r="Q402" s="11" t="s">
        <v>64</v>
      </c>
      <c r="R402" s="11" t="s">
        <v>1355</v>
      </c>
      <c r="S402" s="11" t="s">
        <v>66</v>
      </c>
      <c r="T402" s="11" t="s">
        <v>1633</v>
      </c>
      <c r="U402" s="10" t="n">
        <f aca="false">IF(AND($D402="",$E402="",$F402=""),1,0)</f>
        <v>0</v>
      </c>
      <c r="V402" s="10" t="n">
        <f aca="false">IF(OR($I402="",$I402="—"),1,0)</f>
        <v>0</v>
      </c>
      <c r="W402" s="10" t="n">
        <f aca="false">IF(AND(ISNUMBER($D402),ISNUMBER($E402)),IF($E402&gt;$D402,1,0),0)+IF(AND(ISNUMBER($D402),ISNUMBER($F402)),IF($D402&gt;$F402,1,0),0)+IF(AND(ISNUMBER($E402),ISNUMBER($F402)),IF($E402&gt;$F402,1,0),0)</f>
        <v>0</v>
      </c>
      <c r="X402" s="13" t="s">
        <v>68</v>
      </c>
    </row>
    <row r="403" customFormat="false" ht="15" hidden="false" customHeight="false" outlineLevel="0" collapsed="false">
      <c r="A403" s="10" t="s">
        <v>1634</v>
      </c>
      <c r="B403" s="10" t="s">
        <v>1635</v>
      </c>
      <c r="C403" s="10" t="s">
        <v>1636</v>
      </c>
      <c r="D403" s="12" t="n">
        <v>144</v>
      </c>
      <c r="E403" s="12"/>
      <c r="F403" s="12"/>
      <c r="G403" s="10" t="s">
        <v>393</v>
      </c>
      <c r="H403" s="10" t="s">
        <v>1637</v>
      </c>
      <c r="I403" s="11" t="s">
        <v>1638</v>
      </c>
      <c r="J403" s="10" t="s">
        <v>656</v>
      </c>
      <c r="K403" s="10" t="s">
        <v>657</v>
      </c>
      <c r="L403" s="10" t="s">
        <v>60</v>
      </c>
      <c r="M403" s="10" t="s">
        <v>408</v>
      </c>
      <c r="N403" s="11" t="s">
        <v>1355</v>
      </c>
      <c r="O403" s="10"/>
      <c r="P403" s="10" t="s">
        <v>63</v>
      </c>
      <c r="Q403" s="11" t="s">
        <v>64</v>
      </c>
      <c r="R403" s="11" t="s">
        <v>1355</v>
      </c>
      <c r="S403" s="11" t="s">
        <v>66</v>
      </c>
      <c r="T403" s="11" t="s">
        <v>1639</v>
      </c>
      <c r="U403" s="10" t="n">
        <f aca="false">IF(AND($D403="",$E403="",$F403=""),1,0)</f>
        <v>0</v>
      </c>
      <c r="V403" s="10" t="n">
        <f aca="false">IF(OR($I403="",$I403="—"),1,0)</f>
        <v>0</v>
      </c>
      <c r="W403" s="10" t="n">
        <f aca="false">IF(AND(ISNUMBER($D403),ISNUMBER($E403)),IF($E403&gt;$D403,1,0),0)+IF(AND(ISNUMBER($D403),ISNUMBER($F403)),IF($D403&gt;$F403,1,0),0)+IF(AND(ISNUMBER($E403),ISNUMBER($F403)),IF($E403&gt;$F403,1,0),0)</f>
        <v>0</v>
      </c>
      <c r="X403" s="13" t="s">
        <v>68</v>
      </c>
    </row>
    <row r="404" customFormat="false" ht="15" hidden="false" customHeight="false" outlineLevel="0" collapsed="false">
      <c r="A404" s="10" t="s">
        <v>1640</v>
      </c>
      <c r="B404" s="10" t="s">
        <v>1641</v>
      </c>
      <c r="C404" s="11" t="s">
        <v>1642</v>
      </c>
      <c r="D404" s="12" t="n">
        <v>400</v>
      </c>
      <c r="E404" s="12"/>
      <c r="F404" s="12"/>
      <c r="G404" s="11" t="s">
        <v>1626</v>
      </c>
      <c r="H404" s="10" t="s">
        <v>1643</v>
      </c>
      <c r="I404" s="11" t="s">
        <v>1354</v>
      </c>
      <c r="J404" s="10" t="s">
        <v>440</v>
      </c>
      <c r="K404" s="10" t="s">
        <v>441</v>
      </c>
      <c r="L404" s="10" t="s">
        <v>60</v>
      </c>
      <c r="M404" s="10" t="s">
        <v>408</v>
      </c>
      <c r="N404" s="11" t="s">
        <v>1355</v>
      </c>
      <c r="O404" s="10"/>
      <c r="P404" s="10" t="s">
        <v>63</v>
      </c>
      <c r="Q404" s="11" t="s">
        <v>64</v>
      </c>
      <c r="R404" s="11" t="s">
        <v>1355</v>
      </c>
      <c r="S404" s="11" t="s">
        <v>66</v>
      </c>
      <c r="T404" s="11" t="s">
        <v>1644</v>
      </c>
      <c r="U404" s="10" t="n">
        <f aca="false">IF(AND($D404="",$E404="",$F404=""),1,0)</f>
        <v>0</v>
      </c>
      <c r="V404" s="10" t="n">
        <f aca="false">IF(OR($I404="",$I404="—"),1,0)</f>
        <v>0</v>
      </c>
      <c r="W404" s="10" t="n">
        <f aca="false">IF(AND(ISNUMBER($D404),ISNUMBER($E404)),IF($E404&gt;$D404,1,0),0)+IF(AND(ISNUMBER($D404),ISNUMBER($F404)),IF($D404&gt;$F404,1,0),0)+IF(AND(ISNUMBER($E404),ISNUMBER($F404)),IF($E404&gt;$F404,1,0),0)</f>
        <v>0</v>
      </c>
      <c r="X404" s="13" t="s">
        <v>68</v>
      </c>
    </row>
    <row r="405" customFormat="false" ht="15" hidden="false" customHeight="false" outlineLevel="0" collapsed="false">
      <c r="A405" s="10" t="s">
        <v>1645</v>
      </c>
      <c r="B405" s="10" t="s">
        <v>1646</v>
      </c>
      <c r="C405" s="11" t="s">
        <v>1647</v>
      </c>
      <c r="D405" s="12" t="n">
        <v>603</v>
      </c>
      <c r="E405" s="12"/>
      <c r="F405" s="12"/>
      <c r="G405" s="10" t="s">
        <v>393</v>
      </c>
      <c r="H405" s="10" t="s">
        <v>1648</v>
      </c>
      <c r="I405" s="11" t="s">
        <v>1638</v>
      </c>
      <c r="J405" s="10" t="s">
        <v>656</v>
      </c>
      <c r="K405" s="10" t="s">
        <v>657</v>
      </c>
      <c r="L405" s="10" t="s">
        <v>60</v>
      </c>
      <c r="M405" s="10" t="s">
        <v>408</v>
      </c>
      <c r="N405" s="11" t="s">
        <v>1355</v>
      </c>
      <c r="O405" s="10"/>
      <c r="P405" s="10" t="s">
        <v>63</v>
      </c>
      <c r="Q405" s="11" t="s">
        <v>64</v>
      </c>
      <c r="R405" s="11" t="s">
        <v>1355</v>
      </c>
      <c r="S405" s="11" t="s">
        <v>66</v>
      </c>
      <c r="T405" s="11" t="s">
        <v>1649</v>
      </c>
      <c r="U405" s="10" t="n">
        <f aca="false">IF(AND($D405="",$E405="",$F405=""),1,0)</f>
        <v>0</v>
      </c>
      <c r="V405" s="10" t="n">
        <f aca="false">IF(OR($I405="",$I405="—"),1,0)</f>
        <v>0</v>
      </c>
      <c r="W405" s="10" t="n">
        <f aca="false">IF(AND(ISNUMBER($D405),ISNUMBER($E405)),IF($E405&gt;$D405,1,0),0)+IF(AND(ISNUMBER($D405),ISNUMBER($F405)),IF($D405&gt;$F405,1,0),0)+IF(AND(ISNUMBER($E405),ISNUMBER($F405)),IF($E405&gt;$F405,1,0),0)</f>
        <v>0</v>
      </c>
      <c r="X405" s="13" t="s">
        <v>68</v>
      </c>
    </row>
    <row r="406" customFormat="false" ht="15" hidden="false" customHeight="false" outlineLevel="0" collapsed="false">
      <c r="A406" s="10" t="s">
        <v>1650</v>
      </c>
      <c r="B406" s="10" t="s">
        <v>1651</v>
      </c>
      <c r="C406" s="10" t="s">
        <v>1652</v>
      </c>
      <c r="D406" s="12" t="n">
        <v>24.2</v>
      </c>
      <c r="E406" s="12"/>
      <c r="F406" s="12"/>
      <c r="G406" s="11" t="s">
        <v>1626</v>
      </c>
      <c r="H406" s="11" t="s">
        <v>1353</v>
      </c>
      <c r="I406" s="11" t="s">
        <v>1354</v>
      </c>
      <c r="J406" s="10" t="s">
        <v>440</v>
      </c>
      <c r="K406" s="10" t="s">
        <v>441</v>
      </c>
      <c r="L406" s="10" t="s">
        <v>60</v>
      </c>
      <c r="M406" s="10" t="s">
        <v>408</v>
      </c>
      <c r="N406" s="11" t="s">
        <v>1355</v>
      </c>
      <c r="O406" s="10"/>
      <c r="P406" s="10" t="s">
        <v>63</v>
      </c>
      <c r="Q406" s="11" t="s">
        <v>64</v>
      </c>
      <c r="R406" s="11" t="s">
        <v>1355</v>
      </c>
      <c r="S406" s="11" t="s">
        <v>66</v>
      </c>
      <c r="T406" s="11" t="s">
        <v>1653</v>
      </c>
      <c r="U406" s="10" t="n">
        <f aca="false">IF(AND($D406="",$E406="",$F406=""),1,0)</f>
        <v>0</v>
      </c>
      <c r="V406" s="10" t="n">
        <f aca="false">IF(OR($I406="",$I406="—"),1,0)</f>
        <v>0</v>
      </c>
      <c r="W406" s="10" t="n">
        <f aca="false">IF(AND(ISNUMBER($D406),ISNUMBER($E406)),IF($E406&gt;$D406,1,0),0)+IF(AND(ISNUMBER($D406),ISNUMBER($F406)),IF($D406&gt;$F406,1,0),0)+IF(AND(ISNUMBER($E406),ISNUMBER($F406)),IF($E406&gt;$F406,1,0),0)</f>
        <v>0</v>
      </c>
      <c r="X406" s="13" t="s">
        <v>68</v>
      </c>
    </row>
    <row r="407" customFormat="false" ht="15" hidden="false" customHeight="false" outlineLevel="0" collapsed="false">
      <c r="A407" s="10" t="s">
        <v>1654</v>
      </c>
      <c r="B407" s="10" t="s">
        <v>1655</v>
      </c>
      <c r="C407" s="10" t="s">
        <v>1656</v>
      </c>
      <c r="D407" s="12" t="n">
        <v>40</v>
      </c>
      <c r="E407" s="12"/>
      <c r="F407" s="12"/>
      <c r="G407" s="11" t="s">
        <v>1626</v>
      </c>
      <c r="H407" s="10" t="s">
        <v>1643</v>
      </c>
      <c r="I407" s="11" t="s">
        <v>1354</v>
      </c>
      <c r="J407" s="10" t="s">
        <v>440</v>
      </c>
      <c r="K407" s="10" t="s">
        <v>441</v>
      </c>
      <c r="L407" s="10" t="s">
        <v>60</v>
      </c>
      <c r="M407" s="10" t="s">
        <v>408</v>
      </c>
      <c r="N407" s="11" t="s">
        <v>1355</v>
      </c>
      <c r="O407" s="10"/>
      <c r="P407" s="10" t="s">
        <v>63</v>
      </c>
      <c r="Q407" s="11" t="s">
        <v>64</v>
      </c>
      <c r="R407" s="11" t="s">
        <v>1355</v>
      </c>
      <c r="S407" s="11" t="s">
        <v>66</v>
      </c>
      <c r="T407" s="11" t="s">
        <v>1657</v>
      </c>
      <c r="U407" s="10" t="n">
        <f aca="false">IF(AND($D407="",$E407="",$F407=""),1,0)</f>
        <v>0</v>
      </c>
      <c r="V407" s="10" t="n">
        <f aca="false">IF(OR($I407="",$I407="—"),1,0)</f>
        <v>0</v>
      </c>
      <c r="W407" s="10" t="n">
        <f aca="false">IF(AND(ISNUMBER($D407),ISNUMBER($E407)),IF($E407&gt;$D407,1,0),0)+IF(AND(ISNUMBER($D407),ISNUMBER($F407)),IF($D407&gt;$F407,1,0),0)+IF(AND(ISNUMBER($E407),ISNUMBER($F407)),IF($E407&gt;$F407,1,0),0)</f>
        <v>0</v>
      </c>
      <c r="X407" s="13" t="s">
        <v>68</v>
      </c>
    </row>
    <row r="408" customFormat="false" ht="15" hidden="false" customHeight="false" outlineLevel="0" collapsed="false">
      <c r="A408" s="10" t="s">
        <v>1658</v>
      </c>
      <c r="B408" s="10" t="s">
        <v>1659</v>
      </c>
      <c r="C408" s="11" t="s">
        <v>1660</v>
      </c>
      <c r="D408" s="12" t="n">
        <v>8000</v>
      </c>
      <c r="E408" s="12"/>
      <c r="F408" s="12"/>
      <c r="G408" s="11" t="s">
        <v>1661</v>
      </c>
      <c r="H408" s="10" t="s">
        <v>432</v>
      </c>
      <c r="I408" s="11" t="s">
        <v>1662</v>
      </c>
      <c r="J408" s="10" t="s">
        <v>407</v>
      </c>
      <c r="K408" s="10" t="s">
        <v>59</v>
      </c>
      <c r="L408" s="10" t="s">
        <v>60</v>
      </c>
      <c r="M408" s="10" t="s">
        <v>408</v>
      </c>
      <c r="N408" s="11" t="s">
        <v>1355</v>
      </c>
      <c r="O408" s="10"/>
      <c r="P408" s="10" t="s">
        <v>63</v>
      </c>
      <c r="Q408" s="11" t="s">
        <v>64</v>
      </c>
      <c r="R408" s="11" t="s">
        <v>1355</v>
      </c>
      <c r="S408" s="11" t="s">
        <v>66</v>
      </c>
      <c r="T408" s="11" t="s">
        <v>1663</v>
      </c>
      <c r="U408" s="10" t="n">
        <f aca="false">IF(AND($D408="",$E408="",$F408=""),1,0)</f>
        <v>0</v>
      </c>
      <c r="V408" s="10" t="n">
        <f aca="false">IF(OR($I408="",$I408="—"),1,0)</f>
        <v>0</v>
      </c>
      <c r="W408" s="10" t="n">
        <f aca="false">IF(AND(ISNUMBER($D408),ISNUMBER($E408)),IF($E408&gt;$D408,1,0),0)+IF(AND(ISNUMBER($D408),ISNUMBER($F408)),IF($D408&gt;$F408,1,0),0)+IF(AND(ISNUMBER($E408),ISNUMBER($F408)),IF($E408&gt;$F408,1,0),0)</f>
        <v>0</v>
      </c>
      <c r="X408" s="13" t="s">
        <v>68</v>
      </c>
    </row>
    <row r="409" customFormat="false" ht="15" hidden="false" customHeight="false" outlineLevel="0" collapsed="false">
      <c r="A409" s="10" t="s">
        <v>1664</v>
      </c>
      <c r="B409" s="10" t="s">
        <v>1665</v>
      </c>
      <c r="C409" s="11" t="s">
        <v>1666</v>
      </c>
      <c r="D409" s="12" t="n">
        <v>12000</v>
      </c>
      <c r="E409" s="12"/>
      <c r="F409" s="12"/>
      <c r="G409" s="11" t="s">
        <v>1661</v>
      </c>
      <c r="H409" s="10" t="s">
        <v>1667</v>
      </c>
      <c r="I409" s="11" t="s">
        <v>1662</v>
      </c>
      <c r="J409" s="10" t="s">
        <v>407</v>
      </c>
      <c r="K409" s="10" t="s">
        <v>59</v>
      </c>
      <c r="L409" s="10" t="s">
        <v>60</v>
      </c>
      <c r="M409" s="10" t="s">
        <v>408</v>
      </c>
      <c r="N409" s="11" t="s">
        <v>1355</v>
      </c>
      <c r="O409" s="10"/>
      <c r="P409" s="10" t="s">
        <v>63</v>
      </c>
      <c r="Q409" s="11" t="s">
        <v>64</v>
      </c>
      <c r="R409" s="11" t="s">
        <v>1355</v>
      </c>
      <c r="S409" s="11" t="s">
        <v>66</v>
      </c>
      <c r="T409" s="11" t="s">
        <v>1668</v>
      </c>
      <c r="U409" s="10" t="n">
        <f aca="false">IF(AND($D409="",$E409="",$F409=""),1,0)</f>
        <v>0</v>
      </c>
      <c r="V409" s="10" t="n">
        <f aca="false">IF(OR($I409="",$I409="—"),1,0)</f>
        <v>0</v>
      </c>
      <c r="W409" s="10" t="n">
        <f aca="false">IF(AND(ISNUMBER($D409),ISNUMBER($E409)),IF($E409&gt;$D409,1,0),0)+IF(AND(ISNUMBER($D409),ISNUMBER($F409)),IF($D409&gt;$F409,1,0),0)+IF(AND(ISNUMBER($E409),ISNUMBER($F409)),IF($E409&gt;$F409,1,0),0)</f>
        <v>0</v>
      </c>
      <c r="X409" s="13" t="s">
        <v>68</v>
      </c>
    </row>
    <row r="410" customFormat="false" ht="15" hidden="false" customHeight="false" outlineLevel="0" collapsed="false">
      <c r="A410" s="10" t="s">
        <v>1669</v>
      </c>
      <c r="B410" s="10" t="s">
        <v>1670</v>
      </c>
      <c r="C410" s="11" t="s">
        <v>1671</v>
      </c>
      <c r="D410" s="12" t="n">
        <v>8000</v>
      </c>
      <c r="E410" s="12"/>
      <c r="F410" s="12"/>
      <c r="G410" s="11" t="s">
        <v>1672</v>
      </c>
      <c r="H410" s="11" t="s">
        <v>1673</v>
      </c>
      <c r="I410" s="11" t="s">
        <v>1662</v>
      </c>
      <c r="J410" s="10" t="s">
        <v>407</v>
      </c>
      <c r="K410" s="10" t="s">
        <v>59</v>
      </c>
      <c r="L410" s="10" t="s">
        <v>60</v>
      </c>
      <c r="M410" s="10" t="s">
        <v>408</v>
      </c>
      <c r="N410" s="11" t="s">
        <v>1355</v>
      </c>
      <c r="O410" s="10"/>
      <c r="P410" s="10" t="s">
        <v>63</v>
      </c>
      <c r="Q410" s="11" t="s">
        <v>64</v>
      </c>
      <c r="R410" s="11" t="s">
        <v>1355</v>
      </c>
      <c r="S410" s="11" t="s">
        <v>66</v>
      </c>
      <c r="T410" s="11" t="s">
        <v>1674</v>
      </c>
      <c r="U410" s="10" t="n">
        <f aca="false">IF(AND($D410="",$E410="",$F410=""),1,0)</f>
        <v>0</v>
      </c>
      <c r="V410" s="10" t="n">
        <f aca="false">IF(OR($I410="",$I410="—"),1,0)</f>
        <v>0</v>
      </c>
      <c r="W410" s="10" t="n">
        <f aca="false">IF(AND(ISNUMBER($D410),ISNUMBER($E410)),IF($E410&gt;$D410,1,0),0)+IF(AND(ISNUMBER($D410),ISNUMBER($F410)),IF($D410&gt;$F410,1,0),0)+IF(AND(ISNUMBER($E410),ISNUMBER($F410)),IF($E410&gt;$F410,1,0),0)</f>
        <v>0</v>
      </c>
      <c r="X410" s="13" t="s">
        <v>68</v>
      </c>
    </row>
    <row r="411" customFormat="false" ht="15" hidden="false" customHeight="false" outlineLevel="0" collapsed="false">
      <c r="A411" s="10" t="s">
        <v>1675</v>
      </c>
      <c r="B411" s="10" t="s">
        <v>1676</v>
      </c>
      <c r="C411" s="11" t="s">
        <v>1677</v>
      </c>
      <c r="D411" s="12" t="n">
        <v>9</v>
      </c>
      <c r="E411" s="12"/>
      <c r="F411" s="12"/>
      <c r="G411" s="11" t="s">
        <v>1661</v>
      </c>
      <c r="H411" s="10" t="s">
        <v>1643</v>
      </c>
      <c r="I411" s="11" t="s">
        <v>1678</v>
      </c>
      <c r="J411" s="10" t="s">
        <v>440</v>
      </c>
      <c r="K411" s="10" t="s">
        <v>441</v>
      </c>
      <c r="L411" s="10" t="s">
        <v>60</v>
      </c>
      <c r="M411" s="10" t="s">
        <v>408</v>
      </c>
      <c r="N411" s="11" t="s">
        <v>1355</v>
      </c>
      <c r="O411" s="10"/>
      <c r="P411" s="10" t="s">
        <v>63</v>
      </c>
      <c r="Q411" s="11" t="s">
        <v>64</v>
      </c>
      <c r="R411" s="11" t="s">
        <v>1355</v>
      </c>
      <c r="S411" s="11" t="s">
        <v>66</v>
      </c>
      <c r="T411" s="11" t="s">
        <v>1679</v>
      </c>
      <c r="U411" s="10" t="n">
        <f aca="false">IF(AND($D411="",$E411="",$F411=""),1,0)</f>
        <v>0</v>
      </c>
      <c r="V411" s="10" t="n">
        <f aca="false">IF(OR($I411="",$I411="—"),1,0)</f>
        <v>0</v>
      </c>
      <c r="W411" s="10" t="n">
        <f aca="false">IF(AND(ISNUMBER($D411),ISNUMBER($E411)),IF($E411&gt;$D411,1,0),0)+IF(AND(ISNUMBER($D411),ISNUMBER($F411)),IF($D411&gt;$F411,1,0),0)+IF(AND(ISNUMBER($E411),ISNUMBER($F411)),IF($E411&gt;$F411,1,0),0)</f>
        <v>0</v>
      </c>
      <c r="X411" s="13" t="s">
        <v>68</v>
      </c>
    </row>
    <row r="412" customFormat="false" ht="15" hidden="false" customHeight="false" outlineLevel="0" collapsed="false">
      <c r="A412" s="10" t="s">
        <v>1680</v>
      </c>
      <c r="B412" s="10" t="s">
        <v>1681</v>
      </c>
      <c r="C412" s="11" t="s">
        <v>1682</v>
      </c>
      <c r="D412" s="12" t="n">
        <v>218</v>
      </c>
      <c r="E412" s="12"/>
      <c r="F412" s="12"/>
      <c r="G412" s="11" t="s">
        <v>1683</v>
      </c>
      <c r="H412" s="10" t="s">
        <v>438</v>
      </c>
      <c r="I412" s="11" t="s">
        <v>1678</v>
      </c>
      <c r="J412" s="10" t="s">
        <v>440</v>
      </c>
      <c r="K412" s="10" t="s">
        <v>441</v>
      </c>
      <c r="L412" s="10" t="s">
        <v>60</v>
      </c>
      <c r="M412" s="10" t="s">
        <v>408</v>
      </c>
      <c r="N412" s="11" t="s">
        <v>1355</v>
      </c>
      <c r="O412" s="10"/>
      <c r="P412" s="10" t="s">
        <v>63</v>
      </c>
      <c r="Q412" s="11" t="s">
        <v>64</v>
      </c>
      <c r="R412" s="11" t="s">
        <v>1355</v>
      </c>
      <c r="S412" s="11" t="s">
        <v>66</v>
      </c>
      <c r="T412" s="11" t="s">
        <v>1684</v>
      </c>
      <c r="U412" s="10" t="n">
        <f aca="false">IF(AND($D412="",$E412="",$F412=""),1,0)</f>
        <v>0</v>
      </c>
      <c r="V412" s="10" t="n">
        <f aca="false">IF(OR($I412="",$I412="—"),1,0)</f>
        <v>0</v>
      </c>
      <c r="W412" s="10" t="n">
        <f aca="false">IF(AND(ISNUMBER($D412),ISNUMBER($E412)),IF($E412&gt;$D412,1,0),0)+IF(AND(ISNUMBER($D412),ISNUMBER($F412)),IF($D412&gt;$F412,1,0),0)+IF(AND(ISNUMBER($E412),ISNUMBER($F412)),IF($E412&gt;$F412,1,0),0)</f>
        <v>0</v>
      </c>
      <c r="X412" s="13" t="s">
        <v>68</v>
      </c>
    </row>
    <row r="413" customFormat="false" ht="15" hidden="false" customHeight="false" outlineLevel="0" collapsed="false">
      <c r="A413" s="10" t="s">
        <v>1685</v>
      </c>
      <c r="B413" s="10" t="s">
        <v>1686</v>
      </c>
      <c r="C413" s="11" t="s">
        <v>1687</v>
      </c>
      <c r="D413" s="12" t="n">
        <v>233</v>
      </c>
      <c r="E413" s="12"/>
      <c r="F413" s="12"/>
      <c r="G413" s="11" t="s">
        <v>1683</v>
      </c>
      <c r="H413" s="10" t="s">
        <v>654</v>
      </c>
      <c r="I413" s="11" t="s">
        <v>1366</v>
      </c>
      <c r="J413" s="10" t="s">
        <v>1367</v>
      </c>
      <c r="K413" s="10" t="s">
        <v>657</v>
      </c>
      <c r="L413" s="10" t="s">
        <v>60</v>
      </c>
      <c r="M413" s="10" t="s">
        <v>408</v>
      </c>
      <c r="N413" s="11" t="s">
        <v>1355</v>
      </c>
      <c r="O413" s="10"/>
      <c r="P413" s="10" t="s">
        <v>629</v>
      </c>
      <c r="Q413" s="11" t="s">
        <v>64</v>
      </c>
      <c r="R413" s="11" t="s">
        <v>1355</v>
      </c>
      <c r="S413" s="11" t="s">
        <v>702</v>
      </c>
      <c r="T413" s="11" t="s">
        <v>1688</v>
      </c>
      <c r="U413" s="10" t="n">
        <f aca="false">IF(AND($D413="",$E413="",$F413=""),1,0)</f>
        <v>0</v>
      </c>
      <c r="V413" s="10" t="n">
        <f aca="false">IF(OR($I413="",$I413="—"),1,0)</f>
        <v>0</v>
      </c>
      <c r="W413" s="10" t="n">
        <f aca="false">IF(AND(ISNUMBER($D413),ISNUMBER($E413)),IF($E413&gt;$D413,1,0),0)+IF(AND(ISNUMBER($D413),ISNUMBER($F413)),IF($D413&gt;$F413,1,0),0)+IF(AND(ISNUMBER($E413),ISNUMBER($F413)),IF($E413&gt;$F413,1,0),0)</f>
        <v>0</v>
      </c>
      <c r="X413" s="13" t="s">
        <v>68</v>
      </c>
    </row>
    <row r="414" customFormat="false" ht="15" hidden="false" customHeight="false" outlineLevel="0" collapsed="false">
      <c r="A414" s="10" t="s">
        <v>1689</v>
      </c>
      <c r="B414" s="10" t="s">
        <v>1690</v>
      </c>
      <c r="C414" s="10" t="s">
        <v>1691</v>
      </c>
      <c r="D414" s="12" t="n">
        <v>40</v>
      </c>
      <c r="E414" s="12"/>
      <c r="F414" s="12"/>
      <c r="G414" s="11" t="s">
        <v>1692</v>
      </c>
      <c r="H414" s="10" t="s">
        <v>1648</v>
      </c>
      <c r="I414" s="11" t="s">
        <v>1361</v>
      </c>
      <c r="J414" s="10" t="s">
        <v>656</v>
      </c>
      <c r="K414" s="10" t="s">
        <v>657</v>
      </c>
      <c r="L414" s="10" t="s">
        <v>60</v>
      </c>
      <c r="M414" s="10" t="s">
        <v>408</v>
      </c>
      <c r="N414" s="11" t="s">
        <v>1355</v>
      </c>
      <c r="O414" s="10"/>
      <c r="P414" s="10" t="s">
        <v>63</v>
      </c>
      <c r="Q414" s="11" t="s">
        <v>64</v>
      </c>
      <c r="R414" s="11" t="s">
        <v>1355</v>
      </c>
      <c r="S414" s="11" t="s">
        <v>66</v>
      </c>
      <c r="T414" s="11" t="s">
        <v>1693</v>
      </c>
      <c r="U414" s="10" t="n">
        <f aca="false">IF(AND($D414="",$E414="",$F414=""),1,0)</f>
        <v>0</v>
      </c>
      <c r="V414" s="10" t="n">
        <f aca="false">IF(OR($I414="",$I414="—"),1,0)</f>
        <v>0</v>
      </c>
      <c r="W414" s="10" t="n">
        <f aca="false">IF(AND(ISNUMBER($D414),ISNUMBER($E414)),IF($E414&gt;$D414,1,0),0)+IF(AND(ISNUMBER($D414),ISNUMBER($F414)),IF($D414&gt;$F414,1,0),0)+IF(AND(ISNUMBER($E414),ISNUMBER($F414)),IF($E414&gt;$F414,1,0),0)</f>
        <v>0</v>
      </c>
      <c r="X414" s="13" t="s">
        <v>68</v>
      </c>
    </row>
    <row r="415" customFormat="false" ht="15" hidden="false" customHeight="false" outlineLevel="0" collapsed="false">
      <c r="A415" s="10" t="s">
        <v>1694</v>
      </c>
      <c r="B415" s="10" t="s">
        <v>1695</v>
      </c>
      <c r="C415" s="10" t="s">
        <v>1696</v>
      </c>
      <c r="D415" s="12" t="n">
        <v>23</v>
      </c>
      <c r="E415" s="12"/>
      <c r="F415" s="12"/>
      <c r="G415" s="11" t="s">
        <v>1692</v>
      </c>
      <c r="H415" s="10" t="s">
        <v>1648</v>
      </c>
      <c r="I415" s="11" t="s">
        <v>1361</v>
      </c>
      <c r="J415" s="10" t="s">
        <v>656</v>
      </c>
      <c r="K415" s="10" t="s">
        <v>657</v>
      </c>
      <c r="L415" s="10" t="s">
        <v>60</v>
      </c>
      <c r="M415" s="10" t="s">
        <v>408</v>
      </c>
      <c r="N415" s="11" t="s">
        <v>1355</v>
      </c>
      <c r="O415" s="10"/>
      <c r="P415" s="10" t="s">
        <v>63</v>
      </c>
      <c r="Q415" s="11" t="s">
        <v>64</v>
      </c>
      <c r="R415" s="11" t="s">
        <v>1355</v>
      </c>
      <c r="S415" s="11" t="s">
        <v>66</v>
      </c>
      <c r="T415" s="11" t="s">
        <v>1697</v>
      </c>
      <c r="U415" s="10" t="n">
        <f aca="false">IF(AND($D415="",$E415="",$F415=""),1,0)</f>
        <v>0</v>
      </c>
      <c r="V415" s="10" t="n">
        <f aca="false">IF(OR($I415="",$I415="—"),1,0)</f>
        <v>0</v>
      </c>
      <c r="W415" s="10" t="n">
        <f aca="false">IF(AND(ISNUMBER($D415),ISNUMBER($E415)),IF($E415&gt;$D415,1,0),0)+IF(AND(ISNUMBER($D415),ISNUMBER($F415)),IF($D415&gt;$F415,1,0),0)+IF(AND(ISNUMBER($E415),ISNUMBER($F415)),IF($E415&gt;$F415,1,0),0)</f>
        <v>0</v>
      </c>
      <c r="X415" s="13" t="s">
        <v>68</v>
      </c>
    </row>
    <row r="416" customFormat="false" ht="15" hidden="false" customHeight="false" outlineLevel="0" collapsed="false">
      <c r="A416" s="10" t="s">
        <v>1698</v>
      </c>
      <c r="B416" s="10" t="s">
        <v>1699</v>
      </c>
      <c r="C416" s="11" t="s">
        <v>1700</v>
      </c>
      <c r="D416" s="12" t="n">
        <v>98</v>
      </c>
      <c r="E416" s="12"/>
      <c r="F416" s="12"/>
      <c r="G416" s="11" t="s">
        <v>1701</v>
      </c>
      <c r="H416" s="10" t="s">
        <v>1648</v>
      </c>
      <c r="I416" s="11" t="s">
        <v>1638</v>
      </c>
      <c r="J416" s="10" t="s">
        <v>656</v>
      </c>
      <c r="K416" s="10" t="s">
        <v>657</v>
      </c>
      <c r="L416" s="10" t="s">
        <v>60</v>
      </c>
      <c r="M416" s="10" t="s">
        <v>408</v>
      </c>
      <c r="N416" s="11" t="s">
        <v>1355</v>
      </c>
      <c r="O416" s="10"/>
      <c r="P416" s="10" t="s">
        <v>63</v>
      </c>
      <c r="Q416" s="11" t="s">
        <v>64</v>
      </c>
      <c r="R416" s="11" t="s">
        <v>1355</v>
      </c>
      <c r="S416" s="11" t="s">
        <v>66</v>
      </c>
      <c r="T416" s="11" t="s">
        <v>1702</v>
      </c>
      <c r="U416" s="10" t="n">
        <f aca="false">IF(AND($D416="",$E416="",$F416=""),1,0)</f>
        <v>0</v>
      </c>
      <c r="V416" s="10" t="n">
        <f aca="false">IF(OR($I416="",$I416="—"),1,0)</f>
        <v>0</v>
      </c>
      <c r="W416" s="10" t="n">
        <f aca="false">IF(AND(ISNUMBER($D416),ISNUMBER($E416)),IF($E416&gt;$D416,1,0),0)+IF(AND(ISNUMBER($D416),ISNUMBER($F416)),IF($D416&gt;$F416,1,0),0)+IF(AND(ISNUMBER($E416),ISNUMBER($F416)),IF($E416&gt;$F416,1,0),0)</f>
        <v>0</v>
      </c>
      <c r="X416" s="13" t="s">
        <v>68</v>
      </c>
    </row>
    <row r="417" customFormat="false" ht="15" hidden="false" customHeight="false" outlineLevel="0" collapsed="false">
      <c r="A417" s="10" t="s">
        <v>1703</v>
      </c>
      <c r="B417" s="10" t="s">
        <v>1704</v>
      </c>
      <c r="C417" s="11" t="s">
        <v>1705</v>
      </c>
      <c r="D417" s="12" t="n">
        <v>4.2</v>
      </c>
      <c r="E417" s="12"/>
      <c r="F417" s="12"/>
      <c r="G417" s="10" t="s">
        <v>1706</v>
      </c>
      <c r="H417" s="10" t="s">
        <v>1707</v>
      </c>
      <c r="I417" s="11" t="s">
        <v>1662</v>
      </c>
      <c r="J417" s="10" t="s">
        <v>407</v>
      </c>
      <c r="K417" s="10" t="s">
        <v>59</v>
      </c>
      <c r="L417" s="10" t="s">
        <v>60</v>
      </c>
      <c r="M417" s="10" t="s">
        <v>408</v>
      </c>
      <c r="N417" s="11" t="s">
        <v>1355</v>
      </c>
      <c r="O417" s="11" t="s">
        <v>433</v>
      </c>
      <c r="P417" s="10" t="s">
        <v>63</v>
      </c>
      <c r="Q417" s="11" t="s">
        <v>64</v>
      </c>
      <c r="R417" s="11" t="s">
        <v>1355</v>
      </c>
      <c r="S417" s="11" t="s">
        <v>66</v>
      </c>
      <c r="T417" s="11" t="s">
        <v>1708</v>
      </c>
      <c r="U417" s="10" t="n">
        <f aca="false">IF(AND($D417="",$E417="",$F417=""),1,0)</f>
        <v>0</v>
      </c>
      <c r="V417" s="10" t="n">
        <f aca="false">IF(OR($I417="",$I417="—"),1,0)</f>
        <v>0</v>
      </c>
      <c r="W417" s="10" t="n">
        <f aca="false">IF(AND(ISNUMBER($D417),ISNUMBER($E417)),IF($E417&gt;$D417,1,0),0)+IF(AND(ISNUMBER($D417),ISNUMBER($F417)),IF($D417&gt;$F417,1,0),0)+IF(AND(ISNUMBER($E417),ISNUMBER($F417)),IF($E417&gt;$F417,1,0),0)</f>
        <v>0</v>
      </c>
      <c r="X417" s="13" t="s">
        <v>68</v>
      </c>
    </row>
    <row r="418" customFormat="false" ht="15" hidden="false" customHeight="false" outlineLevel="0" collapsed="false">
      <c r="A418" s="10" t="s">
        <v>1709</v>
      </c>
      <c r="B418" s="10" t="s">
        <v>1710</v>
      </c>
      <c r="C418" s="11" t="s">
        <v>1711</v>
      </c>
      <c r="D418" s="12" t="n">
        <v>4.6</v>
      </c>
      <c r="E418" s="12"/>
      <c r="F418" s="12"/>
      <c r="G418" s="10" t="s">
        <v>1706</v>
      </c>
      <c r="H418" s="10" t="s">
        <v>84</v>
      </c>
      <c r="I418" s="11" t="s">
        <v>1712</v>
      </c>
      <c r="J418" s="10" t="s">
        <v>1713</v>
      </c>
      <c r="K418" s="10" t="s">
        <v>798</v>
      </c>
      <c r="L418" s="10" t="s">
        <v>60</v>
      </c>
      <c r="M418" s="10" t="s">
        <v>408</v>
      </c>
      <c r="N418" s="11" t="s">
        <v>1714</v>
      </c>
      <c r="O418" s="10"/>
      <c r="P418" s="10" t="s">
        <v>629</v>
      </c>
      <c r="Q418" s="11" t="s">
        <v>64</v>
      </c>
      <c r="R418" s="11" t="s">
        <v>1714</v>
      </c>
      <c r="S418" s="11" t="s">
        <v>702</v>
      </c>
      <c r="T418" s="11" t="s">
        <v>1715</v>
      </c>
      <c r="U418" s="10" t="n">
        <f aca="false">IF(AND($D418="",$E418="",$F418=""),1,0)</f>
        <v>0</v>
      </c>
      <c r="V418" s="10" t="n">
        <f aca="false">IF(OR($I418="",$I418="—"),1,0)</f>
        <v>0</v>
      </c>
      <c r="W418" s="10" t="n">
        <f aca="false">IF(AND(ISNUMBER($D418),ISNUMBER($E418)),IF($E418&gt;$D418,1,0),0)+IF(AND(ISNUMBER($D418),ISNUMBER($F418)),IF($D418&gt;$F418,1,0),0)+IF(AND(ISNUMBER($E418),ISNUMBER($F418)),IF($E418&gt;$F418,1,0),0)</f>
        <v>0</v>
      </c>
      <c r="X418" s="13" t="s">
        <v>68</v>
      </c>
    </row>
    <row r="419" customFormat="false" ht="15" hidden="false" customHeight="false" outlineLevel="0" collapsed="false">
      <c r="A419" s="10" t="s">
        <v>1716</v>
      </c>
      <c r="B419" s="10" t="s">
        <v>1717</v>
      </c>
      <c r="C419" s="11" t="s">
        <v>1718</v>
      </c>
      <c r="D419" s="12" t="n">
        <v>0.0005</v>
      </c>
      <c r="E419" s="12"/>
      <c r="F419" s="12"/>
      <c r="G419" s="10" t="s">
        <v>1706</v>
      </c>
      <c r="H419" s="10" t="s">
        <v>56</v>
      </c>
      <c r="I419" s="11" t="s">
        <v>1712</v>
      </c>
      <c r="J419" s="10" t="s">
        <v>1713</v>
      </c>
      <c r="K419" s="10" t="s">
        <v>798</v>
      </c>
      <c r="L419" s="10" t="s">
        <v>60</v>
      </c>
      <c r="M419" s="10" t="s">
        <v>408</v>
      </c>
      <c r="N419" s="11" t="s">
        <v>1719</v>
      </c>
      <c r="O419" s="10"/>
      <c r="P419" s="10" t="s">
        <v>629</v>
      </c>
      <c r="Q419" s="11" t="s">
        <v>64</v>
      </c>
      <c r="R419" s="11" t="s">
        <v>1719</v>
      </c>
      <c r="S419" s="11" t="s">
        <v>702</v>
      </c>
      <c r="T419" s="11" t="s">
        <v>1720</v>
      </c>
      <c r="U419" s="10" t="n">
        <f aca="false">IF(AND($D419="",$E419="",$F419=""),1,0)</f>
        <v>0</v>
      </c>
      <c r="V419" s="10" t="n">
        <f aca="false">IF(OR($I419="",$I419="—"),1,0)</f>
        <v>0</v>
      </c>
      <c r="W419" s="10" t="n">
        <f aca="false">IF(AND(ISNUMBER($D419),ISNUMBER($E419)),IF($E419&gt;$D419,1,0),0)+IF(AND(ISNUMBER($D419),ISNUMBER($F419)),IF($D419&gt;$F419,1,0),0)+IF(AND(ISNUMBER($E419),ISNUMBER($F419)),IF($E419&gt;$F419,1,0),0)</f>
        <v>0</v>
      </c>
      <c r="X419" s="13" t="s">
        <v>68</v>
      </c>
    </row>
    <row r="420" customFormat="false" ht="15" hidden="false" customHeight="false" outlineLevel="0" collapsed="false">
      <c r="A420" s="10" t="s">
        <v>1721</v>
      </c>
      <c r="B420" s="10" t="s">
        <v>1722</v>
      </c>
      <c r="C420" s="10" t="s">
        <v>1723</v>
      </c>
      <c r="D420" s="12" t="n">
        <v>62</v>
      </c>
      <c r="E420" s="12"/>
      <c r="F420" s="12"/>
      <c r="G420" s="10" t="s">
        <v>1724</v>
      </c>
      <c r="H420" s="10" t="s">
        <v>1725</v>
      </c>
      <c r="I420" s="11" t="s">
        <v>1726</v>
      </c>
      <c r="J420" s="10" t="s">
        <v>656</v>
      </c>
      <c r="K420" s="10" t="s">
        <v>657</v>
      </c>
      <c r="L420" s="10" t="s">
        <v>60</v>
      </c>
      <c r="M420" s="10" t="s">
        <v>408</v>
      </c>
      <c r="N420" s="11" t="s">
        <v>1355</v>
      </c>
      <c r="O420" s="10"/>
      <c r="P420" s="10" t="s">
        <v>63</v>
      </c>
      <c r="Q420" s="11" t="s">
        <v>64</v>
      </c>
      <c r="R420" s="11" t="s">
        <v>1355</v>
      </c>
      <c r="S420" s="11" t="s">
        <v>66</v>
      </c>
      <c r="T420" s="11" t="s">
        <v>1727</v>
      </c>
      <c r="U420" s="10" t="n">
        <f aca="false">IF(AND($D420="",$E420="",$F420=""),1,0)</f>
        <v>0</v>
      </c>
      <c r="V420" s="10" t="n">
        <f aca="false">IF(OR($I420="",$I420="—"),1,0)</f>
        <v>0</v>
      </c>
      <c r="W420" s="10" t="n">
        <f aca="false">IF(AND(ISNUMBER($D420),ISNUMBER($E420)),IF($E420&gt;$D420,1,0),0)+IF(AND(ISNUMBER($D420),ISNUMBER($F420)),IF($D420&gt;$F420,1,0),0)+IF(AND(ISNUMBER($E420),ISNUMBER($F420)),IF($E420&gt;$F420,1,0),0)</f>
        <v>0</v>
      </c>
      <c r="X420" s="13" t="s">
        <v>68</v>
      </c>
    </row>
    <row r="421" customFormat="false" ht="15" hidden="false" customHeight="false" outlineLevel="0" collapsed="false">
      <c r="A421" s="10" t="s">
        <v>1728</v>
      </c>
      <c r="B421" s="10" t="s">
        <v>1729</v>
      </c>
      <c r="C421" s="10" t="s">
        <v>1730</v>
      </c>
      <c r="D421" s="12" t="n">
        <v>16</v>
      </c>
      <c r="E421" s="12"/>
      <c r="F421" s="12"/>
      <c r="G421" s="10" t="s">
        <v>1731</v>
      </c>
      <c r="H421" s="10" t="s">
        <v>1732</v>
      </c>
      <c r="I421" s="11" t="s">
        <v>1733</v>
      </c>
      <c r="J421" s="10" t="s">
        <v>1734</v>
      </c>
      <c r="K421" s="10" t="s">
        <v>699</v>
      </c>
      <c r="L421" s="10" t="s">
        <v>60</v>
      </c>
      <c r="M421" s="10" t="s">
        <v>408</v>
      </c>
      <c r="N421" s="11" t="s">
        <v>1355</v>
      </c>
      <c r="O421" s="10"/>
      <c r="P421" s="10" t="s">
        <v>629</v>
      </c>
      <c r="Q421" s="11" t="s">
        <v>64</v>
      </c>
      <c r="R421" s="11" t="s">
        <v>1355</v>
      </c>
      <c r="S421" s="11" t="s">
        <v>702</v>
      </c>
      <c r="T421" s="11" t="s">
        <v>1735</v>
      </c>
      <c r="U421" s="10" t="n">
        <f aca="false">IF(AND($D421="",$E421="",$F421=""),1,0)</f>
        <v>0</v>
      </c>
      <c r="V421" s="10" t="n">
        <f aca="false">IF(OR($I421="",$I421="—"),1,0)</f>
        <v>0</v>
      </c>
      <c r="W421" s="10" t="n">
        <f aca="false">IF(AND(ISNUMBER($D421),ISNUMBER($E421)),IF($E421&gt;$D421,1,0),0)+IF(AND(ISNUMBER($D421),ISNUMBER($F421)),IF($D421&gt;$F421,1,0),0)+IF(AND(ISNUMBER($E421),ISNUMBER($F421)),IF($E421&gt;$F421,1,0),0)</f>
        <v>0</v>
      </c>
      <c r="X421" s="13" t="s">
        <v>68</v>
      </c>
    </row>
    <row r="422" customFormat="false" ht="15" hidden="false" customHeight="false" outlineLevel="0" collapsed="false">
      <c r="A422" s="10" t="s">
        <v>1736</v>
      </c>
      <c r="B422" s="10" t="s">
        <v>1737</v>
      </c>
      <c r="C422" s="10" t="s">
        <v>1738</v>
      </c>
      <c r="D422" s="12" t="n">
        <v>20</v>
      </c>
      <c r="E422" s="12"/>
      <c r="F422" s="12"/>
      <c r="G422" s="10" t="s">
        <v>1739</v>
      </c>
      <c r="H422" s="10" t="s">
        <v>1732</v>
      </c>
      <c r="I422" s="11" t="s">
        <v>1733</v>
      </c>
      <c r="J422" s="10" t="s">
        <v>1734</v>
      </c>
      <c r="K422" s="10" t="s">
        <v>699</v>
      </c>
      <c r="L422" s="10" t="s">
        <v>60</v>
      </c>
      <c r="M422" s="10" t="s">
        <v>408</v>
      </c>
      <c r="N422" s="11" t="s">
        <v>1355</v>
      </c>
      <c r="O422" s="10"/>
      <c r="P422" s="10" t="s">
        <v>629</v>
      </c>
      <c r="Q422" s="11" t="s">
        <v>64</v>
      </c>
      <c r="R422" s="11" t="s">
        <v>1355</v>
      </c>
      <c r="S422" s="11" t="s">
        <v>702</v>
      </c>
      <c r="T422" s="11" t="s">
        <v>1740</v>
      </c>
      <c r="U422" s="10" t="n">
        <f aca="false">IF(AND($D422="",$E422="",$F422=""),1,0)</f>
        <v>0</v>
      </c>
      <c r="V422" s="10" t="n">
        <f aca="false">IF(OR($I422="",$I422="—"),1,0)</f>
        <v>0</v>
      </c>
      <c r="W422" s="10" t="n">
        <f aca="false">IF(AND(ISNUMBER($D422),ISNUMBER($E422)),IF($E422&gt;$D422,1,0),0)+IF(AND(ISNUMBER($D422),ISNUMBER($F422)),IF($D422&gt;$F422,1,0),0)+IF(AND(ISNUMBER($E422),ISNUMBER($F422)),IF($E422&gt;$F422,1,0),0)</f>
        <v>0</v>
      </c>
      <c r="X422" s="13" t="s">
        <v>68</v>
      </c>
    </row>
    <row r="423" customFormat="false" ht="15" hidden="false" customHeight="false" outlineLevel="0" collapsed="false">
      <c r="A423" s="10" t="s">
        <v>1741</v>
      </c>
      <c r="B423" s="10" t="s">
        <v>1742</v>
      </c>
      <c r="C423" s="11" t="s">
        <v>1743</v>
      </c>
      <c r="D423" s="12" t="n">
        <v>18</v>
      </c>
      <c r="E423" s="12"/>
      <c r="F423" s="12"/>
      <c r="G423" s="10" t="s">
        <v>1731</v>
      </c>
      <c r="H423" s="10" t="s">
        <v>1744</v>
      </c>
      <c r="I423" s="11" t="s">
        <v>1745</v>
      </c>
      <c r="J423" s="10" t="s">
        <v>1746</v>
      </c>
      <c r="K423" s="10" t="s">
        <v>1744</v>
      </c>
      <c r="L423" s="10" t="s">
        <v>60</v>
      </c>
      <c r="M423" s="10" t="s">
        <v>408</v>
      </c>
      <c r="N423" s="11" t="s">
        <v>1355</v>
      </c>
      <c r="O423" s="10"/>
      <c r="P423" s="10" t="s">
        <v>629</v>
      </c>
      <c r="Q423" s="11" t="s">
        <v>64</v>
      </c>
      <c r="R423" s="11" t="s">
        <v>1355</v>
      </c>
      <c r="S423" s="11" t="s">
        <v>702</v>
      </c>
      <c r="T423" s="11" t="s">
        <v>1747</v>
      </c>
      <c r="U423" s="10" t="n">
        <f aca="false">IF(AND($D423="",$E423="",$F423=""),1,0)</f>
        <v>0</v>
      </c>
      <c r="V423" s="10" t="n">
        <f aca="false">IF(OR($I423="",$I423="—"),1,0)</f>
        <v>0</v>
      </c>
      <c r="W423" s="10" t="n">
        <f aca="false">IF(AND(ISNUMBER($D423),ISNUMBER($E423)),IF($E423&gt;$D423,1,0),0)+IF(AND(ISNUMBER($D423),ISNUMBER($F423)),IF($D423&gt;$F423,1,0),0)+IF(AND(ISNUMBER($E423),ISNUMBER($F423)),IF($E423&gt;$F423,1,0),0)</f>
        <v>0</v>
      </c>
      <c r="X423" s="13" t="s">
        <v>68</v>
      </c>
    </row>
    <row r="424" customFormat="false" ht="15" hidden="false" customHeight="false" outlineLevel="0" collapsed="false">
      <c r="A424" s="10" t="s">
        <v>1748</v>
      </c>
      <c r="B424" s="10" t="s">
        <v>1749</v>
      </c>
      <c r="C424" s="11" t="s">
        <v>1750</v>
      </c>
      <c r="D424" s="12" t="n">
        <v>30</v>
      </c>
      <c r="E424" s="12"/>
      <c r="F424" s="12"/>
      <c r="G424" s="10" t="s">
        <v>1731</v>
      </c>
      <c r="H424" s="10" t="s">
        <v>1751</v>
      </c>
      <c r="I424" s="11" t="s">
        <v>1745</v>
      </c>
      <c r="J424" s="10" t="s">
        <v>1746</v>
      </c>
      <c r="K424" s="10" t="s">
        <v>1744</v>
      </c>
      <c r="L424" s="10" t="s">
        <v>60</v>
      </c>
      <c r="M424" s="10" t="s">
        <v>408</v>
      </c>
      <c r="N424" s="11" t="s">
        <v>1355</v>
      </c>
      <c r="O424" s="10"/>
      <c r="P424" s="10" t="s">
        <v>629</v>
      </c>
      <c r="Q424" s="11" t="s">
        <v>64</v>
      </c>
      <c r="R424" s="11" t="s">
        <v>1355</v>
      </c>
      <c r="S424" s="11" t="s">
        <v>702</v>
      </c>
      <c r="T424" s="11" t="s">
        <v>1752</v>
      </c>
      <c r="U424" s="10" t="n">
        <f aca="false">IF(AND($D424="",$E424="",$F424=""),1,0)</f>
        <v>0</v>
      </c>
      <c r="V424" s="10" t="n">
        <f aca="false">IF(OR($I424="",$I424="—"),1,0)</f>
        <v>0</v>
      </c>
      <c r="W424" s="10" t="n">
        <f aca="false">IF(AND(ISNUMBER($D424),ISNUMBER($E424)),IF($E424&gt;$D424,1,0),0)+IF(AND(ISNUMBER($D424),ISNUMBER($F424)),IF($D424&gt;$F424,1,0),0)+IF(AND(ISNUMBER($E424),ISNUMBER($F424)),IF($E424&gt;$F424,1,0),0)</f>
        <v>0</v>
      </c>
      <c r="X424" s="13" t="s">
        <v>68</v>
      </c>
    </row>
    <row r="425" customFormat="false" ht="15" hidden="false" customHeight="false" outlineLevel="0" collapsed="false">
      <c r="A425" s="10" t="s">
        <v>1753</v>
      </c>
      <c r="B425" s="10" t="s">
        <v>1754</v>
      </c>
      <c r="C425" s="10" t="s">
        <v>1755</v>
      </c>
      <c r="D425" s="12" t="n">
        <v>10</v>
      </c>
      <c r="E425" s="12"/>
      <c r="F425" s="12"/>
      <c r="G425" s="11" t="s">
        <v>1701</v>
      </c>
      <c r="H425" s="10" t="s">
        <v>1756</v>
      </c>
      <c r="I425" s="11" t="s">
        <v>1745</v>
      </c>
      <c r="J425" s="10" t="s">
        <v>1746</v>
      </c>
      <c r="K425" s="10" t="s">
        <v>1744</v>
      </c>
      <c r="L425" s="10" t="s">
        <v>60</v>
      </c>
      <c r="M425" s="10" t="s">
        <v>408</v>
      </c>
      <c r="N425" s="11" t="s">
        <v>1355</v>
      </c>
      <c r="O425" s="10"/>
      <c r="P425" s="10" t="s">
        <v>629</v>
      </c>
      <c r="Q425" s="11" t="s">
        <v>64</v>
      </c>
      <c r="R425" s="11" t="s">
        <v>1355</v>
      </c>
      <c r="S425" s="11" t="s">
        <v>702</v>
      </c>
      <c r="T425" s="11" t="s">
        <v>1757</v>
      </c>
      <c r="U425" s="10" t="n">
        <f aca="false">IF(AND($D425="",$E425="",$F425=""),1,0)</f>
        <v>0</v>
      </c>
      <c r="V425" s="10" t="n">
        <f aca="false">IF(OR($I425="",$I425="—"),1,0)</f>
        <v>0</v>
      </c>
      <c r="W425" s="10" t="n">
        <f aca="false">IF(AND(ISNUMBER($D425),ISNUMBER($E425)),IF($E425&gt;$D425,1,0),0)+IF(AND(ISNUMBER($D425),ISNUMBER($F425)),IF($D425&gt;$F425,1,0),0)+IF(AND(ISNUMBER($E425),ISNUMBER($F425)),IF($E425&gt;$F425,1,0),0)</f>
        <v>0</v>
      </c>
      <c r="X425" s="13" t="s">
        <v>68</v>
      </c>
    </row>
    <row r="426" customFormat="false" ht="15" hidden="false" customHeight="false" outlineLevel="0" collapsed="false">
      <c r="A426" s="10" t="s">
        <v>1758</v>
      </c>
      <c r="B426" s="10" t="s">
        <v>1759</v>
      </c>
      <c r="C426" s="10" t="s">
        <v>1760</v>
      </c>
      <c r="D426" s="12"/>
      <c r="E426" s="12"/>
      <c r="F426" s="12"/>
      <c r="G426" s="11" t="s">
        <v>1761</v>
      </c>
      <c r="H426" s="10" t="s">
        <v>1762</v>
      </c>
      <c r="I426" s="10" t="s">
        <v>1763</v>
      </c>
      <c r="J426" s="10" t="s">
        <v>1561</v>
      </c>
      <c r="K426" s="10" t="s">
        <v>60</v>
      </c>
      <c r="L426" s="10" t="s">
        <v>60</v>
      </c>
      <c r="M426" s="10" t="s">
        <v>408</v>
      </c>
      <c r="N426" s="11" t="s">
        <v>1764</v>
      </c>
      <c r="O426" s="10"/>
      <c r="P426" s="10" t="s">
        <v>629</v>
      </c>
      <c r="Q426" s="11" t="s">
        <v>64</v>
      </c>
      <c r="R426" s="11" t="s">
        <v>1764</v>
      </c>
      <c r="S426" s="11" t="s">
        <v>702</v>
      </c>
      <c r="T426" s="11" t="s">
        <v>1765</v>
      </c>
      <c r="U426" s="10" t="n">
        <f aca="false">IF(AND($D426="",$E426="",$F426=""),1,0)</f>
        <v>1</v>
      </c>
      <c r="V426" s="10" t="n">
        <f aca="false">IF(OR($I426="",$I426="—"),1,0)</f>
        <v>0</v>
      </c>
      <c r="W426" s="10" t="n">
        <f aca="false">IF(AND(ISNUMBER($D426),ISNUMBER($E426)),IF($E426&gt;$D426,1,0),0)+IF(AND(ISNUMBER($D426),ISNUMBER($F426)),IF($D426&gt;$F426,1,0),0)+IF(AND(ISNUMBER($E426),ISNUMBER($F426)),IF($E426&gt;$F426,1,0),0)</f>
        <v>0</v>
      </c>
      <c r="X426" s="13" t="s">
        <v>68</v>
      </c>
    </row>
    <row r="427" customFormat="false" ht="15" hidden="false" customHeight="false" outlineLevel="0" collapsed="false">
      <c r="A427" s="10" t="s">
        <v>1766</v>
      </c>
      <c r="B427" s="10" t="s">
        <v>1767</v>
      </c>
      <c r="C427" s="11" t="s">
        <v>1768</v>
      </c>
      <c r="D427" s="12" t="n">
        <v>55.4</v>
      </c>
      <c r="E427" s="12"/>
      <c r="F427" s="12"/>
      <c r="G427" s="10" t="s">
        <v>393</v>
      </c>
      <c r="H427" s="10" t="s">
        <v>56</v>
      </c>
      <c r="I427" s="11" t="s">
        <v>1662</v>
      </c>
      <c r="J427" s="10" t="s">
        <v>407</v>
      </c>
      <c r="K427" s="10" t="s">
        <v>59</v>
      </c>
      <c r="L427" s="10" t="s">
        <v>60</v>
      </c>
      <c r="M427" s="10" t="s">
        <v>61</v>
      </c>
      <c r="N427" s="10"/>
      <c r="O427" s="11" t="s">
        <v>1769</v>
      </c>
      <c r="P427" s="10" t="s">
        <v>63</v>
      </c>
      <c r="Q427" s="11" t="s">
        <v>64</v>
      </c>
      <c r="R427" s="11" t="s">
        <v>65</v>
      </c>
      <c r="S427" s="11" t="s">
        <v>66</v>
      </c>
      <c r="T427" s="11" t="s">
        <v>1770</v>
      </c>
      <c r="U427" s="10" t="n">
        <f aca="false">IF(AND($D427="",$E427="",$F427=""),1,0)</f>
        <v>0</v>
      </c>
      <c r="V427" s="10" t="n">
        <f aca="false">IF(OR($I427="",$I427="—"),1,0)</f>
        <v>0</v>
      </c>
      <c r="W427" s="10" t="n">
        <f aca="false">IF(AND(ISNUMBER($D427),ISNUMBER($E427)),IF($E427&gt;$D427,1,0),0)+IF(AND(ISNUMBER($D427),ISNUMBER($F427)),IF($D427&gt;$F427,1,0),0)+IF(AND(ISNUMBER($E427),ISNUMBER($F427)),IF($E427&gt;$F427,1,0),0)</f>
        <v>0</v>
      </c>
      <c r="X427" s="13" t="s">
        <v>68</v>
      </c>
    </row>
    <row r="428" customFormat="false" ht="15" hidden="false" customHeight="false" outlineLevel="0" collapsed="false">
      <c r="A428" s="10" t="s">
        <v>1771</v>
      </c>
      <c r="B428" s="10" t="s">
        <v>1772</v>
      </c>
      <c r="C428" s="11" t="s">
        <v>1773</v>
      </c>
      <c r="D428" s="12" t="n">
        <v>15.4</v>
      </c>
      <c r="E428" s="12"/>
      <c r="F428" s="12"/>
      <c r="G428" s="10" t="s">
        <v>393</v>
      </c>
      <c r="H428" s="10" t="s">
        <v>56</v>
      </c>
      <c r="I428" s="11" t="s">
        <v>1662</v>
      </c>
      <c r="J428" s="10" t="s">
        <v>407</v>
      </c>
      <c r="K428" s="10" t="s">
        <v>59</v>
      </c>
      <c r="L428" s="10" t="s">
        <v>60</v>
      </c>
      <c r="M428" s="10" t="s">
        <v>61</v>
      </c>
      <c r="N428" s="10"/>
      <c r="O428" s="11" t="s">
        <v>1769</v>
      </c>
      <c r="P428" s="10" t="s">
        <v>63</v>
      </c>
      <c r="Q428" s="11" t="s">
        <v>64</v>
      </c>
      <c r="R428" s="11" t="s">
        <v>65</v>
      </c>
      <c r="S428" s="11" t="s">
        <v>66</v>
      </c>
      <c r="T428" s="11" t="s">
        <v>1087</v>
      </c>
      <c r="U428" s="10" t="n">
        <f aca="false">IF(AND($D428="",$E428="",$F428=""),1,0)</f>
        <v>0</v>
      </c>
      <c r="V428" s="10" t="n">
        <f aca="false">IF(OR($I428="",$I428="—"),1,0)</f>
        <v>0</v>
      </c>
      <c r="W428" s="10" t="n">
        <f aca="false">IF(AND(ISNUMBER($D428),ISNUMBER($E428)),IF($E428&gt;$D428,1,0),0)+IF(AND(ISNUMBER($D428),ISNUMBER($F428)),IF($D428&gt;$F428,1,0),0)+IF(AND(ISNUMBER($E428),ISNUMBER($F428)),IF($E428&gt;$F428,1,0),0)</f>
        <v>0</v>
      </c>
      <c r="X428" s="13" t="s">
        <v>68</v>
      </c>
    </row>
    <row r="429" customFormat="false" ht="15" hidden="false" customHeight="false" outlineLevel="0" collapsed="false">
      <c r="A429" s="10" t="s">
        <v>1774</v>
      </c>
      <c r="B429" s="10" t="s">
        <v>1775</v>
      </c>
      <c r="C429" s="11" t="s">
        <v>1768</v>
      </c>
      <c r="D429" s="12" t="n">
        <v>61.5</v>
      </c>
      <c r="E429" s="12"/>
      <c r="F429" s="12"/>
      <c r="G429" s="10" t="s">
        <v>393</v>
      </c>
      <c r="H429" s="10" t="s">
        <v>71</v>
      </c>
      <c r="I429" s="11" t="s">
        <v>1662</v>
      </c>
      <c r="J429" s="10" t="s">
        <v>407</v>
      </c>
      <c r="K429" s="10" t="s">
        <v>59</v>
      </c>
      <c r="L429" s="10" t="s">
        <v>60</v>
      </c>
      <c r="M429" s="10" t="s">
        <v>61</v>
      </c>
      <c r="N429" s="10"/>
      <c r="O429" s="11" t="s">
        <v>1769</v>
      </c>
      <c r="P429" s="10" t="s">
        <v>63</v>
      </c>
      <c r="Q429" s="11" t="s">
        <v>64</v>
      </c>
      <c r="R429" s="11" t="s">
        <v>65</v>
      </c>
      <c r="S429" s="11" t="s">
        <v>66</v>
      </c>
      <c r="T429" s="11" t="s">
        <v>1776</v>
      </c>
      <c r="U429" s="10" t="n">
        <f aca="false">IF(AND($D429="",$E429="",$F429=""),1,0)</f>
        <v>0</v>
      </c>
      <c r="V429" s="10" t="n">
        <f aca="false">IF(OR($I429="",$I429="—"),1,0)</f>
        <v>0</v>
      </c>
      <c r="W429" s="10" t="n">
        <f aca="false">IF(AND(ISNUMBER($D429),ISNUMBER($E429)),IF($E429&gt;$D429,1,0),0)+IF(AND(ISNUMBER($D429),ISNUMBER($F429)),IF($D429&gt;$F429,1,0),0)+IF(AND(ISNUMBER($E429),ISNUMBER($F429)),IF($E429&gt;$F429,1,0),0)</f>
        <v>0</v>
      </c>
      <c r="X429" s="13" t="s">
        <v>68</v>
      </c>
    </row>
    <row r="430" customFormat="false" ht="15" hidden="false" customHeight="false" outlineLevel="0" collapsed="false">
      <c r="A430" s="10" t="s">
        <v>1777</v>
      </c>
      <c r="B430" s="10" t="s">
        <v>1778</v>
      </c>
      <c r="C430" s="11" t="s">
        <v>1773</v>
      </c>
      <c r="D430" s="12" t="n">
        <v>14.7</v>
      </c>
      <c r="E430" s="12"/>
      <c r="F430" s="12"/>
      <c r="G430" s="10" t="s">
        <v>393</v>
      </c>
      <c r="H430" s="10" t="s">
        <v>71</v>
      </c>
      <c r="I430" s="11" t="s">
        <v>1662</v>
      </c>
      <c r="J430" s="10" t="s">
        <v>407</v>
      </c>
      <c r="K430" s="10" t="s">
        <v>59</v>
      </c>
      <c r="L430" s="10" t="s">
        <v>60</v>
      </c>
      <c r="M430" s="10" t="s">
        <v>61</v>
      </c>
      <c r="N430" s="10"/>
      <c r="O430" s="11" t="s">
        <v>1769</v>
      </c>
      <c r="P430" s="10" t="s">
        <v>63</v>
      </c>
      <c r="Q430" s="11" t="s">
        <v>64</v>
      </c>
      <c r="R430" s="11" t="s">
        <v>65</v>
      </c>
      <c r="S430" s="11" t="s">
        <v>66</v>
      </c>
      <c r="T430" s="11" t="s">
        <v>1087</v>
      </c>
      <c r="U430" s="10" t="n">
        <f aca="false">IF(AND($D430="",$E430="",$F430=""),1,0)</f>
        <v>0</v>
      </c>
      <c r="V430" s="10" t="n">
        <f aca="false">IF(OR($I430="",$I430="—"),1,0)</f>
        <v>0</v>
      </c>
      <c r="W430" s="10" t="n">
        <f aca="false">IF(AND(ISNUMBER($D430),ISNUMBER($E430)),IF($E430&gt;$D430,1,0),0)+IF(AND(ISNUMBER($D430),ISNUMBER($F430)),IF($D430&gt;$F430,1,0),0)+IF(AND(ISNUMBER($E430),ISNUMBER($F430)),IF($E430&gt;$F430,1,0),0)</f>
        <v>0</v>
      </c>
      <c r="X430" s="13" t="s">
        <v>68</v>
      </c>
    </row>
    <row r="431" customFormat="false" ht="15" hidden="false" customHeight="false" outlineLevel="0" collapsed="false">
      <c r="A431" s="10" t="s">
        <v>1779</v>
      </c>
      <c r="B431" s="10" t="s">
        <v>1780</v>
      </c>
      <c r="C431" s="11" t="s">
        <v>1768</v>
      </c>
      <c r="D431" s="12" t="n">
        <v>45.5</v>
      </c>
      <c r="E431" s="12"/>
      <c r="F431" s="12"/>
      <c r="G431" s="10" t="s">
        <v>393</v>
      </c>
      <c r="H431" s="10" t="s">
        <v>75</v>
      </c>
      <c r="I431" s="11" t="s">
        <v>1662</v>
      </c>
      <c r="J431" s="10" t="s">
        <v>407</v>
      </c>
      <c r="K431" s="10" t="s">
        <v>59</v>
      </c>
      <c r="L431" s="10" t="s">
        <v>60</v>
      </c>
      <c r="M431" s="10" t="s">
        <v>61</v>
      </c>
      <c r="N431" s="10"/>
      <c r="O431" s="11" t="s">
        <v>1769</v>
      </c>
      <c r="P431" s="10" t="s">
        <v>63</v>
      </c>
      <c r="Q431" s="11" t="s">
        <v>64</v>
      </c>
      <c r="R431" s="11" t="s">
        <v>65</v>
      </c>
      <c r="S431" s="11" t="s">
        <v>66</v>
      </c>
      <c r="T431" s="11" t="s">
        <v>1781</v>
      </c>
      <c r="U431" s="10" t="n">
        <f aca="false">IF(AND($D431="",$E431="",$F431=""),1,0)</f>
        <v>0</v>
      </c>
      <c r="V431" s="10" t="n">
        <f aca="false">IF(OR($I431="",$I431="—"),1,0)</f>
        <v>0</v>
      </c>
      <c r="W431" s="10" t="n">
        <f aca="false">IF(AND(ISNUMBER($D431),ISNUMBER($E431)),IF($E431&gt;$D431,1,0),0)+IF(AND(ISNUMBER($D431),ISNUMBER($F431)),IF($D431&gt;$F431,1,0),0)+IF(AND(ISNUMBER($E431),ISNUMBER($F431)),IF($E431&gt;$F431,1,0),0)</f>
        <v>0</v>
      </c>
      <c r="X431" s="13" t="s">
        <v>68</v>
      </c>
    </row>
    <row r="432" customFormat="false" ht="15" hidden="false" customHeight="false" outlineLevel="0" collapsed="false">
      <c r="A432" s="10" t="s">
        <v>1782</v>
      </c>
      <c r="B432" s="10" t="s">
        <v>1783</v>
      </c>
      <c r="C432" s="11" t="s">
        <v>1773</v>
      </c>
      <c r="D432" s="12" t="n">
        <v>19</v>
      </c>
      <c r="E432" s="12"/>
      <c r="F432" s="12"/>
      <c r="G432" s="10" t="s">
        <v>393</v>
      </c>
      <c r="H432" s="10" t="s">
        <v>75</v>
      </c>
      <c r="I432" s="11" t="s">
        <v>1662</v>
      </c>
      <c r="J432" s="10" t="s">
        <v>407</v>
      </c>
      <c r="K432" s="10" t="s">
        <v>59</v>
      </c>
      <c r="L432" s="10" t="s">
        <v>60</v>
      </c>
      <c r="M432" s="10" t="s">
        <v>61</v>
      </c>
      <c r="N432" s="10"/>
      <c r="O432" s="11" t="s">
        <v>1769</v>
      </c>
      <c r="P432" s="10" t="s">
        <v>63</v>
      </c>
      <c r="Q432" s="11" t="s">
        <v>64</v>
      </c>
      <c r="R432" s="11" t="s">
        <v>65</v>
      </c>
      <c r="S432" s="11" t="s">
        <v>66</v>
      </c>
      <c r="T432" s="11" t="s">
        <v>1087</v>
      </c>
      <c r="U432" s="10" t="n">
        <f aca="false">IF(AND($D432="",$E432="",$F432=""),1,0)</f>
        <v>0</v>
      </c>
      <c r="V432" s="10" t="n">
        <f aca="false">IF(OR($I432="",$I432="—"),1,0)</f>
        <v>0</v>
      </c>
      <c r="W432" s="10" t="n">
        <f aca="false">IF(AND(ISNUMBER($D432),ISNUMBER($E432)),IF($E432&gt;$D432,1,0),0)+IF(AND(ISNUMBER($D432),ISNUMBER($F432)),IF($D432&gt;$F432,1,0),0)+IF(AND(ISNUMBER($E432),ISNUMBER($F432)),IF($E432&gt;$F432,1,0),0)</f>
        <v>0</v>
      </c>
      <c r="X432" s="13" t="s">
        <v>68</v>
      </c>
    </row>
    <row r="433" customFormat="false" ht="15" hidden="false" customHeight="false" outlineLevel="0" collapsed="false">
      <c r="A433" s="10" t="s">
        <v>1784</v>
      </c>
      <c r="B433" s="10" t="s">
        <v>1785</v>
      </c>
      <c r="C433" s="11" t="s">
        <v>1768</v>
      </c>
      <c r="D433" s="12" t="n">
        <v>40</v>
      </c>
      <c r="E433" s="12"/>
      <c r="F433" s="12"/>
      <c r="G433" s="10" t="s">
        <v>393</v>
      </c>
      <c r="H433" s="10" t="s">
        <v>84</v>
      </c>
      <c r="I433" s="11" t="s">
        <v>1662</v>
      </c>
      <c r="J433" s="10" t="s">
        <v>407</v>
      </c>
      <c r="K433" s="10" t="s">
        <v>59</v>
      </c>
      <c r="L433" s="10" t="s">
        <v>60</v>
      </c>
      <c r="M433" s="10" t="s">
        <v>61</v>
      </c>
      <c r="N433" s="10"/>
      <c r="O433" s="11" t="s">
        <v>1769</v>
      </c>
      <c r="P433" s="10" t="s">
        <v>63</v>
      </c>
      <c r="Q433" s="11" t="s">
        <v>64</v>
      </c>
      <c r="R433" s="11" t="s">
        <v>65</v>
      </c>
      <c r="S433" s="11" t="s">
        <v>66</v>
      </c>
      <c r="T433" s="11" t="s">
        <v>1786</v>
      </c>
      <c r="U433" s="10" t="n">
        <f aca="false">IF(AND($D433="",$E433="",$F433=""),1,0)</f>
        <v>0</v>
      </c>
      <c r="V433" s="10" t="n">
        <f aca="false">IF(OR($I433="",$I433="—"),1,0)</f>
        <v>0</v>
      </c>
      <c r="W433" s="10" t="n">
        <f aca="false">IF(AND(ISNUMBER($D433),ISNUMBER($E433)),IF($E433&gt;$D433,1,0),0)+IF(AND(ISNUMBER($D433),ISNUMBER($F433)),IF($D433&gt;$F433,1,0),0)+IF(AND(ISNUMBER($E433),ISNUMBER($F433)),IF($E433&gt;$F433,1,0),0)</f>
        <v>0</v>
      </c>
      <c r="X433" s="13" t="s">
        <v>68</v>
      </c>
    </row>
    <row r="434" customFormat="false" ht="15" hidden="false" customHeight="false" outlineLevel="0" collapsed="false">
      <c r="A434" s="10" t="s">
        <v>1787</v>
      </c>
      <c r="B434" s="10" t="s">
        <v>1788</v>
      </c>
      <c r="C434" s="11" t="s">
        <v>1773</v>
      </c>
      <c r="D434" s="12" t="n">
        <v>11</v>
      </c>
      <c r="E434" s="12"/>
      <c r="F434" s="12"/>
      <c r="G434" s="10" t="s">
        <v>393</v>
      </c>
      <c r="H434" s="10" t="s">
        <v>84</v>
      </c>
      <c r="I434" s="11" t="s">
        <v>1662</v>
      </c>
      <c r="J434" s="10" t="s">
        <v>407</v>
      </c>
      <c r="K434" s="10" t="s">
        <v>59</v>
      </c>
      <c r="L434" s="10" t="s">
        <v>60</v>
      </c>
      <c r="M434" s="10" t="s">
        <v>61</v>
      </c>
      <c r="N434" s="10"/>
      <c r="O434" s="11" t="s">
        <v>1769</v>
      </c>
      <c r="P434" s="10" t="s">
        <v>63</v>
      </c>
      <c r="Q434" s="11" t="s">
        <v>64</v>
      </c>
      <c r="R434" s="11" t="s">
        <v>65</v>
      </c>
      <c r="S434" s="11" t="s">
        <v>66</v>
      </c>
      <c r="T434" s="11" t="s">
        <v>1087</v>
      </c>
      <c r="U434" s="10" t="n">
        <f aca="false">IF(AND($D434="",$E434="",$F434=""),1,0)</f>
        <v>0</v>
      </c>
      <c r="V434" s="10" t="n">
        <f aca="false">IF(OR($I434="",$I434="—"),1,0)</f>
        <v>0</v>
      </c>
      <c r="W434" s="10" t="n">
        <f aca="false">IF(AND(ISNUMBER($D434),ISNUMBER($E434)),IF($E434&gt;$D434,1,0),0)+IF(AND(ISNUMBER($D434),ISNUMBER($F434)),IF($D434&gt;$F434,1,0),0)+IF(AND(ISNUMBER($E434),ISNUMBER($F434)),IF($E434&gt;$F434,1,0),0)</f>
        <v>0</v>
      </c>
      <c r="X434" s="13" t="s">
        <v>68</v>
      </c>
    </row>
    <row r="435" customFormat="false" ht="15" hidden="false" customHeight="false" outlineLevel="0" collapsed="false">
      <c r="A435" s="10" t="s">
        <v>1789</v>
      </c>
      <c r="B435" s="10" t="s">
        <v>1790</v>
      </c>
      <c r="C435" s="11" t="s">
        <v>1791</v>
      </c>
      <c r="D435" s="12" t="n">
        <v>1.42</v>
      </c>
      <c r="E435" s="12"/>
      <c r="F435" s="12"/>
      <c r="G435" s="10" t="s">
        <v>55</v>
      </c>
      <c r="H435" s="10" t="s">
        <v>75</v>
      </c>
      <c r="I435" s="11" t="s">
        <v>1792</v>
      </c>
      <c r="J435" s="10" t="s">
        <v>897</v>
      </c>
      <c r="K435" s="10" t="s">
        <v>898</v>
      </c>
      <c r="L435" s="10" t="s">
        <v>60</v>
      </c>
      <c r="M435" s="10" t="s">
        <v>61</v>
      </c>
      <c r="N435" s="10"/>
      <c r="O435" s="10"/>
      <c r="P435" s="10" t="s">
        <v>629</v>
      </c>
      <c r="Q435" s="11" t="s">
        <v>64</v>
      </c>
      <c r="R435" s="11" t="s">
        <v>1082</v>
      </c>
      <c r="S435" s="11" t="s">
        <v>702</v>
      </c>
      <c r="T435" s="11" t="s">
        <v>1793</v>
      </c>
      <c r="U435" s="10" t="n">
        <f aca="false">IF(AND($D435="",$E435="",$F435=""),1,0)</f>
        <v>0</v>
      </c>
      <c r="V435" s="10" t="n">
        <f aca="false">IF(OR($I435="",$I435="—"),1,0)</f>
        <v>0</v>
      </c>
      <c r="W435" s="10" t="n">
        <f aca="false">IF(AND(ISNUMBER($D435),ISNUMBER($E435)),IF($E435&gt;$D435,1,0),0)+IF(AND(ISNUMBER($D435),ISNUMBER($F435)),IF($D435&gt;$F435,1,0),0)+IF(AND(ISNUMBER($E435),ISNUMBER($F435)),IF($E435&gt;$F435,1,0),0)</f>
        <v>0</v>
      </c>
      <c r="X435" s="13" t="s">
        <v>68</v>
      </c>
    </row>
    <row r="436" customFormat="false" ht="15" hidden="false" customHeight="false" outlineLevel="0" collapsed="false">
      <c r="A436" s="10" t="s">
        <v>1794</v>
      </c>
      <c r="B436" s="10" t="s">
        <v>1795</v>
      </c>
      <c r="C436" s="10" t="s">
        <v>1796</v>
      </c>
      <c r="D436" s="12" t="n">
        <v>0</v>
      </c>
      <c r="E436" s="12"/>
      <c r="F436" s="12"/>
      <c r="G436" s="11" t="s">
        <v>1661</v>
      </c>
      <c r="H436" s="10" t="s">
        <v>438</v>
      </c>
      <c r="I436" s="11" t="s">
        <v>1797</v>
      </c>
      <c r="J436" s="10" t="s">
        <v>440</v>
      </c>
      <c r="K436" s="10" t="s">
        <v>441</v>
      </c>
      <c r="L436" s="10" t="s">
        <v>60</v>
      </c>
      <c r="M436" s="10" t="s">
        <v>61</v>
      </c>
      <c r="N436" s="10"/>
      <c r="O436" s="11" t="s">
        <v>1798</v>
      </c>
      <c r="P436" s="10" t="s">
        <v>63</v>
      </c>
      <c r="Q436" s="11" t="s">
        <v>64</v>
      </c>
      <c r="R436" s="11" t="s">
        <v>65</v>
      </c>
      <c r="S436" s="11" t="s">
        <v>66</v>
      </c>
      <c r="T436" s="11" t="s">
        <v>1799</v>
      </c>
      <c r="U436" s="10" t="n">
        <f aca="false">IF(AND($D436="",$E436="",$F436=""),1,0)</f>
        <v>0</v>
      </c>
      <c r="V436" s="10" t="n">
        <f aca="false">IF(OR($I436="",$I436="—"),1,0)</f>
        <v>0</v>
      </c>
      <c r="W436" s="10" t="n">
        <f aca="false">IF(AND(ISNUMBER($D436),ISNUMBER($E436)),IF($E436&gt;$D436,1,0),0)+IF(AND(ISNUMBER($D436),ISNUMBER($F436)),IF($D436&gt;$F436,1,0),0)+IF(AND(ISNUMBER($E436),ISNUMBER($F436)),IF($E436&gt;$F436,1,0),0)</f>
        <v>0</v>
      </c>
      <c r="X436" s="13" t="s">
        <v>68</v>
      </c>
    </row>
    <row r="437" customFormat="false" ht="15" hidden="false" customHeight="false" outlineLevel="0" collapsed="false">
      <c r="A437" s="10" t="s">
        <v>1800</v>
      </c>
      <c r="B437" s="10" t="s">
        <v>1801</v>
      </c>
      <c r="C437" s="11" t="s">
        <v>1802</v>
      </c>
      <c r="D437" s="12" t="n">
        <v>2.42</v>
      </c>
      <c r="E437" s="12"/>
      <c r="F437" s="12"/>
      <c r="G437" s="10" t="s">
        <v>1803</v>
      </c>
      <c r="H437" s="10" t="s">
        <v>1804</v>
      </c>
      <c r="I437" s="11" t="s">
        <v>1712</v>
      </c>
      <c r="J437" s="10" t="s">
        <v>1713</v>
      </c>
      <c r="K437" s="10" t="s">
        <v>798</v>
      </c>
      <c r="L437" s="10" t="s">
        <v>60</v>
      </c>
      <c r="M437" s="10" t="s">
        <v>408</v>
      </c>
      <c r="N437" s="11" t="s">
        <v>701</v>
      </c>
      <c r="O437" s="10"/>
      <c r="P437" s="10" t="s">
        <v>629</v>
      </c>
      <c r="Q437" s="11" t="s">
        <v>64</v>
      </c>
      <c r="R437" s="11" t="s">
        <v>701</v>
      </c>
      <c r="S437" s="11" t="s">
        <v>702</v>
      </c>
      <c r="T437" s="11" t="s">
        <v>1805</v>
      </c>
      <c r="U437" s="10" t="n">
        <f aca="false">IF(AND($D437="",$E437="",$F437=""),1,0)</f>
        <v>0</v>
      </c>
      <c r="V437" s="10" t="n">
        <f aca="false">IF(OR($I437="",$I437="—"),1,0)</f>
        <v>0</v>
      </c>
      <c r="W437" s="10" t="n">
        <f aca="false">IF(AND(ISNUMBER($D437),ISNUMBER($E437)),IF($E437&gt;$D437,1,0),0)+IF(AND(ISNUMBER($D437),ISNUMBER($F437)),IF($D437&gt;$F437,1,0),0)+IF(AND(ISNUMBER($E437),ISNUMBER($F437)),IF($E437&gt;$F437,1,0),0)</f>
        <v>0</v>
      </c>
      <c r="X437" s="13" t="s">
        <v>68</v>
      </c>
    </row>
    <row r="438" customFormat="false" ht="15" hidden="false" customHeight="false" outlineLevel="0" collapsed="false">
      <c r="A438" s="10" t="s">
        <v>1806</v>
      </c>
      <c r="B438" s="10" t="s">
        <v>1807</v>
      </c>
      <c r="C438" s="11" t="s">
        <v>1808</v>
      </c>
      <c r="D438" s="12"/>
      <c r="E438" s="12"/>
      <c r="F438" s="12"/>
      <c r="G438" s="11" t="s">
        <v>1809</v>
      </c>
      <c r="H438" s="10" t="s">
        <v>1810</v>
      </c>
      <c r="I438" s="11" t="s">
        <v>1811</v>
      </c>
      <c r="J438" s="10" t="s">
        <v>1812</v>
      </c>
      <c r="K438" s="10" t="s">
        <v>1813</v>
      </c>
      <c r="L438" s="10" t="s">
        <v>60</v>
      </c>
      <c r="M438" s="10" t="s">
        <v>1300</v>
      </c>
      <c r="N438" s="10"/>
      <c r="O438" s="10"/>
      <c r="P438" s="10" t="s">
        <v>629</v>
      </c>
      <c r="Q438" s="11" t="s">
        <v>1301</v>
      </c>
      <c r="R438" s="11" t="s">
        <v>1302</v>
      </c>
      <c r="S438" s="11" t="s">
        <v>702</v>
      </c>
      <c r="T438" s="11" t="s">
        <v>1814</v>
      </c>
      <c r="U438" s="10" t="n">
        <f aca="false">IF(AND($D438="",$E438="",$F438=""),1,0)</f>
        <v>1</v>
      </c>
      <c r="V438" s="10" t="n">
        <f aca="false">IF(OR($I438="",$I438="—"),1,0)</f>
        <v>0</v>
      </c>
      <c r="W438" s="10" t="n">
        <f aca="false">IF(AND(ISNUMBER($D438),ISNUMBER($E438)),IF($E438&gt;$D438,1,0),0)+IF(AND(ISNUMBER($D438),ISNUMBER($F438)),IF($D438&gt;$F438,1,0),0)+IF(AND(ISNUMBER($E438),ISNUMBER($F438)),IF($E438&gt;$F438,1,0),0)</f>
        <v>0</v>
      </c>
      <c r="X438" s="13" t="s">
        <v>68</v>
      </c>
    </row>
    <row r="439" customFormat="false" ht="15" hidden="false" customHeight="false" outlineLevel="0" collapsed="false">
      <c r="A439" s="10" t="s">
        <v>1815</v>
      </c>
      <c r="B439" s="10" t="s">
        <v>1816</v>
      </c>
      <c r="C439" s="10" t="s">
        <v>1817</v>
      </c>
      <c r="D439" s="12" t="n">
        <v>2.58</v>
      </c>
      <c r="E439" s="12" t="n">
        <v>2.58</v>
      </c>
      <c r="F439" s="12" t="n">
        <v>2.58</v>
      </c>
      <c r="G439" s="10" t="s">
        <v>1818</v>
      </c>
      <c r="H439" s="10" t="s">
        <v>1819</v>
      </c>
      <c r="I439" s="10" t="s">
        <v>1820</v>
      </c>
      <c r="J439" s="10" t="s">
        <v>1821</v>
      </c>
      <c r="K439" s="10" t="s">
        <v>1822</v>
      </c>
      <c r="L439" s="10" t="s">
        <v>60</v>
      </c>
      <c r="M439" s="10" t="s">
        <v>1300</v>
      </c>
      <c r="N439" s="10"/>
      <c r="O439" s="10"/>
      <c r="P439" s="10" t="s">
        <v>629</v>
      </c>
      <c r="Q439" s="11" t="s">
        <v>1301</v>
      </c>
      <c r="R439" s="11" t="s">
        <v>1302</v>
      </c>
      <c r="S439" s="11" t="s">
        <v>702</v>
      </c>
      <c r="T439" s="11" t="s">
        <v>1823</v>
      </c>
      <c r="U439" s="10" t="n">
        <f aca="false">IF(AND($D439="",$E439="",$F439=""),1,0)</f>
        <v>0</v>
      </c>
      <c r="V439" s="10" t="n">
        <f aca="false">IF(OR($I439="",$I439="—"),1,0)</f>
        <v>0</v>
      </c>
      <c r="W439" s="10" t="n">
        <f aca="false">IF(AND(ISNUMBER($D439),ISNUMBER($E439)),IF($E439&gt;$D439,1,0),0)+IF(AND(ISNUMBER($D439),ISNUMBER($F439)),IF($D439&gt;$F439,1,0),0)+IF(AND(ISNUMBER($E439),ISNUMBER($F439)),IF($E439&gt;$F439,1,0),0)</f>
        <v>0</v>
      </c>
      <c r="X439" s="13" t="s">
        <v>68</v>
      </c>
    </row>
    <row r="440" customFormat="false" ht="15" hidden="false" customHeight="false" outlineLevel="0" collapsed="false">
      <c r="A440" s="10" t="s">
        <v>1824</v>
      </c>
      <c r="B440" s="10" t="s">
        <v>1825</v>
      </c>
      <c r="C440" s="10" t="s">
        <v>1826</v>
      </c>
      <c r="D440" s="12" t="n">
        <v>46.7</v>
      </c>
      <c r="E440" s="12" t="n">
        <v>46.7</v>
      </c>
      <c r="F440" s="12" t="n">
        <v>46.7</v>
      </c>
      <c r="G440" s="10" t="s">
        <v>1818</v>
      </c>
      <c r="H440" s="10" t="s">
        <v>1819</v>
      </c>
      <c r="I440" s="10" t="s">
        <v>1820</v>
      </c>
      <c r="J440" s="10" t="s">
        <v>1821</v>
      </c>
      <c r="K440" s="10" t="s">
        <v>1822</v>
      </c>
      <c r="L440" s="10" t="s">
        <v>60</v>
      </c>
      <c r="M440" s="10" t="s">
        <v>1300</v>
      </c>
      <c r="N440" s="10"/>
      <c r="O440" s="10"/>
      <c r="P440" s="10" t="s">
        <v>629</v>
      </c>
      <c r="Q440" s="11" t="s">
        <v>1301</v>
      </c>
      <c r="R440" s="11" t="s">
        <v>1302</v>
      </c>
      <c r="S440" s="11" t="s">
        <v>702</v>
      </c>
      <c r="T440" s="11" t="s">
        <v>1827</v>
      </c>
      <c r="U440" s="10" t="n">
        <f aca="false">IF(AND($D440="",$E440="",$F440=""),1,0)</f>
        <v>0</v>
      </c>
      <c r="V440" s="10" t="n">
        <f aca="false">IF(OR($I440="",$I440="—"),1,0)</f>
        <v>0</v>
      </c>
      <c r="W440" s="10" t="n">
        <f aca="false">IF(AND(ISNUMBER($D440),ISNUMBER($E440)),IF($E440&gt;$D440,1,0),0)+IF(AND(ISNUMBER($D440),ISNUMBER($F440)),IF($D440&gt;$F440,1,0),0)+IF(AND(ISNUMBER($E440),ISNUMBER($F440)),IF($E440&gt;$F440,1,0),0)</f>
        <v>0</v>
      </c>
      <c r="X440" s="13" t="s">
        <v>68</v>
      </c>
    </row>
    <row r="441" customFormat="false" ht="15" hidden="false" customHeight="false" outlineLevel="0" collapsed="false">
      <c r="A441" s="10" t="s">
        <v>1828</v>
      </c>
      <c r="B441" s="10" t="s">
        <v>1829</v>
      </c>
      <c r="C441" s="10" t="s">
        <v>1830</v>
      </c>
      <c r="D441" s="12" t="n">
        <v>5.5</v>
      </c>
      <c r="E441" s="12" t="n">
        <v>4</v>
      </c>
      <c r="F441" s="12" t="n">
        <v>7</v>
      </c>
      <c r="G441" s="10" t="s">
        <v>393</v>
      </c>
      <c r="H441" s="10" t="s">
        <v>1819</v>
      </c>
      <c r="I441" s="11" t="s">
        <v>1831</v>
      </c>
      <c r="J441" s="10" t="s">
        <v>1821</v>
      </c>
      <c r="K441" s="10" t="s">
        <v>1822</v>
      </c>
      <c r="L441" s="10" t="s">
        <v>60</v>
      </c>
      <c r="M441" s="10" t="s">
        <v>628</v>
      </c>
      <c r="N441" s="10"/>
      <c r="O441" s="10"/>
      <c r="P441" s="10" t="s">
        <v>629</v>
      </c>
      <c r="Q441" s="11" t="s">
        <v>630</v>
      </c>
      <c r="R441" s="11" t="s">
        <v>631</v>
      </c>
      <c r="S441" s="11" t="s">
        <v>630</v>
      </c>
      <c r="T441" s="10" t="s">
        <v>1832</v>
      </c>
      <c r="U441" s="10" t="n">
        <f aca="false">IF(AND($D441="",$E441="",$F441=""),1,0)</f>
        <v>0</v>
      </c>
      <c r="V441" s="10" t="n">
        <f aca="false">IF(OR($I441="",$I441="—"),1,0)</f>
        <v>0</v>
      </c>
      <c r="W441" s="10" t="n">
        <f aca="false">IF(AND(ISNUMBER($D441),ISNUMBER($E441)),IF($E441&gt;$D441,1,0),0)+IF(AND(ISNUMBER($D441),ISNUMBER($F441)),IF($D441&gt;$F441,1,0),0)+IF(AND(ISNUMBER($E441),ISNUMBER($F441)),IF($E441&gt;$F441,1,0),0)</f>
        <v>0</v>
      </c>
      <c r="X441" s="13" t="s">
        <v>68</v>
      </c>
    </row>
    <row r="442" customFormat="false" ht="15" hidden="false" customHeight="false" outlineLevel="0" collapsed="false">
      <c r="A442" s="10" t="s">
        <v>1833</v>
      </c>
      <c r="B442" s="10" t="s">
        <v>1834</v>
      </c>
      <c r="C442" s="10" t="s">
        <v>1835</v>
      </c>
      <c r="D442" s="12" t="n">
        <v>4</v>
      </c>
      <c r="E442" s="12" t="n">
        <v>4</v>
      </c>
      <c r="F442" s="12" t="n">
        <v>5</v>
      </c>
      <c r="G442" s="11" t="s">
        <v>1836</v>
      </c>
      <c r="H442" s="10" t="s">
        <v>1837</v>
      </c>
      <c r="I442" s="11" t="s">
        <v>1838</v>
      </c>
      <c r="J442" s="10" t="s">
        <v>1839</v>
      </c>
      <c r="K442" s="10" t="s">
        <v>1840</v>
      </c>
      <c r="L442" s="10" t="s">
        <v>60</v>
      </c>
      <c r="M442" s="10" t="s">
        <v>1300</v>
      </c>
      <c r="N442" s="10"/>
      <c r="O442" s="10"/>
      <c r="P442" s="10" t="s">
        <v>629</v>
      </c>
      <c r="Q442" s="11" t="s">
        <v>1301</v>
      </c>
      <c r="R442" s="11" t="s">
        <v>1302</v>
      </c>
      <c r="S442" s="11" t="s">
        <v>702</v>
      </c>
      <c r="T442" s="11" t="s">
        <v>1841</v>
      </c>
      <c r="U442" s="10" t="n">
        <f aca="false">IF(AND($D442="",$E442="",$F442=""),1,0)</f>
        <v>0</v>
      </c>
      <c r="V442" s="10" t="n">
        <f aca="false">IF(OR($I442="",$I442="—"),1,0)</f>
        <v>0</v>
      </c>
      <c r="W442" s="10" t="n">
        <f aca="false">IF(AND(ISNUMBER($D442),ISNUMBER($E442)),IF($E442&gt;$D442,1,0),0)+IF(AND(ISNUMBER($D442),ISNUMBER($F442)),IF($D442&gt;$F442,1,0),0)+IF(AND(ISNUMBER($E442),ISNUMBER($F442)),IF($E442&gt;$F442,1,0),0)</f>
        <v>0</v>
      </c>
      <c r="X442" s="13" t="s">
        <v>68</v>
      </c>
    </row>
    <row r="443" customFormat="false" ht="15" hidden="false" customHeight="false" outlineLevel="0" collapsed="false">
      <c r="A443" s="10" t="s">
        <v>1842</v>
      </c>
      <c r="B443" s="10" t="s">
        <v>1843</v>
      </c>
      <c r="C443" s="10" t="s">
        <v>1844</v>
      </c>
      <c r="D443" s="12" t="n">
        <v>75</v>
      </c>
      <c r="E443" s="12"/>
      <c r="F443" s="12"/>
      <c r="G443" s="10" t="s">
        <v>1845</v>
      </c>
      <c r="H443" s="10" t="s">
        <v>1846</v>
      </c>
      <c r="I443" s="10" t="s">
        <v>1847</v>
      </c>
      <c r="J443" s="10" t="s">
        <v>1848</v>
      </c>
      <c r="K443" s="10" t="s">
        <v>1849</v>
      </c>
      <c r="L443" s="10" t="s">
        <v>60</v>
      </c>
      <c r="M443" s="10" t="s">
        <v>1300</v>
      </c>
      <c r="N443" s="10"/>
      <c r="O443" s="10"/>
      <c r="P443" s="10" t="s">
        <v>629</v>
      </c>
      <c r="Q443" s="11" t="s">
        <v>1301</v>
      </c>
      <c r="R443" s="11" t="s">
        <v>1302</v>
      </c>
      <c r="S443" s="11" t="s">
        <v>702</v>
      </c>
      <c r="T443" s="11" t="s">
        <v>1850</v>
      </c>
      <c r="U443" s="10" t="n">
        <f aca="false">IF(AND($D443="",$E443="",$F443=""),1,0)</f>
        <v>0</v>
      </c>
      <c r="V443" s="10" t="n">
        <f aca="false">IF(OR($I443="",$I443="—"),1,0)</f>
        <v>0</v>
      </c>
      <c r="W443" s="10" t="n">
        <f aca="false">IF(AND(ISNUMBER($D443),ISNUMBER($E443)),IF($E443&gt;$D443,1,0),0)+IF(AND(ISNUMBER($D443),ISNUMBER($F443)),IF($D443&gt;$F443,1,0),0)+IF(AND(ISNUMBER($E443),ISNUMBER($F443)),IF($E443&gt;$F443,1,0),0)</f>
        <v>0</v>
      </c>
      <c r="X443" s="13" t="s">
        <v>68</v>
      </c>
    </row>
    <row r="444" customFormat="false" ht="15" hidden="false" customHeight="false" outlineLevel="0" collapsed="false">
      <c r="A444" s="10" t="s">
        <v>1851</v>
      </c>
      <c r="B444" s="10" t="s">
        <v>1852</v>
      </c>
      <c r="C444" s="11" t="s">
        <v>1853</v>
      </c>
      <c r="D444" s="12" t="n">
        <v>54.5</v>
      </c>
      <c r="E444" s="12"/>
      <c r="F444" s="12"/>
      <c r="G444" s="10" t="s">
        <v>393</v>
      </c>
      <c r="H444" s="10" t="s">
        <v>56</v>
      </c>
      <c r="I444" s="11" t="s">
        <v>1662</v>
      </c>
      <c r="J444" s="10" t="s">
        <v>407</v>
      </c>
      <c r="K444" s="10" t="s">
        <v>59</v>
      </c>
      <c r="L444" s="10" t="s">
        <v>60</v>
      </c>
      <c r="M444" s="10" t="s">
        <v>61</v>
      </c>
      <c r="N444" s="10"/>
      <c r="O444" s="11" t="s">
        <v>1769</v>
      </c>
      <c r="P444" s="10" t="s">
        <v>63</v>
      </c>
      <c r="Q444" s="11" t="s">
        <v>64</v>
      </c>
      <c r="R444" s="11" t="s">
        <v>65</v>
      </c>
      <c r="S444" s="11" t="s">
        <v>66</v>
      </c>
      <c r="T444" s="11" t="s">
        <v>1854</v>
      </c>
      <c r="U444" s="10" t="n">
        <f aca="false">IF(AND($D444="",$E444="",$F444=""),1,0)</f>
        <v>0</v>
      </c>
      <c r="V444" s="10" t="n">
        <f aca="false">IF(OR($I444="",$I444="—"),1,0)</f>
        <v>0</v>
      </c>
      <c r="W444" s="10" t="n">
        <f aca="false">IF(AND(ISNUMBER($D444),ISNUMBER($E444)),IF($E444&gt;$D444,1,0),0)+IF(AND(ISNUMBER($D444),ISNUMBER($F444)),IF($D444&gt;$F444,1,0),0)+IF(AND(ISNUMBER($E444),ISNUMBER($F444)),IF($E444&gt;$F444,1,0),0)</f>
        <v>0</v>
      </c>
      <c r="X444" s="13" t="s">
        <v>68</v>
      </c>
    </row>
    <row r="445" customFormat="false" ht="15" hidden="false" customHeight="false" outlineLevel="0" collapsed="false">
      <c r="A445" s="10" t="s">
        <v>1855</v>
      </c>
      <c r="B445" s="10" t="s">
        <v>1856</v>
      </c>
      <c r="C445" s="11" t="s">
        <v>1857</v>
      </c>
      <c r="D445" s="12" t="n">
        <v>33.1</v>
      </c>
      <c r="E445" s="12"/>
      <c r="F445" s="12"/>
      <c r="G445" s="10" t="s">
        <v>393</v>
      </c>
      <c r="H445" s="10" t="s">
        <v>56</v>
      </c>
      <c r="I445" s="11" t="s">
        <v>1662</v>
      </c>
      <c r="J445" s="10" t="s">
        <v>407</v>
      </c>
      <c r="K445" s="10" t="s">
        <v>59</v>
      </c>
      <c r="L445" s="10" t="s">
        <v>60</v>
      </c>
      <c r="M445" s="10" t="s">
        <v>61</v>
      </c>
      <c r="N445" s="10"/>
      <c r="O445" s="11" t="s">
        <v>1769</v>
      </c>
      <c r="P445" s="10" t="s">
        <v>63</v>
      </c>
      <c r="Q445" s="11" t="s">
        <v>64</v>
      </c>
      <c r="R445" s="11" t="s">
        <v>65</v>
      </c>
      <c r="S445" s="11" t="s">
        <v>66</v>
      </c>
      <c r="T445" s="11" t="s">
        <v>1087</v>
      </c>
      <c r="U445" s="10" t="n">
        <f aca="false">IF(AND($D445="",$E445="",$F445=""),1,0)</f>
        <v>0</v>
      </c>
      <c r="V445" s="10" t="n">
        <f aca="false">IF(OR($I445="",$I445="—"),1,0)</f>
        <v>0</v>
      </c>
      <c r="W445" s="10" t="n">
        <f aca="false">IF(AND(ISNUMBER($D445),ISNUMBER($E445)),IF($E445&gt;$D445,1,0),0)+IF(AND(ISNUMBER($D445),ISNUMBER($F445)),IF($D445&gt;$F445,1,0),0)+IF(AND(ISNUMBER($E445),ISNUMBER($F445)),IF($E445&gt;$F445,1,0),0)</f>
        <v>0</v>
      </c>
      <c r="X445" s="13" t="s">
        <v>68</v>
      </c>
    </row>
    <row r="446" customFormat="false" ht="15" hidden="false" customHeight="false" outlineLevel="0" collapsed="false">
      <c r="A446" s="10" t="s">
        <v>1858</v>
      </c>
      <c r="B446" s="10" t="s">
        <v>1859</v>
      </c>
      <c r="C446" s="11" t="s">
        <v>1853</v>
      </c>
      <c r="D446" s="12" t="n">
        <v>53.6</v>
      </c>
      <c r="E446" s="12"/>
      <c r="F446" s="12"/>
      <c r="G446" s="10" t="s">
        <v>393</v>
      </c>
      <c r="H446" s="10" t="s">
        <v>71</v>
      </c>
      <c r="I446" s="11" t="s">
        <v>1662</v>
      </c>
      <c r="J446" s="10" t="s">
        <v>407</v>
      </c>
      <c r="K446" s="10" t="s">
        <v>59</v>
      </c>
      <c r="L446" s="10" t="s">
        <v>60</v>
      </c>
      <c r="M446" s="10" t="s">
        <v>61</v>
      </c>
      <c r="N446" s="10"/>
      <c r="O446" s="11" t="s">
        <v>1769</v>
      </c>
      <c r="P446" s="10" t="s">
        <v>63</v>
      </c>
      <c r="Q446" s="11" t="s">
        <v>64</v>
      </c>
      <c r="R446" s="11" t="s">
        <v>65</v>
      </c>
      <c r="S446" s="11" t="s">
        <v>66</v>
      </c>
      <c r="T446" s="11" t="s">
        <v>1860</v>
      </c>
      <c r="U446" s="10" t="n">
        <f aca="false">IF(AND($D446="",$E446="",$F446=""),1,0)</f>
        <v>0</v>
      </c>
      <c r="V446" s="10" t="n">
        <f aca="false">IF(OR($I446="",$I446="—"),1,0)</f>
        <v>0</v>
      </c>
      <c r="W446" s="10" t="n">
        <f aca="false">IF(AND(ISNUMBER($D446),ISNUMBER($E446)),IF($E446&gt;$D446,1,0),0)+IF(AND(ISNUMBER($D446),ISNUMBER($F446)),IF($D446&gt;$F446,1,0),0)+IF(AND(ISNUMBER($E446),ISNUMBER($F446)),IF($E446&gt;$F446,1,0),0)</f>
        <v>0</v>
      </c>
      <c r="X446" s="13" t="s">
        <v>68</v>
      </c>
    </row>
    <row r="447" customFormat="false" ht="15" hidden="false" customHeight="false" outlineLevel="0" collapsed="false">
      <c r="A447" s="10" t="s">
        <v>1861</v>
      </c>
      <c r="B447" s="10" t="s">
        <v>1862</v>
      </c>
      <c r="C447" s="11" t="s">
        <v>1857</v>
      </c>
      <c r="D447" s="12" t="n">
        <v>16.4</v>
      </c>
      <c r="E447" s="12"/>
      <c r="F447" s="12"/>
      <c r="G447" s="10" t="s">
        <v>393</v>
      </c>
      <c r="H447" s="10" t="s">
        <v>71</v>
      </c>
      <c r="I447" s="11" t="s">
        <v>1662</v>
      </c>
      <c r="J447" s="10" t="s">
        <v>407</v>
      </c>
      <c r="K447" s="10" t="s">
        <v>59</v>
      </c>
      <c r="L447" s="10" t="s">
        <v>60</v>
      </c>
      <c r="M447" s="10" t="s">
        <v>61</v>
      </c>
      <c r="N447" s="10"/>
      <c r="O447" s="11" t="s">
        <v>1769</v>
      </c>
      <c r="P447" s="10" t="s">
        <v>63</v>
      </c>
      <c r="Q447" s="11" t="s">
        <v>64</v>
      </c>
      <c r="R447" s="11" t="s">
        <v>65</v>
      </c>
      <c r="S447" s="11" t="s">
        <v>66</v>
      </c>
      <c r="T447" s="11" t="s">
        <v>1087</v>
      </c>
      <c r="U447" s="10" t="n">
        <f aca="false">IF(AND($D447="",$E447="",$F447=""),1,0)</f>
        <v>0</v>
      </c>
      <c r="V447" s="10" t="n">
        <f aca="false">IF(OR($I447="",$I447="—"),1,0)</f>
        <v>0</v>
      </c>
      <c r="W447" s="10" t="n">
        <f aca="false">IF(AND(ISNUMBER($D447),ISNUMBER($E447)),IF($E447&gt;$D447,1,0),0)+IF(AND(ISNUMBER($D447),ISNUMBER($F447)),IF($D447&gt;$F447,1,0),0)+IF(AND(ISNUMBER($E447),ISNUMBER($F447)),IF($E447&gt;$F447,1,0),0)</f>
        <v>0</v>
      </c>
      <c r="X447" s="13" t="s">
        <v>68</v>
      </c>
    </row>
    <row r="448" customFormat="false" ht="15" hidden="false" customHeight="false" outlineLevel="0" collapsed="false">
      <c r="A448" s="10" t="s">
        <v>1863</v>
      </c>
      <c r="B448" s="10" t="s">
        <v>1864</v>
      </c>
      <c r="C448" s="11" t="s">
        <v>1853</v>
      </c>
      <c r="D448" s="12" t="n">
        <v>47.3</v>
      </c>
      <c r="E448" s="12"/>
      <c r="F448" s="12"/>
      <c r="G448" s="10" t="s">
        <v>393</v>
      </c>
      <c r="H448" s="10" t="s">
        <v>75</v>
      </c>
      <c r="I448" s="11" t="s">
        <v>1662</v>
      </c>
      <c r="J448" s="10" t="s">
        <v>407</v>
      </c>
      <c r="K448" s="10" t="s">
        <v>59</v>
      </c>
      <c r="L448" s="10" t="s">
        <v>60</v>
      </c>
      <c r="M448" s="10" t="s">
        <v>61</v>
      </c>
      <c r="N448" s="10"/>
      <c r="O448" s="11" t="s">
        <v>1769</v>
      </c>
      <c r="P448" s="10" t="s">
        <v>63</v>
      </c>
      <c r="Q448" s="11" t="s">
        <v>64</v>
      </c>
      <c r="R448" s="11" t="s">
        <v>65</v>
      </c>
      <c r="S448" s="11" t="s">
        <v>66</v>
      </c>
      <c r="T448" s="11" t="s">
        <v>1865</v>
      </c>
      <c r="U448" s="10" t="n">
        <f aca="false">IF(AND($D448="",$E448="",$F448=""),1,0)</f>
        <v>0</v>
      </c>
      <c r="V448" s="10" t="n">
        <f aca="false">IF(OR($I448="",$I448="—"),1,0)</f>
        <v>0</v>
      </c>
      <c r="W448" s="10" t="n">
        <f aca="false">IF(AND(ISNUMBER($D448),ISNUMBER($E448)),IF($E448&gt;$D448,1,0),0)+IF(AND(ISNUMBER($D448),ISNUMBER($F448)),IF($D448&gt;$F448,1,0),0)+IF(AND(ISNUMBER($E448),ISNUMBER($F448)),IF($E448&gt;$F448,1,0),0)</f>
        <v>0</v>
      </c>
      <c r="X448" s="13" t="s">
        <v>68</v>
      </c>
    </row>
    <row r="449" customFormat="false" ht="15" hidden="false" customHeight="false" outlineLevel="0" collapsed="false">
      <c r="A449" s="10" t="s">
        <v>1866</v>
      </c>
      <c r="B449" s="10" t="s">
        <v>1867</v>
      </c>
      <c r="C449" s="11" t="s">
        <v>1857</v>
      </c>
      <c r="D449" s="12" t="n">
        <v>15.6</v>
      </c>
      <c r="E449" s="12"/>
      <c r="F449" s="12"/>
      <c r="G449" s="10" t="s">
        <v>393</v>
      </c>
      <c r="H449" s="10" t="s">
        <v>75</v>
      </c>
      <c r="I449" s="11" t="s">
        <v>1662</v>
      </c>
      <c r="J449" s="10" t="s">
        <v>407</v>
      </c>
      <c r="K449" s="10" t="s">
        <v>59</v>
      </c>
      <c r="L449" s="10" t="s">
        <v>60</v>
      </c>
      <c r="M449" s="10" t="s">
        <v>61</v>
      </c>
      <c r="N449" s="10"/>
      <c r="O449" s="11" t="s">
        <v>1769</v>
      </c>
      <c r="P449" s="10" t="s">
        <v>63</v>
      </c>
      <c r="Q449" s="11" t="s">
        <v>64</v>
      </c>
      <c r="R449" s="11" t="s">
        <v>65</v>
      </c>
      <c r="S449" s="11" t="s">
        <v>66</v>
      </c>
      <c r="T449" s="11" t="s">
        <v>1087</v>
      </c>
      <c r="U449" s="10" t="n">
        <f aca="false">IF(AND($D449="",$E449="",$F449=""),1,0)</f>
        <v>0</v>
      </c>
      <c r="V449" s="10" t="n">
        <f aca="false">IF(OR($I449="",$I449="—"),1,0)</f>
        <v>0</v>
      </c>
      <c r="W449" s="10" t="n">
        <f aca="false">IF(AND(ISNUMBER($D449),ISNUMBER($E449)),IF($E449&gt;$D449,1,0),0)+IF(AND(ISNUMBER($D449),ISNUMBER($F449)),IF($D449&gt;$F449,1,0),0)+IF(AND(ISNUMBER($E449),ISNUMBER($F449)),IF($E449&gt;$F449,1,0),0)</f>
        <v>0</v>
      </c>
      <c r="X449" s="13" t="s">
        <v>68</v>
      </c>
    </row>
    <row r="450" customFormat="false" ht="15" hidden="false" customHeight="false" outlineLevel="0" collapsed="false">
      <c r="A450" s="10" t="s">
        <v>1868</v>
      </c>
      <c r="B450" s="10" t="s">
        <v>1869</v>
      </c>
      <c r="C450" s="11" t="s">
        <v>1853</v>
      </c>
      <c r="D450" s="12" t="n">
        <v>50.2</v>
      </c>
      <c r="E450" s="12"/>
      <c r="F450" s="12"/>
      <c r="G450" s="10" t="s">
        <v>393</v>
      </c>
      <c r="H450" s="10" t="s">
        <v>84</v>
      </c>
      <c r="I450" s="11" t="s">
        <v>1662</v>
      </c>
      <c r="J450" s="10" t="s">
        <v>407</v>
      </c>
      <c r="K450" s="10" t="s">
        <v>59</v>
      </c>
      <c r="L450" s="10" t="s">
        <v>60</v>
      </c>
      <c r="M450" s="10" t="s">
        <v>61</v>
      </c>
      <c r="N450" s="10"/>
      <c r="O450" s="11" t="s">
        <v>1769</v>
      </c>
      <c r="P450" s="10" t="s">
        <v>63</v>
      </c>
      <c r="Q450" s="11" t="s">
        <v>64</v>
      </c>
      <c r="R450" s="11" t="s">
        <v>65</v>
      </c>
      <c r="S450" s="11" t="s">
        <v>66</v>
      </c>
      <c r="T450" s="11" t="s">
        <v>1870</v>
      </c>
      <c r="U450" s="10" t="n">
        <f aca="false">IF(AND($D450="",$E450="",$F450=""),1,0)</f>
        <v>0</v>
      </c>
      <c r="V450" s="10" t="n">
        <f aca="false">IF(OR($I450="",$I450="—"),1,0)</f>
        <v>0</v>
      </c>
      <c r="W450" s="10" t="n">
        <f aca="false">IF(AND(ISNUMBER($D450),ISNUMBER($E450)),IF($E450&gt;$D450,1,0),0)+IF(AND(ISNUMBER($D450),ISNUMBER($F450)),IF($D450&gt;$F450,1,0),0)+IF(AND(ISNUMBER($E450),ISNUMBER($F450)),IF($E450&gt;$F450,1,0),0)</f>
        <v>0</v>
      </c>
      <c r="X450" s="13" t="s">
        <v>68</v>
      </c>
    </row>
    <row r="451" customFormat="false" ht="15" hidden="false" customHeight="false" outlineLevel="0" collapsed="false">
      <c r="A451" s="10" t="s">
        <v>1871</v>
      </c>
      <c r="B451" s="10" t="s">
        <v>1872</v>
      </c>
      <c r="C451" s="11" t="s">
        <v>1857</v>
      </c>
      <c r="D451" s="12" t="n">
        <v>13.4</v>
      </c>
      <c r="E451" s="12"/>
      <c r="F451" s="12"/>
      <c r="G451" s="10" t="s">
        <v>393</v>
      </c>
      <c r="H451" s="10" t="s">
        <v>84</v>
      </c>
      <c r="I451" s="11" t="s">
        <v>1662</v>
      </c>
      <c r="J451" s="10" t="s">
        <v>407</v>
      </c>
      <c r="K451" s="10" t="s">
        <v>59</v>
      </c>
      <c r="L451" s="10" t="s">
        <v>60</v>
      </c>
      <c r="M451" s="10" t="s">
        <v>61</v>
      </c>
      <c r="N451" s="10"/>
      <c r="O451" s="11" t="s">
        <v>1769</v>
      </c>
      <c r="P451" s="10" t="s">
        <v>63</v>
      </c>
      <c r="Q451" s="11" t="s">
        <v>64</v>
      </c>
      <c r="R451" s="11" t="s">
        <v>65</v>
      </c>
      <c r="S451" s="11" t="s">
        <v>66</v>
      </c>
      <c r="T451" s="11" t="s">
        <v>1087</v>
      </c>
      <c r="U451" s="10" t="n">
        <f aca="false">IF(AND($D451="",$E451="",$F451=""),1,0)</f>
        <v>0</v>
      </c>
      <c r="V451" s="10" t="n">
        <f aca="false">IF(OR($I451="",$I451="—"),1,0)</f>
        <v>0</v>
      </c>
      <c r="W451" s="10" t="n">
        <f aca="false">IF(AND(ISNUMBER($D451),ISNUMBER($E451)),IF($E451&gt;$D451,1,0),0)+IF(AND(ISNUMBER($D451),ISNUMBER($F451)),IF($D451&gt;$F451,1,0),0)+IF(AND(ISNUMBER($E451),ISNUMBER($F451)),IF($E451&gt;$F451,1,0),0)</f>
        <v>0</v>
      </c>
      <c r="X451" s="13" t="s">
        <v>68</v>
      </c>
    </row>
    <row r="452" customFormat="false" ht="15" hidden="false" customHeight="false" outlineLevel="0" collapsed="false">
      <c r="A452" s="10" t="s">
        <v>1873</v>
      </c>
      <c r="B452" s="10" t="s">
        <v>1874</v>
      </c>
      <c r="C452" s="11" t="s">
        <v>1875</v>
      </c>
      <c r="D452" s="12" t="n">
        <v>15.52</v>
      </c>
      <c r="E452" s="12"/>
      <c r="F452" s="12"/>
      <c r="G452" s="10" t="s">
        <v>55</v>
      </c>
      <c r="H452" s="10" t="s">
        <v>75</v>
      </c>
      <c r="I452" s="11" t="s">
        <v>1792</v>
      </c>
      <c r="J452" s="10" t="s">
        <v>897</v>
      </c>
      <c r="K452" s="10" t="s">
        <v>898</v>
      </c>
      <c r="L452" s="10" t="s">
        <v>60</v>
      </c>
      <c r="M452" s="10" t="s">
        <v>408</v>
      </c>
      <c r="N452" s="11" t="s">
        <v>701</v>
      </c>
      <c r="O452" s="10"/>
      <c r="P452" s="10" t="s">
        <v>629</v>
      </c>
      <c r="Q452" s="11" t="s">
        <v>64</v>
      </c>
      <c r="R452" s="11" t="s">
        <v>701</v>
      </c>
      <c r="S452" s="11" t="s">
        <v>702</v>
      </c>
      <c r="T452" s="11" t="s">
        <v>1876</v>
      </c>
      <c r="U452" s="10" t="n">
        <f aca="false">IF(AND($D452="",$E452="",$F452=""),1,0)</f>
        <v>0</v>
      </c>
      <c r="V452" s="10" t="n">
        <f aca="false">IF(OR($I452="",$I452="—"),1,0)</f>
        <v>0</v>
      </c>
      <c r="W452" s="10" t="n">
        <f aca="false">IF(AND(ISNUMBER($D452),ISNUMBER($E452)),IF($E452&gt;$D452,1,0),0)+IF(AND(ISNUMBER($D452),ISNUMBER($F452)),IF($D452&gt;$F452,1,0),0)+IF(AND(ISNUMBER($E452),ISNUMBER($F452)),IF($E452&gt;$F452,1,0),0)</f>
        <v>0</v>
      </c>
      <c r="X452" s="13" t="s">
        <v>68</v>
      </c>
    </row>
    <row r="453" customFormat="false" ht="15" hidden="false" customHeight="false" outlineLevel="0" collapsed="false">
      <c r="A453" s="10" t="s">
        <v>1877</v>
      </c>
      <c r="B453" s="10" t="s">
        <v>1878</v>
      </c>
      <c r="C453" s="11" t="s">
        <v>1879</v>
      </c>
      <c r="D453" s="12" t="n">
        <v>15.53</v>
      </c>
      <c r="E453" s="12"/>
      <c r="F453" s="12"/>
      <c r="G453" s="10" t="s">
        <v>55</v>
      </c>
      <c r="H453" s="10" t="s">
        <v>75</v>
      </c>
      <c r="I453" s="11" t="s">
        <v>1880</v>
      </c>
      <c r="J453" s="10" t="s">
        <v>903</v>
      </c>
      <c r="K453" s="10" t="s">
        <v>904</v>
      </c>
      <c r="L453" s="10" t="s">
        <v>60</v>
      </c>
      <c r="M453" s="10" t="s">
        <v>408</v>
      </c>
      <c r="N453" s="11" t="s">
        <v>701</v>
      </c>
      <c r="O453" s="10"/>
      <c r="P453" s="10" t="s">
        <v>629</v>
      </c>
      <c r="Q453" s="11" t="s">
        <v>64</v>
      </c>
      <c r="R453" s="11" t="s">
        <v>701</v>
      </c>
      <c r="S453" s="11" t="s">
        <v>702</v>
      </c>
      <c r="T453" s="11" t="s">
        <v>1881</v>
      </c>
      <c r="U453" s="10" t="n">
        <f aca="false">IF(AND($D453="",$E453="",$F453=""),1,0)</f>
        <v>0</v>
      </c>
      <c r="V453" s="10" t="n">
        <f aca="false">IF(OR($I453="",$I453="—"),1,0)</f>
        <v>0</v>
      </c>
      <c r="W453" s="10" t="n">
        <f aca="false">IF(AND(ISNUMBER($D453),ISNUMBER($E453)),IF($E453&gt;$D453,1,0),0)+IF(AND(ISNUMBER($D453),ISNUMBER($F453)),IF($D453&gt;$F453,1,0),0)+IF(AND(ISNUMBER($E453),ISNUMBER($F453)),IF($E453&gt;$F453,1,0),0)</f>
        <v>0</v>
      </c>
      <c r="X453" s="13" t="s">
        <v>68</v>
      </c>
    </row>
    <row r="454" customFormat="false" ht="15" hidden="false" customHeight="false" outlineLevel="0" collapsed="false">
      <c r="A454" s="10" t="s">
        <v>1882</v>
      </c>
      <c r="B454" s="10" t="s">
        <v>1883</v>
      </c>
      <c r="C454" s="11" t="s">
        <v>1884</v>
      </c>
      <c r="D454" s="12" t="n">
        <v>11.45</v>
      </c>
      <c r="E454" s="12"/>
      <c r="F454" s="12"/>
      <c r="G454" s="10" t="s">
        <v>55</v>
      </c>
      <c r="H454" s="10" t="s">
        <v>84</v>
      </c>
      <c r="I454" s="11" t="s">
        <v>1712</v>
      </c>
      <c r="J454" s="10" t="s">
        <v>1713</v>
      </c>
      <c r="K454" s="10" t="s">
        <v>798</v>
      </c>
      <c r="L454" s="10" t="s">
        <v>60</v>
      </c>
      <c r="M454" s="10" t="s">
        <v>408</v>
      </c>
      <c r="N454" s="11" t="s">
        <v>701</v>
      </c>
      <c r="O454" s="10"/>
      <c r="P454" s="10" t="s">
        <v>629</v>
      </c>
      <c r="Q454" s="11" t="s">
        <v>64</v>
      </c>
      <c r="R454" s="11" t="s">
        <v>701</v>
      </c>
      <c r="S454" s="11" t="s">
        <v>702</v>
      </c>
      <c r="T454" s="11" t="s">
        <v>1885</v>
      </c>
      <c r="U454" s="10" t="n">
        <f aca="false">IF(AND($D454="",$E454="",$F454=""),1,0)</f>
        <v>0</v>
      </c>
      <c r="V454" s="10" t="n">
        <f aca="false">IF(OR($I454="",$I454="—"),1,0)</f>
        <v>0</v>
      </c>
      <c r="W454" s="10" t="n">
        <f aca="false">IF(AND(ISNUMBER($D454),ISNUMBER($E454)),IF($E454&gt;$D454,1,0),0)+IF(AND(ISNUMBER($D454),ISNUMBER($F454)),IF($D454&gt;$F454,1,0),0)+IF(AND(ISNUMBER($E454),ISNUMBER($F454)),IF($E454&gt;$F454,1,0),0)</f>
        <v>0</v>
      </c>
      <c r="X454" s="13" t="s">
        <v>68</v>
      </c>
    </row>
    <row r="455" customFormat="false" ht="15" hidden="false" customHeight="false" outlineLevel="0" collapsed="false">
      <c r="A455" s="10" t="s">
        <v>1886</v>
      </c>
      <c r="B455" s="10" t="s">
        <v>1887</v>
      </c>
      <c r="C455" s="11" t="s">
        <v>1884</v>
      </c>
      <c r="D455" s="12" t="n">
        <v>0.15</v>
      </c>
      <c r="E455" s="12"/>
      <c r="F455" s="12"/>
      <c r="G455" s="10" t="s">
        <v>55</v>
      </c>
      <c r="H455" s="10" t="s">
        <v>56</v>
      </c>
      <c r="I455" s="11" t="s">
        <v>1712</v>
      </c>
      <c r="J455" s="10" t="s">
        <v>1713</v>
      </c>
      <c r="K455" s="10" t="s">
        <v>798</v>
      </c>
      <c r="L455" s="10" t="s">
        <v>60</v>
      </c>
      <c r="M455" s="10" t="s">
        <v>408</v>
      </c>
      <c r="N455" s="11" t="s">
        <v>701</v>
      </c>
      <c r="O455" s="10"/>
      <c r="P455" s="10" t="s">
        <v>629</v>
      </c>
      <c r="Q455" s="11" t="s">
        <v>64</v>
      </c>
      <c r="R455" s="11" t="s">
        <v>701</v>
      </c>
      <c r="S455" s="11" t="s">
        <v>702</v>
      </c>
      <c r="T455" s="11" t="s">
        <v>1888</v>
      </c>
      <c r="U455" s="10" t="n">
        <f aca="false">IF(AND($D455="",$E455="",$F455=""),1,0)</f>
        <v>0</v>
      </c>
      <c r="V455" s="10" t="n">
        <f aca="false">IF(OR($I455="",$I455="—"),1,0)</f>
        <v>0</v>
      </c>
      <c r="W455" s="10" t="n">
        <f aca="false">IF(AND(ISNUMBER($D455),ISNUMBER($E455)),IF($E455&gt;$D455,1,0),0)+IF(AND(ISNUMBER($D455),ISNUMBER($F455)),IF($D455&gt;$F455,1,0),0)+IF(AND(ISNUMBER($E455),ISNUMBER($F455)),IF($E455&gt;$F455,1,0),0)</f>
        <v>0</v>
      </c>
      <c r="X455" s="13" t="s">
        <v>68</v>
      </c>
    </row>
    <row r="456" customFormat="false" ht="15" hidden="false" customHeight="false" outlineLevel="0" collapsed="false">
      <c r="A456" s="10" t="s">
        <v>1889</v>
      </c>
      <c r="B456" s="10" t="s">
        <v>1890</v>
      </c>
      <c r="C456" s="11" t="s">
        <v>1891</v>
      </c>
      <c r="D456" s="12" t="n">
        <v>100000</v>
      </c>
      <c r="E456" s="12"/>
      <c r="F456" s="12"/>
      <c r="G456" s="11" t="s">
        <v>1892</v>
      </c>
      <c r="H456" s="11" t="s">
        <v>1893</v>
      </c>
      <c r="I456" s="11" t="s">
        <v>1894</v>
      </c>
      <c r="J456" s="10" t="s">
        <v>656</v>
      </c>
      <c r="K456" s="10" t="s">
        <v>657</v>
      </c>
      <c r="L456" s="10" t="s">
        <v>60</v>
      </c>
      <c r="M456" s="10" t="s">
        <v>408</v>
      </c>
      <c r="N456" s="11" t="s">
        <v>1355</v>
      </c>
      <c r="O456" s="11" t="s">
        <v>433</v>
      </c>
      <c r="P456" s="10" t="s">
        <v>63</v>
      </c>
      <c r="Q456" s="11" t="s">
        <v>64</v>
      </c>
      <c r="R456" s="11" t="s">
        <v>1355</v>
      </c>
      <c r="S456" s="11" t="s">
        <v>66</v>
      </c>
      <c r="T456" s="11" t="s">
        <v>1895</v>
      </c>
      <c r="U456" s="10" t="n">
        <f aca="false">IF(AND($D456="",$E456="",$F456=""),1,0)</f>
        <v>0</v>
      </c>
      <c r="V456" s="10" t="n">
        <f aca="false">IF(OR($I456="",$I456="—"),1,0)</f>
        <v>0</v>
      </c>
      <c r="W456" s="10" t="n">
        <f aca="false">IF(AND(ISNUMBER($D456),ISNUMBER($E456)),IF($E456&gt;$D456,1,0),0)+IF(AND(ISNUMBER($D456),ISNUMBER($F456)),IF($D456&gt;$F456,1,0),0)+IF(AND(ISNUMBER($E456),ISNUMBER($F456)),IF($E456&gt;$F456,1,0),0)</f>
        <v>0</v>
      </c>
      <c r="X456" s="13" t="s">
        <v>68</v>
      </c>
    </row>
    <row r="457" customFormat="false" ht="15" hidden="false" customHeight="false" outlineLevel="0" collapsed="false">
      <c r="A457" s="10" t="s">
        <v>1896</v>
      </c>
      <c r="B457" s="10" t="s">
        <v>1897</v>
      </c>
      <c r="C457" s="11" t="s">
        <v>1898</v>
      </c>
      <c r="D457" s="12" t="n">
        <v>100000</v>
      </c>
      <c r="E457" s="12"/>
      <c r="F457" s="12"/>
      <c r="G457" s="11" t="s">
        <v>1899</v>
      </c>
      <c r="H457" s="10" t="s">
        <v>1900</v>
      </c>
      <c r="I457" s="11" t="s">
        <v>1901</v>
      </c>
      <c r="J457" s="10" t="s">
        <v>1734</v>
      </c>
      <c r="K457" s="10" t="s">
        <v>699</v>
      </c>
      <c r="L457" s="10" t="s">
        <v>60</v>
      </c>
      <c r="M457" s="10" t="s">
        <v>408</v>
      </c>
      <c r="N457" s="11" t="s">
        <v>1355</v>
      </c>
      <c r="O457" s="10"/>
      <c r="P457" s="10" t="s">
        <v>629</v>
      </c>
      <c r="Q457" s="11" t="s">
        <v>64</v>
      </c>
      <c r="R457" s="11" t="s">
        <v>1355</v>
      </c>
      <c r="S457" s="11" t="s">
        <v>702</v>
      </c>
      <c r="T457" s="11" t="s">
        <v>1902</v>
      </c>
      <c r="U457" s="10" t="n">
        <f aca="false">IF(AND($D457="",$E457="",$F457=""),1,0)</f>
        <v>0</v>
      </c>
      <c r="V457" s="10" t="n">
        <f aca="false">IF(OR($I457="",$I457="—"),1,0)</f>
        <v>0</v>
      </c>
      <c r="W457" s="10" t="n">
        <f aca="false">IF(AND(ISNUMBER($D457),ISNUMBER($E457)),IF($E457&gt;$D457,1,0),0)+IF(AND(ISNUMBER($D457),ISNUMBER($F457)),IF($D457&gt;$F457,1,0),0)+IF(AND(ISNUMBER($E457),ISNUMBER($F457)),IF($E457&gt;$F457,1,0),0)</f>
        <v>0</v>
      </c>
      <c r="X457" s="13" t="s">
        <v>68</v>
      </c>
    </row>
    <row r="458" customFormat="false" ht="15" hidden="false" customHeight="false" outlineLevel="0" collapsed="false">
      <c r="A458" s="10" t="s">
        <v>1903</v>
      </c>
      <c r="B458" s="10" t="s">
        <v>1904</v>
      </c>
      <c r="C458" s="11" t="s">
        <v>1905</v>
      </c>
      <c r="D458" s="12" t="n">
        <v>80</v>
      </c>
      <c r="E458" s="12"/>
      <c r="F458" s="12"/>
      <c r="G458" s="10" t="s">
        <v>393</v>
      </c>
      <c r="H458" s="10" t="s">
        <v>1906</v>
      </c>
      <c r="I458" s="11" t="s">
        <v>1894</v>
      </c>
      <c r="J458" s="10" t="s">
        <v>656</v>
      </c>
      <c r="K458" s="10" t="s">
        <v>657</v>
      </c>
      <c r="L458" s="10" t="s">
        <v>60</v>
      </c>
      <c r="M458" s="10" t="s">
        <v>408</v>
      </c>
      <c r="N458" s="11" t="s">
        <v>1355</v>
      </c>
      <c r="O458" s="10"/>
      <c r="P458" s="10" t="s">
        <v>63</v>
      </c>
      <c r="Q458" s="11" t="s">
        <v>64</v>
      </c>
      <c r="R458" s="11" t="s">
        <v>1355</v>
      </c>
      <c r="S458" s="11" t="s">
        <v>66</v>
      </c>
      <c r="T458" s="11" t="s">
        <v>1907</v>
      </c>
      <c r="U458" s="10" t="n">
        <f aca="false">IF(AND($D458="",$E458="",$F458=""),1,0)</f>
        <v>0</v>
      </c>
      <c r="V458" s="10" t="n">
        <f aca="false">IF(OR($I458="",$I458="—"),1,0)</f>
        <v>0</v>
      </c>
      <c r="W458" s="10" t="n">
        <f aca="false">IF(AND(ISNUMBER($D458),ISNUMBER($E458)),IF($E458&gt;$D458,1,0),0)+IF(AND(ISNUMBER($D458),ISNUMBER($F458)),IF($D458&gt;$F458,1,0),0)+IF(AND(ISNUMBER($E458),ISNUMBER($F458)),IF($E458&gt;$F458,1,0),0)</f>
        <v>0</v>
      </c>
      <c r="X458" s="13" t="s">
        <v>68</v>
      </c>
    </row>
    <row r="459" customFormat="false" ht="15" hidden="false" customHeight="false" outlineLevel="0" collapsed="false">
      <c r="A459" s="10" t="s">
        <v>1908</v>
      </c>
      <c r="B459" s="10" t="s">
        <v>1909</v>
      </c>
      <c r="C459" s="11" t="s">
        <v>1910</v>
      </c>
      <c r="D459" s="12" t="n">
        <v>3</v>
      </c>
      <c r="E459" s="12"/>
      <c r="F459" s="12"/>
      <c r="G459" s="11" t="s">
        <v>1701</v>
      </c>
      <c r="H459" s="10" t="s">
        <v>1911</v>
      </c>
      <c r="I459" s="11" t="s">
        <v>1912</v>
      </c>
      <c r="J459" s="10" t="s">
        <v>656</v>
      </c>
      <c r="K459" s="10" t="s">
        <v>657</v>
      </c>
      <c r="L459" s="10" t="s">
        <v>60</v>
      </c>
      <c r="M459" s="10" t="s">
        <v>408</v>
      </c>
      <c r="N459" s="11" t="s">
        <v>1355</v>
      </c>
      <c r="O459" s="10"/>
      <c r="P459" s="10" t="s">
        <v>63</v>
      </c>
      <c r="Q459" s="11" t="s">
        <v>64</v>
      </c>
      <c r="R459" s="11" t="s">
        <v>1355</v>
      </c>
      <c r="S459" s="11" t="s">
        <v>66</v>
      </c>
      <c r="T459" s="11" t="s">
        <v>1913</v>
      </c>
      <c r="U459" s="10" t="n">
        <f aca="false">IF(AND($D459="",$E459="",$F459=""),1,0)</f>
        <v>0</v>
      </c>
      <c r="V459" s="10" t="n">
        <f aca="false">IF(OR($I459="",$I459="—"),1,0)</f>
        <v>0</v>
      </c>
      <c r="W459" s="10" t="n">
        <f aca="false">IF(AND(ISNUMBER($D459),ISNUMBER($E459)),IF($E459&gt;$D459,1,0),0)+IF(AND(ISNUMBER($D459),ISNUMBER($F459)),IF($D459&gt;$F459,1,0),0)+IF(AND(ISNUMBER($E459),ISNUMBER($F459)),IF($E459&gt;$F459,1,0),0)</f>
        <v>0</v>
      </c>
      <c r="X459" s="13" t="s">
        <v>68</v>
      </c>
    </row>
    <row r="460" customFormat="false" ht="15" hidden="false" customHeight="false" outlineLevel="0" collapsed="false">
      <c r="A460" s="10" t="s">
        <v>1914</v>
      </c>
      <c r="B460" s="10" t="s">
        <v>1915</v>
      </c>
      <c r="C460" s="11" t="s">
        <v>1916</v>
      </c>
      <c r="D460" s="12" t="n">
        <v>14</v>
      </c>
      <c r="E460" s="12"/>
      <c r="F460" s="12"/>
      <c r="G460" s="11" t="s">
        <v>1701</v>
      </c>
      <c r="H460" s="10" t="s">
        <v>1917</v>
      </c>
      <c r="I460" s="11" t="s">
        <v>1638</v>
      </c>
      <c r="J460" s="10" t="s">
        <v>656</v>
      </c>
      <c r="K460" s="10" t="s">
        <v>657</v>
      </c>
      <c r="L460" s="10" t="s">
        <v>60</v>
      </c>
      <c r="M460" s="10" t="s">
        <v>408</v>
      </c>
      <c r="N460" s="11" t="s">
        <v>1355</v>
      </c>
      <c r="O460" s="10"/>
      <c r="P460" s="10" t="s">
        <v>63</v>
      </c>
      <c r="Q460" s="11" t="s">
        <v>64</v>
      </c>
      <c r="R460" s="11" t="s">
        <v>1355</v>
      </c>
      <c r="S460" s="11" t="s">
        <v>66</v>
      </c>
      <c r="T460" s="11" t="s">
        <v>1918</v>
      </c>
      <c r="U460" s="10" t="n">
        <f aca="false">IF(AND($D460="",$E460="",$F460=""),1,0)</f>
        <v>0</v>
      </c>
      <c r="V460" s="10" t="n">
        <f aca="false">IF(OR($I460="",$I460="—"),1,0)</f>
        <v>0</v>
      </c>
      <c r="W460" s="10" t="n">
        <f aca="false">IF(AND(ISNUMBER($D460),ISNUMBER($E460)),IF($E460&gt;$D460,1,0),0)+IF(AND(ISNUMBER($D460),ISNUMBER($F460)),IF($D460&gt;$F460,1,0),0)+IF(AND(ISNUMBER($E460),ISNUMBER($F460)),IF($E460&gt;$F460,1,0),0)</f>
        <v>0</v>
      </c>
      <c r="X460" s="13" t="s">
        <v>68</v>
      </c>
    </row>
    <row r="461" customFormat="false" ht="15" hidden="false" customHeight="false" outlineLevel="0" collapsed="false">
      <c r="A461" s="10" t="s">
        <v>1919</v>
      </c>
      <c r="B461" s="10" t="s">
        <v>1920</v>
      </c>
      <c r="C461" s="11" t="s">
        <v>1921</v>
      </c>
      <c r="D461" s="12" t="n">
        <v>50</v>
      </c>
      <c r="E461" s="12"/>
      <c r="F461" s="12"/>
      <c r="G461" s="10" t="s">
        <v>393</v>
      </c>
      <c r="H461" s="10" t="s">
        <v>438</v>
      </c>
      <c r="I461" s="11" t="s">
        <v>1678</v>
      </c>
      <c r="J461" s="10" t="s">
        <v>440</v>
      </c>
      <c r="K461" s="10" t="s">
        <v>441</v>
      </c>
      <c r="L461" s="10" t="s">
        <v>60</v>
      </c>
      <c r="M461" s="10" t="s">
        <v>408</v>
      </c>
      <c r="N461" s="11" t="s">
        <v>1355</v>
      </c>
      <c r="O461" s="10"/>
      <c r="P461" s="10" t="s">
        <v>63</v>
      </c>
      <c r="Q461" s="11" t="s">
        <v>64</v>
      </c>
      <c r="R461" s="11" t="s">
        <v>1355</v>
      </c>
      <c r="S461" s="11" t="s">
        <v>66</v>
      </c>
      <c r="T461" s="11" t="s">
        <v>1922</v>
      </c>
      <c r="U461" s="10" t="n">
        <f aca="false">IF(AND($D461="",$E461="",$F461=""),1,0)</f>
        <v>0</v>
      </c>
      <c r="V461" s="10" t="n">
        <f aca="false">IF(OR($I461="",$I461="—"),1,0)</f>
        <v>0</v>
      </c>
      <c r="W461" s="10" t="n">
        <f aca="false">IF(AND(ISNUMBER($D461),ISNUMBER($E461)),IF($E461&gt;$D461,1,0),0)+IF(AND(ISNUMBER($D461),ISNUMBER($F461)),IF($D461&gt;$F461,1,0),0)+IF(AND(ISNUMBER($E461),ISNUMBER($F461)),IF($E461&gt;$F461,1,0),0)</f>
        <v>0</v>
      </c>
      <c r="X461" s="13" t="s">
        <v>68</v>
      </c>
    </row>
    <row r="462" customFormat="false" ht="15" hidden="false" customHeight="false" outlineLevel="0" collapsed="false">
      <c r="A462" s="10" t="s">
        <v>1923</v>
      </c>
      <c r="B462" s="10" t="s">
        <v>1924</v>
      </c>
      <c r="C462" s="11" t="s">
        <v>1925</v>
      </c>
      <c r="D462" s="12" t="n">
        <v>1</v>
      </c>
      <c r="E462" s="12"/>
      <c r="F462" s="12"/>
      <c r="G462" s="10" t="s">
        <v>1926</v>
      </c>
      <c r="H462" s="10" t="s">
        <v>1927</v>
      </c>
      <c r="I462" s="11" t="s">
        <v>1928</v>
      </c>
      <c r="J462" s="10" t="s">
        <v>1929</v>
      </c>
      <c r="K462" s="10" t="s">
        <v>1927</v>
      </c>
      <c r="L462" s="10" t="s">
        <v>60</v>
      </c>
      <c r="M462" s="10" t="s">
        <v>408</v>
      </c>
      <c r="N462" s="11" t="s">
        <v>1355</v>
      </c>
      <c r="O462" s="10" t="s">
        <v>1930</v>
      </c>
      <c r="P462" s="10" t="s">
        <v>629</v>
      </c>
      <c r="Q462" s="11" t="s">
        <v>64</v>
      </c>
      <c r="R462" s="11" t="s">
        <v>1355</v>
      </c>
      <c r="S462" s="11" t="s">
        <v>702</v>
      </c>
      <c r="T462" s="11" t="s">
        <v>1931</v>
      </c>
      <c r="U462" s="10" t="n">
        <f aca="false">IF(AND($D462="",$E462="",$F462=""),1,0)</f>
        <v>0</v>
      </c>
      <c r="V462" s="10" t="n">
        <f aca="false">IF(OR($I462="",$I462="—"),1,0)</f>
        <v>0</v>
      </c>
      <c r="W462" s="10" t="n">
        <f aca="false">IF(AND(ISNUMBER($D462),ISNUMBER($E462)),IF($E462&gt;$D462,1,0),0)+IF(AND(ISNUMBER($D462),ISNUMBER($F462)),IF($D462&gt;$F462,1,0),0)+IF(AND(ISNUMBER($E462),ISNUMBER($F462)),IF($E462&gt;$F462,1,0),0)</f>
        <v>0</v>
      </c>
      <c r="X462" s="13" t="s">
        <v>68</v>
      </c>
    </row>
    <row r="463" customFormat="false" ht="15" hidden="false" customHeight="false" outlineLevel="0" collapsed="false">
      <c r="A463" s="10" t="s">
        <v>1932</v>
      </c>
      <c r="B463" s="10" t="s">
        <v>1933</v>
      </c>
      <c r="C463" s="11" t="s">
        <v>1934</v>
      </c>
      <c r="D463" s="12"/>
      <c r="E463" s="12"/>
      <c r="F463" s="12"/>
      <c r="G463" s="11" t="s">
        <v>1393</v>
      </c>
      <c r="H463" s="10" t="s">
        <v>1935</v>
      </c>
      <c r="I463" s="11" t="s">
        <v>1662</v>
      </c>
      <c r="J463" s="10" t="s">
        <v>407</v>
      </c>
      <c r="K463" s="10" t="s">
        <v>59</v>
      </c>
      <c r="L463" s="10" t="s">
        <v>60</v>
      </c>
      <c r="M463" s="10" t="s">
        <v>61</v>
      </c>
      <c r="N463" s="10"/>
      <c r="O463" s="10"/>
      <c r="P463" s="10" t="s">
        <v>63</v>
      </c>
      <c r="Q463" s="11" t="s">
        <v>64</v>
      </c>
      <c r="R463" s="11" t="s">
        <v>65</v>
      </c>
      <c r="S463" s="11" t="s">
        <v>66</v>
      </c>
      <c r="T463" s="11" t="s">
        <v>1936</v>
      </c>
      <c r="U463" s="10" t="n">
        <f aca="false">IF(AND($D463="",$E463="",$F463=""),1,0)</f>
        <v>1</v>
      </c>
      <c r="V463" s="10" t="n">
        <f aca="false">IF(OR($I463="",$I463="—"),1,0)</f>
        <v>0</v>
      </c>
      <c r="W463" s="10" t="n">
        <f aca="false">IF(AND(ISNUMBER($D463),ISNUMBER($E463)),IF($E463&gt;$D463,1,0),0)+IF(AND(ISNUMBER($D463),ISNUMBER($F463)),IF($D463&gt;$F463,1,0),0)+IF(AND(ISNUMBER($E463),ISNUMBER($F463)),IF($E463&gt;$F463,1,0),0)</f>
        <v>0</v>
      </c>
      <c r="X463" s="13" t="s">
        <v>68</v>
      </c>
    </row>
    <row r="464" customFormat="false" ht="15" hidden="false" customHeight="false" outlineLevel="0" collapsed="false">
      <c r="A464" s="10" t="s">
        <v>1937</v>
      </c>
      <c r="B464" s="10" t="s">
        <v>1938</v>
      </c>
      <c r="C464" s="10" t="s">
        <v>1939</v>
      </c>
      <c r="D464" s="12" t="n">
        <v>5</v>
      </c>
      <c r="E464" s="12"/>
      <c r="F464" s="12"/>
      <c r="G464" s="11" t="s">
        <v>1940</v>
      </c>
      <c r="H464" s="10" t="s">
        <v>1941</v>
      </c>
      <c r="I464" s="11" t="s">
        <v>1942</v>
      </c>
      <c r="J464" s="10" t="s">
        <v>1943</v>
      </c>
      <c r="K464" s="10" t="s">
        <v>1849</v>
      </c>
      <c r="L464" s="10" t="s">
        <v>60</v>
      </c>
      <c r="M464" s="10" t="s">
        <v>408</v>
      </c>
      <c r="N464" s="11" t="s">
        <v>1944</v>
      </c>
      <c r="O464" s="10"/>
      <c r="P464" s="10" t="s">
        <v>629</v>
      </c>
      <c r="Q464" s="11" t="s">
        <v>64</v>
      </c>
      <c r="R464" s="11" t="s">
        <v>1944</v>
      </c>
      <c r="S464" s="11" t="s">
        <v>702</v>
      </c>
      <c r="T464" s="11" t="s">
        <v>1945</v>
      </c>
      <c r="U464" s="10" t="n">
        <f aca="false">IF(AND($D464="",$E464="",$F464=""),1,0)</f>
        <v>0</v>
      </c>
      <c r="V464" s="10" t="n">
        <f aca="false">IF(OR($I464="",$I464="—"),1,0)</f>
        <v>0</v>
      </c>
      <c r="W464" s="10" t="n">
        <f aca="false">IF(AND(ISNUMBER($D464),ISNUMBER($E464)),IF($E464&gt;$D464,1,0),0)+IF(AND(ISNUMBER($D464),ISNUMBER($F464)),IF($D464&gt;$F464,1,0),0)+IF(AND(ISNUMBER($E464),ISNUMBER($F464)),IF($E464&gt;$F464,1,0),0)</f>
        <v>0</v>
      </c>
      <c r="X464" s="13" t="s">
        <v>68</v>
      </c>
    </row>
    <row r="465" customFormat="false" ht="15" hidden="false" customHeight="false" outlineLevel="0" collapsed="false">
      <c r="A465" s="10" t="s">
        <v>1946</v>
      </c>
      <c r="B465" s="10" t="s">
        <v>1947</v>
      </c>
      <c r="C465" s="11" t="s">
        <v>1948</v>
      </c>
      <c r="D465" s="12" t="n">
        <v>50</v>
      </c>
      <c r="E465" s="12"/>
      <c r="F465" s="12"/>
      <c r="G465" s="10" t="s">
        <v>1731</v>
      </c>
      <c r="H465" s="10" t="s">
        <v>1949</v>
      </c>
      <c r="I465" s="11" t="s">
        <v>1745</v>
      </c>
      <c r="J465" s="10" t="s">
        <v>1746</v>
      </c>
      <c r="K465" s="10" t="s">
        <v>1744</v>
      </c>
      <c r="L465" s="10" t="s">
        <v>60</v>
      </c>
      <c r="M465" s="10" t="s">
        <v>408</v>
      </c>
      <c r="N465" s="11" t="s">
        <v>1355</v>
      </c>
      <c r="O465" s="10"/>
      <c r="P465" s="10" t="s">
        <v>629</v>
      </c>
      <c r="Q465" s="11" t="s">
        <v>64</v>
      </c>
      <c r="R465" s="11" t="s">
        <v>1355</v>
      </c>
      <c r="S465" s="11" t="s">
        <v>702</v>
      </c>
      <c r="T465" s="11" t="s">
        <v>1950</v>
      </c>
      <c r="U465" s="10" t="n">
        <f aca="false">IF(AND($D465="",$E465="",$F465=""),1,0)</f>
        <v>0</v>
      </c>
      <c r="V465" s="10" t="n">
        <f aca="false">IF(OR($I465="",$I465="—"),1,0)</f>
        <v>0</v>
      </c>
      <c r="W465" s="10" t="n">
        <f aca="false">IF(AND(ISNUMBER($D465),ISNUMBER($E465)),IF($E465&gt;$D465,1,0),0)+IF(AND(ISNUMBER($D465),ISNUMBER($F465)),IF($D465&gt;$F465,1,0),0)+IF(AND(ISNUMBER($E465),ISNUMBER($F465)),IF($E465&gt;$F465,1,0),0)</f>
        <v>0</v>
      </c>
      <c r="X465" s="13" t="s">
        <v>68</v>
      </c>
    </row>
    <row r="466" customFormat="false" ht="15" hidden="false" customHeight="false" outlineLevel="0" collapsed="false">
      <c r="A466" s="10" t="s">
        <v>1951</v>
      </c>
      <c r="B466" s="10" t="s">
        <v>1952</v>
      </c>
      <c r="C466" s="10" t="s">
        <v>1953</v>
      </c>
      <c r="D466" s="12" t="n">
        <v>7.47</v>
      </c>
      <c r="E466" s="12" t="n">
        <v>7.03</v>
      </c>
      <c r="F466" s="12" t="n">
        <v>8.16</v>
      </c>
      <c r="G466" s="10" t="s">
        <v>1954</v>
      </c>
      <c r="H466" s="10" t="s">
        <v>699</v>
      </c>
      <c r="I466" s="11" t="s">
        <v>1955</v>
      </c>
      <c r="J466" s="10" t="s">
        <v>1956</v>
      </c>
      <c r="K466" s="10" t="s">
        <v>699</v>
      </c>
      <c r="L466" s="10" t="s">
        <v>60</v>
      </c>
      <c r="M466" s="10" t="s">
        <v>1300</v>
      </c>
      <c r="N466" s="10"/>
      <c r="O466" s="10"/>
      <c r="P466" s="10" t="s">
        <v>629</v>
      </c>
      <c r="Q466" s="11" t="s">
        <v>1301</v>
      </c>
      <c r="R466" s="11" t="s">
        <v>1302</v>
      </c>
      <c r="S466" s="11" t="s">
        <v>702</v>
      </c>
      <c r="T466" s="11" t="s">
        <v>1957</v>
      </c>
      <c r="U466" s="10" t="n">
        <f aca="false">IF(AND($D466="",$E466="",$F466=""),1,0)</f>
        <v>0</v>
      </c>
      <c r="V466" s="10" t="n">
        <f aca="false">IF(OR($I466="",$I466="—"),1,0)</f>
        <v>0</v>
      </c>
      <c r="W466" s="10" t="n">
        <f aca="false">IF(AND(ISNUMBER($D466),ISNUMBER($E466)),IF($E466&gt;$D466,1,0),0)+IF(AND(ISNUMBER($D466),ISNUMBER($F466)),IF($D466&gt;$F466,1,0),0)+IF(AND(ISNUMBER($E466),ISNUMBER($F466)),IF($E466&gt;$F466,1,0),0)</f>
        <v>0</v>
      </c>
      <c r="X466" s="13" t="s">
        <v>68</v>
      </c>
    </row>
    <row r="467" customFormat="false" ht="15" hidden="false" customHeight="false" outlineLevel="0" collapsed="false">
      <c r="A467" s="10" t="s">
        <v>1958</v>
      </c>
      <c r="B467" s="10" t="s">
        <v>1959</v>
      </c>
      <c r="C467" s="10" t="s">
        <v>1960</v>
      </c>
      <c r="D467" s="12" t="n">
        <v>43000</v>
      </c>
      <c r="E467" s="12" t="n">
        <v>40500</v>
      </c>
      <c r="F467" s="12" t="n">
        <v>47000</v>
      </c>
      <c r="G467" s="10" t="s">
        <v>1961</v>
      </c>
      <c r="H467" s="10" t="s">
        <v>699</v>
      </c>
      <c r="I467" s="11" t="s">
        <v>1955</v>
      </c>
      <c r="J467" s="10" t="s">
        <v>1956</v>
      </c>
      <c r="K467" s="10" t="s">
        <v>699</v>
      </c>
      <c r="L467" s="10" t="s">
        <v>60</v>
      </c>
      <c r="M467" s="10" t="s">
        <v>1300</v>
      </c>
      <c r="N467" s="10"/>
      <c r="O467" s="10"/>
      <c r="P467" s="10" t="s">
        <v>629</v>
      </c>
      <c r="Q467" s="11" t="s">
        <v>1301</v>
      </c>
      <c r="R467" s="11" t="s">
        <v>1302</v>
      </c>
      <c r="S467" s="11" t="s">
        <v>702</v>
      </c>
      <c r="T467" s="11" t="s">
        <v>1962</v>
      </c>
      <c r="U467" s="10" t="n">
        <f aca="false">IF(AND($D467="",$E467="",$F467=""),1,0)</f>
        <v>0</v>
      </c>
      <c r="V467" s="10" t="n">
        <f aca="false">IF(OR($I467="",$I467="—"),1,0)</f>
        <v>0</v>
      </c>
      <c r="W467" s="10" t="n">
        <f aca="false">IF(AND(ISNUMBER($D467),ISNUMBER($E467)),IF($E467&gt;$D467,1,0),0)+IF(AND(ISNUMBER($D467),ISNUMBER($F467)),IF($D467&gt;$F467,1,0),0)+IF(AND(ISNUMBER($E467),ISNUMBER($F467)),IF($E467&gt;$F467,1,0),0)</f>
        <v>0</v>
      </c>
      <c r="X467" s="13" t="s">
        <v>68</v>
      </c>
    </row>
    <row r="468" customFormat="false" ht="15" hidden="false" customHeight="false" outlineLevel="0" collapsed="false">
      <c r="A468" s="10" t="s">
        <v>1963</v>
      </c>
      <c r="B468" s="10" t="s">
        <v>1964</v>
      </c>
      <c r="C468" s="10" t="s">
        <v>1965</v>
      </c>
      <c r="D468" s="12" t="n">
        <v>35000</v>
      </c>
      <c r="E468" s="12" t="n">
        <v>34000</v>
      </c>
      <c r="F468" s="12" t="n">
        <v>35000</v>
      </c>
      <c r="G468" s="10" t="s">
        <v>1961</v>
      </c>
      <c r="H468" s="10" t="s">
        <v>1966</v>
      </c>
      <c r="I468" s="11" t="s">
        <v>1955</v>
      </c>
      <c r="J468" s="10" t="s">
        <v>1967</v>
      </c>
      <c r="K468" s="10" t="s">
        <v>1966</v>
      </c>
      <c r="L468" s="10" t="s">
        <v>60</v>
      </c>
      <c r="M468" s="10" t="s">
        <v>1300</v>
      </c>
      <c r="N468" s="10"/>
      <c r="O468" s="10"/>
      <c r="P468" s="10" t="s">
        <v>629</v>
      </c>
      <c r="Q468" s="11" t="s">
        <v>1301</v>
      </c>
      <c r="R468" s="11" t="s">
        <v>1302</v>
      </c>
      <c r="S468" s="11" t="s">
        <v>702</v>
      </c>
      <c r="T468" s="11" t="s">
        <v>1968</v>
      </c>
      <c r="U468" s="10" t="n">
        <f aca="false">IF(AND($D468="",$E468="",$F468=""),1,0)</f>
        <v>0</v>
      </c>
      <c r="V468" s="10" t="n">
        <f aca="false">IF(OR($I468="",$I468="—"),1,0)</f>
        <v>0</v>
      </c>
      <c r="W468" s="10" t="n">
        <f aca="false">IF(AND(ISNUMBER($D468),ISNUMBER($E468)),IF($E468&gt;$D468,1,0),0)+IF(AND(ISNUMBER($D468),ISNUMBER($F468)),IF($D468&gt;$F468,1,0),0)+IF(AND(ISNUMBER($E468),ISNUMBER($F468)),IF($E468&gt;$F468,1,0),0)</f>
        <v>0</v>
      </c>
      <c r="X468" s="13" t="s">
        <v>68</v>
      </c>
    </row>
    <row r="469" customFormat="false" ht="15" hidden="false" customHeight="false" outlineLevel="0" collapsed="false">
      <c r="A469" s="10" t="s">
        <v>1969</v>
      </c>
      <c r="B469" s="10" t="s">
        <v>1970</v>
      </c>
      <c r="C469" s="10" t="s">
        <v>1971</v>
      </c>
      <c r="D469" s="12" t="n">
        <v>78000</v>
      </c>
      <c r="E469" s="12" t="n">
        <v>78000</v>
      </c>
      <c r="F469" s="12" t="n">
        <v>85000</v>
      </c>
      <c r="G469" s="10" t="s">
        <v>1961</v>
      </c>
      <c r="H469" s="10" t="s">
        <v>1972</v>
      </c>
      <c r="I469" s="11" t="s">
        <v>1955</v>
      </c>
      <c r="J469" s="10" t="s">
        <v>1973</v>
      </c>
      <c r="K469" s="10" t="s">
        <v>1972</v>
      </c>
      <c r="L469" s="10" t="s">
        <v>60</v>
      </c>
      <c r="M469" s="10" t="s">
        <v>1300</v>
      </c>
      <c r="N469" s="10"/>
      <c r="O469" s="10"/>
      <c r="P469" s="10" t="s">
        <v>629</v>
      </c>
      <c r="Q469" s="11" t="s">
        <v>1301</v>
      </c>
      <c r="R469" s="11" t="s">
        <v>1302</v>
      </c>
      <c r="S469" s="11" t="s">
        <v>702</v>
      </c>
      <c r="T469" s="11" t="s">
        <v>1974</v>
      </c>
      <c r="U469" s="10" t="n">
        <f aca="false">IF(AND($D469="",$E469="",$F469=""),1,0)</f>
        <v>0</v>
      </c>
      <c r="V469" s="10" t="n">
        <f aca="false">IF(OR($I469="",$I469="—"),1,0)</f>
        <v>0</v>
      </c>
      <c r="W469" s="10" t="n">
        <f aca="false">IF(AND(ISNUMBER($D469),ISNUMBER($E469)),IF($E469&gt;$D469,1,0),0)+IF(AND(ISNUMBER($D469),ISNUMBER($F469)),IF($D469&gt;$F469,1,0),0)+IF(AND(ISNUMBER($E469),ISNUMBER($F469)),IF($E469&gt;$F469,1,0),0)</f>
        <v>0</v>
      </c>
      <c r="X469" s="13" t="s">
        <v>68</v>
      </c>
    </row>
    <row r="470" customFormat="false" ht="15" hidden="false" customHeight="false" outlineLevel="0" collapsed="false">
      <c r="A470" s="10" t="s">
        <v>1975</v>
      </c>
      <c r="B470" s="10" t="s">
        <v>1976</v>
      </c>
      <c r="C470" s="10" t="s">
        <v>1977</v>
      </c>
      <c r="D470" s="12" t="n">
        <v>36000</v>
      </c>
      <c r="E470" s="12" t="n">
        <v>34000</v>
      </c>
      <c r="F470" s="12" t="n">
        <v>36000</v>
      </c>
      <c r="G470" s="10" t="s">
        <v>1961</v>
      </c>
      <c r="H470" s="10" t="s">
        <v>1966</v>
      </c>
      <c r="I470" s="11" t="s">
        <v>1955</v>
      </c>
      <c r="J470" s="10" t="s">
        <v>1967</v>
      </c>
      <c r="K470" s="10" t="s">
        <v>1966</v>
      </c>
      <c r="L470" s="10" t="s">
        <v>60</v>
      </c>
      <c r="M470" s="10" t="s">
        <v>1300</v>
      </c>
      <c r="N470" s="10"/>
      <c r="O470" s="10"/>
      <c r="P470" s="10" t="s">
        <v>629</v>
      </c>
      <c r="Q470" s="11" t="s">
        <v>1301</v>
      </c>
      <c r="R470" s="11" t="s">
        <v>1302</v>
      </c>
      <c r="S470" s="11" t="s">
        <v>702</v>
      </c>
      <c r="T470" s="11" t="s">
        <v>1978</v>
      </c>
      <c r="U470" s="10" t="n">
        <f aca="false">IF(AND($D470="",$E470="",$F470=""),1,0)</f>
        <v>0</v>
      </c>
      <c r="V470" s="10" t="n">
        <f aca="false">IF(OR($I470="",$I470="—"),1,0)</f>
        <v>0</v>
      </c>
      <c r="W470" s="10" t="n">
        <f aca="false">IF(AND(ISNUMBER($D470),ISNUMBER($E470)),IF($E470&gt;$D470,1,0),0)+IF(AND(ISNUMBER($D470),ISNUMBER($F470)),IF($D470&gt;$F470,1,0),0)+IF(AND(ISNUMBER($E470),ISNUMBER($F470)),IF($E470&gt;$F470,1,0),0)</f>
        <v>0</v>
      </c>
      <c r="X470" s="13" t="s">
        <v>68</v>
      </c>
    </row>
    <row r="471" customFormat="false" ht="15" hidden="false" customHeight="false" outlineLevel="0" collapsed="false">
      <c r="A471" s="10" t="s">
        <v>1979</v>
      </c>
      <c r="B471" s="10" t="s">
        <v>1980</v>
      </c>
      <c r="C471" s="10" t="s">
        <v>1981</v>
      </c>
      <c r="D471" s="12" t="n">
        <v>85000</v>
      </c>
      <c r="E471" s="12" t="n">
        <v>75000</v>
      </c>
      <c r="F471" s="12" t="n">
        <v>85000</v>
      </c>
      <c r="G471" s="10" t="s">
        <v>1961</v>
      </c>
      <c r="H471" s="10" t="s">
        <v>1966</v>
      </c>
      <c r="I471" s="11" t="s">
        <v>1955</v>
      </c>
      <c r="J471" s="10" t="s">
        <v>1967</v>
      </c>
      <c r="K471" s="10" t="s">
        <v>1966</v>
      </c>
      <c r="L471" s="10" t="s">
        <v>60</v>
      </c>
      <c r="M471" s="10" t="s">
        <v>1300</v>
      </c>
      <c r="N471" s="10"/>
      <c r="O471" s="10"/>
      <c r="P471" s="10" t="s">
        <v>629</v>
      </c>
      <c r="Q471" s="11" t="s">
        <v>1301</v>
      </c>
      <c r="R471" s="11" t="s">
        <v>1302</v>
      </c>
      <c r="S471" s="11" t="s">
        <v>702</v>
      </c>
      <c r="T471" s="11" t="s">
        <v>1982</v>
      </c>
      <c r="U471" s="10" t="n">
        <f aca="false">IF(AND($D471="",$E471="",$F471=""),1,0)</f>
        <v>0</v>
      </c>
      <c r="V471" s="10" t="n">
        <f aca="false">IF(OR($I471="",$I471="—"),1,0)</f>
        <v>0</v>
      </c>
      <c r="W471" s="10" t="n">
        <f aca="false">IF(AND(ISNUMBER($D471),ISNUMBER($E471)),IF($E471&gt;$D471,1,0),0)+IF(AND(ISNUMBER($D471),ISNUMBER($F471)),IF($D471&gt;$F471,1,0),0)+IF(AND(ISNUMBER($E471),ISNUMBER($F471)),IF($E471&gt;$F471,1,0),0)</f>
        <v>0</v>
      </c>
      <c r="X471" s="13" t="s">
        <v>68</v>
      </c>
    </row>
    <row r="472" customFormat="false" ht="15" hidden="false" customHeight="false" outlineLevel="0" collapsed="false">
      <c r="A472" s="10" t="s">
        <v>1983</v>
      </c>
      <c r="B472" s="10" t="s">
        <v>1984</v>
      </c>
      <c r="C472" s="11" t="s">
        <v>1985</v>
      </c>
      <c r="D472" s="12" t="n">
        <v>16000</v>
      </c>
      <c r="E472" s="12" t="n">
        <v>15000</v>
      </c>
      <c r="F472" s="12" t="n">
        <v>16000</v>
      </c>
      <c r="G472" s="10" t="s">
        <v>1986</v>
      </c>
      <c r="H472" s="10" t="s">
        <v>1621</v>
      </c>
      <c r="I472" s="11" t="s">
        <v>1955</v>
      </c>
      <c r="J472" s="10" t="s">
        <v>1987</v>
      </c>
      <c r="K472" s="10" t="s">
        <v>1621</v>
      </c>
      <c r="L472" s="10" t="s">
        <v>60</v>
      </c>
      <c r="M472" s="10" t="s">
        <v>1300</v>
      </c>
      <c r="N472" s="10"/>
      <c r="O472" s="10"/>
      <c r="P472" s="10" t="s">
        <v>629</v>
      </c>
      <c r="Q472" s="11" t="s">
        <v>1301</v>
      </c>
      <c r="R472" s="11" t="s">
        <v>1302</v>
      </c>
      <c r="S472" s="11" t="s">
        <v>702</v>
      </c>
      <c r="T472" s="11" t="s">
        <v>1988</v>
      </c>
      <c r="U472" s="10" t="n">
        <f aca="false">IF(AND($D472="",$E472="",$F472=""),1,0)</f>
        <v>0</v>
      </c>
      <c r="V472" s="10" t="n">
        <f aca="false">IF(OR($I472="",$I472="—"),1,0)</f>
        <v>0</v>
      </c>
      <c r="W472" s="10" t="n">
        <f aca="false">IF(AND(ISNUMBER($D472),ISNUMBER($E472)),IF($E472&gt;$D472,1,0),0)+IF(AND(ISNUMBER($D472),ISNUMBER($F472)),IF($D472&gt;$F472,1,0),0)+IF(AND(ISNUMBER($E472),ISNUMBER($F472)),IF($E472&gt;$F472,1,0),0)</f>
        <v>0</v>
      </c>
      <c r="X472" s="13" t="s">
        <v>68</v>
      </c>
    </row>
    <row r="473" customFormat="false" ht="15" hidden="false" customHeight="false" outlineLevel="0" collapsed="false">
      <c r="A473" s="10" t="s">
        <v>1989</v>
      </c>
      <c r="B473" s="10" t="s">
        <v>1990</v>
      </c>
      <c r="C473" s="11" t="s">
        <v>1991</v>
      </c>
      <c r="D473" s="12" t="n">
        <v>16000</v>
      </c>
      <c r="E473" s="12" t="n">
        <v>16000</v>
      </c>
      <c r="F473" s="12" t="n">
        <v>19000</v>
      </c>
      <c r="G473" s="10" t="s">
        <v>1986</v>
      </c>
      <c r="H473" s="10" t="s">
        <v>1992</v>
      </c>
      <c r="I473" s="11" t="s">
        <v>1955</v>
      </c>
      <c r="J473" s="10" t="s">
        <v>1993</v>
      </c>
      <c r="K473" s="10" t="s">
        <v>1992</v>
      </c>
      <c r="L473" s="10" t="s">
        <v>60</v>
      </c>
      <c r="M473" s="10" t="s">
        <v>1300</v>
      </c>
      <c r="N473" s="10"/>
      <c r="O473" s="10"/>
      <c r="P473" s="10" t="s">
        <v>629</v>
      </c>
      <c r="Q473" s="11" t="s">
        <v>1301</v>
      </c>
      <c r="R473" s="11" t="s">
        <v>1302</v>
      </c>
      <c r="S473" s="11" t="s">
        <v>702</v>
      </c>
      <c r="T473" s="11" t="s">
        <v>1994</v>
      </c>
      <c r="U473" s="10" t="n">
        <f aca="false">IF(AND($D473="",$E473="",$F473=""),1,0)</f>
        <v>0</v>
      </c>
      <c r="V473" s="10" t="n">
        <f aca="false">IF(OR($I473="",$I473="—"),1,0)</f>
        <v>0</v>
      </c>
      <c r="W473" s="10" t="n">
        <f aca="false">IF(AND(ISNUMBER($D473),ISNUMBER($E473)),IF($E473&gt;$D473,1,0),0)+IF(AND(ISNUMBER($D473),ISNUMBER($F473)),IF($D473&gt;$F473,1,0),0)+IF(AND(ISNUMBER($E473),ISNUMBER($F473)),IF($E473&gt;$F473,1,0),0)</f>
        <v>0</v>
      </c>
      <c r="X473" s="13" t="s">
        <v>68</v>
      </c>
    </row>
    <row r="474" customFormat="false" ht="15" hidden="false" customHeight="false" outlineLevel="0" collapsed="false">
      <c r="A474" s="10" t="s">
        <v>1995</v>
      </c>
      <c r="B474" s="10" t="s">
        <v>1996</v>
      </c>
      <c r="C474" s="11" t="s">
        <v>1997</v>
      </c>
      <c r="D474" s="12" t="n">
        <v>12000</v>
      </c>
      <c r="E474" s="12" t="n">
        <v>12000</v>
      </c>
      <c r="F474" s="12" t="n">
        <v>17000</v>
      </c>
      <c r="G474" s="10" t="s">
        <v>1986</v>
      </c>
      <c r="H474" s="10" t="s">
        <v>657</v>
      </c>
      <c r="I474" s="11" t="s">
        <v>1955</v>
      </c>
      <c r="J474" s="10" t="s">
        <v>1998</v>
      </c>
      <c r="K474" s="10" t="s">
        <v>657</v>
      </c>
      <c r="L474" s="10" t="s">
        <v>60</v>
      </c>
      <c r="M474" s="10" t="s">
        <v>1300</v>
      </c>
      <c r="N474" s="10"/>
      <c r="O474" s="10"/>
      <c r="P474" s="10" t="s">
        <v>629</v>
      </c>
      <c r="Q474" s="11" t="s">
        <v>1301</v>
      </c>
      <c r="R474" s="11" t="s">
        <v>1302</v>
      </c>
      <c r="S474" s="11" t="s">
        <v>702</v>
      </c>
      <c r="T474" s="11" t="s">
        <v>1999</v>
      </c>
      <c r="U474" s="10" t="n">
        <f aca="false">IF(AND($D474="",$E474="",$F474=""),1,0)</f>
        <v>0</v>
      </c>
      <c r="V474" s="10" t="n">
        <f aca="false">IF(OR($I474="",$I474="—"),1,0)</f>
        <v>0</v>
      </c>
      <c r="W474" s="10" t="n">
        <f aca="false">IF(AND(ISNUMBER($D474),ISNUMBER($E474)),IF($E474&gt;$D474,1,0),0)+IF(AND(ISNUMBER($D474),ISNUMBER($F474)),IF($D474&gt;$F474,1,0),0)+IF(AND(ISNUMBER($E474),ISNUMBER($F474)),IF($E474&gt;$F474,1,0),0)</f>
        <v>0</v>
      </c>
      <c r="X474" s="13" t="s">
        <v>68</v>
      </c>
    </row>
    <row r="475" customFormat="false" ht="15" hidden="false" customHeight="false" outlineLevel="0" collapsed="false">
      <c r="A475" s="10" t="s">
        <v>2000</v>
      </c>
      <c r="B475" s="10" t="s">
        <v>2001</v>
      </c>
      <c r="C475" s="11" t="s">
        <v>2002</v>
      </c>
      <c r="D475" s="12" t="n">
        <v>25000</v>
      </c>
      <c r="E475" s="12" t="n">
        <v>16000</v>
      </c>
      <c r="F475" s="12" t="n">
        <v>25000</v>
      </c>
      <c r="G475" s="10" t="s">
        <v>2003</v>
      </c>
      <c r="H475" s="10" t="s">
        <v>2004</v>
      </c>
      <c r="I475" s="10" t="s">
        <v>2005</v>
      </c>
      <c r="J475" s="10" t="s">
        <v>2006</v>
      </c>
      <c r="K475" s="10" t="s">
        <v>2004</v>
      </c>
      <c r="L475" s="10" t="s">
        <v>60</v>
      </c>
      <c r="M475" s="10" t="s">
        <v>1300</v>
      </c>
      <c r="N475" s="10"/>
      <c r="O475" s="10"/>
      <c r="P475" s="10" t="s">
        <v>629</v>
      </c>
      <c r="Q475" s="11" t="s">
        <v>1301</v>
      </c>
      <c r="R475" s="11" t="s">
        <v>1302</v>
      </c>
      <c r="S475" s="11" t="s">
        <v>702</v>
      </c>
      <c r="T475" s="11" t="s">
        <v>2007</v>
      </c>
      <c r="U475" s="10" t="n">
        <f aca="false">IF(AND($D475="",$E475="",$F475=""),1,0)</f>
        <v>0</v>
      </c>
      <c r="V475" s="10" t="n">
        <f aca="false">IF(OR($I475="",$I475="—"),1,0)</f>
        <v>0</v>
      </c>
      <c r="W475" s="10" t="n">
        <f aca="false">IF(AND(ISNUMBER($D475),ISNUMBER($E475)),IF($E475&gt;$D475,1,0),0)+IF(AND(ISNUMBER($D475),ISNUMBER($F475)),IF($D475&gt;$F475,1,0),0)+IF(AND(ISNUMBER($E475),ISNUMBER($F475)),IF($E475&gt;$F475,1,0),0)</f>
        <v>0</v>
      </c>
      <c r="X475" s="13" t="s">
        <v>68</v>
      </c>
    </row>
    <row r="476" customFormat="false" ht="15" hidden="false" customHeight="false" outlineLevel="0" collapsed="false">
      <c r="A476" s="10" t="s">
        <v>2008</v>
      </c>
      <c r="B476" s="10" t="s">
        <v>2009</v>
      </c>
      <c r="C476" s="10" t="s">
        <v>2010</v>
      </c>
      <c r="D476" s="12" t="n">
        <v>18.75</v>
      </c>
      <c r="E476" s="12" t="n">
        <v>11.83</v>
      </c>
      <c r="F476" s="12" t="n">
        <v>18.75</v>
      </c>
      <c r="G476" s="10" t="s">
        <v>1954</v>
      </c>
      <c r="H476" s="10" t="s">
        <v>2004</v>
      </c>
      <c r="I476" s="10" t="s">
        <v>2005</v>
      </c>
      <c r="J476" s="10" t="s">
        <v>2006</v>
      </c>
      <c r="K476" s="10" t="s">
        <v>2004</v>
      </c>
      <c r="L476" s="10" t="s">
        <v>60</v>
      </c>
      <c r="M476" s="10" t="s">
        <v>1300</v>
      </c>
      <c r="N476" s="10"/>
      <c r="O476" s="10"/>
      <c r="P476" s="10" t="s">
        <v>629</v>
      </c>
      <c r="Q476" s="11" t="s">
        <v>1301</v>
      </c>
      <c r="R476" s="11" t="s">
        <v>1302</v>
      </c>
      <c r="S476" s="11" t="s">
        <v>702</v>
      </c>
      <c r="T476" s="11" t="s">
        <v>2011</v>
      </c>
      <c r="U476" s="10" t="n">
        <f aca="false">IF(AND($D476="",$E476="",$F476=""),1,0)</f>
        <v>0</v>
      </c>
      <c r="V476" s="10" t="n">
        <f aca="false">IF(OR($I476="",$I476="—"),1,0)</f>
        <v>0</v>
      </c>
      <c r="W476" s="10" t="n">
        <f aca="false">IF(AND(ISNUMBER($D476),ISNUMBER($E476)),IF($E476&gt;$D476,1,0),0)+IF(AND(ISNUMBER($D476),ISNUMBER($F476)),IF($D476&gt;$F476,1,0),0)+IF(AND(ISNUMBER($E476),ISNUMBER($F476)),IF($E476&gt;$F476,1,0),0)</f>
        <v>0</v>
      </c>
      <c r="X476" s="13" t="s">
        <v>68</v>
      </c>
    </row>
    <row r="477" customFormat="false" ht="15" hidden="false" customHeight="false" outlineLevel="0" collapsed="false">
      <c r="A477" s="10" t="s">
        <v>2012</v>
      </c>
      <c r="B477" s="10" t="s">
        <v>2013</v>
      </c>
      <c r="C477" s="10" t="s">
        <v>2014</v>
      </c>
      <c r="D477" s="12" t="n">
        <v>11.83</v>
      </c>
      <c r="E477" s="12" t="n">
        <v>11.83</v>
      </c>
      <c r="F477" s="12" t="n">
        <v>18.75</v>
      </c>
      <c r="G477" s="10" t="s">
        <v>1954</v>
      </c>
      <c r="H477" s="10" t="s">
        <v>2004</v>
      </c>
      <c r="I477" s="10" t="s">
        <v>2005</v>
      </c>
      <c r="J477" s="10" t="s">
        <v>2006</v>
      </c>
      <c r="K477" s="10" t="s">
        <v>2004</v>
      </c>
      <c r="L477" s="10" t="s">
        <v>60</v>
      </c>
      <c r="M477" s="10" t="s">
        <v>1300</v>
      </c>
      <c r="N477" s="10"/>
      <c r="O477" s="10"/>
      <c r="P477" s="10" t="s">
        <v>629</v>
      </c>
      <c r="Q477" s="11" t="s">
        <v>1301</v>
      </c>
      <c r="R477" s="11" t="s">
        <v>1302</v>
      </c>
      <c r="S477" s="11" t="s">
        <v>702</v>
      </c>
      <c r="T477" s="11" t="s">
        <v>1087</v>
      </c>
      <c r="U477" s="10" t="n">
        <f aca="false">IF(AND($D477="",$E477="",$F477=""),1,0)</f>
        <v>0</v>
      </c>
      <c r="V477" s="10" t="n">
        <f aca="false">IF(OR($I477="",$I477="—"),1,0)</f>
        <v>0</v>
      </c>
      <c r="W477" s="10" t="n">
        <f aca="false">IF(AND(ISNUMBER($D477),ISNUMBER($E477)),IF($E477&gt;$D477,1,0),0)+IF(AND(ISNUMBER($D477),ISNUMBER($F477)),IF($D477&gt;$F477,1,0),0)+IF(AND(ISNUMBER($E477),ISNUMBER($F477)),IF($E477&gt;$F477,1,0),0)</f>
        <v>0</v>
      </c>
      <c r="X477" s="13" t="s">
        <v>68</v>
      </c>
    </row>
    <row r="478" customFormat="false" ht="15" hidden="false" customHeight="false" outlineLevel="0" collapsed="false">
      <c r="A478" s="10" t="s">
        <v>2015</v>
      </c>
      <c r="B478" s="10" t="s">
        <v>2016</v>
      </c>
      <c r="C478" s="10" t="s">
        <v>2017</v>
      </c>
      <c r="D478" s="12" t="n">
        <v>13.36</v>
      </c>
      <c r="E478" s="12"/>
      <c r="F478" s="12"/>
      <c r="G478" s="10" t="s">
        <v>1954</v>
      </c>
      <c r="H478" s="10" t="s">
        <v>2018</v>
      </c>
      <c r="I478" s="11" t="s">
        <v>2019</v>
      </c>
      <c r="J478" s="10" t="s">
        <v>2020</v>
      </c>
      <c r="K478" s="10" t="s">
        <v>60</v>
      </c>
      <c r="L478" s="10" t="s">
        <v>60</v>
      </c>
      <c r="M478" s="10" t="s">
        <v>628</v>
      </c>
      <c r="N478" s="10"/>
      <c r="O478" s="10"/>
      <c r="P478" s="10" t="s">
        <v>629</v>
      </c>
      <c r="Q478" s="11" t="s">
        <v>630</v>
      </c>
      <c r="R478" s="11" t="s">
        <v>631</v>
      </c>
      <c r="S478" s="11" t="s">
        <v>630</v>
      </c>
      <c r="T478" s="10" t="s">
        <v>2021</v>
      </c>
      <c r="U478" s="10" t="n">
        <f aca="false">IF(AND($D478="",$E478="",$F478=""),1,0)</f>
        <v>0</v>
      </c>
      <c r="V478" s="10" t="n">
        <f aca="false">IF(OR($I478="",$I478="—"),1,0)</f>
        <v>0</v>
      </c>
      <c r="W478" s="10" t="n">
        <f aca="false">IF(AND(ISNUMBER($D478),ISNUMBER($E478)),IF($E478&gt;$D478,1,0),0)+IF(AND(ISNUMBER($D478),ISNUMBER($F478)),IF($D478&gt;$F478,1,0),0)+IF(AND(ISNUMBER($E478),ISNUMBER($F478)),IF($E478&gt;$F478,1,0),0)</f>
        <v>0</v>
      </c>
      <c r="X478" s="13" t="s">
        <v>68</v>
      </c>
    </row>
    <row r="479" customFormat="false" ht="15" hidden="false" customHeight="false" outlineLevel="0" collapsed="false">
      <c r="A479" s="10" t="s">
        <v>2022</v>
      </c>
      <c r="B479" s="10" t="s">
        <v>2023</v>
      </c>
      <c r="C479" s="10" t="s">
        <v>2024</v>
      </c>
      <c r="D479" s="12" t="n">
        <v>6.16</v>
      </c>
      <c r="E479" s="12"/>
      <c r="F479" s="12"/>
      <c r="G479" s="10" t="s">
        <v>1954</v>
      </c>
      <c r="H479" s="10" t="s">
        <v>2018</v>
      </c>
      <c r="I479" s="11" t="s">
        <v>2025</v>
      </c>
      <c r="J479" s="10" t="s">
        <v>2020</v>
      </c>
      <c r="K479" s="10" t="s">
        <v>60</v>
      </c>
      <c r="L479" s="10" t="s">
        <v>60</v>
      </c>
      <c r="M479" s="10" t="s">
        <v>628</v>
      </c>
      <c r="N479" s="10"/>
      <c r="O479" s="10"/>
      <c r="P479" s="10" t="s">
        <v>629</v>
      </c>
      <c r="Q479" s="11" t="s">
        <v>630</v>
      </c>
      <c r="R479" s="11" t="s">
        <v>631</v>
      </c>
      <c r="S479" s="11" t="s">
        <v>630</v>
      </c>
      <c r="T479" s="10" t="s">
        <v>2026</v>
      </c>
      <c r="U479" s="10" t="n">
        <f aca="false">IF(AND($D479="",$E479="",$F479=""),1,0)</f>
        <v>0</v>
      </c>
      <c r="V479" s="10" t="n">
        <f aca="false">IF(OR($I479="",$I479="—"),1,0)</f>
        <v>0</v>
      </c>
      <c r="W479" s="10" t="n">
        <f aca="false">IF(AND(ISNUMBER($D479),ISNUMBER($E479)),IF($E479&gt;$D479,1,0),0)+IF(AND(ISNUMBER($D479),ISNUMBER($F479)),IF($D479&gt;$F479,1,0),0)+IF(AND(ISNUMBER($E479),ISNUMBER($F479)),IF($E479&gt;$F479,1,0),0)</f>
        <v>0</v>
      </c>
      <c r="X479" s="13" t="s">
        <v>68</v>
      </c>
    </row>
    <row r="480" customFormat="false" ht="15" hidden="false" customHeight="false" outlineLevel="0" collapsed="false">
      <c r="A480" s="10" t="s">
        <v>2027</v>
      </c>
      <c r="B480" s="10" t="s">
        <v>2028</v>
      </c>
      <c r="C480" s="10" t="s">
        <v>2029</v>
      </c>
      <c r="D480" s="12" t="n">
        <v>13.7</v>
      </c>
      <c r="E480" s="12"/>
      <c r="F480" s="12"/>
      <c r="G480" s="10" t="s">
        <v>1954</v>
      </c>
      <c r="H480" s="10" t="s">
        <v>2018</v>
      </c>
      <c r="I480" s="11" t="s">
        <v>2030</v>
      </c>
      <c r="J480" s="10" t="s">
        <v>2020</v>
      </c>
      <c r="K480" s="10" t="s">
        <v>60</v>
      </c>
      <c r="L480" s="10" t="s">
        <v>60</v>
      </c>
      <c r="M480" s="10" t="s">
        <v>628</v>
      </c>
      <c r="N480" s="10"/>
      <c r="O480" s="10"/>
      <c r="P480" s="10" t="s">
        <v>629</v>
      </c>
      <c r="Q480" s="11" t="s">
        <v>630</v>
      </c>
      <c r="R480" s="11" t="s">
        <v>631</v>
      </c>
      <c r="S480" s="11" t="s">
        <v>630</v>
      </c>
      <c r="T480" s="10" t="s">
        <v>2031</v>
      </c>
      <c r="U480" s="10" t="n">
        <f aca="false">IF(AND($D480="",$E480="",$F480=""),1,0)</f>
        <v>0</v>
      </c>
      <c r="V480" s="10" t="n">
        <f aca="false">IF(OR($I480="",$I480="—"),1,0)</f>
        <v>0</v>
      </c>
      <c r="W480" s="10" t="n">
        <f aca="false">IF(AND(ISNUMBER($D480),ISNUMBER($E480)),IF($E480&gt;$D480,1,0),0)+IF(AND(ISNUMBER($D480),ISNUMBER($F480)),IF($D480&gt;$F480,1,0),0)+IF(AND(ISNUMBER($E480),ISNUMBER($F480)),IF($E480&gt;$F480,1,0),0)</f>
        <v>0</v>
      </c>
      <c r="X480" s="13" t="s">
        <v>68</v>
      </c>
    </row>
    <row r="481" customFormat="false" ht="15" hidden="false" customHeight="false" outlineLevel="0" collapsed="false">
      <c r="A481" s="10" t="s">
        <v>2032</v>
      </c>
      <c r="B481" s="10" t="s">
        <v>2033</v>
      </c>
      <c r="C481" s="10" t="s">
        <v>2034</v>
      </c>
      <c r="D481" s="12" t="n">
        <v>7.36</v>
      </c>
      <c r="E481" s="12"/>
      <c r="F481" s="12"/>
      <c r="G481" s="10" t="s">
        <v>1954</v>
      </c>
      <c r="H481" s="10" t="s">
        <v>2018</v>
      </c>
      <c r="I481" s="11" t="s">
        <v>2035</v>
      </c>
      <c r="J481" s="10" t="s">
        <v>2020</v>
      </c>
      <c r="K481" s="10" t="s">
        <v>60</v>
      </c>
      <c r="L481" s="10" t="s">
        <v>60</v>
      </c>
      <c r="M481" s="10" t="s">
        <v>628</v>
      </c>
      <c r="N481" s="10"/>
      <c r="O481" s="10"/>
      <c r="P481" s="10" t="s">
        <v>629</v>
      </c>
      <c r="Q481" s="11" t="s">
        <v>630</v>
      </c>
      <c r="R481" s="11" t="s">
        <v>631</v>
      </c>
      <c r="S481" s="11" t="s">
        <v>630</v>
      </c>
      <c r="T481" s="10" t="s">
        <v>2036</v>
      </c>
      <c r="U481" s="10" t="n">
        <f aca="false">IF(AND($D481="",$E481="",$F481=""),1,0)</f>
        <v>0</v>
      </c>
      <c r="V481" s="10" t="n">
        <f aca="false">IF(OR($I481="",$I481="—"),1,0)</f>
        <v>0</v>
      </c>
      <c r="W481" s="10" t="n">
        <f aca="false">IF(AND(ISNUMBER($D481),ISNUMBER($E481)),IF($E481&gt;$D481,1,0),0)+IF(AND(ISNUMBER($D481),ISNUMBER($F481)),IF($D481&gt;$F481,1,0),0)+IF(AND(ISNUMBER($E481),ISNUMBER($F481)),IF($E481&gt;$F481,1,0),0)</f>
        <v>0</v>
      </c>
      <c r="X481" s="13" t="s">
        <v>68</v>
      </c>
    </row>
    <row r="482" customFormat="false" ht="15" hidden="false" customHeight="false" outlineLevel="0" collapsed="false">
      <c r="A482" s="10" t="s">
        <v>2037</v>
      </c>
      <c r="B482" s="10" t="s">
        <v>2038</v>
      </c>
      <c r="C482" s="11" t="s">
        <v>2039</v>
      </c>
      <c r="D482" s="12" t="n">
        <v>2.74</v>
      </c>
      <c r="E482" s="12" t="n">
        <v>2.74</v>
      </c>
      <c r="F482" s="12" t="n">
        <v>4.28</v>
      </c>
      <c r="G482" s="10" t="s">
        <v>1954</v>
      </c>
      <c r="H482" s="10" t="s">
        <v>2040</v>
      </c>
      <c r="I482" s="11" t="s">
        <v>2041</v>
      </c>
      <c r="J482" s="10" t="s">
        <v>2020</v>
      </c>
      <c r="K482" s="10" t="s">
        <v>60</v>
      </c>
      <c r="L482" s="10" t="s">
        <v>60</v>
      </c>
      <c r="M482" s="10" t="s">
        <v>628</v>
      </c>
      <c r="N482" s="10"/>
      <c r="O482" s="10"/>
      <c r="P482" s="10" t="s">
        <v>629</v>
      </c>
      <c r="Q482" s="11" t="s">
        <v>630</v>
      </c>
      <c r="R482" s="11" t="s">
        <v>631</v>
      </c>
      <c r="S482" s="11" t="s">
        <v>702</v>
      </c>
      <c r="T482" s="10" t="s">
        <v>2042</v>
      </c>
      <c r="U482" s="10" t="n">
        <f aca="false">IF(AND($D482="",$E482="",$F482=""),1,0)</f>
        <v>0</v>
      </c>
      <c r="V482" s="10" t="n">
        <f aca="false">IF(OR($I482="",$I482="—"),1,0)</f>
        <v>0</v>
      </c>
      <c r="W482" s="10" t="n">
        <f aca="false">IF(AND(ISNUMBER($D482),ISNUMBER($E482)),IF($E482&gt;$D482,1,0),0)+IF(AND(ISNUMBER($D482),ISNUMBER($F482)),IF($D482&gt;$F482,1,0),0)+IF(AND(ISNUMBER($E482),ISNUMBER($F482)),IF($E482&gt;$F482,1,0),0)</f>
        <v>0</v>
      </c>
      <c r="X482" s="13" t="s">
        <v>68</v>
      </c>
    </row>
    <row r="483" customFormat="false" ht="15" hidden="false" customHeight="false" outlineLevel="0" collapsed="false">
      <c r="A483" s="10" t="s">
        <v>2043</v>
      </c>
      <c r="B483" s="10" t="s">
        <v>2044</v>
      </c>
      <c r="C483" s="11" t="s">
        <v>2045</v>
      </c>
      <c r="D483" s="12" t="n">
        <v>4.28</v>
      </c>
      <c r="E483" s="12" t="n">
        <v>2.74</v>
      </c>
      <c r="F483" s="12" t="n">
        <v>4.28</v>
      </c>
      <c r="G483" s="10" t="s">
        <v>1954</v>
      </c>
      <c r="H483" s="10" t="s">
        <v>2040</v>
      </c>
      <c r="I483" s="11" t="s">
        <v>2041</v>
      </c>
      <c r="J483" s="10" t="s">
        <v>2020</v>
      </c>
      <c r="K483" s="10" t="s">
        <v>60</v>
      </c>
      <c r="L483" s="10" t="s">
        <v>60</v>
      </c>
      <c r="M483" s="10" t="s">
        <v>628</v>
      </c>
      <c r="N483" s="10"/>
      <c r="O483" s="10"/>
      <c r="P483" s="10" t="s">
        <v>629</v>
      </c>
      <c r="Q483" s="11" t="s">
        <v>630</v>
      </c>
      <c r="R483" s="11" t="s">
        <v>631</v>
      </c>
      <c r="S483" s="11" t="s">
        <v>702</v>
      </c>
      <c r="T483" s="10" t="s">
        <v>2046</v>
      </c>
      <c r="U483" s="10" t="n">
        <f aca="false">IF(AND($D483="",$E483="",$F483=""),1,0)</f>
        <v>0</v>
      </c>
      <c r="V483" s="10" t="n">
        <f aca="false">IF(OR($I483="",$I483="—"),1,0)</f>
        <v>0</v>
      </c>
      <c r="W483" s="10" t="n">
        <f aca="false">IF(AND(ISNUMBER($D483),ISNUMBER($E483)),IF($E483&gt;$D483,1,0),0)+IF(AND(ISNUMBER($D483),ISNUMBER($F483)),IF($D483&gt;$F483,1,0),0)+IF(AND(ISNUMBER($E483),ISNUMBER($F483)),IF($E483&gt;$F483,1,0),0)</f>
        <v>0</v>
      </c>
      <c r="X483" s="13" t="s">
        <v>68</v>
      </c>
    </row>
    <row r="484" customFormat="false" ht="15" hidden="false" customHeight="false" outlineLevel="0" collapsed="false">
      <c r="A484" s="10" t="s">
        <v>2047</v>
      </c>
      <c r="B484" s="10" t="s">
        <v>2048</v>
      </c>
      <c r="C484" s="11" t="s">
        <v>2049</v>
      </c>
      <c r="D484" s="12" t="n">
        <v>0.6</v>
      </c>
      <c r="E484" s="12" t="n">
        <v>0.6</v>
      </c>
      <c r="F484" s="12" t="n">
        <v>0.8</v>
      </c>
      <c r="G484" s="11" t="s">
        <v>1701</v>
      </c>
      <c r="H484" s="10" t="s">
        <v>2050</v>
      </c>
      <c r="I484" s="10" t="s">
        <v>2051</v>
      </c>
      <c r="J484" s="10" t="s">
        <v>2052</v>
      </c>
      <c r="K484" s="10" t="s">
        <v>2053</v>
      </c>
      <c r="L484" s="10" t="s">
        <v>60</v>
      </c>
      <c r="M484" s="10" t="s">
        <v>1300</v>
      </c>
      <c r="N484" s="10"/>
      <c r="O484" s="10"/>
      <c r="P484" s="10" t="s">
        <v>629</v>
      </c>
      <c r="Q484" s="11" t="s">
        <v>1301</v>
      </c>
      <c r="R484" s="11" t="s">
        <v>1302</v>
      </c>
      <c r="S484" s="11" t="s">
        <v>702</v>
      </c>
      <c r="T484" s="11" t="s">
        <v>2054</v>
      </c>
      <c r="U484" s="10" t="n">
        <f aca="false">IF(AND($D484="",$E484="",$F484=""),1,0)</f>
        <v>0</v>
      </c>
      <c r="V484" s="10" t="n">
        <f aca="false">IF(OR($I484="",$I484="—"),1,0)</f>
        <v>0</v>
      </c>
      <c r="W484" s="10" t="n">
        <f aca="false">IF(AND(ISNUMBER($D484),ISNUMBER($E484)),IF($E484&gt;$D484,1,0),0)+IF(AND(ISNUMBER($D484),ISNUMBER($F484)),IF($D484&gt;$F484,1,0),0)+IF(AND(ISNUMBER($E484),ISNUMBER($F484)),IF($E484&gt;$F484,1,0),0)</f>
        <v>0</v>
      </c>
      <c r="X484" s="13" t="s">
        <v>68</v>
      </c>
    </row>
    <row r="485" customFormat="false" ht="15" hidden="false" customHeight="false" outlineLevel="0" collapsed="false">
      <c r="A485" s="10" t="s">
        <v>2055</v>
      </c>
      <c r="B485" s="10" t="s">
        <v>2056</v>
      </c>
      <c r="C485" s="11" t="s">
        <v>2057</v>
      </c>
      <c r="D485" s="12" t="n">
        <v>310</v>
      </c>
      <c r="E485" s="12" t="n">
        <v>310</v>
      </c>
      <c r="F485" s="12" t="n">
        <v>350</v>
      </c>
      <c r="G485" s="10" t="s">
        <v>2058</v>
      </c>
      <c r="H485" s="10" t="s">
        <v>2059</v>
      </c>
      <c r="I485" s="10" t="s">
        <v>2060</v>
      </c>
      <c r="J485" s="10" t="s">
        <v>2061</v>
      </c>
      <c r="K485" s="10" t="s">
        <v>2062</v>
      </c>
      <c r="L485" s="10" t="s">
        <v>60</v>
      </c>
      <c r="M485" s="10" t="s">
        <v>1300</v>
      </c>
      <c r="N485" s="10"/>
      <c r="O485" s="10"/>
      <c r="P485" s="10" t="s">
        <v>629</v>
      </c>
      <c r="Q485" s="11" t="s">
        <v>1301</v>
      </c>
      <c r="R485" s="10" t="s">
        <v>2063</v>
      </c>
      <c r="S485" s="11" t="s">
        <v>702</v>
      </c>
      <c r="T485" s="11" t="s">
        <v>2064</v>
      </c>
      <c r="U485" s="10" t="n">
        <f aca="false">IF(AND($D485="",$E485="",$F485=""),1,0)</f>
        <v>0</v>
      </c>
      <c r="V485" s="10" t="n">
        <f aca="false">IF(OR($I485="",$I485="—"),1,0)</f>
        <v>0</v>
      </c>
      <c r="W485" s="10" t="n">
        <f aca="false">IF(AND(ISNUMBER($D485),ISNUMBER($E485)),IF($E485&gt;$D485,1,0),0)+IF(AND(ISNUMBER($D485),ISNUMBER($F485)),IF($D485&gt;$F485,1,0),0)+IF(AND(ISNUMBER($E485),ISNUMBER($F485)),IF($E485&gt;$F485,1,0),0)</f>
        <v>0</v>
      </c>
      <c r="X485" s="13" t="s">
        <v>68</v>
      </c>
    </row>
    <row r="486" customFormat="false" ht="15" hidden="false" customHeight="false" outlineLevel="0" collapsed="false">
      <c r="A486" s="10" t="s">
        <v>2065</v>
      </c>
      <c r="B486" s="10" t="s">
        <v>2066</v>
      </c>
      <c r="C486" s="11" t="s">
        <v>2067</v>
      </c>
      <c r="D486" s="12" t="n">
        <v>752</v>
      </c>
      <c r="E486" s="12" t="n">
        <v>752</v>
      </c>
      <c r="F486" s="12" t="n">
        <v>780</v>
      </c>
      <c r="G486" s="10" t="s">
        <v>2068</v>
      </c>
      <c r="H486" s="10" t="s">
        <v>1279</v>
      </c>
      <c r="I486" s="10" t="s">
        <v>2069</v>
      </c>
      <c r="J486" s="10" t="s">
        <v>2070</v>
      </c>
      <c r="K486" s="10" t="s">
        <v>1282</v>
      </c>
      <c r="L486" s="10" t="s">
        <v>60</v>
      </c>
      <c r="M486" s="10" t="s">
        <v>1300</v>
      </c>
      <c r="N486" s="10"/>
      <c r="O486" s="10"/>
      <c r="P486" s="10" t="s">
        <v>629</v>
      </c>
      <c r="Q486" s="11" t="s">
        <v>1301</v>
      </c>
      <c r="R486" s="10" t="s">
        <v>2063</v>
      </c>
      <c r="S486" s="11" t="s">
        <v>702</v>
      </c>
      <c r="T486" s="11" t="s">
        <v>2071</v>
      </c>
      <c r="U486" s="10" t="n">
        <f aca="false">IF(AND($D486="",$E486="",$F486=""),1,0)</f>
        <v>0</v>
      </c>
      <c r="V486" s="10" t="n">
        <f aca="false">IF(OR($I486="",$I486="—"),1,0)</f>
        <v>0</v>
      </c>
      <c r="W486" s="10" t="n">
        <f aca="false">IF(AND(ISNUMBER($D486),ISNUMBER($E486)),IF($E486&gt;$D486,1,0),0)+IF(AND(ISNUMBER($D486),ISNUMBER($F486)),IF($D486&gt;$F486,1,0),0)+IF(AND(ISNUMBER($E486),ISNUMBER($F486)),IF($E486&gt;$F486,1,0),0)</f>
        <v>0</v>
      </c>
      <c r="X486" s="13" t="s">
        <v>68</v>
      </c>
    </row>
    <row r="487" customFormat="false" ht="15" hidden="false" customHeight="false" outlineLevel="0" collapsed="false">
      <c r="A487" s="10" t="s">
        <v>2072</v>
      </c>
      <c r="B487" s="10" t="s">
        <v>2073</v>
      </c>
      <c r="C487" s="10" t="s">
        <v>2074</v>
      </c>
      <c r="D487" s="12" t="n">
        <v>559</v>
      </c>
      <c r="E487" s="12" t="n">
        <v>559</v>
      </c>
      <c r="F487" s="12" t="n">
        <v>600</v>
      </c>
      <c r="G487" s="10" t="s">
        <v>2075</v>
      </c>
      <c r="H487" s="10" t="s">
        <v>2076</v>
      </c>
      <c r="I487" s="10" t="s">
        <v>2077</v>
      </c>
      <c r="J487" s="10" t="s">
        <v>2078</v>
      </c>
      <c r="K487" s="10" t="s">
        <v>2079</v>
      </c>
      <c r="L487" s="10" t="s">
        <v>60</v>
      </c>
      <c r="M487" s="10" t="s">
        <v>1300</v>
      </c>
      <c r="N487" s="10"/>
      <c r="O487" s="10"/>
      <c r="P487" s="10" t="s">
        <v>629</v>
      </c>
      <c r="Q487" s="11" t="s">
        <v>1301</v>
      </c>
      <c r="R487" s="10" t="s">
        <v>2063</v>
      </c>
      <c r="S487" s="11" t="s">
        <v>702</v>
      </c>
      <c r="T487" s="11" t="s">
        <v>2080</v>
      </c>
      <c r="U487" s="10" t="n">
        <f aca="false">IF(AND($D487="",$E487="",$F487=""),1,0)</f>
        <v>0</v>
      </c>
      <c r="V487" s="10" t="n">
        <f aca="false">IF(OR($I487="",$I487="—"),1,0)</f>
        <v>0</v>
      </c>
      <c r="W487" s="10" t="n">
        <f aca="false">IF(AND(ISNUMBER($D487),ISNUMBER($E487)),IF($E487&gt;$D487,1,0),0)+IF(AND(ISNUMBER($D487),ISNUMBER($F487)),IF($D487&gt;$F487,1,0),0)+IF(AND(ISNUMBER($E487),ISNUMBER($F487)),IF($E487&gt;$F487,1,0),0)</f>
        <v>0</v>
      </c>
      <c r="X487" s="13" t="s">
        <v>68</v>
      </c>
    </row>
    <row r="488" customFormat="false" ht="15" hidden="false" customHeight="false" outlineLevel="0" collapsed="false">
      <c r="A488" s="10" t="s">
        <v>2081</v>
      </c>
      <c r="B488" s="10" t="s">
        <v>2082</v>
      </c>
      <c r="C488" s="10" t="s">
        <v>2083</v>
      </c>
      <c r="D488" s="12" t="n">
        <v>3.9</v>
      </c>
      <c r="E488" s="12" t="n">
        <v>3.9</v>
      </c>
      <c r="F488" s="12" t="n">
        <v>4.1</v>
      </c>
      <c r="G488" s="11" t="s">
        <v>1701</v>
      </c>
      <c r="H488" s="10" t="s">
        <v>2076</v>
      </c>
      <c r="I488" s="10" t="s">
        <v>2077</v>
      </c>
      <c r="J488" s="10" t="s">
        <v>2078</v>
      </c>
      <c r="K488" s="10" t="s">
        <v>2079</v>
      </c>
      <c r="L488" s="10" t="s">
        <v>60</v>
      </c>
      <c r="M488" s="10" t="s">
        <v>1300</v>
      </c>
      <c r="N488" s="10"/>
      <c r="O488" s="10"/>
      <c r="P488" s="10" t="s">
        <v>629</v>
      </c>
      <c r="Q488" s="11" t="s">
        <v>1301</v>
      </c>
      <c r="R488" s="10" t="s">
        <v>2063</v>
      </c>
      <c r="S488" s="11" t="s">
        <v>702</v>
      </c>
      <c r="T488" s="10" t="s">
        <v>2084</v>
      </c>
      <c r="U488" s="10" t="n">
        <f aca="false">IF(AND($D488="",$E488="",$F488=""),1,0)</f>
        <v>0</v>
      </c>
      <c r="V488" s="10" t="n">
        <f aca="false">IF(OR($I488="",$I488="—"),1,0)</f>
        <v>0</v>
      </c>
      <c r="W488" s="10" t="n">
        <f aca="false">IF(AND(ISNUMBER($D488),ISNUMBER($E488)),IF($E488&gt;$D488,1,0),0)+IF(AND(ISNUMBER($D488),ISNUMBER($F488)),IF($D488&gt;$F488,1,0),0)+IF(AND(ISNUMBER($E488),ISNUMBER($F488)),IF($E488&gt;$F488,1,0),0)</f>
        <v>0</v>
      </c>
      <c r="X488" s="13" t="s">
        <v>68</v>
      </c>
    </row>
    <row r="489" customFormat="false" ht="15" hidden="false" customHeight="false" outlineLevel="0" collapsed="false">
      <c r="A489" s="10" t="s">
        <v>2085</v>
      </c>
      <c r="B489" s="10" t="s">
        <v>2086</v>
      </c>
      <c r="C489" s="10" t="s">
        <v>2087</v>
      </c>
      <c r="D489" s="12" t="n">
        <v>1943</v>
      </c>
      <c r="E489" s="12"/>
      <c r="F489" s="12"/>
      <c r="G489" s="10" t="s">
        <v>2088</v>
      </c>
      <c r="H489" s="10" t="s">
        <v>2089</v>
      </c>
      <c r="I489" s="11" t="s">
        <v>2090</v>
      </c>
      <c r="J489" s="10" t="s">
        <v>2091</v>
      </c>
      <c r="K489" s="10" t="s">
        <v>2092</v>
      </c>
      <c r="L489" s="10" t="s">
        <v>60</v>
      </c>
      <c r="M489" s="10" t="s">
        <v>408</v>
      </c>
      <c r="N489" s="11" t="s">
        <v>2093</v>
      </c>
      <c r="O489" s="10"/>
      <c r="P489" s="10" t="s">
        <v>629</v>
      </c>
      <c r="Q489" s="11" t="s">
        <v>64</v>
      </c>
      <c r="R489" s="11" t="s">
        <v>2093</v>
      </c>
      <c r="S489" s="11" t="s">
        <v>1270</v>
      </c>
      <c r="T489" s="11" t="s">
        <v>2094</v>
      </c>
      <c r="U489" s="10" t="n">
        <f aca="false">IF(AND($D489="",$E489="",$F489=""),1,0)</f>
        <v>0</v>
      </c>
      <c r="V489" s="10" t="n">
        <f aca="false">IF(OR($I489="",$I489="—"),1,0)</f>
        <v>0</v>
      </c>
      <c r="W489" s="10" t="n">
        <f aca="false">IF(AND(ISNUMBER($D489),ISNUMBER($E489)),IF($E489&gt;$D489,1,0),0)+IF(AND(ISNUMBER($D489),ISNUMBER($F489)),IF($D489&gt;$F489,1,0),0)+IF(AND(ISNUMBER($E489),ISNUMBER($F489)),IF($E489&gt;$F489,1,0),0)</f>
        <v>0</v>
      </c>
      <c r="X489" s="13" t="s">
        <v>68</v>
      </c>
    </row>
    <row r="490" customFormat="false" ht="15" hidden="false" customHeight="false" outlineLevel="0" collapsed="false">
      <c r="A490" s="10" t="s">
        <v>2095</v>
      </c>
      <c r="B490" s="10" t="s">
        <v>2096</v>
      </c>
      <c r="C490" s="10" t="s">
        <v>2097</v>
      </c>
      <c r="D490" s="12" t="n">
        <v>4.45</v>
      </c>
      <c r="E490" s="12"/>
      <c r="F490" s="12"/>
      <c r="G490" s="10" t="s">
        <v>2098</v>
      </c>
      <c r="H490" s="10" t="s">
        <v>2089</v>
      </c>
      <c r="I490" s="10" t="s">
        <v>2099</v>
      </c>
      <c r="J490" s="10" t="s">
        <v>2070</v>
      </c>
      <c r="K490" s="10" t="s">
        <v>1282</v>
      </c>
      <c r="L490" s="10" t="s">
        <v>60</v>
      </c>
      <c r="M490" s="10" t="s">
        <v>408</v>
      </c>
      <c r="N490" s="11" t="s">
        <v>2100</v>
      </c>
      <c r="O490" s="10"/>
      <c r="P490" s="10" t="s">
        <v>629</v>
      </c>
      <c r="Q490" s="11" t="s">
        <v>64</v>
      </c>
      <c r="R490" s="11" t="s">
        <v>2100</v>
      </c>
      <c r="S490" s="11" t="s">
        <v>702</v>
      </c>
      <c r="T490" s="11" t="s">
        <v>2101</v>
      </c>
      <c r="U490" s="10" t="n">
        <f aca="false">IF(AND($D490="",$E490="",$F490=""),1,0)</f>
        <v>0</v>
      </c>
      <c r="V490" s="10" t="n">
        <f aca="false">IF(OR($I490="",$I490="—"),1,0)</f>
        <v>0</v>
      </c>
      <c r="W490" s="10" t="n">
        <f aca="false">IF(AND(ISNUMBER($D490),ISNUMBER($E490)),IF($E490&gt;$D490,1,0),0)+IF(AND(ISNUMBER($D490),ISNUMBER($F490)),IF($D490&gt;$F490,1,0),0)+IF(AND(ISNUMBER($E490),ISNUMBER($F490)),IF($E490&gt;$F490,1,0),0)</f>
        <v>0</v>
      </c>
      <c r="X490" s="13" t="s">
        <v>68</v>
      </c>
    </row>
    <row r="491" customFormat="false" ht="15" hidden="false" customHeight="false" outlineLevel="0" collapsed="false">
      <c r="A491" s="10" t="s">
        <v>2102</v>
      </c>
      <c r="B491" s="10" t="s">
        <v>2103</v>
      </c>
      <c r="C491" s="10" t="s">
        <v>2104</v>
      </c>
      <c r="D491" s="12" t="n">
        <v>148</v>
      </c>
      <c r="E491" s="12"/>
      <c r="F491" s="12"/>
      <c r="G491" s="10" t="s">
        <v>2068</v>
      </c>
      <c r="H491" s="10" t="s">
        <v>2105</v>
      </c>
      <c r="I491" s="10" t="s">
        <v>2106</v>
      </c>
      <c r="J491" s="10" t="s">
        <v>2107</v>
      </c>
      <c r="K491" s="10" t="s">
        <v>2108</v>
      </c>
      <c r="L491" s="10" t="s">
        <v>60</v>
      </c>
      <c r="M491" s="10" t="s">
        <v>61</v>
      </c>
      <c r="N491" s="10"/>
      <c r="O491" s="10"/>
      <c r="P491" s="10" t="s">
        <v>629</v>
      </c>
      <c r="Q491" s="11" t="s">
        <v>64</v>
      </c>
      <c r="R491" s="11" t="s">
        <v>1082</v>
      </c>
      <c r="S491" s="11" t="s">
        <v>702</v>
      </c>
      <c r="T491" s="10" t="s">
        <v>2109</v>
      </c>
      <c r="U491" s="10" t="n">
        <f aca="false">IF(AND($D491="",$E491="",$F491=""),1,0)</f>
        <v>0</v>
      </c>
      <c r="V491" s="10" t="n">
        <f aca="false">IF(OR($I491="",$I491="—"),1,0)</f>
        <v>0</v>
      </c>
      <c r="W491" s="10" t="n">
        <f aca="false">IF(AND(ISNUMBER($D491),ISNUMBER($E491)),IF($E491&gt;$D491,1,0),0)+IF(AND(ISNUMBER($D491),ISNUMBER($F491)),IF($D491&gt;$F491,1,0),0)+IF(AND(ISNUMBER($E491),ISNUMBER($F491)),IF($E491&gt;$F491,1,0),0)</f>
        <v>0</v>
      </c>
      <c r="X491" s="13" t="s">
        <v>68</v>
      </c>
    </row>
    <row r="492" customFormat="false" ht="15" hidden="false" customHeight="false" outlineLevel="0" collapsed="false">
      <c r="A492" s="10" t="s">
        <v>2110</v>
      </c>
      <c r="B492" s="10" t="s">
        <v>2111</v>
      </c>
      <c r="C492" s="10" t="s">
        <v>2112</v>
      </c>
      <c r="D492" s="12" t="n">
        <v>1979</v>
      </c>
      <c r="E492" s="12"/>
      <c r="F492" s="12"/>
      <c r="G492" s="10" t="s">
        <v>2068</v>
      </c>
      <c r="H492" s="10" t="s">
        <v>2113</v>
      </c>
      <c r="I492" s="10" t="s">
        <v>2114</v>
      </c>
      <c r="J492" s="10" t="s">
        <v>2115</v>
      </c>
      <c r="K492" s="10" t="s">
        <v>60</v>
      </c>
      <c r="L492" s="10" t="s">
        <v>60</v>
      </c>
      <c r="M492" s="10" t="s">
        <v>61</v>
      </c>
      <c r="N492" s="10"/>
      <c r="O492" s="10"/>
      <c r="P492" s="10" t="s">
        <v>629</v>
      </c>
      <c r="Q492" s="11" t="s">
        <v>64</v>
      </c>
      <c r="R492" s="11" t="s">
        <v>1082</v>
      </c>
      <c r="S492" s="11" t="s">
        <v>702</v>
      </c>
      <c r="T492" s="11" t="s">
        <v>2116</v>
      </c>
      <c r="U492" s="10" t="n">
        <f aca="false">IF(AND($D492="",$E492="",$F492=""),1,0)</f>
        <v>0</v>
      </c>
      <c r="V492" s="10" t="n">
        <f aca="false">IF(OR($I492="",$I492="—"),1,0)</f>
        <v>0</v>
      </c>
      <c r="W492" s="10" t="n">
        <f aca="false">IF(AND(ISNUMBER($D492),ISNUMBER($E492)),IF($E492&gt;$D492,1,0),0)+IF(AND(ISNUMBER($D492),ISNUMBER($F492)),IF($D492&gt;$F492,1,0),0)+IF(AND(ISNUMBER($E492),ISNUMBER($F492)),IF($E492&gt;$F492,1,0),0)</f>
        <v>0</v>
      </c>
      <c r="X492" s="13" t="s">
        <v>68</v>
      </c>
    </row>
    <row r="493" customFormat="false" ht="15" hidden="false" customHeight="false" outlineLevel="0" collapsed="false">
      <c r="A493" s="10" t="s">
        <v>2117</v>
      </c>
      <c r="B493" s="10" t="s">
        <v>2118</v>
      </c>
      <c r="C493" s="10" t="s">
        <v>2119</v>
      </c>
      <c r="D493" s="12" t="n">
        <v>0.15</v>
      </c>
      <c r="E493" s="12"/>
      <c r="F493" s="12"/>
      <c r="G493" s="11" t="s">
        <v>1701</v>
      </c>
      <c r="H493" s="10" t="s">
        <v>2113</v>
      </c>
      <c r="I493" s="11" t="s">
        <v>2120</v>
      </c>
      <c r="J493" s="10" t="s">
        <v>2115</v>
      </c>
      <c r="K493" s="10" t="s">
        <v>60</v>
      </c>
      <c r="L493" s="10" t="s">
        <v>60</v>
      </c>
      <c r="M493" s="10" t="s">
        <v>628</v>
      </c>
      <c r="N493" s="10"/>
      <c r="O493" s="10"/>
      <c r="P493" s="10" t="s">
        <v>629</v>
      </c>
      <c r="Q493" s="11" t="s">
        <v>630</v>
      </c>
      <c r="R493" s="11" t="s">
        <v>631</v>
      </c>
      <c r="S493" s="11" t="s">
        <v>630</v>
      </c>
      <c r="T493" s="10" t="s">
        <v>2121</v>
      </c>
      <c r="U493" s="10" t="n">
        <f aca="false">IF(AND($D493="",$E493="",$F493=""),1,0)</f>
        <v>0</v>
      </c>
      <c r="V493" s="10" t="n">
        <f aca="false">IF(OR($I493="",$I493="—"),1,0)</f>
        <v>0</v>
      </c>
      <c r="W493" s="10" t="n">
        <f aca="false">IF(AND(ISNUMBER($D493),ISNUMBER($E493)),IF($E493&gt;$D493,1,0),0)+IF(AND(ISNUMBER($D493),ISNUMBER($F493)),IF($D493&gt;$F493,1,0),0)+IF(AND(ISNUMBER($E493),ISNUMBER($F493)),IF($E493&gt;$F493,1,0),0)</f>
        <v>0</v>
      </c>
      <c r="X493" s="13" t="s">
        <v>68</v>
      </c>
    </row>
    <row r="494" customFormat="false" ht="15" hidden="false" customHeight="false" outlineLevel="0" collapsed="false">
      <c r="A494" s="10" t="s">
        <v>2122</v>
      </c>
      <c r="B494" s="10" t="s">
        <v>2123</v>
      </c>
      <c r="C494" s="10" t="s">
        <v>2124</v>
      </c>
      <c r="D494" s="12" t="n">
        <v>0.34</v>
      </c>
      <c r="E494" s="12" t="n">
        <v>0.26</v>
      </c>
      <c r="F494" s="12" t="n">
        <v>0.42</v>
      </c>
      <c r="G494" s="11" t="s">
        <v>1701</v>
      </c>
      <c r="H494" s="10" t="s">
        <v>1258</v>
      </c>
      <c r="I494" s="10" t="s">
        <v>2125</v>
      </c>
      <c r="J494" s="10" t="s">
        <v>2126</v>
      </c>
      <c r="K494" s="10" t="s">
        <v>2127</v>
      </c>
      <c r="L494" s="10" t="s">
        <v>60</v>
      </c>
      <c r="M494" s="10" t="s">
        <v>1300</v>
      </c>
      <c r="N494" s="10"/>
      <c r="O494" s="10"/>
      <c r="P494" s="10" t="s">
        <v>629</v>
      </c>
      <c r="Q494" s="11" t="s">
        <v>1301</v>
      </c>
      <c r="R494" s="11" t="s">
        <v>1302</v>
      </c>
      <c r="S494" s="11" t="s">
        <v>702</v>
      </c>
      <c r="T494" s="10" t="s">
        <v>2128</v>
      </c>
      <c r="U494" s="10" t="n">
        <f aca="false">IF(AND($D494="",$E494="",$F494=""),1,0)</f>
        <v>0</v>
      </c>
      <c r="V494" s="10" t="n">
        <f aca="false">IF(OR($I494="",$I494="—"),1,0)</f>
        <v>0</v>
      </c>
      <c r="W494" s="10" t="n">
        <f aca="false">IF(AND(ISNUMBER($D494),ISNUMBER($E494)),IF($E494&gt;$D494,1,0),0)+IF(AND(ISNUMBER($D494),ISNUMBER($F494)),IF($D494&gt;$F494,1,0),0)+IF(AND(ISNUMBER($E494),ISNUMBER($F494)),IF($E494&gt;$F494,1,0),0)</f>
        <v>0</v>
      </c>
      <c r="X494" s="13" t="s">
        <v>68</v>
      </c>
    </row>
    <row r="495" customFormat="false" ht="15" hidden="false" customHeight="false" outlineLevel="0" collapsed="false">
      <c r="A495" s="10" t="s">
        <v>2129</v>
      </c>
      <c r="B495" s="10" t="s">
        <v>2130</v>
      </c>
      <c r="C495" s="10" t="s">
        <v>2131</v>
      </c>
      <c r="D495" s="12" t="n">
        <v>1.2</v>
      </c>
      <c r="E495" s="12" t="n">
        <v>0.5</v>
      </c>
      <c r="F495" s="12" t="n">
        <v>1.2</v>
      </c>
      <c r="G495" s="11" t="s">
        <v>1692</v>
      </c>
      <c r="H495" s="10" t="s">
        <v>2132</v>
      </c>
      <c r="I495" s="10" t="s">
        <v>2133</v>
      </c>
      <c r="J495" s="10" t="s">
        <v>2134</v>
      </c>
      <c r="K495" s="10" t="s">
        <v>2135</v>
      </c>
      <c r="L495" s="10" t="s">
        <v>60</v>
      </c>
      <c r="M495" s="10" t="s">
        <v>1300</v>
      </c>
      <c r="N495" s="10"/>
      <c r="O495" s="10"/>
      <c r="P495" s="10" t="s">
        <v>629</v>
      </c>
      <c r="Q495" s="11" t="s">
        <v>1301</v>
      </c>
      <c r="R495" s="10" t="s">
        <v>2063</v>
      </c>
      <c r="S495" s="11" t="s">
        <v>1270</v>
      </c>
      <c r="T495" s="11" t="s">
        <v>2136</v>
      </c>
      <c r="U495" s="10" t="n">
        <f aca="false">IF(AND($D495="",$E495="",$F495=""),1,0)</f>
        <v>0</v>
      </c>
      <c r="V495" s="10" t="n">
        <f aca="false">IF(OR($I495="",$I495="—"),1,0)</f>
        <v>0</v>
      </c>
      <c r="W495" s="10" t="n">
        <f aca="false">IF(AND(ISNUMBER($D495),ISNUMBER($E495)),IF($E495&gt;$D495,1,0),0)+IF(AND(ISNUMBER($D495),ISNUMBER($F495)),IF($D495&gt;$F495,1,0),0)+IF(AND(ISNUMBER($E495),ISNUMBER($F495)),IF($E495&gt;$F495,1,0),0)</f>
        <v>0</v>
      </c>
      <c r="X495" s="13" t="s">
        <v>68</v>
      </c>
    </row>
    <row r="496" customFormat="false" ht="15" hidden="false" customHeight="false" outlineLevel="0" collapsed="false">
      <c r="A496" s="10" t="s">
        <v>2137</v>
      </c>
      <c r="B496" s="10" t="s">
        <v>2138</v>
      </c>
      <c r="C496" s="11" t="s">
        <v>2139</v>
      </c>
      <c r="D496" s="12" t="n">
        <v>243.77</v>
      </c>
      <c r="E496" s="12"/>
      <c r="F496" s="12"/>
      <c r="G496" s="10" t="s">
        <v>55</v>
      </c>
      <c r="H496" s="10" t="s">
        <v>2140</v>
      </c>
      <c r="I496" s="11" t="s">
        <v>2141</v>
      </c>
      <c r="J496" s="10" t="s">
        <v>2142</v>
      </c>
      <c r="K496" s="10" t="s">
        <v>2143</v>
      </c>
      <c r="L496" s="10" t="s">
        <v>60</v>
      </c>
      <c r="M496" s="10" t="s">
        <v>61</v>
      </c>
      <c r="N496" s="10"/>
      <c r="O496" s="11" t="s">
        <v>2144</v>
      </c>
      <c r="P496" s="10" t="s">
        <v>629</v>
      </c>
      <c r="Q496" s="11" t="s">
        <v>64</v>
      </c>
      <c r="R496" s="11" t="s">
        <v>65</v>
      </c>
      <c r="S496" s="11" t="s">
        <v>1096</v>
      </c>
      <c r="T496" s="11" t="s">
        <v>2145</v>
      </c>
      <c r="U496" s="10" t="n">
        <f aca="false">IF(AND($D496="",$E496="",$F496=""),1,0)</f>
        <v>0</v>
      </c>
      <c r="V496" s="10" t="n">
        <f aca="false">IF(OR($I496="",$I496="—"),1,0)</f>
        <v>0</v>
      </c>
      <c r="W496" s="10" t="n">
        <f aca="false">IF(AND(ISNUMBER($D496),ISNUMBER($E496)),IF($E496&gt;$D496,1,0),0)+IF(AND(ISNUMBER($D496),ISNUMBER($F496)),IF($D496&gt;$F496,1,0),0)+IF(AND(ISNUMBER($E496),ISNUMBER($F496)),IF($E496&gt;$F496,1,0),0)</f>
        <v>0</v>
      </c>
      <c r="X496" s="13" t="s">
        <v>68</v>
      </c>
    </row>
    <row r="497" customFormat="false" ht="15" hidden="false" customHeight="false" outlineLevel="0" collapsed="false">
      <c r="A497" s="10" t="s">
        <v>2146</v>
      </c>
      <c r="B497" s="10" t="s">
        <v>2147</v>
      </c>
      <c r="C497" s="11" t="s">
        <v>2148</v>
      </c>
      <c r="D497" s="12" t="n">
        <v>83</v>
      </c>
      <c r="E497" s="12" t="n">
        <v>83</v>
      </c>
      <c r="F497" s="12" t="n">
        <v>83.6</v>
      </c>
      <c r="G497" s="10" t="s">
        <v>55</v>
      </c>
      <c r="H497" s="10" t="s">
        <v>2149</v>
      </c>
      <c r="I497" s="11" t="s">
        <v>2150</v>
      </c>
      <c r="J497" s="10" t="s">
        <v>2151</v>
      </c>
      <c r="K497" s="10" t="s">
        <v>2143</v>
      </c>
      <c r="L497" s="10" t="s">
        <v>60</v>
      </c>
      <c r="M497" s="10" t="s">
        <v>61</v>
      </c>
      <c r="N497" s="10"/>
      <c r="O497" s="11" t="s">
        <v>2152</v>
      </c>
      <c r="P497" s="10" t="s">
        <v>629</v>
      </c>
      <c r="Q497" s="11" t="s">
        <v>64</v>
      </c>
      <c r="R497" s="11" t="s">
        <v>1082</v>
      </c>
      <c r="S497" s="11" t="s">
        <v>702</v>
      </c>
      <c r="T497" s="11" t="s">
        <v>2153</v>
      </c>
      <c r="U497" s="10" t="n">
        <f aca="false">IF(AND($D497="",$E497="",$F497=""),1,0)</f>
        <v>0</v>
      </c>
      <c r="V497" s="10" t="n">
        <f aca="false">IF(OR($I497="",$I497="—"),1,0)</f>
        <v>0</v>
      </c>
      <c r="W497" s="10" t="n">
        <f aca="false">IF(AND(ISNUMBER($D497),ISNUMBER($E497)),IF($E497&gt;$D497,1,0),0)+IF(AND(ISNUMBER($D497),ISNUMBER($F497)),IF($D497&gt;$F497,1,0),0)+IF(AND(ISNUMBER($E497),ISNUMBER($F497)),IF($E497&gt;$F497,1,0),0)</f>
        <v>0</v>
      </c>
      <c r="X497" s="13" t="s">
        <v>68</v>
      </c>
    </row>
    <row r="498" customFormat="false" ht="15" hidden="false" customHeight="false" outlineLevel="0" collapsed="false">
      <c r="A498" s="10" t="s">
        <v>2154</v>
      </c>
      <c r="B498" s="10" t="s">
        <v>2155</v>
      </c>
      <c r="C498" s="11" t="s">
        <v>2156</v>
      </c>
      <c r="D498" s="12" t="n">
        <v>83.6</v>
      </c>
      <c r="E498" s="12"/>
      <c r="F498" s="12"/>
      <c r="G498" s="10" t="s">
        <v>55</v>
      </c>
      <c r="H498" s="10" t="s">
        <v>2149</v>
      </c>
      <c r="I498" s="11" t="s">
        <v>2157</v>
      </c>
      <c r="J498" s="10" t="s">
        <v>2158</v>
      </c>
      <c r="K498" s="10" t="s">
        <v>2159</v>
      </c>
      <c r="L498" s="10" t="s">
        <v>60</v>
      </c>
      <c r="M498" s="10" t="s">
        <v>61</v>
      </c>
      <c r="N498" s="10"/>
      <c r="O498" s="11" t="s">
        <v>2152</v>
      </c>
      <c r="P498" s="10" t="s">
        <v>629</v>
      </c>
      <c r="Q498" s="11" t="s">
        <v>64</v>
      </c>
      <c r="R498" s="11" t="s">
        <v>1082</v>
      </c>
      <c r="S498" s="11" t="s">
        <v>702</v>
      </c>
      <c r="T498" s="11" t="s">
        <v>2160</v>
      </c>
      <c r="U498" s="10" t="n">
        <f aca="false">IF(AND($D498="",$E498="",$F498=""),1,0)</f>
        <v>0</v>
      </c>
      <c r="V498" s="10" t="n">
        <f aca="false">IF(OR($I498="",$I498="—"),1,0)</f>
        <v>0</v>
      </c>
      <c r="W498" s="10" t="n">
        <f aca="false">IF(AND(ISNUMBER($D498),ISNUMBER($E498)),IF($E498&gt;$D498,1,0),0)+IF(AND(ISNUMBER($D498),ISNUMBER($F498)),IF($D498&gt;$F498,1,0),0)+IF(AND(ISNUMBER($E498),ISNUMBER($F498)),IF($E498&gt;$F498,1,0),0)</f>
        <v>0</v>
      </c>
      <c r="X498" s="13" t="s">
        <v>68</v>
      </c>
    </row>
    <row r="499" customFormat="false" ht="15" hidden="false" customHeight="false" outlineLevel="0" collapsed="false">
      <c r="A499" s="10" t="s">
        <v>2161</v>
      </c>
      <c r="B499" s="10" t="s">
        <v>2162</v>
      </c>
      <c r="C499" s="11" t="s">
        <v>2163</v>
      </c>
      <c r="D499" s="12" t="n">
        <v>0.4</v>
      </c>
      <c r="E499" s="12"/>
      <c r="F499" s="12"/>
      <c r="G499" s="10" t="s">
        <v>55</v>
      </c>
      <c r="H499" s="10" t="n">
        <v>2019</v>
      </c>
      <c r="I499" s="11" t="s">
        <v>2157</v>
      </c>
      <c r="J499" s="10" t="s">
        <v>2158</v>
      </c>
      <c r="K499" s="10" t="s">
        <v>2159</v>
      </c>
      <c r="L499" s="10" t="s">
        <v>60</v>
      </c>
      <c r="M499" s="10" t="s">
        <v>61</v>
      </c>
      <c r="N499" s="10"/>
      <c r="O499" s="11" t="s">
        <v>2152</v>
      </c>
      <c r="P499" s="10" t="s">
        <v>629</v>
      </c>
      <c r="Q499" s="11" t="s">
        <v>64</v>
      </c>
      <c r="R499" s="11" t="s">
        <v>1082</v>
      </c>
      <c r="S499" s="11" t="s">
        <v>702</v>
      </c>
      <c r="T499" s="11" t="s">
        <v>2164</v>
      </c>
      <c r="U499" s="10" t="n">
        <f aca="false">IF(AND($D499="",$E499="",$F499=""),1,0)</f>
        <v>0</v>
      </c>
      <c r="V499" s="10" t="n">
        <f aca="false">IF(OR($I499="",$I499="—"),1,0)</f>
        <v>0</v>
      </c>
      <c r="W499" s="10" t="n">
        <f aca="false">IF(AND(ISNUMBER($D499),ISNUMBER($E499)),IF($E499&gt;$D499,1,0),0)+IF(AND(ISNUMBER($D499),ISNUMBER($F499)),IF($D499&gt;$F499,1,0),0)+IF(AND(ISNUMBER($E499),ISNUMBER($F499)),IF($E499&gt;$F499,1,0),0)</f>
        <v>0</v>
      </c>
      <c r="X499" s="13" t="s">
        <v>68</v>
      </c>
    </row>
    <row r="500" customFormat="false" ht="15" hidden="false" customHeight="false" outlineLevel="0" collapsed="false">
      <c r="A500" s="10" t="s">
        <v>2165</v>
      </c>
      <c r="B500" s="10" t="s">
        <v>2166</v>
      </c>
      <c r="C500" s="10" t="s">
        <v>2167</v>
      </c>
      <c r="D500" s="12" t="n">
        <v>3.75</v>
      </c>
      <c r="E500" s="12"/>
      <c r="F500" s="12"/>
      <c r="G500" s="10" t="s">
        <v>55</v>
      </c>
      <c r="H500" s="10" t="n">
        <v>2019</v>
      </c>
      <c r="I500" s="11" t="s">
        <v>2157</v>
      </c>
      <c r="J500" s="10" t="s">
        <v>2158</v>
      </c>
      <c r="K500" s="10" t="s">
        <v>2159</v>
      </c>
      <c r="L500" s="10" t="s">
        <v>60</v>
      </c>
      <c r="M500" s="10" t="s">
        <v>61</v>
      </c>
      <c r="N500" s="10"/>
      <c r="O500" s="11" t="s">
        <v>2152</v>
      </c>
      <c r="P500" s="10" t="s">
        <v>629</v>
      </c>
      <c r="Q500" s="11" t="s">
        <v>64</v>
      </c>
      <c r="R500" s="11" t="s">
        <v>1082</v>
      </c>
      <c r="S500" s="11" t="s">
        <v>702</v>
      </c>
      <c r="T500" s="11" t="s">
        <v>2168</v>
      </c>
      <c r="U500" s="10" t="n">
        <f aca="false">IF(AND($D500="",$E500="",$F500=""),1,0)</f>
        <v>0</v>
      </c>
      <c r="V500" s="10" t="n">
        <f aca="false">IF(OR($I500="",$I500="—"),1,0)</f>
        <v>0</v>
      </c>
      <c r="W500" s="10" t="n">
        <f aca="false">IF(AND(ISNUMBER($D500),ISNUMBER($E500)),IF($E500&gt;$D500,1,0),0)+IF(AND(ISNUMBER($D500),ISNUMBER($F500)),IF($D500&gt;$F500,1,0),0)+IF(AND(ISNUMBER($E500),ISNUMBER($F500)),IF($E500&gt;$F500,1,0),0)</f>
        <v>0</v>
      </c>
      <c r="X500" s="13" t="s">
        <v>68</v>
      </c>
    </row>
    <row r="501" customFormat="false" ht="15" hidden="false" customHeight="false" outlineLevel="0" collapsed="false">
      <c r="A501" s="10" t="s">
        <v>2169</v>
      </c>
      <c r="B501" s="10" t="s">
        <v>2170</v>
      </c>
      <c r="C501" s="10" t="s">
        <v>2171</v>
      </c>
      <c r="D501" s="12" t="n">
        <v>1.52</v>
      </c>
      <c r="E501" s="12"/>
      <c r="F501" s="12"/>
      <c r="G501" s="10" t="s">
        <v>55</v>
      </c>
      <c r="H501" s="10" t="s">
        <v>2172</v>
      </c>
      <c r="I501" s="11" t="s">
        <v>2157</v>
      </c>
      <c r="J501" s="10" t="s">
        <v>2158</v>
      </c>
      <c r="K501" s="10" t="s">
        <v>2159</v>
      </c>
      <c r="L501" s="10" t="s">
        <v>60</v>
      </c>
      <c r="M501" s="10" t="s">
        <v>61</v>
      </c>
      <c r="N501" s="10"/>
      <c r="O501" s="11" t="s">
        <v>2152</v>
      </c>
      <c r="P501" s="10" t="s">
        <v>629</v>
      </c>
      <c r="Q501" s="11" t="s">
        <v>64</v>
      </c>
      <c r="R501" s="11" t="s">
        <v>1082</v>
      </c>
      <c r="S501" s="11" t="s">
        <v>702</v>
      </c>
      <c r="T501" s="11" t="s">
        <v>2173</v>
      </c>
      <c r="U501" s="10" t="n">
        <f aca="false">IF(AND($D501="",$E501="",$F501=""),1,0)</f>
        <v>0</v>
      </c>
      <c r="V501" s="10" t="n">
        <f aca="false">IF(OR($I501="",$I501="—"),1,0)</f>
        <v>0</v>
      </c>
      <c r="W501" s="10" t="n">
        <f aca="false">IF(AND(ISNUMBER($D501),ISNUMBER($E501)),IF($E501&gt;$D501,1,0),0)+IF(AND(ISNUMBER($D501),ISNUMBER($F501)),IF($D501&gt;$F501,1,0),0)+IF(AND(ISNUMBER($E501),ISNUMBER($F501)),IF($E501&gt;$F501,1,0),0)</f>
        <v>0</v>
      </c>
      <c r="X501" s="13" t="s">
        <v>68</v>
      </c>
    </row>
    <row r="502" customFormat="false" ht="15" hidden="false" customHeight="false" outlineLevel="0" collapsed="false">
      <c r="A502" s="10" t="s">
        <v>2174</v>
      </c>
      <c r="B502" s="10" t="s">
        <v>2175</v>
      </c>
      <c r="C502" s="10" t="s">
        <v>2176</v>
      </c>
      <c r="D502" s="12" t="n">
        <v>8.5</v>
      </c>
      <c r="E502" s="12"/>
      <c r="F502" s="12"/>
      <c r="G502" s="10" t="s">
        <v>55</v>
      </c>
      <c r="H502" s="10" t="s">
        <v>2172</v>
      </c>
      <c r="I502" s="11" t="s">
        <v>2157</v>
      </c>
      <c r="J502" s="10" t="s">
        <v>2158</v>
      </c>
      <c r="K502" s="10" t="s">
        <v>2159</v>
      </c>
      <c r="L502" s="10" t="s">
        <v>60</v>
      </c>
      <c r="M502" s="10" t="s">
        <v>61</v>
      </c>
      <c r="N502" s="10"/>
      <c r="O502" s="11" t="s">
        <v>2152</v>
      </c>
      <c r="P502" s="10" t="s">
        <v>629</v>
      </c>
      <c r="Q502" s="11" t="s">
        <v>64</v>
      </c>
      <c r="R502" s="11" t="s">
        <v>1082</v>
      </c>
      <c r="S502" s="11" t="s">
        <v>702</v>
      </c>
      <c r="T502" s="10" t="s">
        <v>2177</v>
      </c>
      <c r="U502" s="10" t="n">
        <f aca="false">IF(AND($D502="",$E502="",$F502=""),1,0)</f>
        <v>0</v>
      </c>
      <c r="V502" s="10" t="n">
        <f aca="false">IF(OR($I502="",$I502="—"),1,0)</f>
        <v>0</v>
      </c>
      <c r="W502" s="10" t="n">
        <f aca="false">IF(AND(ISNUMBER($D502),ISNUMBER($E502)),IF($E502&gt;$D502,1,0),0)+IF(AND(ISNUMBER($D502),ISNUMBER($F502)),IF($D502&gt;$F502,1,0),0)+IF(AND(ISNUMBER($E502),ISNUMBER($F502)),IF($E502&gt;$F502,1,0),0)</f>
        <v>0</v>
      </c>
      <c r="X502" s="13" t="s">
        <v>68</v>
      </c>
    </row>
    <row r="503" customFormat="false" ht="15" hidden="false" customHeight="false" outlineLevel="0" collapsed="false">
      <c r="A503" s="10" t="s">
        <v>2178</v>
      </c>
      <c r="B503" s="10" t="s">
        <v>2179</v>
      </c>
      <c r="C503" s="10" t="s">
        <v>2180</v>
      </c>
      <c r="D503" s="12" t="n">
        <v>2.1</v>
      </c>
      <c r="E503" s="12"/>
      <c r="F503" s="12"/>
      <c r="G503" s="10" t="s">
        <v>55</v>
      </c>
      <c r="H503" s="10" t="s">
        <v>2181</v>
      </c>
      <c r="I503" s="11" t="s">
        <v>2157</v>
      </c>
      <c r="J503" s="10" t="s">
        <v>2158</v>
      </c>
      <c r="K503" s="10" t="s">
        <v>2159</v>
      </c>
      <c r="L503" s="10" t="s">
        <v>60</v>
      </c>
      <c r="M503" s="10" t="s">
        <v>61</v>
      </c>
      <c r="N503" s="10"/>
      <c r="O503" s="11" t="s">
        <v>2152</v>
      </c>
      <c r="P503" s="10" t="s">
        <v>629</v>
      </c>
      <c r="Q503" s="11" t="s">
        <v>64</v>
      </c>
      <c r="R503" s="11" t="s">
        <v>1082</v>
      </c>
      <c r="S503" s="11" t="s">
        <v>702</v>
      </c>
      <c r="T503" s="11" t="s">
        <v>2182</v>
      </c>
      <c r="U503" s="10" t="n">
        <f aca="false">IF(AND($D503="",$E503="",$F503=""),1,0)</f>
        <v>0</v>
      </c>
      <c r="V503" s="10" t="n">
        <f aca="false">IF(OR($I503="",$I503="—"),1,0)</f>
        <v>0</v>
      </c>
      <c r="W503" s="10" t="n">
        <f aca="false">IF(AND(ISNUMBER($D503),ISNUMBER($E503)),IF($E503&gt;$D503,1,0),0)+IF(AND(ISNUMBER($D503),ISNUMBER($F503)),IF($D503&gt;$F503,1,0),0)+IF(AND(ISNUMBER($E503),ISNUMBER($F503)),IF($E503&gt;$F503,1,0),0)</f>
        <v>0</v>
      </c>
      <c r="X503" s="13" t="s">
        <v>68</v>
      </c>
    </row>
    <row r="504" customFormat="false" ht="15" hidden="false" customHeight="false" outlineLevel="0" collapsed="false">
      <c r="A504" s="10" t="s">
        <v>2183</v>
      </c>
      <c r="B504" s="10" t="s">
        <v>2184</v>
      </c>
      <c r="C504" s="10" t="s">
        <v>2185</v>
      </c>
      <c r="D504" s="12" t="n">
        <v>21.1</v>
      </c>
      <c r="E504" s="12"/>
      <c r="F504" s="12"/>
      <c r="G504" s="10" t="s">
        <v>55</v>
      </c>
      <c r="H504" s="10" t="s">
        <v>2181</v>
      </c>
      <c r="I504" s="11" t="s">
        <v>2157</v>
      </c>
      <c r="J504" s="10" t="s">
        <v>2158</v>
      </c>
      <c r="K504" s="10" t="s">
        <v>2159</v>
      </c>
      <c r="L504" s="10" t="s">
        <v>60</v>
      </c>
      <c r="M504" s="10" t="s">
        <v>61</v>
      </c>
      <c r="N504" s="10"/>
      <c r="O504" s="11" t="s">
        <v>2152</v>
      </c>
      <c r="P504" s="10" t="s">
        <v>629</v>
      </c>
      <c r="Q504" s="11" t="s">
        <v>64</v>
      </c>
      <c r="R504" s="11" t="s">
        <v>1082</v>
      </c>
      <c r="S504" s="11" t="s">
        <v>702</v>
      </c>
      <c r="T504" s="10" t="s">
        <v>2186</v>
      </c>
      <c r="U504" s="10" t="n">
        <f aca="false">IF(AND($D504="",$E504="",$F504=""),1,0)</f>
        <v>0</v>
      </c>
      <c r="V504" s="10" t="n">
        <f aca="false">IF(OR($I504="",$I504="—"),1,0)</f>
        <v>0</v>
      </c>
      <c r="W504" s="10" t="n">
        <f aca="false">IF(AND(ISNUMBER($D504),ISNUMBER($E504)),IF($E504&gt;$D504,1,0),0)+IF(AND(ISNUMBER($D504),ISNUMBER($F504)),IF($D504&gt;$F504,1,0),0)+IF(AND(ISNUMBER($E504),ISNUMBER($F504)),IF($E504&gt;$F504,1,0),0)</f>
        <v>0</v>
      </c>
      <c r="X504" s="13" t="s">
        <v>68</v>
      </c>
    </row>
    <row r="505" customFormat="false" ht="15" hidden="false" customHeight="false" outlineLevel="0" collapsed="false">
      <c r="A505" s="10" t="s">
        <v>2187</v>
      </c>
      <c r="B505" s="10" t="s">
        <v>2188</v>
      </c>
      <c r="C505" s="10" t="s">
        <v>2189</v>
      </c>
      <c r="D505" s="12" t="n">
        <v>3</v>
      </c>
      <c r="E505" s="12"/>
      <c r="F505" s="12"/>
      <c r="G505" s="10" t="s">
        <v>55</v>
      </c>
      <c r="H505" s="10" t="s">
        <v>2190</v>
      </c>
      <c r="I505" s="11" t="s">
        <v>2157</v>
      </c>
      <c r="J505" s="10" t="s">
        <v>2158</v>
      </c>
      <c r="K505" s="10" t="s">
        <v>2159</v>
      </c>
      <c r="L505" s="10" t="s">
        <v>60</v>
      </c>
      <c r="M505" s="10" t="s">
        <v>61</v>
      </c>
      <c r="N505" s="10"/>
      <c r="O505" s="11" t="s">
        <v>2152</v>
      </c>
      <c r="P505" s="10" t="s">
        <v>629</v>
      </c>
      <c r="Q505" s="11" t="s">
        <v>64</v>
      </c>
      <c r="R505" s="11" t="s">
        <v>1082</v>
      </c>
      <c r="S505" s="11" t="s">
        <v>702</v>
      </c>
      <c r="T505" s="11" t="s">
        <v>2191</v>
      </c>
      <c r="U505" s="10" t="n">
        <f aca="false">IF(AND($D505="",$E505="",$F505=""),1,0)</f>
        <v>0</v>
      </c>
      <c r="V505" s="10" t="n">
        <f aca="false">IF(OR($I505="",$I505="—"),1,0)</f>
        <v>0</v>
      </c>
      <c r="W505" s="10" t="n">
        <f aca="false">IF(AND(ISNUMBER($D505),ISNUMBER($E505)),IF($E505&gt;$D505,1,0),0)+IF(AND(ISNUMBER($D505),ISNUMBER($F505)),IF($D505&gt;$F505,1,0),0)+IF(AND(ISNUMBER($E505),ISNUMBER($F505)),IF($E505&gt;$F505,1,0),0)</f>
        <v>0</v>
      </c>
      <c r="X505" s="13" t="s">
        <v>68</v>
      </c>
    </row>
    <row r="506" customFormat="false" ht="15" hidden="false" customHeight="false" outlineLevel="0" collapsed="false">
      <c r="A506" s="10" t="s">
        <v>2192</v>
      </c>
      <c r="B506" s="10" t="s">
        <v>2193</v>
      </c>
      <c r="C506" s="11" t="s">
        <v>2194</v>
      </c>
      <c r="D506" s="12" t="n">
        <v>6</v>
      </c>
      <c r="E506" s="12"/>
      <c r="F506" s="12"/>
      <c r="G506" s="10" t="s">
        <v>55</v>
      </c>
      <c r="H506" s="10" t="s">
        <v>2195</v>
      </c>
      <c r="I506" s="11" t="s">
        <v>2157</v>
      </c>
      <c r="J506" s="10" t="s">
        <v>2158</v>
      </c>
      <c r="K506" s="10" t="s">
        <v>2159</v>
      </c>
      <c r="L506" s="10" t="s">
        <v>60</v>
      </c>
      <c r="M506" s="10" t="s">
        <v>61</v>
      </c>
      <c r="N506" s="10"/>
      <c r="O506" s="11" t="s">
        <v>2152</v>
      </c>
      <c r="P506" s="10" t="s">
        <v>629</v>
      </c>
      <c r="Q506" s="11" t="s">
        <v>64</v>
      </c>
      <c r="R506" s="11" t="s">
        <v>1082</v>
      </c>
      <c r="S506" s="11" t="s">
        <v>702</v>
      </c>
      <c r="T506" s="11" t="s">
        <v>2196</v>
      </c>
      <c r="U506" s="10" t="n">
        <f aca="false">IF(AND($D506="",$E506="",$F506=""),1,0)</f>
        <v>0</v>
      </c>
      <c r="V506" s="10" t="n">
        <f aca="false">IF(OR($I506="",$I506="—"),1,0)</f>
        <v>0</v>
      </c>
      <c r="W506" s="10" t="n">
        <f aca="false">IF(AND(ISNUMBER($D506),ISNUMBER($E506)),IF($E506&gt;$D506,1,0),0)+IF(AND(ISNUMBER($D506),ISNUMBER($F506)),IF($D506&gt;$F506,1,0),0)+IF(AND(ISNUMBER($E506),ISNUMBER($F506)),IF($E506&gt;$F506,1,0),0)</f>
        <v>0</v>
      </c>
      <c r="X506" s="13" t="s">
        <v>68</v>
      </c>
    </row>
    <row r="507" customFormat="false" ht="15" hidden="false" customHeight="false" outlineLevel="0" collapsed="false">
      <c r="A507" s="10" t="s">
        <v>2197</v>
      </c>
      <c r="B507" s="10" t="s">
        <v>2198</v>
      </c>
      <c r="C507" s="10" t="s">
        <v>2199</v>
      </c>
      <c r="D507" s="12" t="n">
        <v>2</v>
      </c>
      <c r="E507" s="12"/>
      <c r="F507" s="12"/>
      <c r="G507" s="10" t="s">
        <v>55</v>
      </c>
      <c r="H507" s="10" t="s">
        <v>2200</v>
      </c>
      <c r="I507" s="11" t="s">
        <v>2157</v>
      </c>
      <c r="J507" s="10" t="s">
        <v>2158</v>
      </c>
      <c r="K507" s="10" t="s">
        <v>2159</v>
      </c>
      <c r="L507" s="10" t="s">
        <v>60</v>
      </c>
      <c r="M507" s="10" t="s">
        <v>61</v>
      </c>
      <c r="N507" s="10"/>
      <c r="O507" s="11" t="s">
        <v>2152</v>
      </c>
      <c r="P507" s="10" t="s">
        <v>629</v>
      </c>
      <c r="Q507" s="11" t="s">
        <v>64</v>
      </c>
      <c r="R507" s="11" t="s">
        <v>1082</v>
      </c>
      <c r="S507" s="11" t="s">
        <v>702</v>
      </c>
      <c r="T507" s="11" t="s">
        <v>2201</v>
      </c>
      <c r="U507" s="10" t="n">
        <f aca="false">IF(AND($D507="",$E507="",$F507=""),1,0)</f>
        <v>0</v>
      </c>
      <c r="V507" s="10" t="n">
        <f aca="false">IF(OR($I507="",$I507="—"),1,0)</f>
        <v>0</v>
      </c>
      <c r="W507" s="10" t="n">
        <f aca="false">IF(AND(ISNUMBER($D507),ISNUMBER($E507)),IF($E507&gt;$D507,1,0),0)+IF(AND(ISNUMBER($D507),ISNUMBER($F507)),IF($D507&gt;$F507,1,0),0)+IF(AND(ISNUMBER($E507),ISNUMBER($F507)),IF($E507&gt;$F507,1,0),0)</f>
        <v>0</v>
      </c>
      <c r="X507" s="13" t="s">
        <v>68</v>
      </c>
    </row>
    <row r="508" customFormat="false" ht="15" hidden="false" customHeight="false" outlineLevel="0" collapsed="false">
      <c r="A508" s="10" t="s">
        <v>2202</v>
      </c>
      <c r="B508" s="10" t="s">
        <v>2203</v>
      </c>
      <c r="C508" s="10" t="s">
        <v>2204</v>
      </c>
      <c r="D508" s="12" t="n">
        <v>1.5</v>
      </c>
      <c r="E508" s="12"/>
      <c r="F508" s="12"/>
      <c r="G508" s="10" t="s">
        <v>55</v>
      </c>
      <c r="H508" s="10" t="s">
        <v>2200</v>
      </c>
      <c r="I508" s="11" t="s">
        <v>2157</v>
      </c>
      <c r="J508" s="10" t="s">
        <v>2158</v>
      </c>
      <c r="K508" s="10" t="s">
        <v>2159</v>
      </c>
      <c r="L508" s="10" t="s">
        <v>60</v>
      </c>
      <c r="M508" s="10" t="s">
        <v>61</v>
      </c>
      <c r="N508" s="10"/>
      <c r="O508" s="11" t="s">
        <v>2152</v>
      </c>
      <c r="P508" s="10" t="s">
        <v>629</v>
      </c>
      <c r="Q508" s="11" t="s">
        <v>64</v>
      </c>
      <c r="R508" s="11" t="s">
        <v>1082</v>
      </c>
      <c r="S508" s="11" t="s">
        <v>702</v>
      </c>
      <c r="T508" s="11" t="s">
        <v>2205</v>
      </c>
      <c r="U508" s="10" t="n">
        <f aca="false">IF(AND($D508="",$E508="",$F508=""),1,0)</f>
        <v>0</v>
      </c>
      <c r="V508" s="10" t="n">
        <f aca="false">IF(OR($I508="",$I508="—"),1,0)</f>
        <v>0</v>
      </c>
      <c r="W508" s="10" t="n">
        <f aca="false">IF(AND(ISNUMBER($D508),ISNUMBER($E508)),IF($E508&gt;$D508,1,0),0)+IF(AND(ISNUMBER($D508),ISNUMBER($F508)),IF($D508&gt;$F508,1,0),0)+IF(AND(ISNUMBER($E508),ISNUMBER($F508)),IF($E508&gt;$F508,1,0),0)</f>
        <v>0</v>
      </c>
      <c r="X508" s="13" t="s">
        <v>68</v>
      </c>
    </row>
    <row r="509" customFormat="false" ht="15" hidden="false" customHeight="false" outlineLevel="0" collapsed="false">
      <c r="A509" s="10" t="s">
        <v>2206</v>
      </c>
      <c r="B509" s="10" t="s">
        <v>2207</v>
      </c>
      <c r="C509" s="10" t="s">
        <v>2208</v>
      </c>
      <c r="D509" s="12"/>
      <c r="E509" s="12" t="n">
        <v>25</v>
      </c>
      <c r="F509" s="12"/>
      <c r="G509" s="10" t="s">
        <v>55</v>
      </c>
      <c r="H509" s="10" t="s">
        <v>71</v>
      </c>
      <c r="I509" s="11" t="s">
        <v>2209</v>
      </c>
      <c r="J509" s="10" t="s">
        <v>2210</v>
      </c>
      <c r="K509" s="10" t="s">
        <v>2211</v>
      </c>
      <c r="L509" s="10" t="s">
        <v>60</v>
      </c>
      <c r="M509" s="10" t="s">
        <v>408</v>
      </c>
      <c r="N509" s="11" t="s">
        <v>2212</v>
      </c>
      <c r="O509" s="11" t="s">
        <v>2213</v>
      </c>
      <c r="P509" s="10" t="s">
        <v>629</v>
      </c>
      <c r="Q509" s="11" t="s">
        <v>64</v>
      </c>
      <c r="R509" s="11" t="s">
        <v>2212</v>
      </c>
      <c r="S509" s="11" t="s">
        <v>1270</v>
      </c>
      <c r="T509" s="11" t="s">
        <v>2214</v>
      </c>
      <c r="U509" s="10" t="n">
        <f aca="false">IF(AND($D509="",$E509="",$F509=""),1,0)</f>
        <v>0</v>
      </c>
      <c r="V509" s="10" t="n">
        <f aca="false">IF(OR($I509="",$I509="—"),1,0)</f>
        <v>0</v>
      </c>
      <c r="W509" s="10" t="n">
        <f aca="false">IF(AND(ISNUMBER($D509),ISNUMBER($E509)),IF($E509&gt;$D509,1,0),0)+IF(AND(ISNUMBER($D509),ISNUMBER($F509)),IF($D509&gt;$F509,1,0),0)+IF(AND(ISNUMBER($E509),ISNUMBER($F509)),IF($E509&gt;$F509,1,0),0)</f>
        <v>0</v>
      </c>
      <c r="X509" s="13" t="s">
        <v>68</v>
      </c>
    </row>
    <row r="510" customFormat="false" ht="15" hidden="false" customHeight="false" outlineLevel="0" collapsed="false">
      <c r="A510" s="10" t="s">
        <v>2215</v>
      </c>
      <c r="B510" s="10" t="s">
        <v>2216</v>
      </c>
      <c r="C510" s="10" t="s">
        <v>2217</v>
      </c>
      <c r="D510" s="12" t="n">
        <v>400</v>
      </c>
      <c r="E510" s="12"/>
      <c r="F510" s="12"/>
      <c r="G510" s="10" t="s">
        <v>2218</v>
      </c>
      <c r="H510" s="10" t="s">
        <v>2219</v>
      </c>
      <c r="I510" s="10" t="s">
        <v>2220</v>
      </c>
      <c r="J510" s="10" t="s">
        <v>2221</v>
      </c>
      <c r="K510" s="10" t="s">
        <v>2222</v>
      </c>
      <c r="L510" s="10" t="s">
        <v>60</v>
      </c>
      <c r="M510" s="10" t="s">
        <v>408</v>
      </c>
      <c r="N510" s="10" t="s">
        <v>2223</v>
      </c>
      <c r="O510" s="11" t="s">
        <v>2224</v>
      </c>
      <c r="P510" s="10" t="s">
        <v>629</v>
      </c>
      <c r="Q510" s="11" t="s">
        <v>64</v>
      </c>
      <c r="R510" s="10" t="s">
        <v>2223</v>
      </c>
      <c r="S510" s="11" t="s">
        <v>702</v>
      </c>
      <c r="T510" s="11" t="s">
        <v>2225</v>
      </c>
      <c r="U510" s="10" t="n">
        <f aca="false">IF(AND($D510="",$E510="",$F510=""),1,0)</f>
        <v>0</v>
      </c>
      <c r="V510" s="10" t="n">
        <f aca="false">IF(OR($I510="",$I510="—"),1,0)</f>
        <v>0</v>
      </c>
      <c r="W510" s="10" t="n">
        <f aca="false">IF(AND(ISNUMBER($D510),ISNUMBER($E510)),IF($E510&gt;$D510,1,0),0)+IF(AND(ISNUMBER($D510),ISNUMBER($F510)),IF($D510&gt;$F510,1,0),0)+IF(AND(ISNUMBER($E510),ISNUMBER($F510)),IF($E510&gt;$F510,1,0),0)</f>
        <v>0</v>
      </c>
      <c r="X510" s="13" t="s">
        <v>68</v>
      </c>
    </row>
    <row r="511" customFormat="false" ht="15" hidden="false" customHeight="false" outlineLevel="0" collapsed="false">
      <c r="A511" s="10" t="s">
        <v>2226</v>
      </c>
      <c r="B511" s="10" t="s">
        <v>2227</v>
      </c>
      <c r="C511" s="10" t="s">
        <v>2228</v>
      </c>
      <c r="D511" s="12" t="n">
        <v>3</v>
      </c>
      <c r="E511" s="12"/>
      <c r="F511" s="12"/>
      <c r="G511" s="10" t="s">
        <v>2229</v>
      </c>
      <c r="H511" s="10" t="s">
        <v>2219</v>
      </c>
      <c r="I511" s="10" t="s">
        <v>2220</v>
      </c>
      <c r="J511" s="10" t="s">
        <v>2221</v>
      </c>
      <c r="K511" s="10" t="s">
        <v>2222</v>
      </c>
      <c r="L511" s="10" t="s">
        <v>60</v>
      </c>
      <c r="M511" s="10" t="s">
        <v>408</v>
      </c>
      <c r="N511" s="10" t="s">
        <v>2230</v>
      </c>
      <c r="O511" s="11" t="s">
        <v>2224</v>
      </c>
      <c r="P511" s="10" t="s">
        <v>629</v>
      </c>
      <c r="Q511" s="11" t="s">
        <v>64</v>
      </c>
      <c r="R511" s="10" t="s">
        <v>2230</v>
      </c>
      <c r="S511" s="11" t="s">
        <v>702</v>
      </c>
      <c r="T511" s="11" t="s">
        <v>2231</v>
      </c>
      <c r="U511" s="10" t="n">
        <f aca="false">IF(AND($D511="",$E511="",$F511=""),1,0)</f>
        <v>0</v>
      </c>
      <c r="V511" s="10" t="n">
        <f aca="false">IF(OR($I511="",$I511="—"),1,0)</f>
        <v>0</v>
      </c>
      <c r="W511" s="10" t="n">
        <f aca="false">IF(AND(ISNUMBER($D511),ISNUMBER($E511)),IF($E511&gt;$D511,1,0),0)+IF(AND(ISNUMBER($D511),ISNUMBER($F511)),IF($D511&gt;$F511,1,0),0)+IF(AND(ISNUMBER($E511),ISNUMBER($F511)),IF($E511&gt;$F511,1,0),0)</f>
        <v>0</v>
      </c>
      <c r="X511" s="13" t="s">
        <v>68</v>
      </c>
    </row>
    <row r="512" customFormat="false" ht="15" hidden="false" customHeight="false" outlineLevel="0" collapsed="false">
      <c r="A512" s="10" t="s">
        <v>2232</v>
      </c>
      <c r="B512" s="10" t="s">
        <v>2233</v>
      </c>
      <c r="C512" s="10" t="s">
        <v>2234</v>
      </c>
      <c r="D512" s="12" t="n">
        <v>200</v>
      </c>
      <c r="E512" s="12"/>
      <c r="F512" s="12"/>
      <c r="G512" s="10" t="s">
        <v>55</v>
      </c>
      <c r="H512" s="10" t="s">
        <v>2235</v>
      </c>
      <c r="I512" s="11" t="s">
        <v>2236</v>
      </c>
      <c r="J512" s="10" t="s">
        <v>2237</v>
      </c>
      <c r="K512" s="10" t="s">
        <v>2238</v>
      </c>
      <c r="L512" s="10" t="s">
        <v>60</v>
      </c>
      <c r="M512" s="10" t="s">
        <v>408</v>
      </c>
      <c r="N512" s="11" t="s">
        <v>2239</v>
      </c>
      <c r="O512" s="11" t="s">
        <v>2240</v>
      </c>
      <c r="P512" s="10" t="s">
        <v>629</v>
      </c>
      <c r="Q512" s="11" t="s">
        <v>64</v>
      </c>
      <c r="R512" s="11" t="s">
        <v>2239</v>
      </c>
      <c r="S512" s="11" t="s">
        <v>702</v>
      </c>
      <c r="T512" s="11" t="s">
        <v>2241</v>
      </c>
      <c r="U512" s="10" t="n">
        <f aca="false">IF(AND($D512="",$E512="",$F512=""),1,0)</f>
        <v>0</v>
      </c>
      <c r="V512" s="10" t="n">
        <f aca="false">IF(OR($I512="",$I512="—"),1,0)</f>
        <v>0</v>
      </c>
      <c r="W512" s="10" t="n">
        <f aca="false">IF(AND(ISNUMBER($D512),ISNUMBER($E512)),IF($E512&gt;$D512,1,0),0)+IF(AND(ISNUMBER($D512),ISNUMBER($F512)),IF($D512&gt;$F512,1,0),0)+IF(AND(ISNUMBER($E512),ISNUMBER($F512)),IF($E512&gt;$F512,1,0),0)</f>
        <v>0</v>
      </c>
      <c r="X512" s="13" t="s">
        <v>68</v>
      </c>
    </row>
    <row r="513" customFormat="false" ht="15" hidden="false" customHeight="false" outlineLevel="0" collapsed="false">
      <c r="A513" s="10" t="s">
        <v>2242</v>
      </c>
      <c r="B513" s="10" t="s">
        <v>2243</v>
      </c>
      <c r="C513" s="10" t="s">
        <v>2244</v>
      </c>
      <c r="D513" s="12" t="n">
        <v>30</v>
      </c>
      <c r="E513" s="12"/>
      <c r="F513" s="12"/>
      <c r="G513" s="10" t="s">
        <v>55</v>
      </c>
      <c r="H513" s="10" t="s">
        <v>2245</v>
      </c>
      <c r="I513" s="11" t="s">
        <v>2236</v>
      </c>
      <c r="J513" s="10" t="s">
        <v>2237</v>
      </c>
      <c r="K513" s="10" t="s">
        <v>2238</v>
      </c>
      <c r="L513" s="10" t="s">
        <v>60</v>
      </c>
      <c r="M513" s="10" t="s">
        <v>408</v>
      </c>
      <c r="N513" s="11" t="s">
        <v>2246</v>
      </c>
      <c r="O513" s="11" t="s">
        <v>2240</v>
      </c>
      <c r="P513" s="10" t="s">
        <v>629</v>
      </c>
      <c r="Q513" s="11" t="s">
        <v>64</v>
      </c>
      <c r="R513" s="11" t="s">
        <v>2246</v>
      </c>
      <c r="S513" s="11" t="s">
        <v>702</v>
      </c>
      <c r="T513" s="11" t="s">
        <v>2247</v>
      </c>
      <c r="U513" s="10" t="n">
        <f aca="false">IF(AND($D513="",$E513="",$F513=""),1,0)</f>
        <v>0</v>
      </c>
      <c r="V513" s="10" t="n">
        <f aca="false">IF(OR($I513="",$I513="—"),1,0)</f>
        <v>0</v>
      </c>
      <c r="W513" s="10" t="n">
        <f aca="false">IF(AND(ISNUMBER($D513),ISNUMBER($E513)),IF($E513&gt;$D513,1,0),0)+IF(AND(ISNUMBER($D513),ISNUMBER($F513)),IF($D513&gt;$F513,1,0),0)+IF(AND(ISNUMBER($E513),ISNUMBER($F513)),IF($E513&gt;$F513,1,0),0)</f>
        <v>0</v>
      </c>
      <c r="X513" s="13" t="s">
        <v>68</v>
      </c>
    </row>
    <row r="514" customFormat="false" ht="15" hidden="false" customHeight="false" outlineLevel="0" collapsed="false">
      <c r="A514" s="10" t="s">
        <v>2248</v>
      </c>
      <c r="B514" s="10" t="s">
        <v>2249</v>
      </c>
      <c r="C514" s="10" t="s">
        <v>2250</v>
      </c>
      <c r="D514" s="12"/>
      <c r="E514" s="12" t="n">
        <v>10</v>
      </c>
      <c r="F514" s="12"/>
      <c r="G514" s="10" t="s">
        <v>55</v>
      </c>
      <c r="H514" s="10" t="s">
        <v>2251</v>
      </c>
      <c r="I514" s="11" t="s">
        <v>2252</v>
      </c>
      <c r="J514" s="10" t="s">
        <v>2253</v>
      </c>
      <c r="K514" s="10" t="s">
        <v>2251</v>
      </c>
      <c r="L514" s="10" t="s">
        <v>60</v>
      </c>
      <c r="M514" s="10" t="s">
        <v>408</v>
      </c>
      <c r="N514" s="11" t="s">
        <v>2254</v>
      </c>
      <c r="O514" s="11" t="s">
        <v>2240</v>
      </c>
      <c r="P514" s="10" t="s">
        <v>629</v>
      </c>
      <c r="Q514" s="11" t="s">
        <v>64</v>
      </c>
      <c r="R514" s="11" t="s">
        <v>2254</v>
      </c>
      <c r="S514" s="11" t="s">
        <v>1270</v>
      </c>
      <c r="T514" s="11" t="s">
        <v>2255</v>
      </c>
      <c r="U514" s="10" t="n">
        <f aca="false">IF(AND($D514="",$E514="",$F514=""),1,0)</f>
        <v>0</v>
      </c>
      <c r="V514" s="10" t="n">
        <f aca="false">IF(OR($I514="",$I514="—"),1,0)</f>
        <v>0</v>
      </c>
      <c r="W514" s="10" t="n">
        <f aca="false">IF(AND(ISNUMBER($D514),ISNUMBER($E514)),IF($E514&gt;$D514,1,0),0)+IF(AND(ISNUMBER($D514),ISNUMBER($F514)),IF($D514&gt;$F514,1,0),0)+IF(AND(ISNUMBER($E514),ISNUMBER($F514)),IF($E514&gt;$F514,1,0),0)</f>
        <v>0</v>
      </c>
      <c r="X514" s="13" t="s">
        <v>68</v>
      </c>
    </row>
    <row r="515" customFormat="false" ht="15" hidden="false" customHeight="false" outlineLevel="0" collapsed="false">
      <c r="A515" s="10" t="s">
        <v>2256</v>
      </c>
      <c r="B515" s="10" t="s">
        <v>2257</v>
      </c>
      <c r="C515" s="10" t="s">
        <v>2258</v>
      </c>
      <c r="D515" s="12" t="n">
        <v>5</v>
      </c>
      <c r="E515" s="12"/>
      <c r="F515" s="12"/>
      <c r="G515" s="10" t="s">
        <v>55</v>
      </c>
      <c r="H515" s="10" t="s">
        <v>2259</v>
      </c>
      <c r="I515" s="11" t="s">
        <v>2252</v>
      </c>
      <c r="J515" s="10" t="s">
        <v>2260</v>
      </c>
      <c r="K515" s="10" t="s">
        <v>2261</v>
      </c>
      <c r="L515" s="10" t="s">
        <v>60</v>
      </c>
      <c r="M515" s="10" t="s">
        <v>408</v>
      </c>
      <c r="N515" s="11" t="s">
        <v>2262</v>
      </c>
      <c r="O515" s="11" t="s">
        <v>2240</v>
      </c>
      <c r="P515" s="10" t="s">
        <v>629</v>
      </c>
      <c r="Q515" s="11" t="s">
        <v>64</v>
      </c>
      <c r="R515" s="11" t="s">
        <v>2262</v>
      </c>
      <c r="S515" s="11" t="s">
        <v>1270</v>
      </c>
      <c r="T515" s="11" t="s">
        <v>2263</v>
      </c>
      <c r="U515" s="10" t="n">
        <f aca="false">IF(AND($D515="",$E515="",$F515=""),1,0)</f>
        <v>0</v>
      </c>
      <c r="V515" s="10" t="n">
        <f aca="false">IF(OR($I515="",$I515="—"),1,0)</f>
        <v>0</v>
      </c>
      <c r="W515" s="10" t="n">
        <f aca="false">IF(AND(ISNUMBER($D515),ISNUMBER($E515)),IF($E515&gt;$D515,1,0),0)+IF(AND(ISNUMBER($D515),ISNUMBER($F515)),IF($D515&gt;$F515,1,0),0)+IF(AND(ISNUMBER($E515),ISNUMBER($F515)),IF($E515&gt;$F515,1,0),0)</f>
        <v>0</v>
      </c>
      <c r="X515" s="13" t="s">
        <v>68</v>
      </c>
    </row>
    <row r="516" customFormat="false" ht="15" hidden="false" customHeight="false" outlineLevel="0" collapsed="false">
      <c r="A516" s="10" t="s">
        <v>2264</v>
      </c>
      <c r="B516" s="10" t="s">
        <v>2265</v>
      </c>
      <c r="C516" s="10" t="s">
        <v>2266</v>
      </c>
      <c r="D516" s="12" t="n">
        <v>3</v>
      </c>
      <c r="E516" s="12"/>
      <c r="F516" s="12"/>
      <c r="G516" s="10" t="s">
        <v>55</v>
      </c>
      <c r="H516" s="10" t="s">
        <v>2267</v>
      </c>
      <c r="I516" s="10" t="s">
        <v>2268</v>
      </c>
      <c r="J516" s="10" t="s">
        <v>2269</v>
      </c>
      <c r="K516" s="10" t="s">
        <v>2267</v>
      </c>
      <c r="L516" s="10" t="s">
        <v>60</v>
      </c>
      <c r="M516" s="10" t="s">
        <v>408</v>
      </c>
      <c r="N516" s="11" t="s">
        <v>2270</v>
      </c>
      <c r="O516" s="11" t="s">
        <v>2240</v>
      </c>
      <c r="P516" s="10" t="s">
        <v>629</v>
      </c>
      <c r="Q516" s="11" t="s">
        <v>64</v>
      </c>
      <c r="R516" s="11" t="s">
        <v>2270</v>
      </c>
      <c r="S516" s="11" t="s">
        <v>702</v>
      </c>
      <c r="T516" s="11" t="s">
        <v>2271</v>
      </c>
      <c r="U516" s="10" t="n">
        <f aca="false">IF(AND($D516="",$E516="",$F516=""),1,0)</f>
        <v>0</v>
      </c>
      <c r="V516" s="10" t="n">
        <f aca="false">IF(OR($I516="",$I516="—"),1,0)</f>
        <v>0</v>
      </c>
      <c r="W516" s="10" t="n">
        <f aca="false">IF(AND(ISNUMBER($D516),ISNUMBER($E516)),IF($E516&gt;$D516,1,0),0)+IF(AND(ISNUMBER($D516),ISNUMBER($F516)),IF($D516&gt;$F516,1,0),0)+IF(AND(ISNUMBER($E516),ISNUMBER($F516)),IF($E516&gt;$F516,1,0),0)</f>
        <v>0</v>
      </c>
      <c r="X516" s="13" t="s">
        <v>68</v>
      </c>
    </row>
    <row r="517" customFormat="false" ht="15" hidden="false" customHeight="false" outlineLevel="0" collapsed="false">
      <c r="A517" s="10" t="s">
        <v>2272</v>
      </c>
      <c r="B517" s="10" t="s">
        <v>2273</v>
      </c>
      <c r="C517" s="10" t="s">
        <v>2274</v>
      </c>
      <c r="D517" s="12" t="n">
        <v>10</v>
      </c>
      <c r="E517" s="12"/>
      <c r="F517" s="12"/>
      <c r="G517" s="10" t="s">
        <v>55</v>
      </c>
      <c r="H517" s="10" t="s">
        <v>2275</v>
      </c>
      <c r="I517" s="10" t="s">
        <v>2276</v>
      </c>
      <c r="J517" s="10" t="s">
        <v>2277</v>
      </c>
      <c r="K517" s="10" t="s">
        <v>2278</v>
      </c>
      <c r="L517" s="10" t="s">
        <v>60</v>
      </c>
      <c r="M517" s="10" t="s">
        <v>408</v>
      </c>
      <c r="N517" s="11" t="s">
        <v>2279</v>
      </c>
      <c r="O517" s="11" t="s">
        <v>2240</v>
      </c>
      <c r="P517" s="10" t="s">
        <v>629</v>
      </c>
      <c r="Q517" s="11" t="s">
        <v>64</v>
      </c>
      <c r="R517" s="11" t="s">
        <v>2279</v>
      </c>
      <c r="S517" s="11" t="s">
        <v>1270</v>
      </c>
      <c r="T517" s="11" t="s">
        <v>2280</v>
      </c>
      <c r="U517" s="10" t="n">
        <f aca="false">IF(AND($D517="",$E517="",$F517=""),1,0)</f>
        <v>0</v>
      </c>
      <c r="V517" s="10" t="n">
        <f aca="false">IF(OR($I517="",$I517="—"),1,0)</f>
        <v>0</v>
      </c>
      <c r="W517" s="10" t="n">
        <f aca="false">IF(AND(ISNUMBER($D517),ISNUMBER($E517)),IF($E517&gt;$D517,1,0),0)+IF(AND(ISNUMBER($D517),ISNUMBER($F517)),IF($D517&gt;$F517,1,0),0)+IF(AND(ISNUMBER($E517),ISNUMBER($F517)),IF($E517&gt;$F517,1,0),0)</f>
        <v>0</v>
      </c>
      <c r="X517" s="13" t="s">
        <v>68</v>
      </c>
    </row>
    <row r="518" customFormat="false" ht="15" hidden="false" customHeight="false" outlineLevel="0" collapsed="false">
      <c r="A518" s="10" t="s">
        <v>2281</v>
      </c>
      <c r="B518" s="10" t="s">
        <v>2282</v>
      </c>
      <c r="C518" s="11" t="s">
        <v>2283</v>
      </c>
      <c r="D518" s="12"/>
      <c r="E518" s="12" t="n">
        <v>20</v>
      </c>
      <c r="F518" s="12"/>
      <c r="G518" s="10" t="s">
        <v>55</v>
      </c>
      <c r="H518" s="10" t="s">
        <v>2284</v>
      </c>
      <c r="I518" s="11" t="s">
        <v>2157</v>
      </c>
      <c r="J518" s="10" t="s">
        <v>2158</v>
      </c>
      <c r="K518" s="10" t="s">
        <v>2159</v>
      </c>
      <c r="L518" s="10" t="s">
        <v>60</v>
      </c>
      <c r="M518" s="10" t="s">
        <v>61</v>
      </c>
      <c r="N518" s="10"/>
      <c r="O518" s="11" t="s">
        <v>2152</v>
      </c>
      <c r="P518" s="10" t="s">
        <v>629</v>
      </c>
      <c r="Q518" s="11" t="s">
        <v>64</v>
      </c>
      <c r="R518" s="11" t="s">
        <v>1082</v>
      </c>
      <c r="S518" s="11" t="s">
        <v>702</v>
      </c>
      <c r="T518" s="11" t="s">
        <v>2285</v>
      </c>
      <c r="U518" s="10" t="n">
        <f aca="false">IF(AND($D518="",$E518="",$F518=""),1,0)</f>
        <v>0</v>
      </c>
      <c r="V518" s="10" t="n">
        <f aca="false">IF(OR($I518="",$I518="—"),1,0)</f>
        <v>0</v>
      </c>
      <c r="W518" s="10" t="n">
        <f aca="false">IF(AND(ISNUMBER($D518),ISNUMBER($E518)),IF($E518&gt;$D518,1,0),0)+IF(AND(ISNUMBER($D518),ISNUMBER($F518)),IF($D518&gt;$F518,1,0),0)+IF(AND(ISNUMBER($E518),ISNUMBER($F518)),IF($E518&gt;$F518,1,0),0)</f>
        <v>0</v>
      </c>
      <c r="X518" s="13" t="s">
        <v>68</v>
      </c>
    </row>
    <row r="519" customFormat="false" ht="15" hidden="false" customHeight="false" outlineLevel="0" collapsed="false">
      <c r="A519" s="10" t="s">
        <v>2286</v>
      </c>
      <c r="B519" s="10" t="s">
        <v>2287</v>
      </c>
      <c r="C519" s="10" t="s">
        <v>2288</v>
      </c>
      <c r="D519" s="12" t="n">
        <v>116.2</v>
      </c>
      <c r="E519" s="12"/>
      <c r="F519" s="12"/>
      <c r="G519" s="10" t="s">
        <v>2289</v>
      </c>
      <c r="H519" s="10" t="s">
        <v>2159</v>
      </c>
      <c r="I519" s="11" t="s">
        <v>2290</v>
      </c>
      <c r="J519" s="10" t="s">
        <v>2291</v>
      </c>
      <c r="K519" s="10" t="s">
        <v>2292</v>
      </c>
      <c r="L519" s="10" t="s">
        <v>60</v>
      </c>
      <c r="M519" s="10" t="s">
        <v>61</v>
      </c>
      <c r="N519" s="10"/>
      <c r="O519" s="11" t="s">
        <v>2293</v>
      </c>
      <c r="P519" s="10" t="s">
        <v>63</v>
      </c>
      <c r="Q519" s="11" t="s">
        <v>64</v>
      </c>
      <c r="R519" s="11" t="s">
        <v>65</v>
      </c>
      <c r="S519" s="11" t="s">
        <v>66</v>
      </c>
      <c r="T519" s="11" t="s">
        <v>2294</v>
      </c>
      <c r="U519" s="10" t="n">
        <f aca="false">IF(AND($D519="",$E519="",$F519=""),1,0)</f>
        <v>0</v>
      </c>
      <c r="V519" s="10" t="n">
        <f aca="false">IF(OR($I519="",$I519="—"),1,0)</f>
        <v>0</v>
      </c>
      <c r="W519" s="10" t="n">
        <f aca="false">IF(AND(ISNUMBER($D519),ISNUMBER($E519)),IF($E519&gt;$D519,1,0),0)+IF(AND(ISNUMBER($D519),ISNUMBER($F519)),IF($D519&gt;$F519,1,0),0)+IF(AND(ISNUMBER($E519),ISNUMBER($F519)),IF($E519&gt;$F519,1,0),0)</f>
        <v>0</v>
      </c>
      <c r="X519" s="13" t="s">
        <v>68</v>
      </c>
    </row>
    <row r="520" customFormat="false" ht="15" hidden="false" customHeight="false" outlineLevel="0" collapsed="false">
      <c r="A520" s="10" t="s">
        <v>2295</v>
      </c>
      <c r="B520" s="10" t="s">
        <v>2296</v>
      </c>
      <c r="C520" s="10" t="s">
        <v>2297</v>
      </c>
      <c r="D520" s="12" t="n">
        <v>37419500</v>
      </c>
      <c r="E520" s="12"/>
      <c r="F520" s="12"/>
      <c r="G520" s="11" t="s">
        <v>2298</v>
      </c>
      <c r="H520" s="10" t="s">
        <v>2159</v>
      </c>
      <c r="I520" s="11" t="s">
        <v>2299</v>
      </c>
      <c r="J520" s="10" t="s">
        <v>2291</v>
      </c>
      <c r="K520" s="10" t="s">
        <v>2292</v>
      </c>
      <c r="L520" s="10" t="s">
        <v>60</v>
      </c>
      <c r="M520" s="10" t="s">
        <v>61</v>
      </c>
      <c r="N520" s="10"/>
      <c r="O520" s="11" t="s">
        <v>2293</v>
      </c>
      <c r="P520" s="10" t="s">
        <v>63</v>
      </c>
      <c r="Q520" s="11" t="s">
        <v>64</v>
      </c>
      <c r="R520" s="11" t="s">
        <v>65</v>
      </c>
      <c r="S520" s="11" t="s">
        <v>66</v>
      </c>
      <c r="T520" s="11" t="s">
        <v>2300</v>
      </c>
      <c r="U520" s="10" t="n">
        <f aca="false">IF(AND($D520="",$E520="",$F520=""),1,0)</f>
        <v>0</v>
      </c>
      <c r="V520" s="10" t="n">
        <f aca="false">IF(OR($I520="",$I520="—"),1,0)</f>
        <v>0</v>
      </c>
      <c r="W520" s="10" t="n">
        <f aca="false">IF(AND(ISNUMBER($D520),ISNUMBER($E520)),IF($E520&gt;$D520,1,0),0)+IF(AND(ISNUMBER($D520),ISNUMBER($F520)),IF($D520&gt;$F520,1,0),0)+IF(AND(ISNUMBER($E520),ISNUMBER($F520)),IF($E520&gt;$F520,1,0),0)</f>
        <v>0</v>
      </c>
      <c r="X520" s="13" t="s">
        <v>68</v>
      </c>
    </row>
    <row r="521" customFormat="false" ht="15" hidden="false" customHeight="false" outlineLevel="0" collapsed="false">
      <c r="A521" s="10" t="s">
        <v>2301</v>
      </c>
      <c r="B521" s="10" t="s">
        <v>2302</v>
      </c>
      <c r="C521" s="10" t="s">
        <v>2303</v>
      </c>
      <c r="D521" s="12" t="n">
        <v>4348.1</v>
      </c>
      <c r="E521" s="12"/>
      <c r="F521" s="12"/>
      <c r="G521" s="10" t="s">
        <v>2304</v>
      </c>
      <c r="H521" s="10" t="s">
        <v>2159</v>
      </c>
      <c r="I521" s="11" t="s">
        <v>2305</v>
      </c>
      <c r="J521" s="10" t="s">
        <v>2306</v>
      </c>
      <c r="K521" s="10" t="s">
        <v>2159</v>
      </c>
      <c r="L521" s="10" t="s">
        <v>60</v>
      </c>
      <c r="M521" s="10" t="s">
        <v>61</v>
      </c>
      <c r="N521" s="10"/>
      <c r="O521" s="11" t="s">
        <v>2307</v>
      </c>
      <c r="P521" s="10" t="s">
        <v>629</v>
      </c>
      <c r="Q521" s="11" t="s">
        <v>64</v>
      </c>
      <c r="R521" s="11" t="s">
        <v>65</v>
      </c>
      <c r="S521" s="11" t="s">
        <v>1096</v>
      </c>
      <c r="T521" s="11" t="s">
        <v>2308</v>
      </c>
      <c r="U521" s="10" t="n">
        <f aca="false">IF(AND($D521="",$E521="",$F521=""),1,0)</f>
        <v>0</v>
      </c>
      <c r="V521" s="10" t="n">
        <f aca="false">IF(OR($I521="",$I521="—"),1,0)</f>
        <v>0</v>
      </c>
      <c r="W521" s="10" t="n">
        <f aca="false">IF(AND(ISNUMBER($D521),ISNUMBER($E521)),IF($E521&gt;$D521,1,0),0)+IF(AND(ISNUMBER($D521),ISNUMBER($F521)),IF($D521&gt;$F521,1,0),0)+IF(AND(ISNUMBER($E521),ISNUMBER($F521)),IF($E521&gt;$F521,1,0),0)</f>
        <v>0</v>
      </c>
      <c r="X521" s="13" t="s">
        <v>68</v>
      </c>
    </row>
    <row r="522" customFormat="false" ht="15" hidden="false" customHeight="false" outlineLevel="0" collapsed="false">
      <c r="A522" s="10" t="s">
        <v>2309</v>
      </c>
      <c r="B522" s="10" t="s">
        <v>2310</v>
      </c>
      <c r="C522" s="10" t="s">
        <v>2311</v>
      </c>
      <c r="D522" s="12" t="n">
        <v>174.7</v>
      </c>
      <c r="E522" s="12"/>
      <c r="F522" s="12"/>
      <c r="G522" s="10" t="s">
        <v>2304</v>
      </c>
      <c r="H522" s="10" t="s">
        <v>2159</v>
      </c>
      <c r="I522" s="11" t="s">
        <v>2305</v>
      </c>
      <c r="J522" s="10" t="s">
        <v>2306</v>
      </c>
      <c r="K522" s="10" t="s">
        <v>2159</v>
      </c>
      <c r="L522" s="10" t="s">
        <v>60</v>
      </c>
      <c r="M522" s="10" t="s">
        <v>61</v>
      </c>
      <c r="N522" s="10"/>
      <c r="O522" s="11" t="s">
        <v>2307</v>
      </c>
      <c r="P522" s="10" t="s">
        <v>629</v>
      </c>
      <c r="Q522" s="11" t="s">
        <v>64</v>
      </c>
      <c r="R522" s="11" t="s">
        <v>65</v>
      </c>
      <c r="S522" s="11" t="s">
        <v>1096</v>
      </c>
      <c r="T522" s="11" t="s">
        <v>2312</v>
      </c>
      <c r="U522" s="10" t="n">
        <f aca="false">IF(AND($D522="",$E522="",$F522=""),1,0)</f>
        <v>0</v>
      </c>
      <c r="V522" s="10" t="n">
        <f aca="false">IF(OR($I522="",$I522="—"),1,0)</f>
        <v>0</v>
      </c>
      <c r="W522" s="10" t="n">
        <f aca="false">IF(AND(ISNUMBER($D522),ISNUMBER($E522)),IF($E522&gt;$D522,1,0),0)+IF(AND(ISNUMBER($D522),ISNUMBER($F522)),IF($D522&gt;$F522,1,0),0)+IF(AND(ISNUMBER($E522),ISNUMBER($F522)),IF($E522&gt;$F522,1,0),0)</f>
        <v>0</v>
      </c>
      <c r="X522" s="13" t="s">
        <v>68</v>
      </c>
    </row>
    <row r="523" customFormat="false" ht="15" hidden="false" customHeight="false" outlineLevel="0" collapsed="false">
      <c r="A523" s="10" t="s">
        <v>2313</v>
      </c>
      <c r="B523" s="10" t="s">
        <v>2314</v>
      </c>
      <c r="C523" s="10" t="s">
        <v>2315</v>
      </c>
      <c r="D523" s="12" t="n">
        <v>4173.4</v>
      </c>
      <c r="E523" s="12"/>
      <c r="F523" s="12"/>
      <c r="G523" s="10" t="s">
        <v>2304</v>
      </c>
      <c r="H523" s="10" t="s">
        <v>2159</v>
      </c>
      <c r="I523" s="11" t="s">
        <v>2316</v>
      </c>
      <c r="J523" s="10" t="s">
        <v>2306</v>
      </c>
      <c r="K523" s="10" t="s">
        <v>2159</v>
      </c>
      <c r="L523" s="10" t="s">
        <v>60</v>
      </c>
      <c r="M523" s="10" t="s">
        <v>61</v>
      </c>
      <c r="N523" s="10"/>
      <c r="O523" s="11" t="s">
        <v>2307</v>
      </c>
      <c r="P523" s="10" t="s">
        <v>629</v>
      </c>
      <c r="Q523" s="11" t="s">
        <v>64</v>
      </c>
      <c r="R523" s="11" t="s">
        <v>65</v>
      </c>
      <c r="S523" s="11" t="s">
        <v>1096</v>
      </c>
      <c r="T523" s="11" t="s">
        <v>2317</v>
      </c>
      <c r="U523" s="10" t="n">
        <f aca="false">IF(AND($D523="",$E523="",$F523=""),1,0)</f>
        <v>0</v>
      </c>
      <c r="V523" s="10" t="n">
        <f aca="false">IF(OR($I523="",$I523="—"),1,0)</f>
        <v>0</v>
      </c>
      <c r="W523" s="10" t="n">
        <f aca="false">IF(AND(ISNUMBER($D523),ISNUMBER($E523)),IF($E523&gt;$D523,1,0),0)+IF(AND(ISNUMBER($D523),ISNUMBER($F523)),IF($D523&gt;$F523,1,0),0)+IF(AND(ISNUMBER($E523),ISNUMBER($F523)),IF($E523&gt;$F523,1,0),0)</f>
        <v>0</v>
      </c>
      <c r="X523" s="13" t="s">
        <v>68</v>
      </c>
    </row>
    <row r="524" customFormat="false" ht="15" hidden="false" customHeight="false" outlineLevel="0" collapsed="false">
      <c r="A524" s="10" t="s">
        <v>2318</v>
      </c>
      <c r="B524" s="10" t="s">
        <v>2319</v>
      </c>
      <c r="C524" s="11" t="s">
        <v>2320</v>
      </c>
      <c r="D524" s="12" t="n">
        <v>5612900</v>
      </c>
      <c r="E524" s="12"/>
      <c r="F524" s="12"/>
      <c r="G524" s="11" t="s">
        <v>2298</v>
      </c>
      <c r="H524" s="10" t="s">
        <v>2321</v>
      </c>
      <c r="I524" s="11" t="s">
        <v>2322</v>
      </c>
      <c r="J524" s="10" t="s">
        <v>2306</v>
      </c>
      <c r="K524" s="10" t="s">
        <v>2159</v>
      </c>
      <c r="L524" s="10" t="s">
        <v>60</v>
      </c>
      <c r="M524" s="10" t="s">
        <v>61</v>
      </c>
      <c r="N524" s="10"/>
      <c r="O524" s="11" t="s">
        <v>2323</v>
      </c>
      <c r="P524" s="10" t="s">
        <v>629</v>
      </c>
      <c r="Q524" s="11" t="s">
        <v>64</v>
      </c>
      <c r="R524" s="11" t="s">
        <v>1082</v>
      </c>
      <c r="S524" s="11" t="s">
        <v>702</v>
      </c>
      <c r="T524" s="10" t="s">
        <v>2324</v>
      </c>
      <c r="U524" s="10" t="n">
        <f aca="false">IF(AND($D524="",$E524="",$F524=""),1,0)</f>
        <v>0</v>
      </c>
      <c r="V524" s="10" t="n">
        <f aca="false">IF(OR($I524="",$I524="—"),1,0)</f>
        <v>0</v>
      </c>
      <c r="W524" s="10" t="n">
        <f aca="false">IF(AND(ISNUMBER($D524),ISNUMBER($E524)),IF($E524&gt;$D524,1,0),0)+IF(AND(ISNUMBER($D524),ISNUMBER($F524)),IF($D524&gt;$F524,1,0),0)+IF(AND(ISNUMBER($E524),ISNUMBER($F524)),IF($E524&gt;$F524,1,0),0)</f>
        <v>0</v>
      </c>
      <c r="X524" s="13" t="s">
        <v>68</v>
      </c>
    </row>
    <row r="525" customFormat="false" ht="15" hidden="false" customHeight="false" outlineLevel="0" collapsed="false">
      <c r="A525" s="10" t="s">
        <v>2325</v>
      </c>
      <c r="B525" s="10" t="s">
        <v>2326</v>
      </c>
      <c r="C525" s="11" t="s">
        <v>2327</v>
      </c>
      <c r="D525" s="12" t="n">
        <v>5623900</v>
      </c>
      <c r="E525" s="12"/>
      <c r="F525" s="12"/>
      <c r="G525" s="11" t="s">
        <v>2298</v>
      </c>
      <c r="H525" s="10" t="s">
        <v>2321</v>
      </c>
      <c r="I525" s="11" t="s">
        <v>2299</v>
      </c>
      <c r="J525" s="10" t="s">
        <v>2291</v>
      </c>
      <c r="K525" s="10" t="s">
        <v>2292</v>
      </c>
      <c r="L525" s="10" t="s">
        <v>60</v>
      </c>
      <c r="M525" s="10" t="s">
        <v>61</v>
      </c>
      <c r="N525" s="10"/>
      <c r="O525" s="11" t="s">
        <v>2328</v>
      </c>
      <c r="P525" s="10" t="s">
        <v>63</v>
      </c>
      <c r="Q525" s="11" t="s">
        <v>64</v>
      </c>
      <c r="R525" s="11" t="s">
        <v>65</v>
      </c>
      <c r="S525" s="11" t="s">
        <v>66</v>
      </c>
      <c r="T525" s="11" t="s">
        <v>2329</v>
      </c>
      <c r="U525" s="10" t="n">
        <f aca="false">IF(AND($D525="",$E525="",$F525=""),1,0)</f>
        <v>0</v>
      </c>
      <c r="V525" s="10" t="n">
        <f aca="false">IF(OR($I525="",$I525="—"),1,0)</f>
        <v>0</v>
      </c>
      <c r="W525" s="10" t="n">
        <f aca="false">IF(AND(ISNUMBER($D525),ISNUMBER($E525)),IF($E525&gt;$D525,1,0),0)+IF(AND(ISNUMBER($D525),ISNUMBER($F525)),IF($D525&gt;$F525,1,0),0)+IF(AND(ISNUMBER($E525),ISNUMBER($F525)),IF($E525&gt;$F525,1,0),0)</f>
        <v>0</v>
      </c>
      <c r="X525" s="13" t="s">
        <v>68</v>
      </c>
    </row>
    <row r="526" customFormat="false" ht="15" hidden="false" customHeight="false" outlineLevel="0" collapsed="false">
      <c r="A526" s="10" t="s">
        <v>2330</v>
      </c>
      <c r="B526" s="10" t="s">
        <v>2331</v>
      </c>
      <c r="C526" s="10" t="s">
        <v>2332</v>
      </c>
      <c r="D526" s="12" t="n">
        <v>4896.2</v>
      </c>
      <c r="E526" s="12"/>
      <c r="F526" s="12"/>
      <c r="G526" s="10" t="s">
        <v>2304</v>
      </c>
      <c r="H526" s="10" t="s">
        <v>2333</v>
      </c>
      <c r="I526" s="11" t="s">
        <v>2299</v>
      </c>
      <c r="J526" s="10" t="s">
        <v>2291</v>
      </c>
      <c r="K526" s="10" t="s">
        <v>2292</v>
      </c>
      <c r="L526" s="10" t="s">
        <v>60</v>
      </c>
      <c r="M526" s="10" t="s">
        <v>61</v>
      </c>
      <c r="N526" s="10"/>
      <c r="O526" s="11" t="s">
        <v>2293</v>
      </c>
      <c r="P526" s="10" t="s">
        <v>63</v>
      </c>
      <c r="Q526" s="11" t="s">
        <v>64</v>
      </c>
      <c r="R526" s="11" t="s">
        <v>65</v>
      </c>
      <c r="S526" s="11" t="s">
        <v>66</v>
      </c>
      <c r="T526" s="11" t="s">
        <v>2334</v>
      </c>
      <c r="U526" s="10" t="n">
        <f aca="false">IF(AND($D526="",$E526="",$F526=""),1,0)</f>
        <v>0</v>
      </c>
      <c r="V526" s="10" t="n">
        <f aca="false">IF(OR($I526="",$I526="—"),1,0)</f>
        <v>0</v>
      </c>
      <c r="W526" s="10" t="n">
        <f aca="false">IF(AND(ISNUMBER($D526),ISNUMBER($E526)),IF($E526&gt;$D526,1,0),0)+IF(AND(ISNUMBER($D526),ISNUMBER($F526)),IF($D526&gt;$F526,1,0),0)+IF(AND(ISNUMBER($E526),ISNUMBER($F526)),IF($E526&gt;$F526,1,0),0)</f>
        <v>0</v>
      </c>
      <c r="X526" s="13" t="s">
        <v>68</v>
      </c>
    </row>
    <row r="527" customFormat="false" ht="15" hidden="false" customHeight="false" outlineLevel="0" collapsed="false">
      <c r="A527" s="10" t="s">
        <v>2335</v>
      </c>
      <c r="B527" s="10" t="s">
        <v>2336</v>
      </c>
      <c r="C527" s="11" t="s">
        <v>2337</v>
      </c>
      <c r="D527" s="12" t="n">
        <v>29.8</v>
      </c>
      <c r="E527" s="12"/>
      <c r="F527" s="12"/>
      <c r="G527" s="10" t="s">
        <v>2338</v>
      </c>
      <c r="H527" s="10" t="s">
        <v>2339</v>
      </c>
      <c r="I527" s="11" t="s">
        <v>2340</v>
      </c>
      <c r="J527" s="10" t="s">
        <v>2341</v>
      </c>
      <c r="K527" s="10" t="s">
        <v>59</v>
      </c>
      <c r="L527" s="10" t="s">
        <v>60</v>
      </c>
      <c r="M527" s="10" t="s">
        <v>61</v>
      </c>
      <c r="N527" s="10"/>
      <c r="O527" s="11" t="s">
        <v>2152</v>
      </c>
      <c r="P527" s="10" t="s">
        <v>629</v>
      </c>
      <c r="Q527" s="11" t="s">
        <v>64</v>
      </c>
      <c r="R527" s="11" t="s">
        <v>1082</v>
      </c>
      <c r="S527" s="11" t="s">
        <v>702</v>
      </c>
      <c r="T527" s="11" t="s">
        <v>2342</v>
      </c>
      <c r="U527" s="10" t="n">
        <f aca="false">IF(AND($D527="",$E527="",$F527=""),1,0)</f>
        <v>0</v>
      </c>
      <c r="V527" s="10" t="n">
        <f aca="false">IF(OR($I527="",$I527="—"),1,0)</f>
        <v>0</v>
      </c>
      <c r="W527" s="10" t="n">
        <f aca="false">IF(AND(ISNUMBER($D527),ISNUMBER($E527)),IF($E527&gt;$D527,1,0),0)+IF(AND(ISNUMBER($D527),ISNUMBER($F527)),IF($D527&gt;$F527,1,0),0)+IF(AND(ISNUMBER($E527),ISNUMBER($F527)),IF($E527&gt;$F527,1,0),0)</f>
        <v>0</v>
      </c>
      <c r="X527" s="13" t="s">
        <v>68</v>
      </c>
    </row>
    <row r="528" customFormat="false" ht="15" hidden="false" customHeight="false" outlineLevel="0" collapsed="false">
      <c r="A528" s="10" t="s">
        <v>2343</v>
      </c>
      <c r="B528" s="10" t="s">
        <v>2344</v>
      </c>
      <c r="C528" s="11" t="s">
        <v>2345</v>
      </c>
      <c r="D528" s="12" t="n">
        <v>1159.46</v>
      </c>
      <c r="E528" s="12"/>
      <c r="F528" s="12"/>
      <c r="G528" s="11" t="s">
        <v>1701</v>
      </c>
      <c r="H528" s="10" t="s">
        <v>2339</v>
      </c>
      <c r="I528" s="11" t="s">
        <v>2346</v>
      </c>
      <c r="J528" s="10" t="s">
        <v>2347</v>
      </c>
      <c r="K528" s="10" t="s">
        <v>2159</v>
      </c>
      <c r="L528" s="10" t="s">
        <v>60</v>
      </c>
      <c r="M528" s="10" t="s">
        <v>61</v>
      </c>
      <c r="N528" s="10"/>
      <c r="O528" s="11" t="s">
        <v>2307</v>
      </c>
      <c r="P528" s="10" t="s">
        <v>629</v>
      </c>
      <c r="Q528" s="11" t="s">
        <v>64</v>
      </c>
      <c r="R528" s="11" t="s">
        <v>1082</v>
      </c>
      <c r="S528" s="11" t="s">
        <v>1270</v>
      </c>
      <c r="T528" s="11" t="s">
        <v>2348</v>
      </c>
      <c r="U528" s="10" t="n">
        <f aca="false">IF(AND($D528="",$E528="",$F528=""),1,0)</f>
        <v>0</v>
      </c>
      <c r="V528" s="10" t="n">
        <f aca="false">IF(OR($I528="",$I528="—"),1,0)</f>
        <v>0</v>
      </c>
      <c r="W528" s="10" t="n">
        <f aca="false">IF(AND(ISNUMBER($D528),ISNUMBER($E528)),IF($E528&gt;$D528,1,0),0)+IF(AND(ISNUMBER($D528),ISNUMBER($F528)),IF($D528&gt;$F528,1,0),0)+IF(AND(ISNUMBER($E528),ISNUMBER($F528)),IF($E528&gt;$F528,1,0),0)</f>
        <v>0</v>
      </c>
      <c r="X528" s="13" t="s">
        <v>68</v>
      </c>
    </row>
    <row r="529" customFormat="false" ht="15" hidden="false" customHeight="false" outlineLevel="0" collapsed="false">
      <c r="A529" s="10" t="s">
        <v>2349</v>
      </c>
      <c r="B529" s="10" t="s">
        <v>2350</v>
      </c>
      <c r="C529" s="10" t="s">
        <v>2351</v>
      </c>
      <c r="D529" s="12" t="n">
        <v>70</v>
      </c>
      <c r="E529" s="12"/>
      <c r="F529" s="12"/>
      <c r="G529" s="10" t="s">
        <v>393</v>
      </c>
      <c r="H529" s="10" t="s">
        <v>2339</v>
      </c>
      <c r="I529" s="11" t="s">
        <v>2352</v>
      </c>
      <c r="J529" s="10" t="s">
        <v>2353</v>
      </c>
      <c r="K529" s="10" t="s">
        <v>59</v>
      </c>
      <c r="L529" s="10" t="s">
        <v>60</v>
      </c>
      <c r="M529" s="10" t="s">
        <v>61</v>
      </c>
      <c r="N529" s="10"/>
      <c r="O529" s="11" t="s">
        <v>2152</v>
      </c>
      <c r="P529" s="10" t="s">
        <v>629</v>
      </c>
      <c r="Q529" s="11" t="s">
        <v>64</v>
      </c>
      <c r="R529" s="11" t="s">
        <v>1082</v>
      </c>
      <c r="S529" s="11" t="s">
        <v>702</v>
      </c>
      <c r="T529" s="11" t="s">
        <v>2354</v>
      </c>
      <c r="U529" s="10" t="n">
        <f aca="false">IF(AND($D529="",$E529="",$F529=""),1,0)</f>
        <v>0</v>
      </c>
      <c r="V529" s="10" t="n">
        <f aca="false">IF(OR($I529="",$I529="—"),1,0)</f>
        <v>0</v>
      </c>
      <c r="W529" s="10" t="n">
        <f aca="false">IF(AND(ISNUMBER($D529),ISNUMBER($E529)),IF($E529&gt;$D529,1,0),0)+IF(AND(ISNUMBER($D529),ISNUMBER($F529)),IF($D529&gt;$F529,1,0),0)+IF(AND(ISNUMBER($E529),ISNUMBER($F529)),IF($E529&gt;$F529,1,0),0)</f>
        <v>0</v>
      </c>
      <c r="X529" s="13" t="s">
        <v>68</v>
      </c>
    </row>
    <row r="530" customFormat="false" ht="15" hidden="false" customHeight="false" outlineLevel="0" collapsed="false">
      <c r="A530" s="10" t="s">
        <v>2355</v>
      </c>
      <c r="B530" s="10" t="s">
        <v>2356</v>
      </c>
      <c r="C530" s="11" t="s">
        <v>2357</v>
      </c>
      <c r="D530" s="12" t="n">
        <v>440230190</v>
      </c>
      <c r="E530" s="12"/>
      <c r="F530" s="12"/>
      <c r="G530" s="11" t="s">
        <v>2298</v>
      </c>
      <c r="H530" s="10" t="s">
        <v>2159</v>
      </c>
      <c r="I530" s="11" t="s">
        <v>2305</v>
      </c>
      <c r="J530" s="10" t="s">
        <v>2306</v>
      </c>
      <c r="K530" s="10" t="s">
        <v>2159</v>
      </c>
      <c r="L530" s="10" t="s">
        <v>60</v>
      </c>
      <c r="M530" s="10" t="s">
        <v>61</v>
      </c>
      <c r="N530" s="10"/>
      <c r="O530" s="11" t="s">
        <v>2307</v>
      </c>
      <c r="P530" s="10" t="s">
        <v>629</v>
      </c>
      <c r="Q530" s="11" t="s">
        <v>64</v>
      </c>
      <c r="R530" s="11" t="s">
        <v>65</v>
      </c>
      <c r="S530" s="11" t="s">
        <v>1096</v>
      </c>
      <c r="T530" s="11" t="s">
        <v>2358</v>
      </c>
      <c r="U530" s="10" t="n">
        <f aca="false">IF(AND($D530="",$E530="",$F530=""),1,0)</f>
        <v>0</v>
      </c>
      <c r="V530" s="10" t="n">
        <f aca="false">IF(OR($I530="",$I530="—"),1,0)</f>
        <v>0</v>
      </c>
      <c r="W530" s="10" t="n">
        <f aca="false">IF(AND(ISNUMBER($D530),ISNUMBER($E530)),IF($E530&gt;$D530,1,0),0)+IF(AND(ISNUMBER($D530),ISNUMBER($F530)),IF($D530&gt;$F530,1,0),0)+IF(AND(ISNUMBER($E530),ISNUMBER($F530)),IF($E530&gt;$F530,1,0),0)</f>
        <v>0</v>
      </c>
      <c r="X530" s="13" t="s">
        <v>68</v>
      </c>
    </row>
    <row r="531" customFormat="false" ht="15" hidden="false" customHeight="false" outlineLevel="0" collapsed="false">
      <c r="A531" s="10" t="s">
        <v>2359</v>
      </c>
      <c r="B531" s="10" t="s">
        <v>2360</v>
      </c>
      <c r="C531" s="11" t="s">
        <v>2361</v>
      </c>
      <c r="D531" s="12" t="n">
        <v>511.5</v>
      </c>
      <c r="E531" s="12"/>
      <c r="F531" s="12"/>
      <c r="G531" s="10" t="s">
        <v>2338</v>
      </c>
      <c r="H531" s="10" t="s">
        <v>2159</v>
      </c>
      <c r="I531" s="11" t="s">
        <v>2362</v>
      </c>
      <c r="J531" s="10" t="s">
        <v>2341</v>
      </c>
      <c r="K531" s="10" t="s">
        <v>59</v>
      </c>
      <c r="L531" s="10" t="s">
        <v>60</v>
      </c>
      <c r="M531" s="10" t="s">
        <v>628</v>
      </c>
      <c r="N531" s="10"/>
      <c r="O531" s="11" t="s">
        <v>2363</v>
      </c>
      <c r="P531" s="10" t="s">
        <v>629</v>
      </c>
      <c r="Q531" s="11" t="s">
        <v>630</v>
      </c>
      <c r="R531" s="11" t="s">
        <v>631</v>
      </c>
      <c r="S531" s="11" t="s">
        <v>702</v>
      </c>
      <c r="T531" s="11" t="s">
        <v>2364</v>
      </c>
      <c r="U531" s="10" t="n">
        <f aca="false">IF(AND($D531="",$E531="",$F531=""),1,0)</f>
        <v>0</v>
      </c>
      <c r="V531" s="10" t="n">
        <f aca="false">IF(OR($I531="",$I531="—"),1,0)</f>
        <v>0</v>
      </c>
      <c r="W531" s="10" t="n">
        <f aca="false">IF(AND(ISNUMBER($D531),ISNUMBER($E531)),IF($E531&gt;$D531,1,0),0)+IF(AND(ISNUMBER($D531),ISNUMBER($F531)),IF($D531&gt;$F531,1,0),0)+IF(AND(ISNUMBER($E531),ISNUMBER($F531)),IF($E531&gt;$F531,1,0),0)</f>
        <v>0</v>
      </c>
      <c r="X531" s="13" t="s">
        <v>68</v>
      </c>
    </row>
    <row r="532" customFormat="false" ht="15" hidden="false" customHeight="false" outlineLevel="0" collapsed="false">
      <c r="A532" s="10" t="s">
        <v>2365</v>
      </c>
      <c r="B532" s="10" t="s">
        <v>2366</v>
      </c>
      <c r="C532" s="11" t="s">
        <v>2367</v>
      </c>
      <c r="D532" s="12" t="n">
        <v>528.3</v>
      </c>
      <c r="E532" s="12"/>
      <c r="F532" s="12"/>
      <c r="G532" s="10" t="s">
        <v>2338</v>
      </c>
      <c r="H532" s="10" t="s">
        <v>2159</v>
      </c>
      <c r="I532" s="10" t="s">
        <v>2368</v>
      </c>
      <c r="J532" s="10" t="s">
        <v>2369</v>
      </c>
      <c r="K532" s="10" t="s">
        <v>2159</v>
      </c>
      <c r="L532" s="10" t="s">
        <v>60</v>
      </c>
      <c r="M532" s="10" t="s">
        <v>628</v>
      </c>
      <c r="N532" s="10"/>
      <c r="O532" s="11" t="s">
        <v>2363</v>
      </c>
      <c r="P532" s="10" t="s">
        <v>629</v>
      </c>
      <c r="Q532" s="11" t="s">
        <v>630</v>
      </c>
      <c r="R532" s="11" t="s">
        <v>631</v>
      </c>
      <c r="S532" s="11" t="s">
        <v>702</v>
      </c>
      <c r="T532" s="11" t="s">
        <v>2370</v>
      </c>
      <c r="U532" s="10" t="n">
        <f aca="false">IF(AND($D532="",$E532="",$F532=""),1,0)</f>
        <v>0</v>
      </c>
      <c r="V532" s="10" t="n">
        <f aca="false">IF(OR($I532="",$I532="—"),1,0)</f>
        <v>0</v>
      </c>
      <c r="W532" s="10" t="n">
        <f aca="false">IF(AND(ISNUMBER($D532),ISNUMBER($E532)),IF($E532&gt;$D532,1,0),0)+IF(AND(ISNUMBER($D532),ISNUMBER($F532)),IF($D532&gt;$F532,1,0),0)+IF(AND(ISNUMBER($E532),ISNUMBER($F532)),IF($E532&gt;$F532,1,0),0)</f>
        <v>0</v>
      </c>
      <c r="X532" s="13" t="s">
        <v>68</v>
      </c>
    </row>
    <row r="533" customFormat="false" ht="15" hidden="false" customHeight="false" outlineLevel="0" collapsed="false">
      <c r="A533" s="10" t="s">
        <v>2371</v>
      </c>
      <c r="B533" s="10" t="s">
        <v>2372</v>
      </c>
      <c r="C533" s="11" t="s">
        <v>2373</v>
      </c>
      <c r="D533" s="12" t="n">
        <v>131.5</v>
      </c>
      <c r="E533" s="12"/>
      <c r="F533" s="12"/>
      <c r="G533" s="10" t="s">
        <v>2289</v>
      </c>
      <c r="H533" s="10" t="s">
        <v>2159</v>
      </c>
      <c r="I533" s="11" t="s">
        <v>2374</v>
      </c>
      <c r="J533" s="10" t="s">
        <v>2369</v>
      </c>
      <c r="K533" s="10" t="s">
        <v>2159</v>
      </c>
      <c r="L533" s="10" t="s">
        <v>60</v>
      </c>
      <c r="M533" s="10" t="s">
        <v>61</v>
      </c>
      <c r="N533" s="10"/>
      <c r="O533" s="11" t="s">
        <v>2375</v>
      </c>
      <c r="P533" s="10" t="s">
        <v>629</v>
      </c>
      <c r="Q533" s="11" t="s">
        <v>64</v>
      </c>
      <c r="R533" s="11" t="s">
        <v>1082</v>
      </c>
      <c r="S533" s="11" t="s">
        <v>702</v>
      </c>
      <c r="T533" s="11" t="s">
        <v>2376</v>
      </c>
      <c r="U533" s="10" t="n">
        <f aca="false">IF(AND($D533="",$E533="",$F533=""),1,0)</f>
        <v>0</v>
      </c>
      <c r="V533" s="10" t="n">
        <f aca="false">IF(OR($I533="",$I533="—"),1,0)</f>
        <v>0</v>
      </c>
      <c r="W533" s="10" t="n">
        <f aca="false">IF(AND(ISNUMBER($D533),ISNUMBER($E533)),IF($E533&gt;$D533,1,0),0)+IF(AND(ISNUMBER($D533),ISNUMBER($F533)),IF($D533&gt;$F533,1,0),0)+IF(AND(ISNUMBER($E533),ISNUMBER($F533)),IF($E533&gt;$F533,1,0),0)</f>
        <v>0</v>
      </c>
      <c r="X533" s="13" t="s">
        <v>68</v>
      </c>
    </row>
    <row r="534" customFormat="false" ht="15" hidden="false" customHeight="false" outlineLevel="0" collapsed="false">
      <c r="A534" s="10" t="s">
        <v>2377</v>
      </c>
      <c r="B534" s="10" t="s">
        <v>2378</v>
      </c>
      <c r="C534" s="11" t="s">
        <v>2379</v>
      </c>
      <c r="D534" s="12" t="n">
        <v>578.9</v>
      </c>
      <c r="E534" s="12"/>
      <c r="F534" s="12"/>
      <c r="G534" s="10" t="s">
        <v>2338</v>
      </c>
      <c r="H534" s="10" t="s">
        <v>2159</v>
      </c>
      <c r="I534" s="11" t="s">
        <v>2374</v>
      </c>
      <c r="J534" s="10" t="s">
        <v>2369</v>
      </c>
      <c r="K534" s="10" t="s">
        <v>2159</v>
      </c>
      <c r="L534" s="10" t="s">
        <v>60</v>
      </c>
      <c r="M534" s="10" t="s">
        <v>61</v>
      </c>
      <c r="N534" s="10"/>
      <c r="O534" s="11" t="s">
        <v>2375</v>
      </c>
      <c r="P534" s="10" t="s">
        <v>629</v>
      </c>
      <c r="Q534" s="11" t="s">
        <v>64</v>
      </c>
      <c r="R534" s="11" t="s">
        <v>1082</v>
      </c>
      <c r="S534" s="11" t="s">
        <v>702</v>
      </c>
      <c r="T534" s="11" t="s">
        <v>2380</v>
      </c>
      <c r="U534" s="10" t="n">
        <f aca="false">IF(AND($D534="",$E534="",$F534=""),1,0)</f>
        <v>0</v>
      </c>
      <c r="V534" s="10" t="n">
        <f aca="false">IF(OR($I534="",$I534="—"),1,0)</f>
        <v>0</v>
      </c>
      <c r="W534" s="10" t="n">
        <f aca="false">IF(AND(ISNUMBER($D534),ISNUMBER($E534)),IF($E534&gt;$D534,1,0),0)+IF(AND(ISNUMBER($D534),ISNUMBER($F534)),IF($D534&gt;$F534,1,0),0)+IF(AND(ISNUMBER($E534),ISNUMBER($F534)),IF($E534&gt;$F534,1,0),0)</f>
        <v>0</v>
      </c>
      <c r="X534" s="13" t="s">
        <v>68</v>
      </c>
    </row>
    <row r="535" customFormat="false" ht="15" hidden="false" customHeight="false" outlineLevel="0" collapsed="false">
      <c r="A535" s="10" t="s">
        <v>2381</v>
      </c>
      <c r="B535" s="10" t="s">
        <v>2382</v>
      </c>
      <c r="C535" s="11" t="s">
        <v>2383</v>
      </c>
      <c r="D535" s="12" t="n">
        <v>586</v>
      </c>
      <c r="E535" s="12"/>
      <c r="F535" s="12"/>
      <c r="G535" s="10" t="s">
        <v>2338</v>
      </c>
      <c r="H535" s="10" t="s">
        <v>2159</v>
      </c>
      <c r="I535" s="11" t="s">
        <v>902</v>
      </c>
      <c r="J535" s="10" t="s">
        <v>2384</v>
      </c>
      <c r="K535" s="10" t="s">
        <v>2385</v>
      </c>
      <c r="L535" s="10" t="s">
        <v>60</v>
      </c>
      <c r="M535" s="10" t="s">
        <v>61</v>
      </c>
      <c r="N535" s="10"/>
      <c r="O535" s="11" t="s">
        <v>2386</v>
      </c>
      <c r="P535" s="10" t="s">
        <v>629</v>
      </c>
      <c r="Q535" s="11" t="s">
        <v>64</v>
      </c>
      <c r="R535" s="11" t="s">
        <v>1082</v>
      </c>
      <c r="S535" s="11" t="s">
        <v>702</v>
      </c>
      <c r="T535" s="11" t="s">
        <v>2387</v>
      </c>
      <c r="U535" s="10" t="n">
        <f aca="false">IF(AND($D535="",$E535="",$F535=""),1,0)</f>
        <v>0</v>
      </c>
      <c r="V535" s="10" t="n">
        <f aca="false">IF(OR($I535="",$I535="—"),1,0)</f>
        <v>0</v>
      </c>
      <c r="W535" s="10" t="n">
        <f aca="false">IF(AND(ISNUMBER($D535),ISNUMBER($E535)),IF($E535&gt;$D535,1,0),0)+IF(AND(ISNUMBER($D535),ISNUMBER($F535)),IF($D535&gt;$F535,1,0),0)+IF(AND(ISNUMBER($E535),ISNUMBER($F535)),IF($E535&gt;$F535,1,0),0)</f>
        <v>0</v>
      </c>
      <c r="X535" s="13" t="s">
        <v>68</v>
      </c>
    </row>
    <row r="536" customFormat="false" ht="15" hidden="false" customHeight="false" outlineLevel="0" collapsed="false">
      <c r="A536" s="10" t="s">
        <v>2388</v>
      </c>
      <c r="B536" s="10" t="s">
        <v>2389</v>
      </c>
      <c r="C536" s="10" t="s">
        <v>2390</v>
      </c>
      <c r="D536" s="12" t="n">
        <v>1588</v>
      </c>
      <c r="E536" s="12"/>
      <c r="F536" s="12"/>
      <c r="G536" s="10" t="s">
        <v>2289</v>
      </c>
      <c r="H536" s="10" t="s">
        <v>2391</v>
      </c>
      <c r="I536" s="11" t="s">
        <v>2392</v>
      </c>
      <c r="J536" s="10" t="s">
        <v>2291</v>
      </c>
      <c r="K536" s="10" t="s">
        <v>2292</v>
      </c>
      <c r="L536" s="10" t="s">
        <v>60</v>
      </c>
      <c r="M536" s="10" t="s">
        <v>61</v>
      </c>
      <c r="N536" s="10"/>
      <c r="O536" s="11" t="s">
        <v>2293</v>
      </c>
      <c r="P536" s="10" t="s">
        <v>63</v>
      </c>
      <c r="Q536" s="11" t="s">
        <v>64</v>
      </c>
      <c r="R536" s="11" t="s">
        <v>65</v>
      </c>
      <c r="S536" s="11" t="s">
        <v>66</v>
      </c>
      <c r="T536" s="11" t="s">
        <v>2393</v>
      </c>
      <c r="U536" s="10" t="n">
        <f aca="false">IF(AND($D536="",$E536="",$F536=""),1,0)</f>
        <v>0</v>
      </c>
      <c r="V536" s="10" t="n">
        <f aca="false">IF(OR($I536="",$I536="—"),1,0)</f>
        <v>0</v>
      </c>
      <c r="W536" s="10" t="n">
        <f aca="false">IF(AND(ISNUMBER($D536),ISNUMBER($E536)),IF($E536&gt;$D536,1,0),0)+IF(AND(ISNUMBER($D536),ISNUMBER($F536)),IF($D536&gt;$F536,1,0),0)+IF(AND(ISNUMBER($E536),ISNUMBER($F536)),IF($E536&gt;$F536,1,0),0)</f>
        <v>0</v>
      </c>
      <c r="X536" s="13" t="s">
        <v>68</v>
      </c>
    </row>
    <row r="537" customFormat="false" ht="15" hidden="false" customHeight="false" outlineLevel="0" collapsed="false">
      <c r="A537" s="10" t="s">
        <v>2394</v>
      </c>
      <c r="B537" s="10" t="s">
        <v>2395</v>
      </c>
      <c r="C537" s="10" t="s">
        <v>2396</v>
      </c>
      <c r="D537" s="12" t="n">
        <v>19780000</v>
      </c>
      <c r="E537" s="12"/>
      <c r="F537" s="12"/>
      <c r="G537" s="11" t="s">
        <v>2298</v>
      </c>
      <c r="H537" s="10" t="s">
        <v>2397</v>
      </c>
      <c r="I537" s="11" t="s">
        <v>2398</v>
      </c>
      <c r="J537" s="10" t="s">
        <v>2399</v>
      </c>
      <c r="K537" s="10" t="s">
        <v>2400</v>
      </c>
      <c r="L537" s="10" t="s">
        <v>60</v>
      </c>
      <c r="M537" s="10" t="s">
        <v>61</v>
      </c>
      <c r="N537" s="10"/>
      <c r="O537" s="11" t="s">
        <v>2401</v>
      </c>
      <c r="P537" s="10" t="s">
        <v>629</v>
      </c>
      <c r="Q537" s="11" t="s">
        <v>64</v>
      </c>
      <c r="R537" s="11" t="s">
        <v>1082</v>
      </c>
      <c r="S537" s="11" t="s">
        <v>1270</v>
      </c>
      <c r="T537" s="11" t="s">
        <v>2402</v>
      </c>
      <c r="U537" s="10" t="n">
        <f aca="false">IF(AND($D537="",$E537="",$F537=""),1,0)</f>
        <v>0</v>
      </c>
      <c r="V537" s="10" t="n">
        <f aca="false">IF(OR($I537="",$I537="—"),1,0)</f>
        <v>0</v>
      </c>
      <c r="W537" s="10" t="n">
        <f aca="false">IF(AND(ISNUMBER($D537),ISNUMBER($E537)),IF($E537&gt;$D537,1,0),0)+IF(AND(ISNUMBER($D537),ISNUMBER($F537)),IF($D537&gt;$F537,1,0),0)+IF(AND(ISNUMBER($E537),ISNUMBER($F537)),IF($E537&gt;$F537,1,0),0)</f>
        <v>0</v>
      </c>
      <c r="X537" s="13" t="s">
        <v>68</v>
      </c>
    </row>
    <row r="538" customFormat="false" ht="15" hidden="false" customHeight="false" outlineLevel="0" collapsed="false">
      <c r="A538" s="10" t="s">
        <v>2403</v>
      </c>
      <c r="B538" s="10" t="s">
        <v>2404</v>
      </c>
      <c r="C538" s="10" t="s">
        <v>2405</v>
      </c>
      <c r="D538" s="12" t="n">
        <v>12.99</v>
      </c>
      <c r="E538" s="12"/>
      <c r="F538" s="12"/>
      <c r="G538" s="10" t="s">
        <v>393</v>
      </c>
      <c r="H538" s="10" t="s">
        <v>2406</v>
      </c>
      <c r="I538" s="11" t="s">
        <v>2407</v>
      </c>
      <c r="J538" s="10" t="s">
        <v>2408</v>
      </c>
      <c r="K538" s="10" t="s">
        <v>2391</v>
      </c>
      <c r="L538" s="10" t="s">
        <v>60</v>
      </c>
      <c r="M538" s="10" t="s">
        <v>61</v>
      </c>
      <c r="N538" s="10"/>
      <c r="O538" s="11" t="s">
        <v>2409</v>
      </c>
      <c r="P538" s="10" t="s">
        <v>629</v>
      </c>
      <c r="Q538" s="11" t="s">
        <v>64</v>
      </c>
      <c r="R538" s="11" t="s">
        <v>1082</v>
      </c>
      <c r="S538" s="11" t="s">
        <v>1270</v>
      </c>
      <c r="T538" s="11" t="s">
        <v>2410</v>
      </c>
      <c r="U538" s="10" t="n">
        <f aca="false">IF(AND($D538="",$E538="",$F538=""),1,0)</f>
        <v>0</v>
      </c>
      <c r="V538" s="10" t="n">
        <f aca="false">IF(OR($I538="",$I538="—"),1,0)</f>
        <v>0</v>
      </c>
      <c r="W538" s="10" t="n">
        <f aca="false">IF(AND(ISNUMBER($D538),ISNUMBER($E538)),IF($E538&gt;$D538,1,0),0)+IF(AND(ISNUMBER($D538),ISNUMBER($F538)),IF($D538&gt;$F538,1,0),0)+IF(AND(ISNUMBER($E538),ISNUMBER($F538)),IF($E538&gt;$F538,1,0),0)</f>
        <v>0</v>
      </c>
      <c r="X538" s="13" t="s">
        <v>68</v>
      </c>
    </row>
    <row r="539" customFormat="false" ht="15" hidden="false" customHeight="false" outlineLevel="0" collapsed="false">
      <c r="A539" s="10" t="s">
        <v>2411</v>
      </c>
      <c r="B539" s="10" t="s">
        <v>2412</v>
      </c>
      <c r="C539" s="10" t="s">
        <v>2413</v>
      </c>
      <c r="D539" s="12" t="n">
        <v>31411</v>
      </c>
      <c r="E539" s="12"/>
      <c r="F539" s="12"/>
      <c r="G539" s="10" t="s">
        <v>2304</v>
      </c>
      <c r="H539" s="10" t="s">
        <v>2397</v>
      </c>
      <c r="I539" s="11" t="s">
        <v>2414</v>
      </c>
      <c r="J539" s="10" t="s">
        <v>2415</v>
      </c>
      <c r="K539" s="10" t="s">
        <v>2397</v>
      </c>
      <c r="L539" s="10" t="s">
        <v>60</v>
      </c>
      <c r="M539" s="10" t="s">
        <v>61</v>
      </c>
      <c r="N539" s="10"/>
      <c r="O539" s="11" t="s">
        <v>2409</v>
      </c>
      <c r="P539" s="10" t="s">
        <v>629</v>
      </c>
      <c r="Q539" s="11" t="s">
        <v>64</v>
      </c>
      <c r="R539" s="11" t="s">
        <v>65</v>
      </c>
      <c r="S539" s="11" t="s">
        <v>1096</v>
      </c>
      <c r="T539" s="11" t="s">
        <v>2416</v>
      </c>
      <c r="U539" s="10" t="n">
        <f aca="false">IF(AND($D539="",$E539="",$F539=""),1,0)</f>
        <v>0</v>
      </c>
      <c r="V539" s="10" t="n">
        <f aca="false">IF(OR($I539="",$I539="—"),1,0)</f>
        <v>0</v>
      </c>
      <c r="W539" s="10" t="n">
        <f aca="false">IF(AND(ISNUMBER($D539),ISNUMBER($E539)),IF($E539&gt;$D539,1,0),0)+IF(AND(ISNUMBER($D539),ISNUMBER($F539)),IF($D539&gt;$F539,1,0),0)+IF(AND(ISNUMBER($E539),ISNUMBER($F539)),IF($E539&gt;$F539,1,0),0)</f>
        <v>0</v>
      </c>
      <c r="X539" s="13" t="s">
        <v>68</v>
      </c>
    </row>
    <row r="540" customFormat="false" ht="15" hidden="false" customHeight="false" outlineLevel="0" collapsed="false">
      <c r="A540" s="10" t="s">
        <v>2417</v>
      </c>
      <c r="B540" s="10" t="s">
        <v>2418</v>
      </c>
      <c r="C540" s="10" t="s">
        <v>2419</v>
      </c>
      <c r="D540" s="12" t="n">
        <v>31374.95</v>
      </c>
      <c r="E540" s="12"/>
      <c r="F540" s="12"/>
      <c r="G540" s="10" t="s">
        <v>2304</v>
      </c>
      <c r="H540" s="10" t="s">
        <v>2397</v>
      </c>
      <c r="I540" s="11" t="s">
        <v>2299</v>
      </c>
      <c r="J540" s="10" t="s">
        <v>2291</v>
      </c>
      <c r="K540" s="10" t="s">
        <v>2292</v>
      </c>
      <c r="L540" s="10" t="s">
        <v>60</v>
      </c>
      <c r="M540" s="10" t="s">
        <v>61</v>
      </c>
      <c r="N540" s="10"/>
      <c r="O540" s="11" t="s">
        <v>2293</v>
      </c>
      <c r="P540" s="10" t="s">
        <v>63</v>
      </c>
      <c r="Q540" s="11" t="s">
        <v>64</v>
      </c>
      <c r="R540" s="11" t="s">
        <v>65</v>
      </c>
      <c r="S540" s="11" t="s">
        <v>66</v>
      </c>
      <c r="T540" s="11" t="s">
        <v>2420</v>
      </c>
      <c r="U540" s="10" t="n">
        <f aca="false">IF(AND($D540="",$E540="",$F540=""),1,0)</f>
        <v>0</v>
      </c>
      <c r="V540" s="10" t="n">
        <f aca="false">IF(OR($I540="",$I540="—"),1,0)</f>
        <v>0</v>
      </c>
      <c r="W540" s="10" t="n">
        <f aca="false">IF(AND(ISNUMBER($D540),ISNUMBER($E540)),IF($E540&gt;$D540,1,0),0)+IF(AND(ISNUMBER($D540),ISNUMBER($F540)),IF($D540&gt;$F540,1,0),0)+IF(AND(ISNUMBER($E540),ISNUMBER($F540)),IF($E540&gt;$F540,1,0),0)</f>
        <v>0</v>
      </c>
      <c r="X540" s="13" t="s">
        <v>68</v>
      </c>
    </row>
    <row r="541" customFormat="false" ht="15" hidden="false" customHeight="false" outlineLevel="0" collapsed="false">
      <c r="A541" s="10" t="s">
        <v>2421</v>
      </c>
      <c r="B541" s="10" t="s">
        <v>2422</v>
      </c>
      <c r="C541" s="10" t="s">
        <v>2423</v>
      </c>
      <c r="D541" s="12"/>
      <c r="E541" s="12"/>
      <c r="F541" s="12"/>
      <c r="G541" s="10" t="s">
        <v>55</v>
      </c>
      <c r="H541" s="10" t="s">
        <v>2424</v>
      </c>
      <c r="I541" s="11" t="s">
        <v>2425</v>
      </c>
      <c r="J541" s="10" t="s">
        <v>2291</v>
      </c>
      <c r="K541" s="10" t="s">
        <v>2292</v>
      </c>
      <c r="L541" s="10" t="s">
        <v>60</v>
      </c>
      <c r="M541" s="10" t="s">
        <v>61</v>
      </c>
      <c r="N541" s="10"/>
      <c r="O541" s="11" t="s">
        <v>2426</v>
      </c>
      <c r="P541" s="10" t="s">
        <v>63</v>
      </c>
      <c r="Q541" s="11" t="s">
        <v>64</v>
      </c>
      <c r="R541" s="11" t="s">
        <v>65</v>
      </c>
      <c r="S541" s="11" t="s">
        <v>66</v>
      </c>
      <c r="T541" s="11" t="s">
        <v>2427</v>
      </c>
      <c r="U541" s="10" t="n">
        <f aca="false">IF(AND($D541="",$E541="",$F541=""),1,0)</f>
        <v>1</v>
      </c>
      <c r="V541" s="10" t="n">
        <f aca="false">IF(OR($I541="",$I541="—"),1,0)</f>
        <v>0</v>
      </c>
      <c r="W541" s="10" t="n">
        <f aca="false">IF(AND(ISNUMBER($D541),ISNUMBER($E541)),IF($E541&gt;$D541,1,0),0)+IF(AND(ISNUMBER($D541),ISNUMBER($F541)),IF($D541&gt;$F541,1,0),0)+IF(AND(ISNUMBER($E541),ISNUMBER($F541)),IF($E541&gt;$F541,1,0),0)</f>
        <v>0</v>
      </c>
      <c r="X541" s="13" t="s">
        <v>68</v>
      </c>
    </row>
    <row r="542" customFormat="false" ht="15" hidden="false" customHeight="false" outlineLevel="0" collapsed="false">
      <c r="A542" s="10" t="s">
        <v>2428</v>
      </c>
      <c r="B542" s="10" t="s">
        <v>2429</v>
      </c>
      <c r="C542" s="10" t="s">
        <v>2430</v>
      </c>
      <c r="D542" s="12" t="n">
        <v>4</v>
      </c>
      <c r="E542" s="12"/>
      <c r="F542" s="12"/>
      <c r="G542" s="10" t="s">
        <v>2229</v>
      </c>
      <c r="H542" s="10" t="s">
        <v>2406</v>
      </c>
      <c r="I542" s="10" t="s">
        <v>2431</v>
      </c>
      <c r="J542" s="10" t="s">
        <v>2432</v>
      </c>
      <c r="K542" s="10" t="s">
        <v>2406</v>
      </c>
      <c r="L542" s="10" t="s">
        <v>60</v>
      </c>
      <c r="M542" s="10" t="s">
        <v>408</v>
      </c>
      <c r="N542" s="11" t="s">
        <v>2433</v>
      </c>
      <c r="O542" s="11" t="s">
        <v>2434</v>
      </c>
      <c r="P542" s="10" t="s">
        <v>629</v>
      </c>
      <c r="Q542" s="11" t="s">
        <v>64</v>
      </c>
      <c r="R542" s="11" t="s">
        <v>2433</v>
      </c>
      <c r="S542" s="11" t="s">
        <v>1270</v>
      </c>
      <c r="T542" s="11" t="s">
        <v>2435</v>
      </c>
      <c r="U542" s="10" t="n">
        <f aca="false">IF(AND($D542="",$E542="",$F542=""),1,0)</f>
        <v>0</v>
      </c>
      <c r="V542" s="10" t="n">
        <f aca="false">IF(OR($I542="",$I542="—"),1,0)</f>
        <v>0</v>
      </c>
      <c r="W542" s="10" t="n">
        <f aca="false">IF(AND(ISNUMBER($D542),ISNUMBER($E542)),IF($E542&gt;$D542,1,0),0)+IF(AND(ISNUMBER($D542),ISNUMBER($F542)),IF($D542&gt;$F542,1,0),0)+IF(AND(ISNUMBER($E542),ISNUMBER($F542)),IF($E542&gt;$F542,1,0),0)</f>
        <v>0</v>
      </c>
      <c r="X542" s="13" t="s">
        <v>68</v>
      </c>
    </row>
    <row r="543" customFormat="false" ht="15" hidden="false" customHeight="false" outlineLevel="0" collapsed="false">
      <c r="A543" s="10" t="s">
        <v>2436</v>
      </c>
      <c r="B543" s="10" t="s">
        <v>2437</v>
      </c>
      <c r="C543" s="10" t="s">
        <v>2438</v>
      </c>
      <c r="D543" s="12" t="n">
        <v>55</v>
      </c>
      <c r="E543" s="12"/>
      <c r="F543" s="12"/>
      <c r="G543" s="10" t="s">
        <v>393</v>
      </c>
      <c r="H543" s="10" t="s">
        <v>2424</v>
      </c>
      <c r="I543" s="11" t="s">
        <v>2414</v>
      </c>
      <c r="J543" s="10" t="s">
        <v>2415</v>
      </c>
      <c r="K543" s="10" t="s">
        <v>2397</v>
      </c>
      <c r="L543" s="10" t="s">
        <v>60</v>
      </c>
      <c r="M543" s="10" t="s">
        <v>61</v>
      </c>
      <c r="N543" s="10"/>
      <c r="O543" s="11" t="s">
        <v>2409</v>
      </c>
      <c r="P543" s="10" t="s">
        <v>629</v>
      </c>
      <c r="Q543" s="11" t="s">
        <v>64</v>
      </c>
      <c r="R543" s="11" t="s">
        <v>65</v>
      </c>
      <c r="S543" s="11" t="s">
        <v>1096</v>
      </c>
      <c r="T543" s="11" t="s">
        <v>2439</v>
      </c>
      <c r="U543" s="10" t="n">
        <f aca="false">IF(AND($D543="",$E543="",$F543=""),1,0)</f>
        <v>0</v>
      </c>
      <c r="V543" s="10" t="n">
        <f aca="false">IF(OR($I543="",$I543="—"),1,0)</f>
        <v>0</v>
      </c>
      <c r="W543" s="10" t="n">
        <f aca="false">IF(AND(ISNUMBER($D543),ISNUMBER($E543)),IF($E543&gt;$D543,1,0),0)+IF(AND(ISNUMBER($D543),ISNUMBER($F543)),IF($D543&gt;$F543,1,0),0)+IF(AND(ISNUMBER($E543),ISNUMBER($F543)),IF($E543&gt;$F543,1,0),0)</f>
        <v>0</v>
      </c>
      <c r="X543" s="13" t="s">
        <v>68</v>
      </c>
    </row>
    <row r="544" customFormat="false" ht="15" hidden="false" customHeight="false" outlineLevel="0" collapsed="false">
      <c r="A544" s="10" t="s">
        <v>2440</v>
      </c>
      <c r="B544" s="10" t="s">
        <v>2441</v>
      </c>
      <c r="C544" s="10" t="s">
        <v>2442</v>
      </c>
      <c r="D544" s="12" t="n">
        <v>10954.8</v>
      </c>
      <c r="E544" s="12"/>
      <c r="F544" s="12"/>
      <c r="G544" s="10" t="s">
        <v>2304</v>
      </c>
      <c r="H544" s="10" t="s">
        <v>657</v>
      </c>
      <c r="I544" s="11" t="s">
        <v>2299</v>
      </c>
      <c r="J544" s="10" t="s">
        <v>2291</v>
      </c>
      <c r="K544" s="10" t="s">
        <v>2292</v>
      </c>
      <c r="L544" s="10" t="s">
        <v>60</v>
      </c>
      <c r="M544" s="10" t="s">
        <v>61</v>
      </c>
      <c r="N544" s="10"/>
      <c r="O544" s="11" t="s">
        <v>2293</v>
      </c>
      <c r="P544" s="10" t="s">
        <v>63</v>
      </c>
      <c r="Q544" s="11" t="s">
        <v>64</v>
      </c>
      <c r="R544" s="11" t="s">
        <v>65</v>
      </c>
      <c r="S544" s="11" t="s">
        <v>66</v>
      </c>
      <c r="T544" s="11" t="s">
        <v>2443</v>
      </c>
      <c r="U544" s="10" t="n">
        <f aca="false">IF(AND($D544="",$E544="",$F544=""),1,0)</f>
        <v>0</v>
      </c>
      <c r="V544" s="10" t="n">
        <f aca="false">IF(OR($I544="",$I544="—"),1,0)</f>
        <v>0</v>
      </c>
      <c r="W544" s="10" t="n">
        <f aca="false">IF(AND(ISNUMBER($D544),ISNUMBER($E544)),IF($E544&gt;$D544,1,0),0)+IF(AND(ISNUMBER($D544),ISNUMBER($F544)),IF($D544&gt;$F544,1,0),0)+IF(AND(ISNUMBER($E544),ISNUMBER($F544)),IF($E544&gt;$F544,1,0),0)</f>
        <v>0</v>
      </c>
      <c r="X544" s="13" t="s">
        <v>68</v>
      </c>
    </row>
    <row r="545" customFormat="false" ht="15" hidden="false" customHeight="false" outlineLevel="0" collapsed="false">
      <c r="A545" s="10" t="s">
        <v>2444</v>
      </c>
      <c r="B545" s="10" t="s">
        <v>2445</v>
      </c>
      <c r="C545" s="10" t="s">
        <v>2446</v>
      </c>
      <c r="D545" s="12" t="n">
        <v>714</v>
      </c>
      <c r="E545" s="12"/>
      <c r="F545" s="12"/>
      <c r="G545" s="10" t="s">
        <v>2289</v>
      </c>
      <c r="H545" s="10" t="s">
        <v>2447</v>
      </c>
      <c r="I545" s="11" t="s">
        <v>2299</v>
      </c>
      <c r="J545" s="10" t="s">
        <v>2291</v>
      </c>
      <c r="K545" s="10" t="s">
        <v>2292</v>
      </c>
      <c r="L545" s="10" t="s">
        <v>60</v>
      </c>
      <c r="M545" s="10" t="s">
        <v>61</v>
      </c>
      <c r="N545" s="10"/>
      <c r="O545" s="11" t="s">
        <v>2293</v>
      </c>
      <c r="P545" s="10" t="s">
        <v>63</v>
      </c>
      <c r="Q545" s="11" t="s">
        <v>64</v>
      </c>
      <c r="R545" s="11" t="s">
        <v>65</v>
      </c>
      <c r="S545" s="11" t="s">
        <v>66</v>
      </c>
      <c r="T545" s="11" t="s">
        <v>2448</v>
      </c>
      <c r="U545" s="10" t="n">
        <f aca="false">IF(AND($D545="",$E545="",$F545=""),1,0)</f>
        <v>0</v>
      </c>
      <c r="V545" s="10" t="n">
        <f aca="false">IF(OR($I545="",$I545="—"),1,0)</f>
        <v>0</v>
      </c>
      <c r="W545" s="10" t="n">
        <f aca="false">IF(AND(ISNUMBER($D545),ISNUMBER($E545)),IF($E545&gt;$D545,1,0),0)+IF(AND(ISNUMBER($D545),ISNUMBER($F545)),IF($D545&gt;$F545,1,0),0)+IF(AND(ISNUMBER($E545),ISNUMBER($F545)),IF($E545&gt;$F545,1,0),0)</f>
        <v>0</v>
      </c>
      <c r="X545" s="13" t="s">
        <v>68</v>
      </c>
    </row>
    <row r="546" customFormat="false" ht="15" hidden="false" customHeight="false" outlineLevel="0" collapsed="false">
      <c r="A546" s="10" t="s">
        <v>2449</v>
      </c>
      <c r="B546" s="10" t="s">
        <v>2450</v>
      </c>
      <c r="C546" s="10" t="s">
        <v>2451</v>
      </c>
      <c r="D546" s="12" t="n">
        <v>21965000</v>
      </c>
      <c r="E546" s="12"/>
      <c r="F546" s="12"/>
      <c r="G546" s="11" t="s">
        <v>2298</v>
      </c>
      <c r="H546" s="10" t="s">
        <v>1744</v>
      </c>
      <c r="I546" s="11" t="s">
        <v>2452</v>
      </c>
      <c r="J546" s="10" t="s">
        <v>2453</v>
      </c>
      <c r="K546" s="10" t="s">
        <v>2454</v>
      </c>
      <c r="L546" s="10" t="s">
        <v>60</v>
      </c>
      <c r="M546" s="10" t="s">
        <v>61</v>
      </c>
      <c r="N546" s="10"/>
      <c r="O546" s="11" t="s">
        <v>2455</v>
      </c>
      <c r="P546" s="10" t="s">
        <v>629</v>
      </c>
      <c r="Q546" s="11" t="s">
        <v>64</v>
      </c>
      <c r="R546" s="11" t="s">
        <v>65</v>
      </c>
      <c r="S546" s="11" t="s">
        <v>1096</v>
      </c>
      <c r="T546" s="11" t="s">
        <v>2456</v>
      </c>
      <c r="U546" s="10" t="n">
        <f aca="false">IF(AND($D546="",$E546="",$F546=""),1,0)</f>
        <v>0</v>
      </c>
      <c r="V546" s="10" t="n">
        <f aca="false">IF(OR($I546="",$I546="—"),1,0)</f>
        <v>0</v>
      </c>
      <c r="W546" s="10" t="n">
        <f aca="false">IF(AND(ISNUMBER($D546),ISNUMBER($E546)),IF($E546&gt;$D546,1,0),0)+IF(AND(ISNUMBER($D546),ISNUMBER($F546)),IF($D546&gt;$F546,1,0),0)+IF(AND(ISNUMBER($E546),ISNUMBER($F546)),IF($E546&gt;$F546,1,0),0)</f>
        <v>0</v>
      </c>
      <c r="X546" s="13" t="s">
        <v>68</v>
      </c>
    </row>
    <row r="547" customFormat="false" ht="15" hidden="false" customHeight="false" outlineLevel="0" collapsed="false">
      <c r="A547" s="10" t="s">
        <v>2457</v>
      </c>
      <c r="B547" s="10" t="s">
        <v>2458</v>
      </c>
      <c r="C547" s="10" t="s">
        <v>2459</v>
      </c>
      <c r="D547" s="12" t="n">
        <v>15683.01</v>
      </c>
      <c r="E547" s="12"/>
      <c r="F547" s="12"/>
      <c r="G547" s="10" t="s">
        <v>2304</v>
      </c>
      <c r="H547" s="10" t="s">
        <v>1744</v>
      </c>
      <c r="I547" s="11" t="s">
        <v>2299</v>
      </c>
      <c r="J547" s="10" t="s">
        <v>2291</v>
      </c>
      <c r="K547" s="10" t="s">
        <v>2292</v>
      </c>
      <c r="L547" s="10" t="s">
        <v>60</v>
      </c>
      <c r="M547" s="10" t="s">
        <v>61</v>
      </c>
      <c r="N547" s="10"/>
      <c r="O547" s="11" t="s">
        <v>2293</v>
      </c>
      <c r="P547" s="10" t="s">
        <v>63</v>
      </c>
      <c r="Q547" s="11" t="s">
        <v>64</v>
      </c>
      <c r="R547" s="11" t="s">
        <v>65</v>
      </c>
      <c r="S547" s="11" t="s">
        <v>66</v>
      </c>
      <c r="T547" s="11" t="s">
        <v>2460</v>
      </c>
      <c r="U547" s="10" t="n">
        <f aca="false">IF(AND($D547="",$E547="",$F547=""),1,0)</f>
        <v>0</v>
      </c>
      <c r="V547" s="10" t="n">
        <f aca="false">IF(OR($I547="",$I547="—"),1,0)</f>
        <v>0</v>
      </c>
      <c r="W547" s="10" t="n">
        <f aca="false">IF(AND(ISNUMBER($D547),ISNUMBER($E547)),IF($E547&gt;$D547,1,0),0)+IF(AND(ISNUMBER($D547),ISNUMBER($F547)),IF($D547&gt;$F547,1,0),0)+IF(AND(ISNUMBER($E547),ISNUMBER($F547)),IF($E547&gt;$F547,1,0),0)</f>
        <v>0</v>
      </c>
      <c r="X547" s="13" t="s">
        <v>68</v>
      </c>
    </row>
    <row r="548" customFormat="false" ht="15" hidden="false" customHeight="false" outlineLevel="0" collapsed="false">
      <c r="A548" s="10" t="s">
        <v>2461</v>
      </c>
      <c r="B548" s="10" t="s">
        <v>2462</v>
      </c>
      <c r="C548" s="10" t="s">
        <v>2463</v>
      </c>
      <c r="D548" s="12" t="n">
        <v>15664.13</v>
      </c>
      <c r="E548" s="12"/>
      <c r="F548" s="12"/>
      <c r="G548" s="10" t="s">
        <v>2304</v>
      </c>
      <c r="H548" s="10" t="s">
        <v>1744</v>
      </c>
      <c r="I548" s="11" t="s">
        <v>2299</v>
      </c>
      <c r="J548" s="10" t="s">
        <v>2291</v>
      </c>
      <c r="K548" s="10" t="s">
        <v>2292</v>
      </c>
      <c r="L548" s="10" t="s">
        <v>60</v>
      </c>
      <c r="M548" s="10" t="s">
        <v>61</v>
      </c>
      <c r="N548" s="10"/>
      <c r="O548" s="11" t="s">
        <v>2293</v>
      </c>
      <c r="P548" s="10" t="s">
        <v>63</v>
      </c>
      <c r="Q548" s="11" t="s">
        <v>64</v>
      </c>
      <c r="R548" s="11" t="s">
        <v>65</v>
      </c>
      <c r="S548" s="11" t="s">
        <v>66</v>
      </c>
      <c r="T548" s="11" t="s">
        <v>2464</v>
      </c>
      <c r="U548" s="10" t="n">
        <f aca="false">IF(AND($D548="",$E548="",$F548=""),1,0)</f>
        <v>0</v>
      </c>
      <c r="V548" s="10" t="n">
        <f aca="false">IF(OR($I548="",$I548="—"),1,0)</f>
        <v>0</v>
      </c>
      <c r="W548" s="10" t="n">
        <f aca="false">IF(AND(ISNUMBER($D548),ISNUMBER($E548)),IF($E548&gt;$D548,1,0),0)+IF(AND(ISNUMBER($D548),ISNUMBER($F548)),IF($D548&gt;$F548,1,0),0)+IF(AND(ISNUMBER($E548),ISNUMBER($F548)),IF($E548&gt;$F548,1,0),0)</f>
        <v>0</v>
      </c>
      <c r="X548" s="13" t="s">
        <v>68</v>
      </c>
    </row>
    <row r="549" customFormat="false" ht="15" hidden="false" customHeight="false" outlineLevel="0" collapsed="false">
      <c r="A549" s="10" t="s">
        <v>2465</v>
      </c>
      <c r="B549" s="10" t="s">
        <v>2466</v>
      </c>
      <c r="C549" s="10" t="s">
        <v>2467</v>
      </c>
      <c r="D549" s="12" t="n">
        <v>201.4</v>
      </c>
      <c r="E549" s="12"/>
      <c r="F549" s="12"/>
      <c r="G549" s="10" t="s">
        <v>55</v>
      </c>
      <c r="H549" s="10" t="s">
        <v>2468</v>
      </c>
      <c r="I549" s="11" t="s">
        <v>2299</v>
      </c>
      <c r="J549" s="10" t="s">
        <v>2291</v>
      </c>
      <c r="K549" s="10" t="s">
        <v>2292</v>
      </c>
      <c r="L549" s="10" t="s">
        <v>60</v>
      </c>
      <c r="M549" s="10" t="s">
        <v>61</v>
      </c>
      <c r="N549" s="10"/>
      <c r="O549" s="11" t="s">
        <v>2293</v>
      </c>
      <c r="P549" s="10" t="s">
        <v>63</v>
      </c>
      <c r="Q549" s="11" t="s">
        <v>64</v>
      </c>
      <c r="R549" s="11" t="s">
        <v>65</v>
      </c>
      <c r="S549" s="11" t="s">
        <v>66</v>
      </c>
      <c r="T549" s="11" t="s">
        <v>2469</v>
      </c>
      <c r="U549" s="10" t="n">
        <f aca="false">IF(AND($D549="",$E549="",$F549=""),1,0)</f>
        <v>0</v>
      </c>
      <c r="V549" s="10" t="n">
        <f aca="false">IF(OR($I549="",$I549="—"),1,0)</f>
        <v>0</v>
      </c>
      <c r="W549" s="10" t="n">
        <f aca="false">IF(AND(ISNUMBER($D549),ISNUMBER($E549)),IF($E549&gt;$D549,1,0),0)+IF(AND(ISNUMBER($D549),ISNUMBER($F549)),IF($D549&gt;$F549,1,0),0)+IF(AND(ISNUMBER($E549),ISNUMBER($F549)),IF($E549&gt;$F549,1,0),0)</f>
        <v>0</v>
      </c>
      <c r="X549" s="13" t="s">
        <v>68</v>
      </c>
    </row>
    <row r="550" customFormat="false" ht="15" hidden="false" customHeight="false" outlineLevel="0" collapsed="false">
      <c r="A550" s="10" t="s">
        <v>2470</v>
      </c>
      <c r="B550" s="10" t="s">
        <v>2471</v>
      </c>
      <c r="C550" s="11" t="s">
        <v>2472</v>
      </c>
      <c r="D550" s="12" t="n">
        <v>3015.64</v>
      </c>
      <c r="E550" s="12"/>
      <c r="F550" s="12"/>
      <c r="G550" s="10" t="s">
        <v>2218</v>
      </c>
      <c r="H550" s="10" t="s">
        <v>2454</v>
      </c>
      <c r="I550" s="11" t="s">
        <v>2299</v>
      </c>
      <c r="J550" s="10" t="s">
        <v>2291</v>
      </c>
      <c r="K550" s="10" t="s">
        <v>2292</v>
      </c>
      <c r="L550" s="10" t="s">
        <v>60</v>
      </c>
      <c r="M550" s="10" t="s">
        <v>61</v>
      </c>
      <c r="N550" s="10"/>
      <c r="O550" s="11" t="s">
        <v>2293</v>
      </c>
      <c r="P550" s="10" t="s">
        <v>63</v>
      </c>
      <c r="Q550" s="11" t="s">
        <v>64</v>
      </c>
      <c r="R550" s="11" t="s">
        <v>65</v>
      </c>
      <c r="S550" s="11" t="s">
        <v>66</v>
      </c>
      <c r="T550" s="11" t="s">
        <v>2473</v>
      </c>
      <c r="U550" s="10" t="n">
        <f aca="false">IF(AND($D550="",$E550="",$F550=""),1,0)</f>
        <v>0</v>
      </c>
      <c r="V550" s="10" t="n">
        <f aca="false">IF(OR($I550="",$I550="—"),1,0)</f>
        <v>0</v>
      </c>
      <c r="W550" s="10" t="n">
        <f aca="false">IF(AND(ISNUMBER($D550),ISNUMBER($E550)),IF($E550&gt;$D550,1,0),0)+IF(AND(ISNUMBER($D550),ISNUMBER($F550)),IF($D550&gt;$F550,1,0),0)+IF(AND(ISNUMBER($E550),ISNUMBER($F550)),IF($E550&gt;$F550,1,0),0)</f>
        <v>0</v>
      </c>
      <c r="X550" s="13" t="s">
        <v>68</v>
      </c>
    </row>
    <row r="551" customFormat="false" ht="15" hidden="false" customHeight="false" outlineLevel="0" collapsed="false">
      <c r="A551" s="10" t="s">
        <v>2474</v>
      </c>
      <c r="B551" s="10" t="s">
        <v>2475</v>
      </c>
      <c r="C551" s="11" t="s">
        <v>2476</v>
      </c>
      <c r="D551" s="12" t="n">
        <v>3010.77</v>
      </c>
      <c r="E551" s="12"/>
      <c r="F551" s="12"/>
      <c r="G551" s="10" t="s">
        <v>2218</v>
      </c>
      <c r="H551" s="10" t="s">
        <v>2454</v>
      </c>
      <c r="I551" s="11" t="s">
        <v>2299</v>
      </c>
      <c r="J551" s="10" t="s">
        <v>2291</v>
      </c>
      <c r="K551" s="10" t="s">
        <v>2292</v>
      </c>
      <c r="L551" s="10" t="s">
        <v>60</v>
      </c>
      <c r="M551" s="10" t="s">
        <v>61</v>
      </c>
      <c r="N551" s="10"/>
      <c r="O551" s="11" t="s">
        <v>2293</v>
      </c>
      <c r="P551" s="10" t="s">
        <v>63</v>
      </c>
      <c r="Q551" s="11" t="s">
        <v>64</v>
      </c>
      <c r="R551" s="11" t="s">
        <v>65</v>
      </c>
      <c r="S551" s="11" t="s">
        <v>66</v>
      </c>
      <c r="T551" s="11" t="s">
        <v>2477</v>
      </c>
      <c r="U551" s="10" t="n">
        <f aca="false">IF(AND($D551="",$E551="",$F551=""),1,0)</f>
        <v>0</v>
      </c>
      <c r="V551" s="10" t="n">
        <f aca="false">IF(OR($I551="",$I551="—"),1,0)</f>
        <v>0</v>
      </c>
      <c r="W551" s="10" t="n">
        <f aca="false">IF(AND(ISNUMBER($D551),ISNUMBER($E551)),IF($E551&gt;$D551,1,0),0)+IF(AND(ISNUMBER($D551),ISNUMBER($F551)),IF($D551&gt;$F551,1,0),0)+IF(AND(ISNUMBER($E551),ISNUMBER($F551)),IF($E551&gt;$F551,1,0),0)</f>
        <v>0</v>
      </c>
      <c r="X551" s="13" t="s">
        <v>68</v>
      </c>
    </row>
    <row r="552" customFormat="false" ht="15" hidden="false" customHeight="false" outlineLevel="0" collapsed="false">
      <c r="A552" s="10" t="s">
        <v>2478</v>
      </c>
      <c r="B552" s="10" t="s">
        <v>2479</v>
      </c>
      <c r="C552" s="11" t="s">
        <v>2480</v>
      </c>
      <c r="D552" s="12" t="n">
        <v>892.5</v>
      </c>
      <c r="E552" s="12"/>
      <c r="F552" s="12"/>
      <c r="G552" s="10" t="s">
        <v>2289</v>
      </c>
      <c r="H552" s="10" t="s">
        <v>2447</v>
      </c>
      <c r="I552" s="11" t="s">
        <v>2299</v>
      </c>
      <c r="J552" s="10" t="s">
        <v>2291</v>
      </c>
      <c r="K552" s="10" t="s">
        <v>2292</v>
      </c>
      <c r="L552" s="10" t="s">
        <v>60</v>
      </c>
      <c r="M552" s="10" t="s">
        <v>61</v>
      </c>
      <c r="N552" s="10"/>
      <c r="O552" s="11" t="s">
        <v>2293</v>
      </c>
      <c r="P552" s="10" t="s">
        <v>63</v>
      </c>
      <c r="Q552" s="11" t="s">
        <v>64</v>
      </c>
      <c r="R552" s="11" t="s">
        <v>65</v>
      </c>
      <c r="S552" s="11" t="s">
        <v>66</v>
      </c>
      <c r="T552" s="11" t="s">
        <v>2481</v>
      </c>
      <c r="U552" s="10" t="n">
        <f aca="false">IF(AND($D552="",$E552="",$F552=""),1,0)</f>
        <v>0</v>
      </c>
      <c r="V552" s="10" t="n">
        <f aca="false">IF(OR($I552="",$I552="—"),1,0)</f>
        <v>0</v>
      </c>
      <c r="W552" s="10" t="n">
        <f aca="false">IF(AND(ISNUMBER($D552),ISNUMBER($E552)),IF($E552&gt;$D552,1,0),0)+IF(AND(ISNUMBER($D552),ISNUMBER($F552)),IF($D552&gt;$F552,1,0),0)+IF(AND(ISNUMBER($E552),ISNUMBER($F552)),IF($E552&gt;$F552,1,0),0)</f>
        <v>0</v>
      </c>
      <c r="X552" s="13" t="s">
        <v>68</v>
      </c>
    </row>
    <row r="553" customFormat="false" ht="15" hidden="false" customHeight="false" outlineLevel="0" collapsed="false">
      <c r="A553" s="10" t="s">
        <v>2482</v>
      </c>
      <c r="B553" s="10" t="s">
        <v>2483</v>
      </c>
      <c r="C553" s="11" t="s">
        <v>2484</v>
      </c>
      <c r="D553" s="12" t="n">
        <v>26365026</v>
      </c>
      <c r="E553" s="12"/>
      <c r="F553" s="12"/>
      <c r="G553" s="11" t="s">
        <v>2298</v>
      </c>
      <c r="H553" s="10" t="s">
        <v>1949</v>
      </c>
      <c r="I553" s="11" t="s">
        <v>2299</v>
      </c>
      <c r="J553" s="10" t="s">
        <v>2291</v>
      </c>
      <c r="K553" s="10" t="s">
        <v>2292</v>
      </c>
      <c r="L553" s="10" t="s">
        <v>60</v>
      </c>
      <c r="M553" s="10" t="s">
        <v>61</v>
      </c>
      <c r="N553" s="10"/>
      <c r="O553" s="11" t="s">
        <v>2293</v>
      </c>
      <c r="P553" s="10" t="s">
        <v>63</v>
      </c>
      <c r="Q553" s="11" t="s">
        <v>64</v>
      </c>
      <c r="R553" s="11" t="s">
        <v>65</v>
      </c>
      <c r="S553" s="11" t="s">
        <v>66</v>
      </c>
      <c r="T553" s="11" t="s">
        <v>2485</v>
      </c>
      <c r="U553" s="10" t="n">
        <f aca="false">IF(AND($D553="",$E553="",$F553=""),1,0)</f>
        <v>0</v>
      </c>
      <c r="V553" s="10" t="n">
        <f aca="false">IF(OR($I553="",$I553="—"),1,0)</f>
        <v>0</v>
      </c>
      <c r="W553" s="10" t="n">
        <f aca="false">IF(AND(ISNUMBER($D553),ISNUMBER($E553)),IF($E553&gt;$D553,1,0),0)+IF(AND(ISNUMBER($D553),ISNUMBER($F553)),IF($D553&gt;$F553,1,0),0)+IF(AND(ISNUMBER($E553),ISNUMBER($F553)),IF($E553&gt;$F553,1,0),0)</f>
        <v>0</v>
      </c>
      <c r="X553" s="13" t="s">
        <v>68</v>
      </c>
    </row>
    <row r="554" customFormat="false" ht="15" hidden="false" customHeight="false" outlineLevel="0" collapsed="false">
      <c r="A554" s="10" t="s">
        <v>2486</v>
      </c>
      <c r="B554" s="10" t="s">
        <v>2487</v>
      </c>
      <c r="C554" s="10" t="s">
        <v>2488</v>
      </c>
      <c r="D554" s="12" t="n">
        <v>60</v>
      </c>
      <c r="E554" s="12"/>
      <c r="F554" s="12"/>
      <c r="G554" s="10" t="s">
        <v>393</v>
      </c>
      <c r="H554" s="10" t="s">
        <v>1949</v>
      </c>
      <c r="I554" s="11" t="s">
        <v>2299</v>
      </c>
      <c r="J554" s="10" t="s">
        <v>2291</v>
      </c>
      <c r="K554" s="10" t="s">
        <v>2292</v>
      </c>
      <c r="L554" s="10" t="s">
        <v>60</v>
      </c>
      <c r="M554" s="10" t="s">
        <v>61</v>
      </c>
      <c r="N554" s="10"/>
      <c r="O554" s="11" t="s">
        <v>2293</v>
      </c>
      <c r="P554" s="10" t="s">
        <v>63</v>
      </c>
      <c r="Q554" s="11" t="s">
        <v>64</v>
      </c>
      <c r="R554" s="11" t="s">
        <v>65</v>
      </c>
      <c r="S554" s="11" t="s">
        <v>66</v>
      </c>
      <c r="T554" s="10" t="s">
        <v>2489</v>
      </c>
      <c r="U554" s="10" t="n">
        <f aca="false">IF(AND($D554="",$E554="",$F554=""),1,0)</f>
        <v>0</v>
      </c>
      <c r="V554" s="10" t="n">
        <f aca="false">IF(OR($I554="",$I554="—"),1,0)</f>
        <v>0</v>
      </c>
      <c r="W554" s="10" t="n">
        <f aca="false">IF(AND(ISNUMBER($D554),ISNUMBER($E554)),IF($E554&gt;$D554,1,0),0)+IF(AND(ISNUMBER($D554),ISNUMBER($F554)),IF($D554&gt;$F554,1,0),0)+IF(AND(ISNUMBER($E554),ISNUMBER($F554)),IF($E554&gt;$F554,1,0),0)</f>
        <v>0</v>
      </c>
      <c r="X554" s="13" t="s">
        <v>68</v>
      </c>
    </row>
    <row r="555" customFormat="false" ht="15" hidden="false" customHeight="false" outlineLevel="0" collapsed="false">
      <c r="A555" s="10" t="s">
        <v>2490</v>
      </c>
      <c r="B555" s="10" t="s">
        <v>2491</v>
      </c>
      <c r="C555" s="10" t="s">
        <v>2492</v>
      </c>
      <c r="D555" s="12" t="n">
        <v>393.31</v>
      </c>
      <c r="E555" s="12"/>
      <c r="F555" s="12"/>
      <c r="G555" s="10" t="s">
        <v>2338</v>
      </c>
      <c r="H555" s="10" t="s">
        <v>1949</v>
      </c>
      <c r="I555" s="11" t="s">
        <v>2493</v>
      </c>
      <c r="J555" s="10" t="s">
        <v>2494</v>
      </c>
      <c r="K555" s="10" t="s">
        <v>1347</v>
      </c>
      <c r="L555" s="10" t="s">
        <v>60</v>
      </c>
      <c r="M555" s="10" t="s">
        <v>628</v>
      </c>
      <c r="N555" s="10"/>
      <c r="O555" s="11" t="s">
        <v>2495</v>
      </c>
      <c r="P555" s="10" t="s">
        <v>629</v>
      </c>
      <c r="Q555" s="11" t="s">
        <v>630</v>
      </c>
      <c r="R555" s="11" t="s">
        <v>631</v>
      </c>
      <c r="S555" s="11" t="s">
        <v>630</v>
      </c>
      <c r="T555" s="11" t="s">
        <v>2496</v>
      </c>
      <c r="U555" s="10" t="n">
        <f aca="false">IF(AND($D555="",$E555="",$F555=""),1,0)</f>
        <v>0</v>
      </c>
      <c r="V555" s="10" t="n">
        <f aca="false">IF(OR($I555="",$I555="—"),1,0)</f>
        <v>0</v>
      </c>
      <c r="W555" s="10" t="n">
        <f aca="false">IF(AND(ISNUMBER($D555),ISNUMBER($E555)),IF($E555&gt;$D555,1,0),0)+IF(AND(ISNUMBER($D555),ISNUMBER($F555)),IF($D555&gt;$F555,1,0),0)+IF(AND(ISNUMBER($E555),ISNUMBER($F555)),IF($E555&gt;$F555,1,0),0)</f>
        <v>0</v>
      </c>
      <c r="X555" s="13" t="s">
        <v>68</v>
      </c>
    </row>
    <row r="556" customFormat="false" ht="15" hidden="false" customHeight="false" outlineLevel="0" collapsed="false">
      <c r="A556" s="10" t="s">
        <v>2497</v>
      </c>
      <c r="B556" s="10" t="s">
        <v>2498</v>
      </c>
      <c r="C556" s="11" t="s">
        <v>2499</v>
      </c>
      <c r="D556" s="12" t="n">
        <v>2224.8</v>
      </c>
      <c r="E556" s="12"/>
      <c r="F556" s="12"/>
      <c r="G556" s="10" t="s">
        <v>2500</v>
      </c>
      <c r="H556" s="10" t="s">
        <v>816</v>
      </c>
      <c r="I556" s="11" t="s">
        <v>2501</v>
      </c>
      <c r="J556" s="10" t="s">
        <v>2502</v>
      </c>
      <c r="K556" s="10" t="s">
        <v>657</v>
      </c>
      <c r="L556" s="10" t="s">
        <v>60</v>
      </c>
      <c r="M556" s="10" t="s">
        <v>61</v>
      </c>
      <c r="N556" s="10"/>
      <c r="O556" s="11" t="s">
        <v>2503</v>
      </c>
      <c r="P556" s="10" t="s">
        <v>63</v>
      </c>
      <c r="Q556" s="11" t="s">
        <v>64</v>
      </c>
      <c r="R556" s="11" t="s">
        <v>65</v>
      </c>
      <c r="S556" s="11" t="s">
        <v>66</v>
      </c>
      <c r="T556" s="11" t="s">
        <v>2504</v>
      </c>
      <c r="U556" s="10" t="n">
        <f aca="false">IF(AND($D556="",$E556="",$F556=""),1,0)</f>
        <v>0</v>
      </c>
      <c r="V556" s="10" t="n">
        <f aca="false">IF(OR($I556="",$I556="—"),1,0)</f>
        <v>0</v>
      </c>
      <c r="W556" s="10" t="n">
        <f aca="false">IF(AND(ISNUMBER($D556),ISNUMBER($E556)),IF($E556&gt;$D556,1,0),0)+IF(AND(ISNUMBER($D556),ISNUMBER($F556)),IF($D556&gt;$F556,1,0),0)+IF(AND(ISNUMBER($E556),ISNUMBER($F556)),IF($E556&gt;$F556,1,0),0)</f>
        <v>0</v>
      </c>
      <c r="X556" s="13" t="s">
        <v>68</v>
      </c>
    </row>
    <row r="557" customFormat="false" ht="15" hidden="false" customHeight="false" outlineLevel="0" collapsed="false">
      <c r="A557" s="10" t="s">
        <v>2505</v>
      </c>
      <c r="B557" s="10" t="s">
        <v>2506</v>
      </c>
      <c r="C557" s="11" t="s">
        <v>2499</v>
      </c>
      <c r="D557" s="12" t="n">
        <v>689.5</v>
      </c>
      <c r="E557" s="12"/>
      <c r="F557" s="12"/>
      <c r="G557" s="10" t="s">
        <v>2500</v>
      </c>
      <c r="H557" s="10" t="s">
        <v>618</v>
      </c>
      <c r="I557" s="11" t="s">
        <v>2501</v>
      </c>
      <c r="J557" s="10" t="s">
        <v>2502</v>
      </c>
      <c r="K557" s="10" t="s">
        <v>657</v>
      </c>
      <c r="L557" s="10" t="s">
        <v>60</v>
      </c>
      <c r="M557" s="10" t="s">
        <v>61</v>
      </c>
      <c r="N557" s="10"/>
      <c r="O557" s="11" t="s">
        <v>2507</v>
      </c>
      <c r="P557" s="10" t="s">
        <v>63</v>
      </c>
      <c r="Q557" s="11" t="s">
        <v>64</v>
      </c>
      <c r="R557" s="11" t="s">
        <v>65</v>
      </c>
      <c r="S557" s="11" t="s">
        <v>66</v>
      </c>
      <c r="T557" s="10" t="s">
        <v>2508</v>
      </c>
      <c r="U557" s="10" t="n">
        <f aca="false">IF(AND($D557="",$E557="",$F557=""),1,0)</f>
        <v>0</v>
      </c>
      <c r="V557" s="10" t="n">
        <f aca="false">IF(OR($I557="",$I557="—"),1,0)</f>
        <v>0</v>
      </c>
      <c r="W557" s="10" t="n">
        <f aca="false">IF(AND(ISNUMBER($D557),ISNUMBER($E557)),IF($E557&gt;$D557,1,0),0)+IF(AND(ISNUMBER($D557),ISNUMBER($F557)),IF($D557&gt;$F557,1,0),0)+IF(AND(ISNUMBER($E557),ISNUMBER($F557)),IF($E557&gt;$F557,1,0),0)</f>
        <v>0</v>
      </c>
      <c r="X557" s="13" t="s">
        <v>68</v>
      </c>
    </row>
    <row r="558" customFormat="false" ht="15" hidden="false" customHeight="false" outlineLevel="0" collapsed="false">
      <c r="A558" s="10" t="s">
        <v>2509</v>
      </c>
      <c r="B558" s="10" t="s">
        <v>2510</v>
      </c>
      <c r="C558" s="11" t="s">
        <v>2511</v>
      </c>
      <c r="D558" s="12" t="n">
        <v>58.8</v>
      </c>
      <c r="E558" s="12"/>
      <c r="F558" s="12"/>
      <c r="G558" s="10" t="s">
        <v>393</v>
      </c>
      <c r="H558" s="10" t="s">
        <v>816</v>
      </c>
      <c r="I558" s="11" t="s">
        <v>2501</v>
      </c>
      <c r="J558" s="10" t="s">
        <v>2502</v>
      </c>
      <c r="K558" s="10" t="s">
        <v>657</v>
      </c>
      <c r="L558" s="10" t="s">
        <v>60</v>
      </c>
      <c r="M558" s="10" t="s">
        <v>61</v>
      </c>
      <c r="N558" s="10"/>
      <c r="O558" s="11" t="s">
        <v>2503</v>
      </c>
      <c r="P558" s="10" t="s">
        <v>63</v>
      </c>
      <c r="Q558" s="11" t="s">
        <v>64</v>
      </c>
      <c r="R558" s="11" t="s">
        <v>65</v>
      </c>
      <c r="S558" s="11" t="s">
        <v>66</v>
      </c>
      <c r="T558" s="11" t="s">
        <v>2512</v>
      </c>
      <c r="U558" s="10" t="n">
        <f aca="false">IF(AND($D558="",$E558="",$F558=""),1,0)</f>
        <v>0</v>
      </c>
      <c r="V558" s="10" t="n">
        <f aca="false">IF(OR($I558="",$I558="—"),1,0)</f>
        <v>0</v>
      </c>
      <c r="W558" s="10" t="n">
        <f aca="false">IF(AND(ISNUMBER($D558),ISNUMBER($E558)),IF($E558&gt;$D558,1,0),0)+IF(AND(ISNUMBER($D558),ISNUMBER($F558)),IF($D558&gt;$F558,1,0),0)+IF(AND(ISNUMBER($E558),ISNUMBER($F558)),IF($E558&gt;$F558,1,0),0)</f>
        <v>0</v>
      </c>
      <c r="X558" s="13" t="s">
        <v>68</v>
      </c>
    </row>
    <row r="559" customFormat="false" ht="15" hidden="false" customHeight="false" outlineLevel="0" collapsed="false">
      <c r="A559" s="10" t="s">
        <v>2513</v>
      </c>
      <c r="B559" s="10" t="s">
        <v>2514</v>
      </c>
      <c r="C559" s="11" t="s">
        <v>2515</v>
      </c>
      <c r="D559" s="12" t="n">
        <v>360.52</v>
      </c>
      <c r="E559" s="12"/>
      <c r="F559" s="12"/>
      <c r="G559" s="10" t="s">
        <v>2500</v>
      </c>
      <c r="H559" s="10" t="s">
        <v>1415</v>
      </c>
      <c r="I559" s="11" t="s">
        <v>2516</v>
      </c>
      <c r="J559" s="10" t="s">
        <v>2502</v>
      </c>
      <c r="K559" s="10" t="s">
        <v>657</v>
      </c>
      <c r="L559" s="10" t="s">
        <v>60</v>
      </c>
      <c r="M559" s="10" t="s">
        <v>61</v>
      </c>
      <c r="N559" s="10"/>
      <c r="O559" s="11" t="s">
        <v>2293</v>
      </c>
      <c r="P559" s="10" t="s">
        <v>63</v>
      </c>
      <c r="Q559" s="11" t="s">
        <v>64</v>
      </c>
      <c r="R559" s="11" t="s">
        <v>65</v>
      </c>
      <c r="S559" s="11" t="s">
        <v>66</v>
      </c>
      <c r="T559" s="11" t="s">
        <v>2517</v>
      </c>
      <c r="U559" s="10" t="n">
        <f aca="false">IF(AND($D559="",$E559="",$F559=""),1,0)</f>
        <v>0</v>
      </c>
      <c r="V559" s="10" t="n">
        <f aca="false">IF(OR($I559="",$I559="—"),1,0)</f>
        <v>0</v>
      </c>
      <c r="W559" s="10" t="n">
        <f aca="false">IF(AND(ISNUMBER($D559),ISNUMBER($E559)),IF($E559&gt;$D559,1,0),0)+IF(AND(ISNUMBER($D559),ISNUMBER($F559)),IF($D559&gt;$F559,1,0),0)+IF(AND(ISNUMBER($E559),ISNUMBER($F559)),IF($E559&gt;$F559,1,0),0)</f>
        <v>0</v>
      </c>
      <c r="X559" s="13" t="s">
        <v>68</v>
      </c>
    </row>
    <row r="560" customFormat="false" ht="15" hidden="false" customHeight="false" outlineLevel="0" collapsed="false">
      <c r="A560" s="10" t="s">
        <v>2518</v>
      </c>
      <c r="B560" s="10" t="s">
        <v>2519</v>
      </c>
      <c r="C560" s="11" t="s">
        <v>2520</v>
      </c>
      <c r="D560" s="12" t="n">
        <v>81.62</v>
      </c>
      <c r="E560" s="12"/>
      <c r="F560" s="12"/>
      <c r="G560" s="10" t="s">
        <v>2500</v>
      </c>
      <c r="H560" s="10" t="s">
        <v>1415</v>
      </c>
      <c r="I560" s="11" t="s">
        <v>2209</v>
      </c>
      <c r="J560" s="10" t="s">
        <v>2521</v>
      </c>
      <c r="K560" s="10" t="s">
        <v>1415</v>
      </c>
      <c r="L560" s="10" t="s">
        <v>60</v>
      </c>
      <c r="M560" s="10" t="s">
        <v>61</v>
      </c>
      <c r="N560" s="10"/>
      <c r="O560" s="11" t="s">
        <v>2409</v>
      </c>
      <c r="P560" s="10" t="s">
        <v>629</v>
      </c>
      <c r="Q560" s="11" t="s">
        <v>64</v>
      </c>
      <c r="R560" s="11" t="s">
        <v>1082</v>
      </c>
      <c r="S560" s="11" t="s">
        <v>1270</v>
      </c>
      <c r="T560" s="11" t="s">
        <v>2522</v>
      </c>
      <c r="U560" s="10" t="n">
        <f aca="false">IF(AND($D560="",$E560="",$F560=""),1,0)</f>
        <v>0</v>
      </c>
      <c r="V560" s="10" t="n">
        <f aca="false">IF(OR($I560="",$I560="—"),1,0)</f>
        <v>0</v>
      </c>
      <c r="W560" s="10" t="n">
        <f aca="false">IF(AND(ISNUMBER($D560),ISNUMBER($E560)),IF($E560&gt;$D560,1,0),0)+IF(AND(ISNUMBER($D560),ISNUMBER($F560)),IF($D560&gt;$F560,1,0),0)+IF(AND(ISNUMBER($E560),ISNUMBER($F560)),IF($E560&gt;$F560,1,0),0)</f>
        <v>0</v>
      </c>
      <c r="X560" s="13" t="s">
        <v>68</v>
      </c>
    </row>
    <row r="561" customFormat="false" ht="15" hidden="false" customHeight="false" outlineLevel="0" collapsed="false">
      <c r="A561" s="10" t="s">
        <v>2523</v>
      </c>
      <c r="B561" s="10" t="s">
        <v>2524</v>
      </c>
      <c r="C561" s="11" t="s">
        <v>2525</v>
      </c>
      <c r="D561" s="12" t="n">
        <v>390.6</v>
      </c>
      <c r="E561" s="12"/>
      <c r="F561" s="12"/>
      <c r="G561" s="10" t="s">
        <v>2500</v>
      </c>
      <c r="H561" s="10" t="s">
        <v>654</v>
      </c>
      <c r="I561" s="11" t="s">
        <v>2501</v>
      </c>
      <c r="J561" s="10" t="s">
        <v>2502</v>
      </c>
      <c r="K561" s="10" t="s">
        <v>657</v>
      </c>
      <c r="L561" s="10" t="s">
        <v>60</v>
      </c>
      <c r="M561" s="10" t="s">
        <v>61</v>
      </c>
      <c r="N561" s="10"/>
      <c r="O561" s="11" t="s">
        <v>2503</v>
      </c>
      <c r="P561" s="10" t="s">
        <v>63</v>
      </c>
      <c r="Q561" s="11" t="s">
        <v>64</v>
      </c>
      <c r="R561" s="11" t="s">
        <v>65</v>
      </c>
      <c r="S561" s="11" t="s">
        <v>66</v>
      </c>
      <c r="T561" s="10" t="s">
        <v>2526</v>
      </c>
      <c r="U561" s="10" t="n">
        <f aca="false">IF(AND($D561="",$E561="",$F561=""),1,0)</f>
        <v>0</v>
      </c>
      <c r="V561" s="10" t="n">
        <f aca="false">IF(OR($I561="",$I561="—"),1,0)</f>
        <v>0</v>
      </c>
      <c r="W561" s="10" t="n">
        <f aca="false">IF(AND(ISNUMBER($D561),ISNUMBER($E561)),IF($E561&gt;$D561,1,0),0)+IF(AND(ISNUMBER($D561),ISNUMBER($F561)),IF($D561&gt;$F561,1,0),0)+IF(AND(ISNUMBER($E561),ISNUMBER($F561)),IF($E561&gt;$F561,1,0),0)</f>
        <v>0</v>
      </c>
      <c r="X561" s="13" t="s">
        <v>68</v>
      </c>
    </row>
    <row r="562" customFormat="false" ht="15" hidden="false" customHeight="false" outlineLevel="0" collapsed="false">
      <c r="A562" s="10" t="s">
        <v>2527</v>
      </c>
      <c r="B562" s="10" t="s">
        <v>2528</v>
      </c>
      <c r="C562" s="11" t="s">
        <v>2529</v>
      </c>
      <c r="D562" s="12" t="n">
        <v>60</v>
      </c>
      <c r="E562" s="12"/>
      <c r="F562" s="12"/>
      <c r="G562" s="10" t="s">
        <v>393</v>
      </c>
      <c r="H562" s="10" t="s">
        <v>1927</v>
      </c>
      <c r="I562" s="11" t="s">
        <v>2530</v>
      </c>
      <c r="J562" s="10" t="s">
        <v>2531</v>
      </c>
      <c r="K562" s="10" t="s">
        <v>1966</v>
      </c>
      <c r="L562" s="10" t="s">
        <v>60</v>
      </c>
      <c r="M562" s="10" t="s">
        <v>408</v>
      </c>
      <c r="N562" s="11" t="s">
        <v>2532</v>
      </c>
      <c r="O562" s="11" t="s">
        <v>2533</v>
      </c>
      <c r="P562" s="10" t="s">
        <v>629</v>
      </c>
      <c r="Q562" s="11" t="s">
        <v>64</v>
      </c>
      <c r="R562" s="11" t="s">
        <v>2532</v>
      </c>
      <c r="S562" s="11" t="s">
        <v>1270</v>
      </c>
      <c r="T562" s="11" t="s">
        <v>2534</v>
      </c>
      <c r="U562" s="10" t="n">
        <f aca="false">IF(AND($D562="",$E562="",$F562=""),1,0)</f>
        <v>0</v>
      </c>
      <c r="V562" s="10" t="n">
        <f aca="false">IF(OR($I562="",$I562="—"),1,0)</f>
        <v>0</v>
      </c>
      <c r="W562" s="10" t="n">
        <f aca="false">IF(AND(ISNUMBER($D562),ISNUMBER($E562)),IF($E562&gt;$D562,1,0),0)+IF(AND(ISNUMBER($D562),ISNUMBER($F562)),IF($D562&gt;$F562,1,0),0)+IF(AND(ISNUMBER($E562),ISNUMBER($F562)),IF($E562&gt;$F562,1,0),0)</f>
        <v>0</v>
      </c>
      <c r="X562" s="13" t="s">
        <v>68</v>
      </c>
    </row>
    <row r="563" customFormat="false" ht="15" hidden="false" customHeight="false" outlineLevel="0" collapsed="false">
      <c r="A563" s="10" t="s">
        <v>2535</v>
      </c>
      <c r="B563" s="10" t="s">
        <v>2536</v>
      </c>
      <c r="C563" s="11" t="s">
        <v>2537</v>
      </c>
      <c r="D563" s="12"/>
      <c r="E563" s="12"/>
      <c r="F563" s="12"/>
      <c r="G563" s="10" t="s">
        <v>2538</v>
      </c>
      <c r="H563" s="10" t="s">
        <v>1927</v>
      </c>
      <c r="I563" s="10" t="s">
        <v>2539</v>
      </c>
      <c r="J563" s="10" t="s">
        <v>2540</v>
      </c>
      <c r="K563" s="10" t="s">
        <v>1927</v>
      </c>
      <c r="L563" s="10" t="s">
        <v>60</v>
      </c>
      <c r="M563" s="10" t="s">
        <v>408</v>
      </c>
      <c r="N563" s="11" t="s">
        <v>2240</v>
      </c>
      <c r="O563" s="11" t="s">
        <v>2434</v>
      </c>
      <c r="P563" s="10" t="s">
        <v>2541</v>
      </c>
      <c r="Q563" s="11" t="s">
        <v>64</v>
      </c>
      <c r="R563" s="11" t="s">
        <v>2240</v>
      </c>
      <c r="S563" s="11" t="s">
        <v>1270</v>
      </c>
      <c r="T563" s="11" t="s">
        <v>2542</v>
      </c>
      <c r="U563" s="10" t="n">
        <f aca="false">IF(AND($D563="",$E563="",$F563=""),1,0)</f>
        <v>1</v>
      </c>
      <c r="V563" s="10" t="n">
        <f aca="false">IF(OR($I563="",$I563="—"),1,0)</f>
        <v>0</v>
      </c>
      <c r="W563" s="10" t="n">
        <f aca="false">IF(AND(ISNUMBER($D563),ISNUMBER($E563)),IF($E563&gt;$D563,1,0),0)+IF(AND(ISNUMBER($D563),ISNUMBER($F563)),IF($D563&gt;$F563,1,0),0)+IF(AND(ISNUMBER($E563),ISNUMBER($F563)),IF($E563&gt;$F563,1,0),0)</f>
        <v>0</v>
      </c>
      <c r="X563" s="13" t="s">
        <v>68</v>
      </c>
    </row>
    <row r="564" customFormat="false" ht="15" hidden="false" customHeight="false" outlineLevel="0" collapsed="false">
      <c r="A564" s="10" t="s">
        <v>2543</v>
      </c>
      <c r="B564" s="10" t="s">
        <v>2544</v>
      </c>
      <c r="C564" s="11" t="s">
        <v>2545</v>
      </c>
      <c r="D564" s="12" t="n">
        <v>445843090</v>
      </c>
      <c r="E564" s="12"/>
      <c r="F564" s="12"/>
      <c r="G564" s="11" t="s">
        <v>2298</v>
      </c>
      <c r="H564" s="10" t="s">
        <v>816</v>
      </c>
      <c r="I564" s="11" t="s">
        <v>2546</v>
      </c>
      <c r="J564" s="10" t="s">
        <v>2547</v>
      </c>
      <c r="K564" s="10" t="s">
        <v>2548</v>
      </c>
      <c r="L564" s="10" t="s">
        <v>60</v>
      </c>
      <c r="M564" s="10" t="s">
        <v>61</v>
      </c>
      <c r="N564" s="10"/>
      <c r="O564" s="11" t="s">
        <v>2401</v>
      </c>
      <c r="P564" s="10" t="s">
        <v>629</v>
      </c>
      <c r="Q564" s="11" t="s">
        <v>64</v>
      </c>
      <c r="R564" s="11" t="s">
        <v>1082</v>
      </c>
      <c r="S564" s="11" t="s">
        <v>1270</v>
      </c>
      <c r="T564" s="10" t="s">
        <v>2549</v>
      </c>
      <c r="U564" s="10" t="n">
        <f aca="false">IF(AND($D564="",$E564="",$F564=""),1,0)</f>
        <v>0</v>
      </c>
      <c r="V564" s="10" t="n">
        <f aca="false">IF(OR($I564="",$I564="—"),1,0)</f>
        <v>0</v>
      </c>
      <c r="W564" s="10" t="n">
        <f aca="false">IF(AND(ISNUMBER($D564),ISNUMBER($E564)),IF($E564&gt;$D564,1,0),0)+IF(AND(ISNUMBER($D564),ISNUMBER($F564)),IF($D564&gt;$F564,1,0),0)+IF(AND(ISNUMBER($E564),ISNUMBER($F564)),IF($E564&gt;$F564,1,0),0)</f>
        <v>0</v>
      </c>
      <c r="X564" s="13" t="s">
        <v>68</v>
      </c>
    </row>
    <row r="565" customFormat="false" ht="15" hidden="false" customHeight="false" outlineLevel="0" collapsed="false">
      <c r="A565" s="10" t="s">
        <v>2550</v>
      </c>
      <c r="B565" s="10" t="s">
        <v>2551</v>
      </c>
      <c r="C565" s="10" t="s">
        <v>2552</v>
      </c>
      <c r="D565" s="12" t="n">
        <v>221314605</v>
      </c>
      <c r="E565" s="12"/>
      <c r="F565" s="12"/>
      <c r="G565" s="11" t="s">
        <v>2298</v>
      </c>
      <c r="H565" s="10" t="s">
        <v>816</v>
      </c>
      <c r="I565" s="11" t="s">
        <v>2546</v>
      </c>
      <c r="J565" s="10" t="s">
        <v>2547</v>
      </c>
      <c r="K565" s="10" t="s">
        <v>2548</v>
      </c>
      <c r="L565" s="10" t="s">
        <v>60</v>
      </c>
      <c r="M565" s="10" t="s">
        <v>61</v>
      </c>
      <c r="N565" s="10"/>
      <c r="O565" s="11" t="s">
        <v>2293</v>
      </c>
      <c r="P565" s="10" t="s">
        <v>629</v>
      </c>
      <c r="Q565" s="11" t="s">
        <v>64</v>
      </c>
      <c r="R565" s="11" t="s">
        <v>1082</v>
      </c>
      <c r="S565" s="11" t="s">
        <v>1270</v>
      </c>
      <c r="T565" s="11" t="s">
        <v>2553</v>
      </c>
      <c r="U565" s="10" t="n">
        <f aca="false">IF(AND($D565="",$E565="",$F565=""),1,0)</f>
        <v>0</v>
      </c>
      <c r="V565" s="10" t="n">
        <f aca="false">IF(OR($I565="",$I565="—"),1,0)</f>
        <v>0</v>
      </c>
      <c r="W565" s="10" t="n">
        <f aca="false">IF(AND(ISNUMBER($D565),ISNUMBER($E565)),IF($E565&gt;$D565,1,0),0)+IF(AND(ISNUMBER($D565),ISNUMBER($F565)),IF($D565&gt;$F565,1,0),0)+IF(AND(ISNUMBER($E565),ISNUMBER($F565)),IF($E565&gt;$F565,1,0),0)</f>
        <v>0</v>
      </c>
      <c r="X565" s="13" t="s">
        <v>68</v>
      </c>
    </row>
    <row r="566" customFormat="false" ht="15" hidden="false" customHeight="false" outlineLevel="0" collapsed="false">
      <c r="A566" s="10" t="s">
        <v>2554</v>
      </c>
      <c r="B566" s="10" t="s">
        <v>2555</v>
      </c>
      <c r="C566" s="11" t="s">
        <v>2556</v>
      </c>
      <c r="D566" s="12" t="n">
        <v>224528485</v>
      </c>
      <c r="E566" s="12"/>
      <c r="F566" s="12"/>
      <c r="G566" s="11" t="s">
        <v>2298</v>
      </c>
      <c r="H566" s="10" t="s">
        <v>2292</v>
      </c>
      <c r="I566" s="11" t="s">
        <v>2299</v>
      </c>
      <c r="J566" s="10" t="s">
        <v>2291</v>
      </c>
      <c r="K566" s="10" t="s">
        <v>2292</v>
      </c>
      <c r="L566" s="10" t="s">
        <v>60</v>
      </c>
      <c r="M566" s="10" t="s">
        <v>61</v>
      </c>
      <c r="N566" s="10"/>
      <c r="O566" s="11" t="s">
        <v>2293</v>
      </c>
      <c r="P566" s="10" t="s">
        <v>63</v>
      </c>
      <c r="Q566" s="11" t="s">
        <v>64</v>
      </c>
      <c r="R566" s="11" t="s">
        <v>65</v>
      </c>
      <c r="S566" s="11" t="s">
        <v>66</v>
      </c>
      <c r="T566" s="11" t="s">
        <v>2557</v>
      </c>
      <c r="U566" s="10" t="n">
        <f aca="false">IF(AND($D566="",$E566="",$F566=""),1,0)</f>
        <v>0</v>
      </c>
      <c r="V566" s="10" t="n">
        <f aca="false">IF(OR($I566="",$I566="—"),1,0)</f>
        <v>0</v>
      </c>
      <c r="W566" s="10" t="n">
        <f aca="false">IF(AND(ISNUMBER($D566),ISNUMBER($E566)),IF($E566&gt;$D566,1,0),0)+IF(AND(ISNUMBER($D566),ISNUMBER($F566)),IF($D566&gt;$F566,1,0),0)+IF(AND(ISNUMBER($E566),ISNUMBER($F566)),IF($E566&gt;$F566,1,0),0)</f>
        <v>0</v>
      </c>
      <c r="X566" s="13" t="s">
        <v>68</v>
      </c>
    </row>
    <row r="567" customFormat="false" ht="15" hidden="false" customHeight="false" outlineLevel="0" collapsed="false">
      <c r="A567" s="10" t="s">
        <v>2558</v>
      </c>
      <c r="B567" s="10" t="s">
        <v>2559</v>
      </c>
      <c r="C567" s="10" t="s">
        <v>2560</v>
      </c>
      <c r="D567" s="12" t="n">
        <v>487588090</v>
      </c>
      <c r="E567" s="12"/>
      <c r="F567" s="12"/>
      <c r="G567" s="11" t="s">
        <v>2298</v>
      </c>
      <c r="H567" s="10" t="s">
        <v>1744</v>
      </c>
      <c r="I567" s="11" t="s">
        <v>2561</v>
      </c>
      <c r="J567" s="10" t="s">
        <v>2291</v>
      </c>
      <c r="K567" s="10" t="s">
        <v>2292</v>
      </c>
      <c r="L567" s="10" t="s">
        <v>60</v>
      </c>
      <c r="M567" s="10" t="s">
        <v>61</v>
      </c>
      <c r="N567" s="10"/>
      <c r="O567" s="11" t="s">
        <v>2293</v>
      </c>
      <c r="P567" s="10" t="s">
        <v>63</v>
      </c>
      <c r="Q567" s="11" t="s">
        <v>64</v>
      </c>
      <c r="R567" s="11" t="s">
        <v>65</v>
      </c>
      <c r="S567" s="11" t="s">
        <v>66</v>
      </c>
      <c r="T567" s="10" t="s">
        <v>2562</v>
      </c>
      <c r="U567" s="10" t="n">
        <f aca="false">IF(AND($D567="",$E567="",$F567=""),1,0)</f>
        <v>0</v>
      </c>
      <c r="V567" s="10" t="n">
        <f aca="false">IF(OR($I567="",$I567="—"),1,0)</f>
        <v>0</v>
      </c>
      <c r="W567" s="10" t="n">
        <f aca="false">IF(AND(ISNUMBER($D567),ISNUMBER($E567)),IF($E567&gt;$D567,1,0),0)+IF(AND(ISNUMBER($D567),ISNUMBER($F567)),IF($D567&gt;$F567,1,0),0)+IF(AND(ISNUMBER($E567),ISNUMBER($F567)),IF($E567&gt;$F567,1,0),0)</f>
        <v>0</v>
      </c>
      <c r="X567" s="13" t="s">
        <v>68</v>
      </c>
    </row>
    <row r="568" customFormat="false" ht="15" hidden="false" customHeight="false" outlineLevel="0" collapsed="false">
      <c r="A568" s="10" t="s">
        <v>2563</v>
      </c>
      <c r="B568" s="10" t="s">
        <v>2564</v>
      </c>
      <c r="C568" s="11" t="s">
        <v>2565</v>
      </c>
      <c r="D568" s="12" t="n">
        <v>28.57</v>
      </c>
      <c r="E568" s="12"/>
      <c r="F568" s="12"/>
      <c r="G568" s="10" t="s">
        <v>393</v>
      </c>
      <c r="H568" s="10" t="s">
        <v>2292</v>
      </c>
      <c r="I568" s="11" t="s">
        <v>2299</v>
      </c>
      <c r="J568" s="10" t="s">
        <v>2291</v>
      </c>
      <c r="K568" s="10" t="s">
        <v>2292</v>
      </c>
      <c r="L568" s="10" t="s">
        <v>60</v>
      </c>
      <c r="M568" s="10" t="s">
        <v>61</v>
      </c>
      <c r="N568" s="10"/>
      <c r="O568" s="11" t="s">
        <v>2293</v>
      </c>
      <c r="P568" s="10" t="s">
        <v>63</v>
      </c>
      <c r="Q568" s="11" t="s">
        <v>64</v>
      </c>
      <c r="R568" s="11" t="s">
        <v>65</v>
      </c>
      <c r="S568" s="11" t="s">
        <v>66</v>
      </c>
      <c r="T568" s="11" t="s">
        <v>2566</v>
      </c>
      <c r="U568" s="10" t="n">
        <f aca="false">IF(AND($D568="",$E568="",$F568=""),1,0)</f>
        <v>0</v>
      </c>
      <c r="V568" s="10" t="n">
        <f aca="false">IF(OR($I568="",$I568="—"),1,0)</f>
        <v>0</v>
      </c>
      <c r="W568" s="10" t="n">
        <f aca="false">IF(AND(ISNUMBER($D568),ISNUMBER($E568)),IF($E568&gt;$D568,1,0),0)+IF(AND(ISNUMBER($D568),ISNUMBER($F568)),IF($D568&gt;$F568,1,0),0)+IF(AND(ISNUMBER($E568),ISNUMBER($F568)),IF($E568&gt;$F568,1,0),0)</f>
        <v>0</v>
      </c>
      <c r="X568" s="13" t="s">
        <v>68</v>
      </c>
    </row>
    <row r="569" customFormat="false" ht="15" hidden="false" customHeight="false" outlineLevel="0" collapsed="false">
      <c r="A569" s="10" t="s">
        <v>2567</v>
      </c>
      <c r="B569" s="10" t="s">
        <v>2568</v>
      </c>
      <c r="C569" s="11" t="s">
        <v>2569</v>
      </c>
      <c r="D569" s="12" t="n">
        <v>33.03</v>
      </c>
      <c r="E569" s="12"/>
      <c r="F569" s="12"/>
      <c r="G569" s="10" t="s">
        <v>393</v>
      </c>
      <c r="H569" s="10" t="s">
        <v>2143</v>
      </c>
      <c r="I569" s="11" t="s">
        <v>2141</v>
      </c>
      <c r="J569" s="10" t="s">
        <v>2142</v>
      </c>
      <c r="K569" s="10" t="s">
        <v>2143</v>
      </c>
      <c r="L569" s="10" t="s">
        <v>60</v>
      </c>
      <c r="M569" s="10" t="s">
        <v>61</v>
      </c>
      <c r="N569" s="10"/>
      <c r="O569" s="11" t="s">
        <v>2152</v>
      </c>
      <c r="P569" s="10" t="s">
        <v>629</v>
      </c>
      <c r="Q569" s="11" t="s">
        <v>64</v>
      </c>
      <c r="R569" s="11" t="s">
        <v>65</v>
      </c>
      <c r="S569" s="11" t="s">
        <v>1096</v>
      </c>
      <c r="T569" s="11" t="s">
        <v>2570</v>
      </c>
      <c r="U569" s="10" t="n">
        <f aca="false">IF(AND($D569="",$E569="",$F569=""),1,0)</f>
        <v>0</v>
      </c>
      <c r="V569" s="10" t="n">
        <f aca="false">IF(OR($I569="",$I569="—"),1,0)</f>
        <v>0</v>
      </c>
      <c r="W569" s="10" t="n">
        <f aca="false">IF(AND(ISNUMBER($D569),ISNUMBER($E569)),IF($E569&gt;$D569,1,0),0)+IF(AND(ISNUMBER($D569),ISNUMBER($F569)),IF($D569&gt;$F569,1,0),0)+IF(AND(ISNUMBER($E569),ISNUMBER($F569)),IF($E569&gt;$F569,1,0),0)</f>
        <v>0</v>
      </c>
      <c r="X569" s="13" t="s">
        <v>68</v>
      </c>
    </row>
    <row r="570" customFormat="false" ht="15" hidden="false" customHeight="false" outlineLevel="0" collapsed="false">
      <c r="A570" s="10" t="s">
        <v>2571</v>
      </c>
      <c r="B570" s="10" t="s">
        <v>2572</v>
      </c>
      <c r="C570" s="11" t="s">
        <v>2573</v>
      </c>
      <c r="D570" s="12" t="n">
        <v>6.73</v>
      </c>
      <c r="E570" s="12"/>
      <c r="F570" s="12"/>
      <c r="G570" s="10" t="s">
        <v>393</v>
      </c>
      <c r="H570" s="10" t="s">
        <v>2143</v>
      </c>
      <c r="I570" s="11" t="s">
        <v>2150</v>
      </c>
      <c r="J570" s="10" t="s">
        <v>2151</v>
      </c>
      <c r="K570" s="10" t="s">
        <v>2143</v>
      </c>
      <c r="L570" s="10" t="s">
        <v>60</v>
      </c>
      <c r="M570" s="10" t="s">
        <v>61</v>
      </c>
      <c r="N570" s="10"/>
      <c r="O570" s="11" t="s">
        <v>2152</v>
      </c>
      <c r="P570" s="10" t="s">
        <v>629</v>
      </c>
      <c r="Q570" s="11" t="s">
        <v>64</v>
      </c>
      <c r="R570" s="11" t="s">
        <v>1082</v>
      </c>
      <c r="S570" s="11" t="s">
        <v>702</v>
      </c>
      <c r="T570" s="11" t="s">
        <v>2574</v>
      </c>
      <c r="U570" s="10" t="n">
        <f aca="false">IF(AND($D570="",$E570="",$F570=""),1,0)</f>
        <v>0</v>
      </c>
      <c r="V570" s="10" t="n">
        <f aca="false">IF(OR($I570="",$I570="—"),1,0)</f>
        <v>0</v>
      </c>
      <c r="W570" s="10" t="n">
        <f aca="false">IF(AND(ISNUMBER($D570),ISNUMBER($E570)),IF($E570&gt;$D570,1,0),0)+IF(AND(ISNUMBER($D570),ISNUMBER($F570)),IF($D570&gt;$F570,1,0),0)+IF(AND(ISNUMBER($E570),ISNUMBER($F570)),IF($E570&gt;$F570,1,0),0)</f>
        <v>0</v>
      </c>
      <c r="X570" s="13" t="s">
        <v>68</v>
      </c>
    </row>
    <row r="571" customFormat="false" ht="15" hidden="false" customHeight="false" outlineLevel="0" collapsed="false">
      <c r="A571" s="10" t="s">
        <v>2575</v>
      </c>
      <c r="B571" s="10" t="s">
        <v>2576</v>
      </c>
      <c r="C571" s="11" t="s">
        <v>2577</v>
      </c>
      <c r="D571" s="12" t="n">
        <v>4.27</v>
      </c>
      <c r="E571" s="12"/>
      <c r="F571" s="12"/>
      <c r="G571" s="10" t="s">
        <v>393</v>
      </c>
      <c r="H571" s="10" t="s">
        <v>2143</v>
      </c>
      <c r="I571" s="11" t="s">
        <v>2150</v>
      </c>
      <c r="J571" s="10" t="s">
        <v>2151</v>
      </c>
      <c r="K571" s="10" t="s">
        <v>2143</v>
      </c>
      <c r="L571" s="10" t="s">
        <v>60</v>
      </c>
      <c r="M571" s="10" t="s">
        <v>61</v>
      </c>
      <c r="N571" s="10"/>
      <c r="O571" s="11" t="s">
        <v>2152</v>
      </c>
      <c r="P571" s="10" t="s">
        <v>629</v>
      </c>
      <c r="Q571" s="11" t="s">
        <v>64</v>
      </c>
      <c r="R571" s="11" t="s">
        <v>1082</v>
      </c>
      <c r="S571" s="11" t="s">
        <v>702</v>
      </c>
      <c r="T571" s="11" t="s">
        <v>2578</v>
      </c>
      <c r="U571" s="10" t="n">
        <f aca="false">IF(AND($D571="",$E571="",$F571=""),1,0)</f>
        <v>0</v>
      </c>
      <c r="V571" s="10" t="n">
        <f aca="false">IF(OR($I571="",$I571="—"),1,0)</f>
        <v>0</v>
      </c>
      <c r="W571" s="10" t="n">
        <f aca="false">IF(AND(ISNUMBER($D571),ISNUMBER($E571)),IF($E571&gt;$D571,1,0),0)+IF(AND(ISNUMBER($D571),ISNUMBER($F571)),IF($D571&gt;$F571,1,0),0)+IF(AND(ISNUMBER($E571),ISNUMBER($F571)),IF($E571&gt;$F571,1,0),0)</f>
        <v>0</v>
      </c>
      <c r="X571" s="13" t="s">
        <v>68</v>
      </c>
    </row>
    <row r="572" customFormat="false" ht="15" hidden="false" customHeight="false" outlineLevel="0" collapsed="false">
      <c r="A572" s="10" t="s">
        <v>2579</v>
      </c>
      <c r="B572" s="10" t="s">
        <v>2580</v>
      </c>
      <c r="C572" s="10" t="s">
        <v>2581</v>
      </c>
      <c r="D572" s="12"/>
      <c r="E572" s="12" t="n">
        <v>40</v>
      </c>
      <c r="F572" s="12"/>
      <c r="G572" s="10" t="s">
        <v>393</v>
      </c>
      <c r="H572" s="10" t="s">
        <v>2582</v>
      </c>
      <c r="I572" s="11" t="s">
        <v>902</v>
      </c>
      <c r="J572" s="10" t="s">
        <v>2384</v>
      </c>
      <c r="K572" s="10" t="s">
        <v>2385</v>
      </c>
      <c r="L572" s="10" t="s">
        <v>60</v>
      </c>
      <c r="M572" s="10" t="s">
        <v>408</v>
      </c>
      <c r="N572" s="11" t="s">
        <v>2583</v>
      </c>
      <c r="O572" s="11" t="s">
        <v>2434</v>
      </c>
      <c r="P572" s="10" t="s">
        <v>629</v>
      </c>
      <c r="Q572" s="11" t="s">
        <v>64</v>
      </c>
      <c r="R572" s="11" t="s">
        <v>2583</v>
      </c>
      <c r="S572" s="11" t="s">
        <v>702</v>
      </c>
      <c r="T572" s="11" t="s">
        <v>2584</v>
      </c>
      <c r="U572" s="10" t="n">
        <f aca="false">IF(AND($D572="",$E572="",$F572=""),1,0)</f>
        <v>0</v>
      </c>
      <c r="V572" s="10" t="n">
        <f aca="false">IF(OR($I572="",$I572="—"),1,0)</f>
        <v>0</v>
      </c>
      <c r="W572" s="10" t="n">
        <f aca="false">IF(AND(ISNUMBER($D572),ISNUMBER($E572)),IF($E572&gt;$D572,1,0),0)+IF(AND(ISNUMBER($D572),ISNUMBER($F572)),IF($D572&gt;$F572,1,0),0)+IF(AND(ISNUMBER($E572),ISNUMBER($F572)),IF($E572&gt;$F572,1,0),0)</f>
        <v>0</v>
      </c>
      <c r="X572" s="13" t="s">
        <v>68</v>
      </c>
    </row>
    <row r="573" customFormat="false" ht="15" hidden="false" customHeight="false" outlineLevel="0" collapsed="false">
      <c r="A573" s="10" t="s">
        <v>2585</v>
      </c>
      <c r="B573" s="10" t="s">
        <v>2586</v>
      </c>
      <c r="C573" s="11" t="s">
        <v>2587</v>
      </c>
      <c r="D573" s="12" t="n">
        <v>696</v>
      </c>
      <c r="E573" s="12"/>
      <c r="F573" s="12"/>
      <c r="G573" s="10" t="s">
        <v>2289</v>
      </c>
      <c r="H573" s="10" t="s">
        <v>2588</v>
      </c>
      <c r="I573" s="11" t="s">
        <v>2589</v>
      </c>
      <c r="J573" s="10" t="s">
        <v>2590</v>
      </c>
      <c r="K573" s="10" t="s">
        <v>2588</v>
      </c>
      <c r="L573" s="10" t="s">
        <v>60</v>
      </c>
      <c r="M573" s="10" t="s">
        <v>61</v>
      </c>
      <c r="N573" s="10"/>
      <c r="O573" s="11" t="s">
        <v>2375</v>
      </c>
      <c r="P573" s="10" t="s">
        <v>629</v>
      </c>
      <c r="Q573" s="11" t="s">
        <v>64</v>
      </c>
      <c r="R573" s="11" t="s">
        <v>1082</v>
      </c>
      <c r="S573" s="11" t="s">
        <v>702</v>
      </c>
      <c r="T573" s="10" t="s">
        <v>2591</v>
      </c>
      <c r="U573" s="10" t="n">
        <f aca="false">IF(AND($D573="",$E573="",$F573=""),1,0)</f>
        <v>0</v>
      </c>
      <c r="V573" s="10" t="n">
        <f aca="false">IF(OR($I573="",$I573="—"),1,0)</f>
        <v>0</v>
      </c>
      <c r="W573" s="10" t="n">
        <f aca="false">IF(AND(ISNUMBER($D573),ISNUMBER($E573)),IF($E573&gt;$D573,1,0),0)+IF(AND(ISNUMBER($D573),ISNUMBER($F573)),IF($D573&gt;$F573,1,0),0)+IF(AND(ISNUMBER($E573),ISNUMBER($F573)),IF($E573&gt;$F573,1,0),0)</f>
        <v>0</v>
      </c>
      <c r="X573" s="13" t="s">
        <v>68</v>
      </c>
    </row>
    <row r="574" customFormat="false" ht="15" hidden="false" customHeight="false" outlineLevel="0" collapsed="false">
      <c r="A574" s="10" t="s">
        <v>2592</v>
      </c>
      <c r="B574" s="10" t="s">
        <v>2593</v>
      </c>
      <c r="C574" s="11" t="s">
        <v>2594</v>
      </c>
      <c r="D574" s="12" t="n">
        <v>626.5</v>
      </c>
      <c r="E574" s="12"/>
      <c r="F574" s="12"/>
      <c r="G574" s="10" t="s">
        <v>2289</v>
      </c>
      <c r="H574" s="10" t="s">
        <v>2595</v>
      </c>
      <c r="I574" s="10" t="s">
        <v>2596</v>
      </c>
      <c r="J574" s="10" t="s">
        <v>2597</v>
      </c>
      <c r="K574" s="10" t="s">
        <v>2598</v>
      </c>
      <c r="L574" s="10" t="s">
        <v>60</v>
      </c>
      <c r="M574" s="10" t="s">
        <v>61</v>
      </c>
      <c r="N574" s="10"/>
      <c r="O574" s="11" t="s">
        <v>2375</v>
      </c>
      <c r="P574" s="10" t="s">
        <v>629</v>
      </c>
      <c r="Q574" s="11" t="s">
        <v>64</v>
      </c>
      <c r="R574" s="11" t="s">
        <v>1082</v>
      </c>
      <c r="S574" s="11" t="s">
        <v>702</v>
      </c>
      <c r="T574" s="11" t="s">
        <v>2599</v>
      </c>
      <c r="U574" s="10" t="n">
        <f aca="false">IF(AND($D574="",$E574="",$F574=""),1,0)</f>
        <v>0</v>
      </c>
      <c r="V574" s="10" t="n">
        <f aca="false">IF(OR($I574="",$I574="—"),1,0)</f>
        <v>0</v>
      </c>
      <c r="W574" s="10" t="n">
        <f aca="false">IF(AND(ISNUMBER($D574),ISNUMBER($E574)),IF($E574&gt;$D574,1,0),0)+IF(AND(ISNUMBER($D574),ISNUMBER($F574)),IF($D574&gt;$F574,1,0),0)+IF(AND(ISNUMBER($E574),ISNUMBER($F574)),IF($E574&gt;$F574,1,0),0)</f>
        <v>0</v>
      </c>
      <c r="X574" s="13" t="s">
        <v>68</v>
      </c>
    </row>
    <row r="575" customFormat="false" ht="15" hidden="false" customHeight="false" outlineLevel="0" collapsed="false">
      <c r="A575" s="10" t="s">
        <v>2600</v>
      </c>
      <c r="B575" s="10" t="s">
        <v>2601</v>
      </c>
      <c r="C575" s="11" t="s">
        <v>2602</v>
      </c>
      <c r="D575" s="12" t="n">
        <v>3396.48</v>
      </c>
      <c r="E575" s="12"/>
      <c r="F575" s="12"/>
      <c r="G575" s="10" t="s">
        <v>2338</v>
      </c>
      <c r="H575" s="10" t="s">
        <v>2588</v>
      </c>
      <c r="I575" s="11" t="s">
        <v>2589</v>
      </c>
      <c r="J575" s="10" t="s">
        <v>2590</v>
      </c>
      <c r="K575" s="10" t="s">
        <v>2588</v>
      </c>
      <c r="L575" s="10" t="s">
        <v>60</v>
      </c>
      <c r="M575" s="10" t="s">
        <v>61</v>
      </c>
      <c r="N575" s="10"/>
      <c r="O575" s="11" t="s">
        <v>2375</v>
      </c>
      <c r="P575" s="10" t="s">
        <v>629</v>
      </c>
      <c r="Q575" s="11" t="s">
        <v>64</v>
      </c>
      <c r="R575" s="11" t="s">
        <v>1082</v>
      </c>
      <c r="S575" s="11" t="s">
        <v>702</v>
      </c>
      <c r="T575" s="11" t="s">
        <v>2603</v>
      </c>
      <c r="U575" s="10" t="n">
        <f aca="false">IF(AND($D575="",$E575="",$F575=""),1,0)</f>
        <v>0</v>
      </c>
      <c r="V575" s="10" t="n">
        <f aca="false">IF(OR($I575="",$I575="—"),1,0)</f>
        <v>0</v>
      </c>
      <c r="W575" s="10" t="n">
        <f aca="false">IF(AND(ISNUMBER($D575),ISNUMBER($E575)),IF($E575&gt;$D575,1,0),0)+IF(AND(ISNUMBER($D575),ISNUMBER($F575)),IF($D575&gt;$F575,1,0),0)+IF(AND(ISNUMBER($E575),ISNUMBER($F575)),IF($E575&gt;$F575,1,0),0)</f>
        <v>0</v>
      </c>
      <c r="X575" s="13" t="s">
        <v>68</v>
      </c>
    </row>
    <row r="576" customFormat="false" ht="15" hidden="false" customHeight="false" outlineLevel="0" collapsed="false">
      <c r="A576" s="10" t="s">
        <v>2604</v>
      </c>
      <c r="B576" s="10" t="s">
        <v>2605</v>
      </c>
      <c r="C576" s="11" t="s">
        <v>2606</v>
      </c>
      <c r="D576" s="12" t="n">
        <v>3393.61</v>
      </c>
      <c r="E576" s="12"/>
      <c r="F576" s="12"/>
      <c r="G576" s="10" t="s">
        <v>2338</v>
      </c>
      <c r="H576" s="10" t="s">
        <v>2588</v>
      </c>
      <c r="I576" s="10" t="s">
        <v>2607</v>
      </c>
      <c r="J576" s="10" t="s">
        <v>2291</v>
      </c>
      <c r="K576" s="10" t="s">
        <v>2588</v>
      </c>
      <c r="L576" s="10" t="s">
        <v>60</v>
      </c>
      <c r="M576" s="10" t="s">
        <v>628</v>
      </c>
      <c r="N576" s="10"/>
      <c r="O576" s="11" t="s">
        <v>2608</v>
      </c>
      <c r="P576" s="10" t="s">
        <v>629</v>
      </c>
      <c r="Q576" s="11" t="s">
        <v>630</v>
      </c>
      <c r="R576" s="11" t="s">
        <v>631</v>
      </c>
      <c r="S576" s="11" t="s">
        <v>66</v>
      </c>
      <c r="T576" s="11" t="s">
        <v>2609</v>
      </c>
      <c r="U576" s="10" t="n">
        <f aca="false">IF(AND($D576="",$E576="",$F576=""),1,0)</f>
        <v>0</v>
      </c>
      <c r="V576" s="10" t="n">
        <f aca="false">IF(OR($I576="",$I576="—"),1,0)</f>
        <v>0</v>
      </c>
      <c r="W576" s="10" t="n">
        <f aca="false">IF(AND(ISNUMBER($D576),ISNUMBER($E576)),IF($E576&gt;$D576,1,0),0)+IF(AND(ISNUMBER($D576),ISNUMBER($F576)),IF($D576&gt;$F576,1,0),0)+IF(AND(ISNUMBER($E576),ISNUMBER($F576)),IF($E576&gt;$F576,1,0),0)</f>
        <v>0</v>
      </c>
      <c r="X576" s="13" t="s">
        <v>68</v>
      </c>
    </row>
    <row r="577" customFormat="false" ht="15" hidden="false" customHeight="false" outlineLevel="0" collapsed="false">
      <c r="A577" s="10" t="s">
        <v>2610</v>
      </c>
      <c r="B577" s="10" t="s">
        <v>2611</v>
      </c>
      <c r="C577" s="10" t="s">
        <v>2612</v>
      </c>
      <c r="D577" s="12" t="n">
        <v>2980</v>
      </c>
      <c r="E577" s="12"/>
      <c r="F577" s="12"/>
      <c r="G577" s="10" t="s">
        <v>2289</v>
      </c>
      <c r="H577" s="10" t="s">
        <v>2385</v>
      </c>
      <c r="I577" s="11" t="s">
        <v>2613</v>
      </c>
      <c r="J577" s="10" t="s">
        <v>2384</v>
      </c>
      <c r="K577" s="10" t="s">
        <v>2385</v>
      </c>
      <c r="L577" s="10" t="s">
        <v>60</v>
      </c>
      <c r="M577" s="10" t="s">
        <v>61</v>
      </c>
      <c r="N577" s="10"/>
      <c r="O577" s="11" t="s">
        <v>2375</v>
      </c>
      <c r="P577" s="10" t="s">
        <v>629</v>
      </c>
      <c r="Q577" s="11" t="s">
        <v>64</v>
      </c>
      <c r="R577" s="11" t="s">
        <v>1082</v>
      </c>
      <c r="S577" s="11" t="s">
        <v>702</v>
      </c>
      <c r="T577" s="10" t="s">
        <v>2614</v>
      </c>
      <c r="U577" s="10" t="n">
        <f aca="false">IF(AND($D577="",$E577="",$F577=""),1,0)</f>
        <v>0</v>
      </c>
      <c r="V577" s="10" t="n">
        <f aca="false">IF(OR($I577="",$I577="—"),1,0)</f>
        <v>0</v>
      </c>
      <c r="W577" s="10" t="n">
        <f aca="false">IF(AND(ISNUMBER($D577),ISNUMBER($E577)),IF($E577&gt;$D577,1,0),0)+IF(AND(ISNUMBER($D577),ISNUMBER($F577)),IF($D577&gt;$F577,1,0),0)+IF(AND(ISNUMBER($E577),ISNUMBER($F577)),IF($E577&gt;$F577,1,0),0)</f>
        <v>0</v>
      </c>
      <c r="X577" s="13" t="s">
        <v>68</v>
      </c>
    </row>
    <row r="578" customFormat="false" ht="15" hidden="false" customHeight="false" outlineLevel="0" collapsed="false">
      <c r="A578" s="10" t="s">
        <v>2615</v>
      </c>
      <c r="B578" s="10" t="s">
        <v>2616</v>
      </c>
      <c r="C578" s="10" t="s">
        <v>2617</v>
      </c>
      <c r="D578" s="12" t="n">
        <v>116.1</v>
      </c>
      <c r="E578" s="12"/>
      <c r="F578" s="12"/>
      <c r="G578" s="10" t="s">
        <v>2289</v>
      </c>
      <c r="H578" s="10" t="s">
        <v>2159</v>
      </c>
      <c r="I578" s="11" t="s">
        <v>2618</v>
      </c>
      <c r="J578" s="10" t="s">
        <v>2597</v>
      </c>
      <c r="K578" s="10" t="s">
        <v>2598</v>
      </c>
      <c r="L578" s="10" t="s">
        <v>60</v>
      </c>
      <c r="M578" s="10" t="s">
        <v>61</v>
      </c>
      <c r="N578" s="10"/>
      <c r="O578" s="11" t="s">
        <v>2375</v>
      </c>
      <c r="P578" s="10" t="s">
        <v>629</v>
      </c>
      <c r="Q578" s="11" t="s">
        <v>64</v>
      </c>
      <c r="R578" s="11" t="s">
        <v>1082</v>
      </c>
      <c r="S578" s="11" t="s">
        <v>702</v>
      </c>
      <c r="T578" s="10" t="s">
        <v>2619</v>
      </c>
      <c r="U578" s="10" t="n">
        <f aca="false">IF(AND($D578="",$E578="",$F578=""),1,0)</f>
        <v>0</v>
      </c>
      <c r="V578" s="10" t="n">
        <f aca="false">IF(OR($I578="",$I578="—"),1,0)</f>
        <v>0</v>
      </c>
      <c r="W578" s="10" t="n">
        <f aca="false">IF(AND(ISNUMBER($D578),ISNUMBER($E578)),IF($E578&gt;$D578,1,0),0)+IF(AND(ISNUMBER($D578),ISNUMBER($F578)),IF($D578&gt;$F578,1,0),0)+IF(AND(ISNUMBER($E578),ISNUMBER($F578)),IF($E578&gt;$F578,1,0),0)</f>
        <v>0</v>
      </c>
      <c r="X578" s="13" t="s">
        <v>68</v>
      </c>
    </row>
    <row r="579" customFormat="false" ht="15" hidden="false" customHeight="false" outlineLevel="0" collapsed="false">
      <c r="A579" s="10" t="s">
        <v>2620</v>
      </c>
      <c r="B579" s="10" t="s">
        <v>2621</v>
      </c>
      <c r="C579" s="11" t="s">
        <v>2622</v>
      </c>
      <c r="D579" s="12" t="n">
        <v>1232</v>
      </c>
      <c r="E579" s="12"/>
      <c r="F579" s="12"/>
      <c r="G579" s="10" t="s">
        <v>2289</v>
      </c>
      <c r="H579" s="10" t="s">
        <v>1927</v>
      </c>
      <c r="I579" s="11" t="s">
        <v>896</v>
      </c>
      <c r="J579" s="10" t="s">
        <v>2623</v>
      </c>
      <c r="K579" s="10" t="s">
        <v>1927</v>
      </c>
      <c r="L579" s="10" t="s">
        <v>60</v>
      </c>
      <c r="M579" s="10" t="s">
        <v>61</v>
      </c>
      <c r="N579" s="10"/>
      <c r="O579" s="11" t="s">
        <v>2624</v>
      </c>
      <c r="P579" s="10" t="s">
        <v>629</v>
      </c>
      <c r="Q579" s="11" t="s">
        <v>64</v>
      </c>
      <c r="R579" s="11" t="s">
        <v>1082</v>
      </c>
      <c r="S579" s="11" t="s">
        <v>702</v>
      </c>
      <c r="T579" s="11" t="s">
        <v>2625</v>
      </c>
      <c r="U579" s="10" t="n">
        <f aca="false">IF(AND($D579="",$E579="",$F579=""),1,0)</f>
        <v>0</v>
      </c>
      <c r="V579" s="10" t="n">
        <f aca="false">IF(OR($I579="",$I579="—"),1,0)</f>
        <v>0</v>
      </c>
      <c r="W579" s="10" t="n">
        <f aca="false">IF(AND(ISNUMBER($D579),ISNUMBER($E579)),IF($E579&gt;$D579,1,0),0)+IF(AND(ISNUMBER($D579),ISNUMBER($F579)),IF($D579&gt;$F579,1,0),0)+IF(AND(ISNUMBER($E579),ISNUMBER($F579)),IF($E579&gt;$F579,1,0),0)</f>
        <v>0</v>
      </c>
      <c r="X579" s="13" t="s">
        <v>68</v>
      </c>
    </row>
    <row r="580" customFormat="false" ht="15" hidden="false" customHeight="false" outlineLevel="0" collapsed="false">
      <c r="A580" s="10" t="s">
        <v>2626</v>
      </c>
      <c r="B580" s="10" t="s">
        <v>2627</v>
      </c>
      <c r="C580" s="11" t="s">
        <v>2628</v>
      </c>
      <c r="D580" s="12" t="n">
        <v>3</v>
      </c>
      <c r="E580" s="12"/>
      <c r="F580" s="12"/>
      <c r="G580" s="10" t="s">
        <v>2229</v>
      </c>
      <c r="H580" s="10" t="s">
        <v>2629</v>
      </c>
      <c r="I580" s="11" t="s">
        <v>2630</v>
      </c>
      <c r="J580" s="10" t="s">
        <v>1746</v>
      </c>
      <c r="K580" s="10" t="s">
        <v>1744</v>
      </c>
      <c r="L580" s="10" t="s">
        <v>60</v>
      </c>
      <c r="M580" s="10" t="s">
        <v>408</v>
      </c>
      <c r="N580" s="11" t="s">
        <v>2631</v>
      </c>
      <c r="O580" s="11" t="s">
        <v>433</v>
      </c>
      <c r="P580" s="10" t="s">
        <v>629</v>
      </c>
      <c r="Q580" s="11" t="s">
        <v>64</v>
      </c>
      <c r="R580" s="11" t="s">
        <v>2631</v>
      </c>
      <c r="S580" s="11" t="s">
        <v>702</v>
      </c>
      <c r="T580" s="11" t="s">
        <v>2632</v>
      </c>
      <c r="U580" s="10" t="n">
        <f aca="false">IF(AND($D580="",$E580="",$F580=""),1,0)</f>
        <v>0</v>
      </c>
      <c r="V580" s="10" t="n">
        <f aca="false">IF(OR($I580="",$I580="—"),1,0)</f>
        <v>0</v>
      </c>
      <c r="W580" s="10" t="n">
        <f aca="false">IF(AND(ISNUMBER($D580),ISNUMBER($E580)),IF($E580&gt;$D580,1,0),0)+IF(AND(ISNUMBER($D580),ISNUMBER($F580)),IF($D580&gt;$F580,1,0),0)+IF(AND(ISNUMBER($E580),ISNUMBER($F580)),IF($E580&gt;$F580,1,0),0)</f>
        <v>0</v>
      </c>
      <c r="X580" s="13" t="s">
        <v>68</v>
      </c>
    </row>
    <row r="581" customFormat="false" ht="15" hidden="false" customHeight="false" outlineLevel="0" collapsed="false">
      <c r="A581" s="10" t="s">
        <v>2633</v>
      </c>
      <c r="B581" s="10" t="s">
        <v>2634</v>
      </c>
      <c r="C581" s="11" t="s">
        <v>2635</v>
      </c>
      <c r="D581" s="12" t="n">
        <v>2.4</v>
      </c>
      <c r="E581" s="12"/>
      <c r="F581" s="12"/>
      <c r="G581" s="10" t="s">
        <v>2229</v>
      </c>
      <c r="H581" s="10" t="s">
        <v>2629</v>
      </c>
      <c r="I581" s="11" t="s">
        <v>2636</v>
      </c>
      <c r="J581" s="10" t="s">
        <v>1746</v>
      </c>
      <c r="K581" s="10" t="s">
        <v>1744</v>
      </c>
      <c r="L581" s="10" t="s">
        <v>60</v>
      </c>
      <c r="M581" s="10" t="s">
        <v>408</v>
      </c>
      <c r="N581" s="11" t="s">
        <v>2637</v>
      </c>
      <c r="O581" s="11" t="s">
        <v>433</v>
      </c>
      <c r="P581" s="10" t="s">
        <v>629</v>
      </c>
      <c r="Q581" s="11" t="s">
        <v>64</v>
      </c>
      <c r="R581" s="11" t="s">
        <v>2637</v>
      </c>
      <c r="S581" s="11" t="s">
        <v>702</v>
      </c>
      <c r="T581" s="11" t="s">
        <v>2638</v>
      </c>
      <c r="U581" s="10" t="n">
        <f aca="false">IF(AND($D581="",$E581="",$F581=""),1,0)</f>
        <v>0</v>
      </c>
      <c r="V581" s="10" t="n">
        <f aca="false">IF(OR($I581="",$I581="—"),1,0)</f>
        <v>0</v>
      </c>
      <c r="W581" s="10" t="n">
        <f aca="false">IF(AND(ISNUMBER($D581),ISNUMBER($E581)),IF($E581&gt;$D581,1,0),0)+IF(AND(ISNUMBER($D581),ISNUMBER($F581)),IF($D581&gt;$F581,1,0),0)+IF(AND(ISNUMBER($E581),ISNUMBER($F581)),IF($E581&gt;$F581,1,0),0)</f>
        <v>0</v>
      </c>
      <c r="X581" s="13" t="s">
        <v>68</v>
      </c>
    </row>
    <row r="582" customFormat="false" ht="15" hidden="false" customHeight="false" outlineLevel="0" collapsed="false">
      <c r="A582" s="10" t="s">
        <v>2639</v>
      </c>
      <c r="B582" s="10" t="s">
        <v>2640</v>
      </c>
      <c r="C582" s="11" t="s">
        <v>2641</v>
      </c>
      <c r="D582" s="12" t="n">
        <v>1.8</v>
      </c>
      <c r="E582" s="12"/>
      <c r="F582" s="12"/>
      <c r="G582" s="10" t="s">
        <v>2229</v>
      </c>
      <c r="H582" s="10" t="s">
        <v>1949</v>
      </c>
      <c r="I582" s="11" t="s">
        <v>2636</v>
      </c>
      <c r="J582" s="10" t="s">
        <v>1746</v>
      </c>
      <c r="K582" s="10" t="s">
        <v>1744</v>
      </c>
      <c r="L582" s="10" t="s">
        <v>60</v>
      </c>
      <c r="M582" s="10" t="s">
        <v>408</v>
      </c>
      <c r="N582" s="11" t="s">
        <v>2637</v>
      </c>
      <c r="O582" s="11" t="s">
        <v>2642</v>
      </c>
      <c r="P582" s="10" t="s">
        <v>629</v>
      </c>
      <c r="Q582" s="11" t="s">
        <v>64</v>
      </c>
      <c r="R582" s="11" t="s">
        <v>2637</v>
      </c>
      <c r="S582" s="11" t="s">
        <v>702</v>
      </c>
      <c r="T582" s="11" t="s">
        <v>2643</v>
      </c>
      <c r="U582" s="10" t="n">
        <f aca="false">IF(AND($D582="",$E582="",$F582=""),1,0)</f>
        <v>0</v>
      </c>
      <c r="V582" s="10" t="n">
        <f aca="false">IF(OR($I582="",$I582="—"),1,0)</f>
        <v>0</v>
      </c>
      <c r="W582" s="10" t="n">
        <f aca="false">IF(AND(ISNUMBER($D582),ISNUMBER($E582)),IF($E582&gt;$D582,1,0),0)+IF(AND(ISNUMBER($D582),ISNUMBER($F582)),IF($D582&gt;$F582,1,0),0)+IF(AND(ISNUMBER($E582),ISNUMBER($F582)),IF($E582&gt;$F582,1,0),0)</f>
        <v>0</v>
      </c>
      <c r="X582" s="13" t="s">
        <v>68</v>
      </c>
    </row>
    <row r="583" customFormat="false" ht="15" hidden="false" customHeight="false" outlineLevel="0" collapsed="false">
      <c r="A583" s="10" t="s">
        <v>2644</v>
      </c>
      <c r="B583" s="10" t="s">
        <v>2645</v>
      </c>
      <c r="C583" s="10" t="s">
        <v>2646</v>
      </c>
      <c r="D583" s="12" t="n">
        <v>1.6</v>
      </c>
      <c r="E583" s="12"/>
      <c r="F583" s="12" t="n">
        <v>2</v>
      </c>
      <c r="G583" s="10" t="s">
        <v>2229</v>
      </c>
      <c r="H583" s="10" t="s">
        <v>1258</v>
      </c>
      <c r="I583" s="11" t="s">
        <v>2647</v>
      </c>
      <c r="J583" s="10" t="s">
        <v>1367</v>
      </c>
      <c r="K583" s="10" t="s">
        <v>657</v>
      </c>
      <c r="L583" s="10" t="s">
        <v>60</v>
      </c>
      <c r="M583" s="10" t="s">
        <v>408</v>
      </c>
      <c r="N583" s="11" t="s">
        <v>2637</v>
      </c>
      <c r="O583" s="11" t="s">
        <v>433</v>
      </c>
      <c r="P583" s="10" t="s">
        <v>629</v>
      </c>
      <c r="Q583" s="11" t="s">
        <v>64</v>
      </c>
      <c r="R583" s="11" t="s">
        <v>2637</v>
      </c>
      <c r="S583" s="11" t="s">
        <v>702</v>
      </c>
      <c r="T583" s="10" t="s">
        <v>2648</v>
      </c>
      <c r="U583" s="10" t="n">
        <f aca="false">IF(AND($D583="",$E583="",$F583=""),1,0)</f>
        <v>0</v>
      </c>
      <c r="V583" s="10" t="n">
        <f aca="false">IF(OR($I583="",$I583="—"),1,0)</f>
        <v>0</v>
      </c>
      <c r="W583" s="10" t="n">
        <f aca="false">IF(AND(ISNUMBER($D583),ISNUMBER($E583)),IF($E583&gt;$D583,1,0),0)+IF(AND(ISNUMBER($D583),ISNUMBER($F583)),IF($D583&gt;$F583,1,0),0)+IF(AND(ISNUMBER($E583),ISNUMBER($F583)),IF($E583&gt;$F583,1,0),0)</f>
        <v>0</v>
      </c>
      <c r="X583" s="13" t="s">
        <v>68</v>
      </c>
    </row>
    <row r="584" customFormat="false" ht="15" hidden="false" customHeight="false" outlineLevel="0" collapsed="false">
      <c r="A584" s="10" t="s">
        <v>2649</v>
      </c>
      <c r="B584" s="10" t="s">
        <v>2650</v>
      </c>
      <c r="C584" s="11" t="s">
        <v>2651</v>
      </c>
      <c r="D584" s="12" t="n">
        <v>80</v>
      </c>
      <c r="E584" s="12"/>
      <c r="F584" s="12"/>
      <c r="G584" s="10" t="s">
        <v>393</v>
      </c>
      <c r="H584" s="10" t="s">
        <v>2652</v>
      </c>
      <c r="I584" s="11" t="s">
        <v>2647</v>
      </c>
      <c r="J584" s="10" t="s">
        <v>1367</v>
      </c>
      <c r="K584" s="10" t="s">
        <v>657</v>
      </c>
      <c r="L584" s="10" t="s">
        <v>60</v>
      </c>
      <c r="M584" s="10" t="s">
        <v>408</v>
      </c>
      <c r="N584" s="11" t="s">
        <v>2637</v>
      </c>
      <c r="O584" s="11" t="s">
        <v>433</v>
      </c>
      <c r="P584" s="10" t="s">
        <v>629</v>
      </c>
      <c r="Q584" s="11" t="s">
        <v>64</v>
      </c>
      <c r="R584" s="11" t="s">
        <v>2637</v>
      </c>
      <c r="S584" s="11" t="s">
        <v>702</v>
      </c>
      <c r="T584" s="11" t="s">
        <v>2653</v>
      </c>
      <c r="U584" s="10" t="n">
        <f aca="false">IF(AND($D584="",$E584="",$F584=""),1,0)</f>
        <v>0</v>
      </c>
      <c r="V584" s="10" t="n">
        <f aca="false">IF(OR($I584="",$I584="—"),1,0)</f>
        <v>0</v>
      </c>
      <c r="W584" s="10" t="n">
        <f aca="false">IF(AND(ISNUMBER($D584),ISNUMBER($E584)),IF($E584&gt;$D584,1,0),0)+IF(AND(ISNUMBER($D584),ISNUMBER($F584)),IF($D584&gt;$F584,1,0),0)+IF(AND(ISNUMBER($E584),ISNUMBER($F584)),IF($E584&gt;$F584,1,0),0)</f>
        <v>0</v>
      </c>
      <c r="X584" s="13" t="s">
        <v>68</v>
      </c>
    </row>
    <row r="585" customFormat="false" ht="15" hidden="false" customHeight="false" outlineLevel="0" collapsed="false">
      <c r="A585" s="10" t="s">
        <v>2654</v>
      </c>
      <c r="B585" s="10" t="s">
        <v>2655</v>
      </c>
      <c r="C585" s="11" t="s">
        <v>2656</v>
      </c>
      <c r="D585" s="12"/>
      <c r="E585" s="12"/>
      <c r="F585" s="12"/>
      <c r="G585" s="11" t="s">
        <v>2657</v>
      </c>
      <c r="H585" s="10"/>
      <c r="I585" s="11" t="s">
        <v>2658</v>
      </c>
      <c r="J585" s="10" t="s">
        <v>2502</v>
      </c>
      <c r="K585" s="10" t="s">
        <v>657</v>
      </c>
      <c r="L585" s="10" t="s">
        <v>60</v>
      </c>
      <c r="M585" s="10" t="s">
        <v>408</v>
      </c>
      <c r="N585" s="11" t="s">
        <v>2637</v>
      </c>
      <c r="O585" s="11" t="s">
        <v>2659</v>
      </c>
      <c r="P585" s="10" t="s">
        <v>63</v>
      </c>
      <c r="Q585" s="11" t="s">
        <v>64</v>
      </c>
      <c r="R585" s="11" t="s">
        <v>2637</v>
      </c>
      <c r="S585" s="11" t="s">
        <v>66</v>
      </c>
      <c r="T585" s="11" t="s">
        <v>2660</v>
      </c>
      <c r="U585" s="10" t="n">
        <f aca="false">IF(AND($D585="",$E585="",$F585=""),1,0)</f>
        <v>1</v>
      </c>
      <c r="V585" s="10" t="n">
        <f aca="false">IF(OR($I585="",$I585="—"),1,0)</f>
        <v>0</v>
      </c>
      <c r="W585" s="10" t="n">
        <f aca="false">IF(AND(ISNUMBER($D585),ISNUMBER($E585)),IF($E585&gt;$D585,1,0),0)+IF(AND(ISNUMBER($D585),ISNUMBER($F585)),IF($D585&gt;$F585,1,0),0)+IF(AND(ISNUMBER($E585),ISNUMBER($F585)),IF($E585&gt;$F585,1,0),0)</f>
        <v>0</v>
      </c>
      <c r="X585" s="13" t="s">
        <v>68</v>
      </c>
    </row>
    <row r="586" customFormat="false" ht="15" hidden="false" customHeight="false" outlineLevel="0" collapsed="false">
      <c r="A586" s="10" t="s">
        <v>2661</v>
      </c>
      <c r="B586" s="10" t="s">
        <v>2662</v>
      </c>
      <c r="C586" s="11" t="s">
        <v>2663</v>
      </c>
      <c r="D586" s="12" t="n">
        <v>6048</v>
      </c>
      <c r="E586" s="12"/>
      <c r="F586" s="12"/>
      <c r="G586" s="10" t="s">
        <v>2500</v>
      </c>
      <c r="H586" s="10" t="s">
        <v>2664</v>
      </c>
      <c r="I586" s="10" t="s">
        <v>2665</v>
      </c>
      <c r="J586" s="10" t="s">
        <v>2666</v>
      </c>
      <c r="K586" s="10" t="s">
        <v>2667</v>
      </c>
      <c r="L586" s="10" t="s">
        <v>60</v>
      </c>
      <c r="M586" s="10" t="s">
        <v>408</v>
      </c>
      <c r="N586" s="11" t="s">
        <v>2668</v>
      </c>
      <c r="O586" s="11" t="s">
        <v>2669</v>
      </c>
      <c r="P586" s="10" t="s">
        <v>629</v>
      </c>
      <c r="Q586" s="11" t="s">
        <v>64</v>
      </c>
      <c r="R586" s="11" t="s">
        <v>2668</v>
      </c>
      <c r="S586" s="11" t="s">
        <v>702</v>
      </c>
      <c r="T586" s="10" t="s">
        <v>2670</v>
      </c>
      <c r="U586" s="10" t="n">
        <f aca="false">IF(AND($D586="",$E586="",$F586=""),1,0)</f>
        <v>0</v>
      </c>
      <c r="V586" s="10" t="n">
        <f aca="false">IF(OR($I586="",$I586="—"),1,0)</f>
        <v>0</v>
      </c>
      <c r="W586" s="10" t="n">
        <f aca="false">IF(AND(ISNUMBER($D586),ISNUMBER($E586)),IF($E586&gt;$D586,1,0),0)+IF(AND(ISNUMBER($D586),ISNUMBER($F586)),IF($D586&gt;$F586,1,0),0)+IF(AND(ISNUMBER($E586),ISNUMBER($F586)),IF($E586&gt;$F586,1,0),0)</f>
        <v>0</v>
      </c>
      <c r="X586" s="13" t="s">
        <v>68</v>
      </c>
    </row>
    <row r="587" customFormat="false" ht="15" hidden="false" customHeight="false" outlineLevel="0" collapsed="false">
      <c r="A587" s="10" t="s">
        <v>2671</v>
      </c>
      <c r="B587" s="10" t="s">
        <v>2672</v>
      </c>
      <c r="C587" s="11" t="s">
        <v>2673</v>
      </c>
      <c r="D587" s="12" t="n">
        <v>18013</v>
      </c>
      <c r="E587" s="12"/>
      <c r="F587" s="12"/>
      <c r="G587" s="10" t="s">
        <v>2500</v>
      </c>
      <c r="H587" s="10" t="s">
        <v>2674</v>
      </c>
      <c r="I587" s="10" t="s">
        <v>2675</v>
      </c>
      <c r="J587" s="10" t="s">
        <v>2666</v>
      </c>
      <c r="K587" s="10" t="s">
        <v>2667</v>
      </c>
      <c r="L587" s="10" t="s">
        <v>60</v>
      </c>
      <c r="M587" s="10" t="s">
        <v>408</v>
      </c>
      <c r="N587" s="11" t="s">
        <v>2676</v>
      </c>
      <c r="O587" s="11" t="s">
        <v>2669</v>
      </c>
      <c r="P587" s="10" t="s">
        <v>629</v>
      </c>
      <c r="Q587" s="11" t="s">
        <v>64</v>
      </c>
      <c r="R587" s="11" t="s">
        <v>2676</v>
      </c>
      <c r="S587" s="11" t="s">
        <v>702</v>
      </c>
      <c r="T587" s="10" t="s">
        <v>2677</v>
      </c>
      <c r="U587" s="10" t="n">
        <f aca="false">IF(AND($D587="",$E587="",$F587=""),1,0)</f>
        <v>0</v>
      </c>
      <c r="V587" s="10" t="n">
        <f aca="false">IF(OR($I587="",$I587="—"),1,0)</f>
        <v>0</v>
      </c>
      <c r="W587" s="10" t="n">
        <f aca="false">IF(AND(ISNUMBER($D587),ISNUMBER($E587)),IF($E587&gt;$D587,1,0),0)+IF(AND(ISNUMBER($D587),ISNUMBER($F587)),IF($D587&gt;$F587,1,0),0)+IF(AND(ISNUMBER($E587),ISNUMBER($F587)),IF($E587&gt;$F587,1,0),0)</f>
        <v>0</v>
      </c>
      <c r="X587" s="13" t="s">
        <v>68</v>
      </c>
    </row>
    <row r="588" customFormat="false" ht="15" hidden="false" customHeight="false" outlineLevel="0" collapsed="false">
      <c r="A588" s="10" t="s">
        <v>2678</v>
      </c>
      <c r="B588" s="10" t="s">
        <v>2679</v>
      </c>
      <c r="C588" s="11" t="s">
        <v>2680</v>
      </c>
      <c r="D588" s="12" t="n">
        <v>37900</v>
      </c>
      <c r="E588" s="12"/>
      <c r="F588" s="12"/>
      <c r="G588" s="10" t="s">
        <v>2500</v>
      </c>
      <c r="H588" s="10" t="s">
        <v>2681</v>
      </c>
      <c r="I588" s="10" t="s">
        <v>2682</v>
      </c>
      <c r="J588" s="10" t="s">
        <v>2666</v>
      </c>
      <c r="K588" s="10" t="s">
        <v>2667</v>
      </c>
      <c r="L588" s="10" t="s">
        <v>60</v>
      </c>
      <c r="M588" s="10" t="s">
        <v>408</v>
      </c>
      <c r="N588" s="11" t="s">
        <v>2676</v>
      </c>
      <c r="O588" s="11" t="s">
        <v>2669</v>
      </c>
      <c r="P588" s="10" t="s">
        <v>629</v>
      </c>
      <c r="Q588" s="11" t="s">
        <v>64</v>
      </c>
      <c r="R588" s="11" t="s">
        <v>2676</v>
      </c>
      <c r="S588" s="11" t="s">
        <v>702</v>
      </c>
      <c r="T588" s="10" t="s">
        <v>2683</v>
      </c>
      <c r="U588" s="10" t="n">
        <f aca="false">IF(AND($D588="",$E588="",$F588=""),1,0)</f>
        <v>0</v>
      </c>
      <c r="V588" s="10" t="n">
        <f aca="false">IF(OR($I588="",$I588="—"),1,0)</f>
        <v>0</v>
      </c>
      <c r="W588" s="10" t="n">
        <f aca="false">IF(AND(ISNUMBER($D588),ISNUMBER($E588)),IF($E588&gt;$D588,1,0),0)+IF(AND(ISNUMBER($D588),ISNUMBER($F588)),IF($D588&gt;$F588,1,0),0)+IF(AND(ISNUMBER($E588),ISNUMBER($F588)),IF($E588&gt;$F588,1,0),0)</f>
        <v>0</v>
      </c>
      <c r="X588" s="13" t="s">
        <v>68</v>
      </c>
    </row>
    <row r="589" customFormat="false" ht="15" hidden="false" customHeight="false" outlineLevel="0" collapsed="false">
      <c r="A589" s="10" t="s">
        <v>2684</v>
      </c>
      <c r="B589" s="10" t="s">
        <v>2685</v>
      </c>
      <c r="C589" s="11" t="s">
        <v>2686</v>
      </c>
      <c r="D589" s="12" t="n">
        <v>-4594</v>
      </c>
      <c r="E589" s="12"/>
      <c r="F589" s="12"/>
      <c r="G589" s="10" t="s">
        <v>2500</v>
      </c>
      <c r="H589" s="10" t="s">
        <v>2664</v>
      </c>
      <c r="I589" s="10" t="s">
        <v>2687</v>
      </c>
      <c r="J589" s="10" t="s">
        <v>2666</v>
      </c>
      <c r="K589" s="10" t="s">
        <v>2667</v>
      </c>
      <c r="L589" s="10" t="s">
        <v>60</v>
      </c>
      <c r="M589" s="10" t="s">
        <v>408</v>
      </c>
      <c r="N589" s="11" t="s">
        <v>2676</v>
      </c>
      <c r="O589" s="11" t="s">
        <v>2669</v>
      </c>
      <c r="P589" s="10" t="s">
        <v>629</v>
      </c>
      <c r="Q589" s="11" t="s">
        <v>64</v>
      </c>
      <c r="R589" s="11" t="s">
        <v>2676</v>
      </c>
      <c r="S589" s="11" t="s">
        <v>702</v>
      </c>
      <c r="T589" s="10" t="s">
        <v>2688</v>
      </c>
      <c r="U589" s="10" t="n">
        <f aca="false">IF(AND($D589="",$E589="",$F589=""),1,0)</f>
        <v>0</v>
      </c>
      <c r="V589" s="10" t="n">
        <f aca="false">IF(OR($I589="",$I589="—"),1,0)</f>
        <v>0</v>
      </c>
      <c r="W589" s="10" t="n">
        <f aca="false">IF(AND(ISNUMBER($D589),ISNUMBER($E589)),IF($E589&gt;$D589,1,0),0)+IF(AND(ISNUMBER($D589),ISNUMBER($F589)),IF($D589&gt;$F589,1,0),0)+IF(AND(ISNUMBER($E589),ISNUMBER($F589)),IF($E589&gt;$F589,1,0),0)</f>
        <v>0</v>
      </c>
      <c r="X589" s="13" t="s">
        <v>68</v>
      </c>
    </row>
    <row r="590" customFormat="false" ht="15" hidden="false" customHeight="false" outlineLevel="0" collapsed="false">
      <c r="A590" s="10" t="s">
        <v>2689</v>
      </c>
      <c r="B590" s="10" t="s">
        <v>2690</v>
      </c>
      <c r="C590" s="11" t="s">
        <v>2691</v>
      </c>
      <c r="D590" s="12" t="n">
        <v>6.1</v>
      </c>
      <c r="E590" s="12"/>
      <c r="F590" s="12"/>
      <c r="G590" s="10" t="s">
        <v>2692</v>
      </c>
      <c r="H590" s="10" t="s">
        <v>2664</v>
      </c>
      <c r="I590" s="10" t="s">
        <v>2693</v>
      </c>
      <c r="J590" s="10" t="s">
        <v>2694</v>
      </c>
      <c r="K590" s="10" t="s">
        <v>2695</v>
      </c>
      <c r="L590" s="10" t="s">
        <v>60</v>
      </c>
      <c r="M590" s="10" t="s">
        <v>408</v>
      </c>
      <c r="N590" s="11" t="s">
        <v>2676</v>
      </c>
      <c r="O590" s="11" t="s">
        <v>2669</v>
      </c>
      <c r="P590" s="10" t="s">
        <v>629</v>
      </c>
      <c r="Q590" s="11" t="s">
        <v>64</v>
      </c>
      <c r="R590" s="11" t="s">
        <v>2676</v>
      </c>
      <c r="S590" s="11" t="s">
        <v>702</v>
      </c>
      <c r="T590" s="11" t="s">
        <v>2696</v>
      </c>
      <c r="U590" s="10" t="n">
        <f aca="false">IF(AND($D590="",$E590="",$F590=""),1,0)</f>
        <v>0</v>
      </c>
      <c r="V590" s="10" t="n">
        <f aca="false">IF(OR($I590="",$I590="—"),1,0)</f>
        <v>0</v>
      </c>
      <c r="W590" s="10" t="n">
        <f aca="false">IF(AND(ISNUMBER($D590),ISNUMBER($E590)),IF($E590&gt;$D590,1,0),0)+IF(AND(ISNUMBER($D590),ISNUMBER($F590)),IF($D590&gt;$F590,1,0),0)+IF(AND(ISNUMBER($E590),ISNUMBER($F590)),IF($E590&gt;$F590,1,0),0)</f>
        <v>0</v>
      </c>
      <c r="X590" s="13" t="s">
        <v>68</v>
      </c>
    </row>
    <row r="591" customFormat="false" ht="15" hidden="false" customHeight="false" outlineLevel="0" collapsed="false">
      <c r="A591" s="10" t="s">
        <v>2697</v>
      </c>
      <c r="B591" s="10" t="s">
        <v>2698</v>
      </c>
      <c r="C591" s="11" t="s">
        <v>2699</v>
      </c>
      <c r="D591" s="12" t="n">
        <v>1567.3</v>
      </c>
      <c r="E591" s="12"/>
      <c r="F591" s="12"/>
      <c r="G591" s="10" t="s">
        <v>2289</v>
      </c>
      <c r="H591" s="10" t="s">
        <v>2598</v>
      </c>
      <c r="I591" s="10" t="s">
        <v>2700</v>
      </c>
      <c r="J591" s="10" t="s">
        <v>2597</v>
      </c>
      <c r="K591" s="10" t="s">
        <v>2598</v>
      </c>
      <c r="L591" s="10" t="s">
        <v>60</v>
      </c>
      <c r="M591" s="10" t="s">
        <v>408</v>
      </c>
      <c r="N591" s="11" t="s">
        <v>2676</v>
      </c>
      <c r="O591" s="11" t="s">
        <v>2669</v>
      </c>
      <c r="P591" s="10" t="s">
        <v>629</v>
      </c>
      <c r="Q591" s="11" t="s">
        <v>64</v>
      </c>
      <c r="R591" s="11" t="s">
        <v>2676</v>
      </c>
      <c r="S591" s="11" t="s">
        <v>702</v>
      </c>
      <c r="T591" s="11" t="s">
        <v>2701</v>
      </c>
      <c r="U591" s="10" t="n">
        <f aca="false">IF(AND($D591="",$E591="",$F591=""),1,0)</f>
        <v>0</v>
      </c>
      <c r="V591" s="10" t="n">
        <f aca="false">IF(OR($I591="",$I591="—"),1,0)</f>
        <v>0</v>
      </c>
      <c r="W591" s="10" t="n">
        <f aca="false">IF(AND(ISNUMBER($D591),ISNUMBER($E591)),IF($E591&gt;$D591,1,0),0)+IF(AND(ISNUMBER($D591),ISNUMBER($F591)),IF($D591&gt;$F591,1,0),0)+IF(AND(ISNUMBER($E591),ISNUMBER($F591)),IF($E591&gt;$F591,1,0),0)</f>
        <v>0</v>
      </c>
      <c r="X591" s="13" t="s">
        <v>68</v>
      </c>
    </row>
    <row r="592" customFormat="false" ht="15" hidden="false" customHeight="false" outlineLevel="0" collapsed="false">
      <c r="A592" s="10" t="s">
        <v>2702</v>
      </c>
      <c r="B592" s="10" t="s">
        <v>2703</v>
      </c>
      <c r="C592" s="11" t="s">
        <v>2704</v>
      </c>
      <c r="D592" s="12" t="n">
        <v>1427</v>
      </c>
      <c r="E592" s="12" t="n">
        <v>549</v>
      </c>
      <c r="F592" s="12" t="n">
        <v>1928</v>
      </c>
      <c r="G592" s="10" t="s">
        <v>2705</v>
      </c>
      <c r="H592" s="10" t="s">
        <v>2695</v>
      </c>
      <c r="I592" s="10" t="s">
        <v>2706</v>
      </c>
      <c r="J592" s="10" t="s">
        <v>2694</v>
      </c>
      <c r="K592" s="10" t="s">
        <v>2695</v>
      </c>
      <c r="L592" s="10" t="s">
        <v>60</v>
      </c>
      <c r="M592" s="10" t="s">
        <v>408</v>
      </c>
      <c r="N592" s="11" t="s">
        <v>2707</v>
      </c>
      <c r="O592" s="11" t="s">
        <v>2669</v>
      </c>
      <c r="P592" s="10" t="s">
        <v>629</v>
      </c>
      <c r="Q592" s="11" t="s">
        <v>64</v>
      </c>
      <c r="R592" s="11" t="s">
        <v>2707</v>
      </c>
      <c r="S592" s="11" t="s">
        <v>702</v>
      </c>
      <c r="T592" s="11" t="s">
        <v>2708</v>
      </c>
      <c r="U592" s="10" t="n">
        <f aca="false">IF(AND($D592="",$E592="",$F592=""),1,0)</f>
        <v>0</v>
      </c>
      <c r="V592" s="10" t="n">
        <f aca="false">IF(OR($I592="",$I592="—"),1,0)</f>
        <v>0</v>
      </c>
      <c r="W592" s="10" t="n">
        <f aca="false">IF(AND(ISNUMBER($D592),ISNUMBER($E592)),IF($E592&gt;$D592,1,0),0)+IF(AND(ISNUMBER($D592),ISNUMBER($F592)),IF($D592&gt;$F592,1,0),0)+IF(AND(ISNUMBER($E592),ISNUMBER($F592)),IF($E592&gt;$F592,1,0),0)</f>
        <v>0</v>
      </c>
      <c r="X592" s="13" t="s">
        <v>68</v>
      </c>
    </row>
    <row r="593" customFormat="false" ht="15" hidden="false" customHeight="false" outlineLevel="0" collapsed="false">
      <c r="A593" s="10" t="s">
        <v>2709</v>
      </c>
      <c r="B593" s="10" t="s">
        <v>2710</v>
      </c>
      <c r="C593" s="11" t="s">
        <v>2711</v>
      </c>
      <c r="D593" s="12" t="n">
        <v>1560</v>
      </c>
      <c r="E593" s="12"/>
      <c r="F593" s="12"/>
      <c r="G593" s="10" t="s">
        <v>2289</v>
      </c>
      <c r="H593" s="10" t="s">
        <v>2712</v>
      </c>
      <c r="I593" s="11" t="s">
        <v>2713</v>
      </c>
      <c r="J593" s="10" t="s">
        <v>2714</v>
      </c>
      <c r="K593" s="10" t="s">
        <v>2712</v>
      </c>
      <c r="L593" s="10" t="s">
        <v>60</v>
      </c>
      <c r="M593" s="10" t="s">
        <v>408</v>
      </c>
      <c r="N593" s="11" t="s">
        <v>2715</v>
      </c>
      <c r="O593" s="11" t="s">
        <v>2707</v>
      </c>
      <c r="P593" s="10" t="s">
        <v>629</v>
      </c>
      <c r="Q593" s="11" t="s">
        <v>64</v>
      </c>
      <c r="R593" s="11" t="s">
        <v>2715</v>
      </c>
      <c r="S593" s="11" t="s">
        <v>702</v>
      </c>
      <c r="T593" s="11" t="s">
        <v>2716</v>
      </c>
      <c r="U593" s="10" t="n">
        <f aca="false">IF(AND($D593="",$E593="",$F593=""),1,0)</f>
        <v>0</v>
      </c>
      <c r="V593" s="10" t="n">
        <f aca="false">IF(OR($I593="",$I593="—"),1,0)</f>
        <v>0</v>
      </c>
      <c r="W593" s="10" t="n">
        <f aca="false">IF(AND(ISNUMBER($D593),ISNUMBER($E593)),IF($E593&gt;$D593,1,0),0)+IF(AND(ISNUMBER($D593),ISNUMBER($F593)),IF($D593&gt;$F593,1,0),0)+IF(AND(ISNUMBER($E593),ISNUMBER($F593)),IF($E593&gt;$F593,1,0),0)</f>
        <v>0</v>
      </c>
      <c r="X593" s="13" t="s">
        <v>68</v>
      </c>
    </row>
    <row r="594" customFormat="false" ht="15" hidden="false" customHeight="false" outlineLevel="0" collapsed="false">
      <c r="A594" s="10" t="s">
        <v>2717</v>
      </c>
      <c r="B594" s="10" t="s">
        <v>2718</v>
      </c>
      <c r="C594" s="11" t="s">
        <v>2719</v>
      </c>
      <c r="D594" s="12" t="n">
        <v>1600</v>
      </c>
      <c r="E594" s="12"/>
      <c r="F594" s="12"/>
      <c r="G594" s="10" t="s">
        <v>2289</v>
      </c>
      <c r="H594" s="10" t="s">
        <v>2720</v>
      </c>
      <c r="I594" s="11" t="s">
        <v>2721</v>
      </c>
      <c r="J594" s="10" t="s">
        <v>2722</v>
      </c>
      <c r="K594" s="10" t="s">
        <v>2720</v>
      </c>
      <c r="L594" s="10" t="s">
        <v>60</v>
      </c>
      <c r="M594" s="10" t="s">
        <v>408</v>
      </c>
      <c r="N594" s="11" t="s">
        <v>2723</v>
      </c>
      <c r="O594" s="11" t="s">
        <v>2707</v>
      </c>
      <c r="P594" s="10" t="s">
        <v>629</v>
      </c>
      <c r="Q594" s="11" t="s">
        <v>64</v>
      </c>
      <c r="R594" s="11" t="s">
        <v>2723</v>
      </c>
      <c r="S594" s="11" t="s">
        <v>702</v>
      </c>
      <c r="T594" s="11" t="s">
        <v>2724</v>
      </c>
      <c r="U594" s="10" t="n">
        <f aca="false">IF(AND($D594="",$E594="",$F594=""),1,0)</f>
        <v>0</v>
      </c>
      <c r="V594" s="10" t="n">
        <f aca="false">IF(OR($I594="",$I594="—"),1,0)</f>
        <v>0</v>
      </c>
      <c r="W594" s="10" t="n">
        <f aca="false">IF(AND(ISNUMBER($D594),ISNUMBER($E594)),IF($E594&gt;$D594,1,0),0)+IF(AND(ISNUMBER($D594),ISNUMBER($F594)),IF($D594&gt;$F594,1,0),0)+IF(AND(ISNUMBER($E594),ISNUMBER($F594)),IF($E594&gt;$F594,1,0),0)</f>
        <v>0</v>
      </c>
      <c r="X594" s="13" t="s">
        <v>68</v>
      </c>
    </row>
    <row r="595" customFormat="false" ht="15" hidden="false" customHeight="false" outlineLevel="0" collapsed="false">
      <c r="A595" s="10" t="s">
        <v>2725</v>
      </c>
      <c r="B595" s="10" t="s">
        <v>2726</v>
      </c>
      <c r="C595" s="11" t="s">
        <v>2727</v>
      </c>
      <c r="D595" s="12" t="n">
        <v>62</v>
      </c>
      <c r="E595" s="12"/>
      <c r="F595" s="12"/>
      <c r="G595" s="10" t="s">
        <v>2728</v>
      </c>
      <c r="H595" s="10" t="s">
        <v>2729</v>
      </c>
      <c r="I595" s="11" t="s">
        <v>2730</v>
      </c>
      <c r="J595" s="10" t="s">
        <v>708</v>
      </c>
      <c r="K595" s="10" t="s">
        <v>709</v>
      </c>
      <c r="L595" s="10" t="s">
        <v>60</v>
      </c>
      <c r="M595" s="10" t="s">
        <v>408</v>
      </c>
      <c r="N595" s="11" t="s">
        <v>2731</v>
      </c>
      <c r="O595" s="11" t="s">
        <v>2707</v>
      </c>
      <c r="P595" s="10" t="s">
        <v>629</v>
      </c>
      <c r="Q595" s="11" t="s">
        <v>64</v>
      </c>
      <c r="R595" s="11" t="s">
        <v>2731</v>
      </c>
      <c r="S595" s="11" t="s">
        <v>702</v>
      </c>
      <c r="T595" s="11" t="s">
        <v>2732</v>
      </c>
      <c r="U595" s="10" t="n">
        <f aca="false">IF(AND($D595="",$E595="",$F595=""),1,0)</f>
        <v>0</v>
      </c>
      <c r="V595" s="10" t="n">
        <f aca="false">IF(OR($I595="",$I595="—"),1,0)</f>
        <v>0</v>
      </c>
      <c r="W595" s="10" t="n">
        <f aca="false">IF(AND(ISNUMBER($D595),ISNUMBER($E595)),IF($E595&gt;$D595,1,0),0)+IF(AND(ISNUMBER($D595),ISNUMBER($F595)),IF($D595&gt;$F595,1,0),0)+IF(AND(ISNUMBER($E595),ISNUMBER($F595)),IF($E595&gt;$F595,1,0),0)</f>
        <v>0</v>
      </c>
      <c r="X595" s="13" t="s">
        <v>68</v>
      </c>
    </row>
    <row r="596" customFormat="false" ht="15" hidden="false" customHeight="false" outlineLevel="0" collapsed="false">
      <c r="A596" s="10" t="s">
        <v>2733</v>
      </c>
      <c r="B596" s="10" t="s">
        <v>2734</v>
      </c>
      <c r="C596" s="11" t="s">
        <v>2735</v>
      </c>
      <c r="D596" s="12" t="n">
        <v>42</v>
      </c>
      <c r="E596" s="12"/>
      <c r="F596" s="12"/>
      <c r="G596" s="10" t="s">
        <v>2728</v>
      </c>
      <c r="H596" s="10" t="s">
        <v>2729</v>
      </c>
      <c r="I596" s="11" t="s">
        <v>2736</v>
      </c>
      <c r="J596" s="10" t="s">
        <v>2737</v>
      </c>
      <c r="K596" s="10" t="s">
        <v>2738</v>
      </c>
      <c r="L596" s="10" t="s">
        <v>60</v>
      </c>
      <c r="M596" s="10" t="s">
        <v>408</v>
      </c>
      <c r="N596" s="11" t="s">
        <v>2739</v>
      </c>
      <c r="O596" s="11" t="s">
        <v>2707</v>
      </c>
      <c r="P596" s="10" t="s">
        <v>629</v>
      </c>
      <c r="Q596" s="11" t="s">
        <v>64</v>
      </c>
      <c r="R596" s="11" t="s">
        <v>2739</v>
      </c>
      <c r="S596" s="11" t="s">
        <v>702</v>
      </c>
      <c r="T596" s="10" t="s">
        <v>2740</v>
      </c>
      <c r="U596" s="10" t="n">
        <f aca="false">IF(AND($D596="",$E596="",$F596=""),1,0)</f>
        <v>0</v>
      </c>
      <c r="V596" s="10" t="n">
        <f aca="false">IF(OR($I596="",$I596="—"),1,0)</f>
        <v>0</v>
      </c>
      <c r="W596" s="10" t="n">
        <f aca="false">IF(AND(ISNUMBER($D596),ISNUMBER($E596)),IF($E596&gt;$D596,1,0),0)+IF(AND(ISNUMBER($D596),ISNUMBER($F596)),IF($D596&gt;$F596,1,0),0)+IF(AND(ISNUMBER($E596),ISNUMBER($F596)),IF($E596&gt;$F596,1,0),0)</f>
        <v>0</v>
      </c>
      <c r="X596" s="13" t="s">
        <v>68</v>
      </c>
    </row>
    <row r="597" customFormat="false" ht="15" hidden="false" customHeight="false" outlineLevel="0" collapsed="false">
      <c r="A597" s="10" t="s">
        <v>2741</v>
      </c>
      <c r="B597" s="10" t="s">
        <v>2742</v>
      </c>
      <c r="C597" s="11" t="s">
        <v>2743</v>
      </c>
      <c r="D597" s="12" t="n">
        <v>1500</v>
      </c>
      <c r="E597" s="12"/>
      <c r="F597" s="12"/>
      <c r="G597" s="10" t="s">
        <v>2289</v>
      </c>
      <c r="H597" s="10" t="s">
        <v>2744</v>
      </c>
      <c r="I597" s="11" t="s">
        <v>2745</v>
      </c>
      <c r="J597" s="10" t="s">
        <v>2746</v>
      </c>
      <c r="K597" s="10" t="s">
        <v>2744</v>
      </c>
      <c r="L597" s="10" t="s">
        <v>60</v>
      </c>
      <c r="M597" s="10" t="s">
        <v>408</v>
      </c>
      <c r="N597" s="11" t="s">
        <v>2747</v>
      </c>
      <c r="O597" s="11" t="s">
        <v>2707</v>
      </c>
      <c r="P597" s="10" t="s">
        <v>629</v>
      </c>
      <c r="Q597" s="11" t="s">
        <v>64</v>
      </c>
      <c r="R597" s="11" t="s">
        <v>2747</v>
      </c>
      <c r="S597" s="11" t="s">
        <v>702</v>
      </c>
      <c r="T597" s="11" t="s">
        <v>2748</v>
      </c>
      <c r="U597" s="10" t="n">
        <f aca="false">IF(AND($D597="",$E597="",$F597=""),1,0)</f>
        <v>0</v>
      </c>
      <c r="V597" s="10" t="n">
        <f aca="false">IF(OR($I597="",$I597="—"),1,0)</f>
        <v>0</v>
      </c>
      <c r="W597" s="10" t="n">
        <f aca="false">IF(AND(ISNUMBER($D597),ISNUMBER($E597)),IF($E597&gt;$D597,1,0),0)+IF(AND(ISNUMBER($D597),ISNUMBER($F597)),IF($D597&gt;$F597,1,0),0)+IF(AND(ISNUMBER($E597),ISNUMBER($F597)),IF($E597&gt;$F597,1,0),0)</f>
        <v>0</v>
      </c>
      <c r="X597" s="13" t="s">
        <v>68</v>
      </c>
    </row>
    <row r="598" customFormat="false" ht="15" hidden="false" customHeight="false" outlineLevel="0" collapsed="false">
      <c r="A598" s="10" t="s">
        <v>2749</v>
      </c>
      <c r="B598" s="10" t="s">
        <v>2750</v>
      </c>
      <c r="C598" s="11" t="s">
        <v>2751</v>
      </c>
      <c r="D598" s="12" t="n">
        <v>2000</v>
      </c>
      <c r="E598" s="12"/>
      <c r="F598" s="12"/>
      <c r="G598" s="10" t="s">
        <v>2289</v>
      </c>
      <c r="H598" s="10" t="s">
        <v>2406</v>
      </c>
      <c r="I598" s="11" t="s">
        <v>2752</v>
      </c>
      <c r="J598" s="10" t="s">
        <v>2753</v>
      </c>
      <c r="K598" s="10" t="s">
        <v>2406</v>
      </c>
      <c r="L598" s="10" t="s">
        <v>60</v>
      </c>
      <c r="M598" s="10" t="s">
        <v>408</v>
      </c>
      <c r="N598" s="11" t="s">
        <v>2754</v>
      </c>
      <c r="O598" s="11" t="s">
        <v>2707</v>
      </c>
      <c r="P598" s="10" t="s">
        <v>629</v>
      </c>
      <c r="Q598" s="11" t="s">
        <v>64</v>
      </c>
      <c r="R598" s="11" t="s">
        <v>2754</v>
      </c>
      <c r="S598" s="11" t="s">
        <v>702</v>
      </c>
      <c r="T598" s="11" t="s">
        <v>2755</v>
      </c>
      <c r="U598" s="10" t="n">
        <f aca="false">IF(AND($D598="",$E598="",$F598=""),1,0)</f>
        <v>0</v>
      </c>
      <c r="V598" s="10" t="n">
        <f aca="false">IF(OR($I598="",$I598="—"),1,0)</f>
        <v>0</v>
      </c>
      <c r="W598" s="10" t="n">
        <f aca="false">IF(AND(ISNUMBER($D598),ISNUMBER($E598)),IF($E598&gt;$D598,1,0),0)+IF(AND(ISNUMBER($D598),ISNUMBER($F598)),IF($D598&gt;$F598,1,0),0)+IF(AND(ISNUMBER($E598),ISNUMBER($F598)),IF($E598&gt;$F598,1,0),0)</f>
        <v>0</v>
      </c>
      <c r="X598" s="13" t="s">
        <v>68</v>
      </c>
    </row>
    <row r="599" customFormat="false" ht="15" hidden="false" customHeight="false" outlineLevel="0" collapsed="false">
      <c r="A599" s="10" t="s">
        <v>2756</v>
      </c>
      <c r="B599" s="10" t="s">
        <v>2757</v>
      </c>
      <c r="C599" s="10" t="s">
        <v>2758</v>
      </c>
      <c r="D599" s="12" t="n">
        <v>236</v>
      </c>
      <c r="E599" s="12"/>
      <c r="F599" s="12"/>
      <c r="G599" s="10" t="s">
        <v>2289</v>
      </c>
      <c r="H599" s="10" t="s">
        <v>2759</v>
      </c>
      <c r="I599" s="11" t="s">
        <v>2589</v>
      </c>
      <c r="J599" s="10" t="s">
        <v>2760</v>
      </c>
      <c r="K599" s="10" t="s">
        <v>2588</v>
      </c>
      <c r="L599" s="10" t="s">
        <v>60</v>
      </c>
      <c r="M599" s="10" t="s">
        <v>61</v>
      </c>
      <c r="N599" s="10"/>
      <c r="O599" s="11" t="s">
        <v>2761</v>
      </c>
      <c r="P599" s="10" t="s">
        <v>629</v>
      </c>
      <c r="Q599" s="11" t="s">
        <v>64</v>
      </c>
      <c r="R599" s="11" t="s">
        <v>1082</v>
      </c>
      <c r="S599" s="11" t="s">
        <v>702</v>
      </c>
      <c r="T599" s="10" t="s">
        <v>2762</v>
      </c>
      <c r="U599" s="10" t="n">
        <f aca="false">IF(AND($D599="",$E599="",$F599=""),1,0)</f>
        <v>0</v>
      </c>
      <c r="V599" s="10" t="n">
        <f aca="false">IF(OR($I599="",$I599="—"),1,0)</f>
        <v>0</v>
      </c>
      <c r="W599" s="10" t="n">
        <f aca="false">IF(AND(ISNUMBER($D599),ISNUMBER($E599)),IF($E599&gt;$D599,1,0),0)+IF(AND(ISNUMBER($D599),ISNUMBER($F599)),IF($D599&gt;$F599,1,0),0)+IF(AND(ISNUMBER($E599),ISNUMBER($F599)),IF($E599&gt;$F599,1,0),0)</f>
        <v>0</v>
      </c>
      <c r="X599" s="13" t="s">
        <v>68</v>
      </c>
    </row>
    <row r="600" customFormat="false" ht="15" hidden="false" customHeight="false" outlineLevel="0" collapsed="false">
      <c r="A600" s="10" t="s">
        <v>2763</v>
      </c>
      <c r="B600" s="10" t="s">
        <v>2764</v>
      </c>
      <c r="C600" s="10" t="s">
        <v>2765</v>
      </c>
      <c r="D600" s="12" t="n">
        <v>830.72</v>
      </c>
      <c r="E600" s="12"/>
      <c r="F600" s="12"/>
      <c r="G600" s="10" t="s">
        <v>2338</v>
      </c>
      <c r="H600" s="10" t="s">
        <v>2588</v>
      </c>
      <c r="I600" s="11" t="s">
        <v>2589</v>
      </c>
      <c r="J600" s="10" t="s">
        <v>2760</v>
      </c>
      <c r="K600" s="10" t="s">
        <v>2588</v>
      </c>
      <c r="L600" s="10" t="s">
        <v>60</v>
      </c>
      <c r="M600" s="10" t="s">
        <v>61</v>
      </c>
      <c r="N600" s="10"/>
      <c r="O600" s="11" t="s">
        <v>2375</v>
      </c>
      <c r="P600" s="10" t="s">
        <v>629</v>
      </c>
      <c r="Q600" s="11" t="s">
        <v>64</v>
      </c>
      <c r="R600" s="11" t="s">
        <v>1082</v>
      </c>
      <c r="S600" s="11" t="s">
        <v>702</v>
      </c>
      <c r="T600" s="10" t="s">
        <v>2766</v>
      </c>
      <c r="U600" s="10" t="n">
        <f aca="false">IF(AND($D600="",$E600="",$F600=""),1,0)</f>
        <v>0</v>
      </c>
      <c r="V600" s="10" t="n">
        <f aca="false">IF(OR($I600="",$I600="—"),1,0)</f>
        <v>0</v>
      </c>
      <c r="W600" s="10" t="n">
        <f aca="false">IF(AND(ISNUMBER($D600),ISNUMBER($E600)),IF($E600&gt;$D600,1,0),0)+IF(AND(ISNUMBER($D600),ISNUMBER($F600)),IF($D600&gt;$F600,1,0),0)+IF(AND(ISNUMBER($E600),ISNUMBER($F600)),IF($E600&gt;$F600,1,0),0)</f>
        <v>0</v>
      </c>
      <c r="X600" s="13" t="s">
        <v>68</v>
      </c>
    </row>
    <row r="601" customFormat="false" ht="15" hidden="false" customHeight="false" outlineLevel="0" collapsed="false">
      <c r="A601" s="10" t="s">
        <v>2767</v>
      </c>
      <c r="B601" s="10" t="s">
        <v>2768</v>
      </c>
      <c r="C601" s="10" t="s">
        <v>2769</v>
      </c>
      <c r="D601" s="12" t="n">
        <v>352480183</v>
      </c>
      <c r="E601" s="12"/>
      <c r="F601" s="12"/>
      <c r="G601" s="11" t="s">
        <v>2298</v>
      </c>
      <c r="H601" s="10" t="s">
        <v>2770</v>
      </c>
      <c r="I601" s="10" t="s">
        <v>2771</v>
      </c>
      <c r="J601" s="10" t="s">
        <v>2772</v>
      </c>
      <c r="K601" s="10" t="s">
        <v>2773</v>
      </c>
      <c r="L601" s="10" t="s">
        <v>60</v>
      </c>
      <c r="M601" s="10" t="s">
        <v>61</v>
      </c>
      <c r="N601" s="10"/>
      <c r="O601" s="11" t="s">
        <v>2293</v>
      </c>
      <c r="P601" s="10" t="s">
        <v>629</v>
      </c>
      <c r="Q601" s="11" t="s">
        <v>64</v>
      </c>
      <c r="R601" s="11" t="s">
        <v>1082</v>
      </c>
      <c r="S601" s="11" t="s">
        <v>1270</v>
      </c>
      <c r="T601" s="11" t="s">
        <v>2774</v>
      </c>
      <c r="U601" s="10" t="n">
        <f aca="false">IF(AND($D601="",$E601="",$F601=""),1,0)</f>
        <v>0</v>
      </c>
      <c r="V601" s="10" t="n">
        <f aca="false">IF(OR($I601="",$I601="—"),1,0)</f>
        <v>0</v>
      </c>
      <c r="W601" s="10" t="n">
        <f aca="false">IF(AND(ISNUMBER($D601),ISNUMBER($E601)),IF($E601&gt;$D601,1,0),0)+IF(AND(ISNUMBER($D601),ISNUMBER($F601)),IF($D601&gt;$F601,1,0),0)+IF(AND(ISNUMBER($E601),ISNUMBER($F601)),IF($E601&gt;$F601,1,0),0)</f>
        <v>0</v>
      </c>
      <c r="X601" s="13" t="s">
        <v>68</v>
      </c>
    </row>
    <row r="602" customFormat="false" ht="15" hidden="false" customHeight="false" outlineLevel="0" collapsed="false">
      <c r="A602" s="10" t="s">
        <v>2775</v>
      </c>
      <c r="B602" s="10" t="s">
        <v>2776</v>
      </c>
      <c r="C602" s="10" t="s">
        <v>2777</v>
      </c>
      <c r="D602" s="12" t="n">
        <v>79</v>
      </c>
      <c r="E602" s="12"/>
      <c r="F602" s="12"/>
      <c r="G602" s="10" t="s">
        <v>2218</v>
      </c>
      <c r="H602" s="10" t="s">
        <v>438</v>
      </c>
      <c r="I602" s="10" t="s">
        <v>2778</v>
      </c>
      <c r="J602" s="10" t="s">
        <v>2779</v>
      </c>
      <c r="K602" s="10" t="s">
        <v>2780</v>
      </c>
      <c r="L602" s="10" t="s">
        <v>60</v>
      </c>
      <c r="M602" s="10" t="s">
        <v>61</v>
      </c>
      <c r="N602" s="10"/>
      <c r="O602" s="11" t="s">
        <v>2781</v>
      </c>
      <c r="P602" s="10" t="s">
        <v>629</v>
      </c>
      <c r="Q602" s="11" t="s">
        <v>64</v>
      </c>
      <c r="R602" s="11" t="s">
        <v>1082</v>
      </c>
      <c r="S602" s="11" t="s">
        <v>1270</v>
      </c>
      <c r="T602" s="11" t="s">
        <v>2782</v>
      </c>
      <c r="U602" s="10" t="n">
        <f aca="false">IF(AND($D602="",$E602="",$F602=""),1,0)</f>
        <v>0</v>
      </c>
      <c r="V602" s="10" t="n">
        <f aca="false">IF(OR($I602="",$I602="—"),1,0)</f>
        <v>0</v>
      </c>
      <c r="W602" s="10" t="n">
        <f aca="false">IF(AND(ISNUMBER($D602),ISNUMBER($E602)),IF($E602&gt;$D602,1,0),0)+IF(AND(ISNUMBER($D602),ISNUMBER($F602)),IF($D602&gt;$F602,1,0),0)+IF(AND(ISNUMBER($E602),ISNUMBER($F602)),IF($E602&gt;$F602,1,0),0)</f>
        <v>0</v>
      </c>
      <c r="X602" s="13" t="s">
        <v>68</v>
      </c>
    </row>
    <row r="603" customFormat="false" ht="15" hidden="false" customHeight="false" outlineLevel="0" collapsed="false">
      <c r="A603" s="10" t="s">
        <v>2783</v>
      </c>
      <c r="B603" s="10" t="s">
        <v>2784</v>
      </c>
      <c r="C603" s="10" t="s">
        <v>2785</v>
      </c>
      <c r="D603" s="12" t="n">
        <v>-1871.6</v>
      </c>
      <c r="E603" s="12"/>
      <c r="F603" s="12"/>
      <c r="G603" s="10" t="s">
        <v>2218</v>
      </c>
      <c r="H603" s="10" t="s">
        <v>438</v>
      </c>
      <c r="I603" s="10" t="s">
        <v>2778</v>
      </c>
      <c r="J603" s="10" t="s">
        <v>2779</v>
      </c>
      <c r="K603" s="10" t="s">
        <v>2780</v>
      </c>
      <c r="L603" s="10" t="s">
        <v>60</v>
      </c>
      <c r="M603" s="10" t="s">
        <v>61</v>
      </c>
      <c r="N603" s="10"/>
      <c r="O603" s="11" t="s">
        <v>2781</v>
      </c>
      <c r="P603" s="10" t="s">
        <v>629</v>
      </c>
      <c r="Q603" s="11" t="s">
        <v>64</v>
      </c>
      <c r="R603" s="11" t="s">
        <v>1082</v>
      </c>
      <c r="S603" s="11" t="s">
        <v>1270</v>
      </c>
      <c r="T603" s="11" t="s">
        <v>2786</v>
      </c>
      <c r="U603" s="10" t="n">
        <f aca="false">IF(AND($D603="",$E603="",$F603=""),1,0)</f>
        <v>0</v>
      </c>
      <c r="V603" s="10" t="n">
        <f aca="false">IF(OR($I603="",$I603="—"),1,0)</f>
        <v>0</v>
      </c>
      <c r="W603" s="10" t="n">
        <f aca="false">IF(AND(ISNUMBER($D603),ISNUMBER($E603)),IF($E603&gt;$D603,1,0),0)+IF(AND(ISNUMBER($D603),ISNUMBER($F603)),IF($D603&gt;$F603,1,0),0)+IF(AND(ISNUMBER($E603),ISNUMBER($F603)),IF($E603&gt;$F603,1,0),0)</f>
        <v>0</v>
      </c>
      <c r="X603" s="13" t="s">
        <v>68</v>
      </c>
    </row>
    <row r="604" customFormat="false" ht="15" hidden="false" customHeight="false" outlineLevel="0" collapsed="false">
      <c r="A604" s="10" t="s">
        <v>2787</v>
      </c>
      <c r="B604" s="10" t="s">
        <v>2788</v>
      </c>
      <c r="C604" s="10" t="s">
        <v>2789</v>
      </c>
      <c r="D604" s="12" t="n">
        <v>-250.9</v>
      </c>
      <c r="E604" s="12"/>
      <c r="F604" s="12"/>
      <c r="G604" s="10" t="s">
        <v>2218</v>
      </c>
      <c r="H604" s="10" t="s">
        <v>438</v>
      </c>
      <c r="I604" s="10" t="s">
        <v>2778</v>
      </c>
      <c r="J604" s="10" t="s">
        <v>2779</v>
      </c>
      <c r="K604" s="10" t="s">
        <v>2780</v>
      </c>
      <c r="L604" s="10" t="s">
        <v>60</v>
      </c>
      <c r="M604" s="10" t="s">
        <v>61</v>
      </c>
      <c r="N604" s="10"/>
      <c r="O604" s="11" t="s">
        <v>2790</v>
      </c>
      <c r="P604" s="10" t="s">
        <v>629</v>
      </c>
      <c r="Q604" s="11" t="s">
        <v>64</v>
      </c>
      <c r="R604" s="11" t="s">
        <v>1082</v>
      </c>
      <c r="S604" s="11" t="s">
        <v>1270</v>
      </c>
      <c r="T604" s="11" t="s">
        <v>2791</v>
      </c>
      <c r="U604" s="10" t="n">
        <f aca="false">IF(AND($D604="",$E604="",$F604=""),1,0)</f>
        <v>0</v>
      </c>
      <c r="V604" s="10" t="n">
        <f aca="false">IF(OR($I604="",$I604="—"),1,0)</f>
        <v>0</v>
      </c>
      <c r="W604" s="10" t="n">
        <f aca="false">IF(AND(ISNUMBER($D604),ISNUMBER($E604)),IF($E604&gt;$D604,1,0),0)+IF(AND(ISNUMBER($D604),ISNUMBER($F604)),IF($D604&gt;$F604,1,0),0)+IF(AND(ISNUMBER($E604),ISNUMBER($F604)),IF($E604&gt;$F604,1,0),0)</f>
        <v>0</v>
      </c>
      <c r="X604" s="13" t="s">
        <v>68</v>
      </c>
    </row>
    <row r="605" customFormat="false" ht="15" hidden="false" customHeight="false" outlineLevel="0" collapsed="false">
      <c r="A605" s="10" t="s">
        <v>2792</v>
      </c>
      <c r="B605" s="10" t="s">
        <v>2793</v>
      </c>
      <c r="C605" s="10" t="s">
        <v>2794</v>
      </c>
      <c r="D605" s="12" t="n">
        <v>116.57</v>
      </c>
      <c r="E605" s="12"/>
      <c r="F605" s="12"/>
      <c r="G605" s="10" t="s">
        <v>2218</v>
      </c>
      <c r="H605" s="10" t="s">
        <v>654</v>
      </c>
      <c r="I605" s="11" t="s">
        <v>2795</v>
      </c>
      <c r="J605" s="10" t="s">
        <v>2796</v>
      </c>
      <c r="K605" s="10" t="s">
        <v>1314</v>
      </c>
      <c r="L605" s="10" t="s">
        <v>60</v>
      </c>
      <c r="M605" s="10" t="s">
        <v>61</v>
      </c>
      <c r="N605" s="10"/>
      <c r="O605" s="11" t="s">
        <v>2797</v>
      </c>
      <c r="P605" s="10" t="s">
        <v>629</v>
      </c>
      <c r="Q605" s="11" t="s">
        <v>64</v>
      </c>
      <c r="R605" s="11" t="s">
        <v>1082</v>
      </c>
      <c r="S605" s="11" t="s">
        <v>1270</v>
      </c>
      <c r="T605" s="11" t="s">
        <v>2798</v>
      </c>
      <c r="U605" s="10" t="n">
        <f aca="false">IF(AND($D605="",$E605="",$F605=""),1,0)</f>
        <v>0</v>
      </c>
      <c r="V605" s="10" t="n">
        <f aca="false">IF(OR($I605="",$I605="—"),1,0)</f>
        <v>0</v>
      </c>
      <c r="W605" s="10" t="n">
        <f aca="false">IF(AND(ISNUMBER($D605),ISNUMBER($E605)),IF($E605&gt;$D605,1,0),0)+IF(AND(ISNUMBER($D605),ISNUMBER($F605)),IF($D605&gt;$F605,1,0),0)+IF(AND(ISNUMBER($E605),ISNUMBER($F605)),IF($E605&gt;$F605,1,0),0)</f>
        <v>0</v>
      </c>
      <c r="X605" s="13" t="s">
        <v>68</v>
      </c>
    </row>
    <row r="606" customFormat="false" ht="15" hidden="false" customHeight="false" outlineLevel="0" collapsed="false">
      <c r="A606" s="10" t="s">
        <v>2799</v>
      </c>
      <c r="B606" s="10" t="s">
        <v>2800</v>
      </c>
      <c r="C606" s="10" t="s">
        <v>2801</v>
      </c>
      <c r="D606" s="12" t="n">
        <v>-357.99</v>
      </c>
      <c r="E606" s="12"/>
      <c r="F606" s="12"/>
      <c r="G606" s="10" t="s">
        <v>2218</v>
      </c>
      <c r="H606" s="10" t="s">
        <v>654</v>
      </c>
      <c r="I606" s="11" t="s">
        <v>2795</v>
      </c>
      <c r="J606" s="10" t="s">
        <v>2796</v>
      </c>
      <c r="K606" s="10" t="s">
        <v>1314</v>
      </c>
      <c r="L606" s="10" t="s">
        <v>60</v>
      </c>
      <c r="M606" s="10" t="s">
        <v>61</v>
      </c>
      <c r="N606" s="10"/>
      <c r="O606" s="11" t="s">
        <v>2802</v>
      </c>
      <c r="P606" s="10" t="s">
        <v>629</v>
      </c>
      <c r="Q606" s="11" t="s">
        <v>64</v>
      </c>
      <c r="R606" s="11" t="s">
        <v>1082</v>
      </c>
      <c r="S606" s="11" t="s">
        <v>1270</v>
      </c>
      <c r="T606" s="11" t="s">
        <v>2803</v>
      </c>
      <c r="U606" s="10" t="n">
        <f aca="false">IF(AND($D606="",$E606="",$F606=""),1,0)</f>
        <v>0</v>
      </c>
      <c r="V606" s="10" t="n">
        <f aca="false">IF(OR($I606="",$I606="—"),1,0)</f>
        <v>0</v>
      </c>
      <c r="W606" s="10" t="n">
        <f aca="false">IF(AND(ISNUMBER($D606),ISNUMBER($E606)),IF($E606&gt;$D606,1,0),0)+IF(AND(ISNUMBER($D606),ISNUMBER($F606)),IF($D606&gt;$F606,1,0),0)+IF(AND(ISNUMBER($E606),ISNUMBER($F606)),IF($E606&gt;$F606,1,0),0)</f>
        <v>0</v>
      </c>
      <c r="X606" s="13" t="s">
        <v>68</v>
      </c>
    </row>
    <row r="607" customFormat="false" ht="15" hidden="false" customHeight="false" outlineLevel="0" collapsed="false">
      <c r="A607" s="10" t="s">
        <v>2804</v>
      </c>
      <c r="B607" s="10" t="s">
        <v>2805</v>
      </c>
      <c r="C607" s="10" t="s">
        <v>2806</v>
      </c>
      <c r="D607" s="12" t="n">
        <v>1320</v>
      </c>
      <c r="E607" s="12"/>
      <c r="F607" s="12"/>
      <c r="G607" s="10" t="s">
        <v>2218</v>
      </c>
      <c r="H607" s="10" t="s">
        <v>816</v>
      </c>
      <c r="I607" s="11" t="s">
        <v>2795</v>
      </c>
      <c r="J607" s="10" t="s">
        <v>2796</v>
      </c>
      <c r="K607" s="10" t="s">
        <v>1314</v>
      </c>
      <c r="L607" s="10" t="s">
        <v>60</v>
      </c>
      <c r="M607" s="10" t="s">
        <v>61</v>
      </c>
      <c r="N607" s="10"/>
      <c r="O607" s="11" t="s">
        <v>2802</v>
      </c>
      <c r="P607" s="10" t="s">
        <v>629</v>
      </c>
      <c r="Q607" s="11" t="s">
        <v>64</v>
      </c>
      <c r="R607" s="11" t="s">
        <v>1082</v>
      </c>
      <c r="S607" s="11" t="s">
        <v>1270</v>
      </c>
      <c r="T607" s="11" t="s">
        <v>2807</v>
      </c>
      <c r="U607" s="10" t="n">
        <f aca="false">IF(AND($D607="",$E607="",$F607=""),1,0)</f>
        <v>0</v>
      </c>
      <c r="V607" s="10" t="n">
        <f aca="false">IF(OR($I607="",$I607="—"),1,0)</f>
        <v>0</v>
      </c>
      <c r="W607" s="10" t="n">
        <f aca="false">IF(AND(ISNUMBER($D607),ISNUMBER($E607)),IF($E607&gt;$D607,1,0),0)+IF(AND(ISNUMBER($D607),ISNUMBER($F607)),IF($D607&gt;$F607,1,0),0)+IF(AND(ISNUMBER($E607),ISNUMBER($F607)),IF($E607&gt;$F607,1,0),0)</f>
        <v>0</v>
      </c>
      <c r="X607" s="13" t="s">
        <v>68</v>
      </c>
    </row>
    <row r="608" customFormat="false" ht="15" hidden="false" customHeight="false" outlineLevel="0" collapsed="false">
      <c r="A608" s="10" t="s">
        <v>2808</v>
      </c>
      <c r="B608" s="10" t="s">
        <v>2809</v>
      </c>
      <c r="C608" s="10" t="s">
        <v>2810</v>
      </c>
      <c r="D608" s="12"/>
      <c r="E608" s="12"/>
      <c r="F608" s="12"/>
      <c r="G608" s="11" t="s">
        <v>1701</v>
      </c>
      <c r="H608" s="10" t="s">
        <v>2588</v>
      </c>
      <c r="I608" s="10" t="s">
        <v>2811</v>
      </c>
      <c r="J608" s="10" t="s">
        <v>2760</v>
      </c>
      <c r="K608" s="10" t="s">
        <v>2588</v>
      </c>
      <c r="L608" s="10" t="s">
        <v>60</v>
      </c>
      <c r="M608" s="10" t="s">
        <v>628</v>
      </c>
      <c r="N608" s="10"/>
      <c r="O608" s="11" t="s">
        <v>2363</v>
      </c>
      <c r="P608" s="10" t="s">
        <v>629</v>
      </c>
      <c r="Q608" s="11" t="s">
        <v>630</v>
      </c>
      <c r="R608" s="11" t="s">
        <v>631</v>
      </c>
      <c r="S608" s="11" t="s">
        <v>630</v>
      </c>
      <c r="T608" s="11" t="s">
        <v>2812</v>
      </c>
      <c r="U608" s="10" t="n">
        <f aca="false">IF(AND($D608="",$E608="",$F608=""),1,0)</f>
        <v>1</v>
      </c>
      <c r="V608" s="10" t="n">
        <f aca="false">IF(OR($I608="",$I608="—"),1,0)</f>
        <v>0</v>
      </c>
      <c r="W608" s="10" t="n">
        <f aca="false">IF(AND(ISNUMBER($D608),ISNUMBER($E608)),IF($E608&gt;$D608,1,0),0)+IF(AND(ISNUMBER($D608),ISNUMBER($F608)),IF($D608&gt;$F608,1,0),0)+IF(AND(ISNUMBER($E608),ISNUMBER($F608)),IF($E608&gt;$F608,1,0),0)</f>
        <v>0</v>
      </c>
      <c r="X608" s="1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0.1" hidden="false" customHeight="false" outlineLevel="0" collapsed="false">
      <c r="A1" s="7" t="s">
        <v>2813</v>
      </c>
    </row>
    <row r="2" customFormat="false" ht="15" hidden="false" customHeight="false" outlineLevel="0" collapsed="false">
      <c r="A2" s="2" t="s">
        <v>2814</v>
      </c>
    </row>
    <row r="3" customFormat="false" ht="15" hidden="false" customHeight="false" outlineLevel="0" collapsed="false">
      <c r="A3" s="6" t="s">
        <v>2815</v>
      </c>
      <c r="B3" s="10" t="s">
        <v>2816</v>
      </c>
    </row>
    <row r="4" customFormat="false" ht="15" hidden="false" customHeight="false" outlineLevel="0" collapsed="false">
      <c r="A4" s="6" t="s">
        <v>2817</v>
      </c>
      <c r="B4" s="10" t="s">
        <v>2818</v>
      </c>
    </row>
    <row r="5" customFormat="false" ht="15" hidden="false" customHeight="false" outlineLevel="0" collapsed="false">
      <c r="A5" s="6" t="s">
        <v>2819</v>
      </c>
      <c r="B5" s="10" t="s">
        <v>2820</v>
      </c>
    </row>
    <row r="6" customFormat="false" ht="15" hidden="false" customHeight="false" outlineLevel="0" collapsed="false">
      <c r="A6" s="3" t="s">
        <v>2821</v>
      </c>
      <c r="B6" s="10" t="s">
        <v>60</v>
      </c>
    </row>
    <row r="7" customFormat="false" ht="15" hidden="false" customHeight="false" outlineLevel="0" collapsed="false">
      <c r="I7" s="3" t="s">
        <v>2822</v>
      </c>
      <c r="J7" s="10" t="s">
        <v>2823</v>
      </c>
      <c r="K7" s="10" t="s">
        <v>2823</v>
      </c>
      <c r="L7" s="10" t="s">
        <v>2823</v>
      </c>
      <c r="M7" s="10" t="s">
        <v>2824</v>
      </c>
      <c r="N7" s="10" t="s">
        <v>2824</v>
      </c>
      <c r="O7" s="10" t="s">
        <v>2824</v>
      </c>
      <c r="P7" s="10" t="s">
        <v>2825</v>
      </c>
      <c r="Q7" s="10" t="s">
        <v>2825</v>
      </c>
      <c r="R7" s="10" t="s">
        <v>2825</v>
      </c>
      <c r="S7" s="10" t="s">
        <v>2826</v>
      </c>
      <c r="T7" s="10" t="s">
        <v>2826</v>
      </c>
      <c r="U7" s="10" t="s">
        <v>2826</v>
      </c>
      <c r="V7" s="10" t="s">
        <v>2827</v>
      </c>
      <c r="W7" s="10" t="s">
        <v>2827</v>
      </c>
      <c r="X7" s="10" t="s">
        <v>2827</v>
      </c>
    </row>
    <row r="8" customFormat="false" ht="15" hidden="false" customHeight="false" outlineLevel="0" collapsed="false">
      <c r="I8" s="3" t="s">
        <v>2828</v>
      </c>
      <c r="J8" s="11" t="s">
        <v>2829</v>
      </c>
      <c r="K8" s="11" t="s">
        <v>2830</v>
      </c>
      <c r="L8" s="11" t="s">
        <v>2831</v>
      </c>
      <c r="M8" s="11" t="s">
        <v>2829</v>
      </c>
      <c r="N8" s="11" t="s">
        <v>2830</v>
      </c>
      <c r="O8" s="11" t="s">
        <v>2831</v>
      </c>
      <c r="P8" s="11" t="s">
        <v>2829</v>
      </c>
      <c r="Q8" s="11" t="s">
        <v>2830</v>
      </c>
      <c r="R8" s="11" t="s">
        <v>2831</v>
      </c>
      <c r="S8" s="11" t="s">
        <v>2829</v>
      </c>
      <c r="T8" s="11" t="s">
        <v>2830</v>
      </c>
      <c r="U8" s="11" t="s">
        <v>2831</v>
      </c>
      <c r="V8" s="11" t="s">
        <v>2829</v>
      </c>
      <c r="W8" s="11" t="s">
        <v>2830</v>
      </c>
      <c r="X8" s="11" t="s">
        <v>2831</v>
      </c>
    </row>
    <row r="9" customFormat="false" ht="26.85" hidden="false" customHeight="false" outlineLevel="0" collapsed="false">
      <c r="A9" s="8" t="s">
        <v>2832</v>
      </c>
      <c r="B9" s="9" t="s">
        <v>2833</v>
      </c>
      <c r="C9" s="9" t="s">
        <v>2834</v>
      </c>
      <c r="D9" s="9" t="s">
        <v>35</v>
      </c>
      <c r="E9" s="9" t="s">
        <v>2835</v>
      </c>
      <c r="F9" s="9" t="s">
        <v>2836</v>
      </c>
      <c r="G9" s="8" t="s">
        <v>2817</v>
      </c>
      <c r="H9" s="9" t="s">
        <v>2837</v>
      </c>
      <c r="I9" s="9" t="s">
        <v>2821</v>
      </c>
      <c r="J9" s="9" t="s">
        <v>2838</v>
      </c>
      <c r="K9" s="9" t="s">
        <v>2839</v>
      </c>
      <c r="L9" s="9" t="s">
        <v>2840</v>
      </c>
      <c r="M9" s="9" t="s">
        <v>2841</v>
      </c>
      <c r="N9" s="9" t="s">
        <v>2842</v>
      </c>
      <c r="O9" s="9" t="s">
        <v>2843</v>
      </c>
      <c r="P9" s="9" t="s">
        <v>2844</v>
      </c>
      <c r="Q9" s="9" t="s">
        <v>2845</v>
      </c>
      <c r="R9" s="9" t="s">
        <v>2846</v>
      </c>
      <c r="S9" s="9" t="s">
        <v>2847</v>
      </c>
      <c r="T9" s="9" t="s">
        <v>2848</v>
      </c>
      <c r="U9" s="9" t="s">
        <v>2849</v>
      </c>
      <c r="V9" s="9" t="s">
        <v>2850</v>
      </c>
      <c r="W9" s="9" t="s">
        <v>2851</v>
      </c>
      <c r="X9" s="9" t="s">
        <v>2852</v>
      </c>
    </row>
    <row r="10" customFormat="false" ht="15" hidden="false" customHeight="false" outlineLevel="0" collapsed="false">
      <c r="A10" s="10" t="s">
        <v>2853</v>
      </c>
      <c r="B10" s="10" t="s">
        <v>2854</v>
      </c>
      <c r="C10" s="11" t="s">
        <v>2855</v>
      </c>
      <c r="D10" s="10" t="s">
        <v>2856</v>
      </c>
      <c r="E10" s="10" t="n">
        <v>15</v>
      </c>
      <c r="F10" s="10" t="s">
        <v>2857</v>
      </c>
      <c r="G10" s="10" t="s">
        <v>2818</v>
      </c>
      <c r="H10" s="10" t="s">
        <v>2858</v>
      </c>
      <c r="I10" s="10" t="s">
        <v>60</v>
      </c>
      <c r="J10" s="12" t="n">
        <v>3876518295.93805</v>
      </c>
      <c r="K10" s="12" t="n">
        <v>3876518295.93805</v>
      </c>
      <c r="L10" s="12" t="n">
        <v>3876518295.93805</v>
      </c>
      <c r="M10" s="12" t="n">
        <v>20041838664.2467</v>
      </c>
      <c r="N10" s="12" t="n">
        <v>20041838664.2467</v>
      </c>
      <c r="O10" s="12" t="n">
        <v>20041838664.2467</v>
      </c>
      <c r="P10" s="12" t="n">
        <v>24234237528.7831</v>
      </c>
      <c r="Q10" s="12" t="n">
        <v>24234237528.7831</v>
      </c>
      <c r="R10" s="12" t="n">
        <v>24234237528.7831</v>
      </c>
      <c r="S10" s="12" t="n">
        <v>51167890551.5595</v>
      </c>
      <c r="T10" s="12" t="n">
        <v>51167890551.5595</v>
      </c>
      <c r="U10" s="12" t="n">
        <v>51167890551.5595</v>
      </c>
      <c r="V10" s="12" t="n">
        <v>74400955991.7707</v>
      </c>
      <c r="W10" s="12" t="n">
        <v>74400955991.7707</v>
      </c>
      <c r="X10" s="12" t="n">
        <v>74400955991.7707</v>
      </c>
    </row>
    <row r="11" customFormat="false" ht="15" hidden="false" customHeight="false" outlineLevel="0" collapsed="false">
      <c r="A11" s="10" t="s">
        <v>2859</v>
      </c>
      <c r="B11" s="10" t="s">
        <v>2860</v>
      </c>
      <c r="C11" s="11" t="s">
        <v>2855</v>
      </c>
      <c r="D11" s="10" t="s">
        <v>2856</v>
      </c>
      <c r="E11" s="10" t="n">
        <v>15</v>
      </c>
      <c r="F11" s="10" t="s">
        <v>2857</v>
      </c>
      <c r="G11" s="10" t="s">
        <v>2818</v>
      </c>
      <c r="H11" s="10" t="s">
        <v>2858</v>
      </c>
      <c r="I11" s="10" t="s">
        <v>60</v>
      </c>
      <c r="J11" s="12" t="n">
        <v>74067251304.9223</v>
      </c>
      <c r="K11" s="12" t="n">
        <v>74067251304.9223</v>
      </c>
      <c r="L11" s="12" t="n">
        <v>74067251304.9223</v>
      </c>
      <c r="M11" s="12" t="n">
        <v>362306894085.614</v>
      </c>
      <c r="N11" s="12" t="n">
        <v>362306894085.614</v>
      </c>
      <c r="O11" s="12" t="n">
        <v>362306894085.614</v>
      </c>
      <c r="P11" s="12" t="n">
        <v>527473919843.971</v>
      </c>
      <c r="Q11" s="12" t="n">
        <v>527473919843.971</v>
      </c>
      <c r="R11" s="12" t="n">
        <v>527473919843.971</v>
      </c>
      <c r="S11" s="12" t="n">
        <v>772778400993.445</v>
      </c>
      <c r="T11" s="12" t="n">
        <v>772778400993.445</v>
      </c>
      <c r="U11" s="12" t="n">
        <v>772778400993.445</v>
      </c>
      <c r="V11" s="12" t="n">
        <v>1044373713057.39</v>
      </c>
      <c r="W11" s="12" t="n">
        <v>1044373713057.39</v>
      </c>
      <c r="X11" s="12" t="n">
        <v>1044373713057.39</v>
      </c>
    </row>
    <row r="12" customFormat="false" ht="15" hidden="false" customHeight="false" outlineLevel="0" collapsed="false">
      <c r="A12" s="10" t="s">
        <v>2861</v>
      </c>
      <c r="B12" s="10" t="s">
        <v>2862</v>
      </c>
      <c r="C12" s="11" t="s">
        <v>2855</v>
      </c>
      <c r="D12" s="10" t="s">
        <v>2856</v>
      </c>
      <c r="E12" s="10" t="n">
        <v>15</v>
      </c>
      <c r="F12" s="10" t="s">
        <v>2857</v>
      </c>
      <c r="G12" s="10" t="s">
        <v>2818</v>
      </c>
      <c r="H12" s="10" t="s">
        <v>2858</v>
      </c>
      <c r="I12" s="10" t="s">
        <v>60</v>
      </c>
      <c r="J12" s="12" t="n">
        <v>21490429685.4234</v>
      </c>
      <c r="K12" s="12" t="n">
        <v>21490429685.4234</v>
      </c>
      <c r="L12" s="12" t="n">
        <v>21490429685.4234</v>
      </c>
      <c r="M12" s="12" t="n">
        <v>104125401080.667</v>
      </c>
      <c r="N12" s="12" t="n">
        <v>104125401080.667</v>
      </c>
      <c r="O12" s="12" t="n">
        <v>104125401080.667</v>
      </c>
      <c r="P12" s="12" t="n">
        <v>151593674754.548</v>
      </c>
      <c r="Q12" s="12" t="n">
        <v>151593674754.548</v>
      </c>
      <c r="R12" s="12" t="n">
        <v>151593674754.548</v>
      </c>
      <c r="S12" s="12" t="n">
        <v>237287338734.99</v>
      </c>
      <c r="T12" s="12" t="n">
        <v>237287338734.99</v>
      </c>
      <c r="U12" s="12" t="n">
        <v>237287338734.99</v>
      </c>
      <c r="V12" s="12" t="n">
        <v>326185670522.351</v>
      </c>
      <c r="W12" s="12" t="n">
        <v>326185670522.351</v>
      </c>
      <c r="X12" s="12" t="n">
        <v>326185670522.351</v>
      </c>
    </row>
    <row r="13" customFormat="false" ht="15" hidden="false" customHeight="false" outlineLevel="0" collapsed="false">
      <c r="A13" s="10" t="s">
        <v>2863</v>
      </c>
      <c r="B13" s="10" t="s">
        <v>2864</v>
      </c>
      <c r="C13" s="11" t="s">
        <v>2865</v>
      </c>
      <c r="D13" s="10" t="s">
        <v>393</v>
      </c>
      <c r="E13" s="10" t="n">
        <v>1</v>
      </c>
      <c r="F13" s="10" t="s">
        <v>2857</v>
      </c>
      <c r="G13" s="10" t="s">
        <v>2818</v>
      </c>
      <c r="H13" s="10" t="s">
        <v>2858</v>
      </c>
      <c r="I13" s="10" t="s">
        <v>60</v>
      </c>
      <c r="J13" s="12" t="n">
        <v>0.6</v>
      </c>
    </row>
    <row r="14" customFormat="false" ht="15" hidden="false" customHeight="false" outlineLevel="0" collapsed="false">
      <c r="A14" s="10" t="s">
        <v>2866</v>
      </c>
      <c r="B14" s="10" t="s">
        <v>2867</v>
      </c>
      <c r="C14" s="11" t="s">
        <v>2868</v>
      </c>
      <c r="D14" s="10" t="s">
        <v>2869</v>
      </c>
      <c r="E14" s="10" t="n">
        <v>15</v>
      </c>
      <c r="F14" s="10" t="s">
        <v>2857</v>
      </c>
      <c r="G14" s="10" t="s">
        <v>2818</v>
      </c>
      <c r="H14" s="10" t="s">
        <v>2858</v>
      </c>
      <c r="I14" s="10" t="s">
        <v>60</v>
      </c>
      <c r="J14" s="12" t="n">
        <v>7.0000433103819</v>
      </c>
      <c r="K14" s="12" t="n">
        <v>10.0957952959174</v>
      </c>
      <c r="L14" s="12" t="n">
        <v>17.4059720636914</v>
      </c>
      <c r="M14" s="12" t="n">
        <v>6.81316695089878</v>
      </c>
      <c r="N14" s="12" t="n">
        <v>9.17098191725462</v>
      </c>
      <c r="O14" s="12" t="n">
        <v>14.9200285257983</v>
      </c>
      <c r="P14" s="12" t="n">
        <v>8.70747076237914</v>
      </c>
      <c r="Q14" s="12" t="n">
        <v>12.7247463559608</v>
      </c>
      <c r="R14" s="12" t="n">
        <v>23.87186935202</v>
      </c>
      <c r="S14" s="12" t="n">
        <v>9.83668060375303</v>
      </c>
      <c r="T14" s="12" t="n">
        <v>12.7620157762701</v>
      </c>
      <c r="U14" s="12" t="n">
        <v>20.6780894215396</v>
      </c>
      <c r="V14" s="12" t="n">
        <v>10.4522416094636</v>
      </c>
      <c r="W14" s="12" t="n">
        <v>16.0694566753819</v>
      </c>
      <c r="X14" s="12" t="n">
        <v>29.454615058956</v>
      </c>
    </row>
    <row r="15" customFormat="false" ht="15" hidden="false" customHeight="false" outlineLevel="0" collapsed="false">
      <c r="A15" s="10" t="s">
        <v>2870</v>
      </c>
      <c r="B15" s="10" t="s">
        <v>2871</v>
      </c>
      <c r="C15" s="11" t="s">
        <v>2872</v>
      </c>
      <c r="D15" s="10" t="s">
        <v>2873</v>
      </c>
      <c r="E15" s="10" t="n">
        <v>15</v>
      </c>
      <c r="F15" s="10" t="s">
        <v>2857</v>
      </c>
      <c r="G15" s="10" t="s">
        <v>2818</v>
      </c>
      <c r="H15" s="10" t="s">
        <v>2858</v>
      </c>
      <c r="I15" s="10" t="s">
        <v>60</v>
      </c>
      <c r="J15" s="12" t="n">
        <v>6.98232343835803</v>
      </c>
      <c r="K15" s="12" t="n">
        <v>10.0701401279639</v>
      </c>
      <c r="L15" s="12" t="n">
        <v>17.3615788262088</v>
      </c>
      <c r="M15" s="12" t="n">
        <v>0.929824661004986</v>
      </c>
      <c r="N15" s="12" t="n">
        <v>1.25152940803565</v>
      </c>
      <c r="O15" s="12" t="n">
        <v>2.03594023384679</v>
      </c>
      <c r="P15" s="12" t="n">
        <v>0.933052266852849</v>
      </c>
      <c r="Q15" s="12" t="n">
        <v>1.36342193413465</v>
      </c>
      <c r="R15" s="12" t="n">
        <v>2.55761025983181</v>
      </c>
      <c r="S15" s="12" t="n">
        <v>0.425384609769744</v>
      </c>
      <c r="T15" s="12" t="n">
        <v>0.551823554780618</v>
      </c>
      <c r="U15" s="12" t="n">
        <v>0.8939723826276</v>
      </c>
      <c r="V15" s="12" t="n">
        <v>0.278094026413058</v>
      </c>
      <c r="W15" s="12" t="n">
        <v>0.427426585241239</v>
      </c>
      <c r="X15" s="12" t="n">
        <v>0.783268390883916</v>
      </c>
    </row>
    <row r="16" customFormat="false" ht="15" hidden="false" customHeight="false" outlineLevel="0" collapsed="false">
      <c r="A16" s="10" t="s">
        <v>2874</v>
      </c>
      <c r="B16" s="10" t="s">
        <v>2875</v>
      </c>
      <c r="C16" s="11" t="s">
        <v>2872</v>
      </c>
      <c r="D16" s="10" t="s">
        <v>2873</v>
      </c>
      <c r="E16" s="10" t="n">
        <v>15</v>
      </c>
      <c r="F16" s="10" t="s">
        <v>2857</v>
      </c>
      <c r="G16" s="10" t="s">
        <v>2818</v>
      </c>
      <c r="H16" s="10" t="s">
        <v>2858</v>
      </c>
      <c r="I16" s="10" t="s">
        <v>60</v>
      </c>
      <c r="J16" s="12" t="n">
        <v>0.133329814173381</v>
      </c>
      <c r="K16" s="12" t="n">
        <v>0.192289806873558</v>
      </c>
      <c r="L16" s="12" t="n">
        <v>0.331515420191033</v>
      </c>
      <c r="M16" s="12" t="n">
        <v>0.0276536496722329</v>
      </c>
      <c r="N16" s="12" t="n">
        <v>0.0372199275435518</v>
      </c>
      <c r="O16" s="12" t="n">
        <v>0.0605453276013408</v>
      </c>
      <c r="P16" s="12" t="n">
        <v>0.0242079987569706</v>
      </c>
      <c r="Q16" s="12" t="n">
        <v>0.0353715947566594</v>
      </c>
      <c r="R16" s="12" t="n">
        <v>0.0663483039188753</v>
      </c>
      <c r="S16" s="12" t="n">
        <v>0.018368231651997</v>
      </c>
      <c r="T16" s="12" t="n">
        <v>0.0238275474334597</v>
      </c>
      <c r="U16" s="12" t="n">
        <v>0.0386006736669421</v>
      </c>
      <c r="V16" s="12" t="n">
        <v>0.014351217590964</v>
      </c>
      <c r="W16" s="12" t="n">
        <v>0.0220579881248366</v>
      </c>
      <c r="X16" s="12" t="n">
        <v>0.0404223097702075</v>
      </c>
    </row>
    <row r="17" customFormat="false" ht="15" hidden="false" customHeight="false" outlineLevel="0" collapsed="false">
      <c r="A17" s="10" t="s">
        <v>2876</v>
      </c>
      <c r="B17" s="10" t="s">
        <v>2877</v>
      </c>
      <c r="C17" s="11" t="s">
        <v>2872</v>
      </c>
      <c r="D17" s="10" t="s">
        <v>2873</v>
      </c>
      <c r="E17" s="10" t="n">
        <v>15</v>
      </c>
      <c r="F17" s="10" t="s">
        <v>2857</v>
      </c>
      <c r="G17" s="10" t="s">
        <v>2818</v>
      </c>
      <c r="H17" s="10" t="s">
        <v>2858</v>
      </c>
      <c r="I17" s="10" t="s">
        <v>60</v>
      </c>
      <c r="J17" s="12" t="n">
        <v>0.531910528331284</v>
      </c>
      <c r="K17" s="12" t="n">
        <v>0.767139858927169</v>
      </c>
      <c r="L17" s="12" t="n">
        <v>1.32260037244879</v>
      </c>
      <c r="M17" s="12" t="n">
        <v>0.103191989823563</v>
      </c>
      <c r="N17" s="12" t="n">
        <v>0.138898055360943</v>
      </c>
      <c r="O17" s="12" t="n">
        <v>0.22595994864402</v>
      </c>
      <c r="P17" s="12" t="n">
        <v>0.0903712380397286</v>
      </c>
      <c r="Q17" s="12" t="n">
        <v>0.132057790392487</v>
      </c>
      <c r="R17" s="12" t="n">
        <v>0.247729497631164</v>
      </c>
      <c r="S17" s="12" t="n">
        <v>0.0615718912295467</v>
      </c>
      <c r="T17" s="12" t="n">
        <v>0.0798782155803801</v>
      </c>
      <c r="U17" s="12" t="n">
        <v>0.129415859367946</v>
      </c>
      <c r="V17" s="12" t="n">
        <v>0.0464745260500349</v>
      </c>
      <c r="W17" s="12" t="n">
        <v>0.0714424801387287</v>
      </c>
      <c r="X17" s="12" t="n">
        <v>0.130938158347436</v>
      </c>
    </row>
    <row r="18" customFormat="false" ht="15" hidden="false" customHeight="false" outlineLevel="0" collapsed="false">
      <c r="A18" s="10" t="s">
        <v>2878</v>
      </c>
      <c r="B18" s="10" t="s">
        <v>2879</v>
      </c>
      <c r="C18" s="11" t="s">
        <v>2880</v>
      </c>
      <c r="D18" s="10" t="s">
        <v>2873</v>
      </c>
      <c r="E18" s="10" t="n">
        <v>1</v>
      </c>
      <c r="F18" s="10" t="s">
        <v>2857</v>
      </c>
      <c r="G18" s="10" t="s">
        <v>2818</v>
      </c>
      <c r="H18" s="10" t="s">
        <v>2858</v>
      </c>
      <c r="I18" s="10" t="s">
        <v>60</v>
      </c>
      <c r="J18" s="12" t="n">
        <v>0.8</v>
      </c>
    </row>
    <row r="19" customFormat="false" ht="15" hidden="false" customHeight="false" outlineLevel="0" collapsed="false">
      <c r="A19" s="10" t="s">
        <v>2881</v>
      </c>
      <c r="B19" s="10" t="s">
        <v>2882</v>
      </c>
      <c r="C19" s="11" t="s">
        <v>2880</v>
      </c>
      <c r="D19" s="10" t="s">
        <v>2873</v>
      </c>
      <c r="E19" s="10" t="n">
        <v>1</v>
      </c>
      <c r="F19" s="10" t="s">
        <v>2857</v>
      </c>
      <c r="G19" s="10" t="s">
        <v>2818</v>
      </c>
      <c r="H19" s="10" t="s">
        <v>2858</v>
      </c>
      <c r="I19" s="10" t="s">
        <v>60</v>
      </c>
      <c r="J19" s="12" t="n">
        <v>0.008</v>
      </c>
    </row>
    <row r="20" customFormat="false" ht="15" hidden="false" customHeight="false" outlineLevel="0" collapsed="false">
      <c r="A20" s="10" t="s">
        <v>2883</v>
      </c>
      <c r="B20" s="10" t="s">
        <v>2884</v>
      </c>
      <c r="C20" s="11" t="s">
        <v>2880</v>
      </c>
      <c r="D20" s="10" t="s">
        <v>2873</v>
      </c>
      <c r="E20" s="10" t="n">
        <v>1</v>
      </c>
      <c r="F20" s="10" t="s">
        <v>2857</v>
      </c>
      <c r="G20" s="10" t="s">
        <v>2818</v>
      </c>
      <c r="H20" s="10" t="s">
        <v>2858</v>
      </c>
      <c r="I20" s="10" t="s">
        <v>60</v>
      </c>
      <c r="J20" s="12" t="n">
        <v>0.16</v>
      </c>
    </row>
    <row r="21" customFormat="false" ht="15" hidden="false" customHeight="false" outlineLevel="0" collapsed="false">
      <c r="A21" s="10" t="s">
        <v>2885</v>
      </c>
      <c r="B21" s="10" t="s">
        <v>2886</v>
      </c>
      <c r="C21" s="11" t="s">
        <v>2887</v>
      </c>
      <c r="D21" s="10" t="s">
        <v>2873</v>
      </c>
      <c r="E21" s="10" t="n">
        <v>1</v>
      </c>
      <c r="F21" s="10" t="s">
        <v>2857</v>
      </c>
      <c r="G21" s="10" t="s">
        <v>2818</v>
      </c>
      <c r="H21" s="10" t="s">
        <v>2858</v>
      </c>
      <c r="I21" s="10" t="s">
        <v>60</v>
      </c>
      <c r="J21" s="12" t="n">
        <v>8</v>
      </c>
    </row>
    <row r="22" customFormat="false" ht="15" hidden="false" customHeight="false" outlineLevel="0" collapsed="false">
      <c r="A22" s="10" t="s">
        <v>2888</v>
      </c>
      <c r="B22" s="10" t="s">
        <v>2889</v>
      </c>
      <c r="C22" s="11" t="s">
        <v>2887</v>
      </c>
      <c r="D22" s="10" t="s">
        <v>2873</v>
      </c>
      <c r="E22" s="10" t="n">
        <v>1</v>
      </c>
      <c r="F22" s="10" t="s">
        <v>2857</v>
      </c>
      <c r="G22" s="10" t="s">
        <v>2818</v>
      </c>
      <c r="H22" s="10" t="s">
        <v>2858</v>
      </c>
      <c r="I22" s="10" t="s">
        <v>60</v>
      </c>
      <c r="J22" s="12" t="n">
        <v>0.08</v>
      </c>
    </row>
    <row r="23" customFormat="false" ht="15" hidden="false" customHeight="false" outlineLevel="0" collapsed="false">
      <c r="A23" s="10" t="s">
        <v>2890</v>
      </c>
      <c r="B23" s="10" t="s">
        <v>2891</v>
      </c>
      <c r="C23" s="11" t="s">
        <v>2887</v>
      </c>
      <c r="D23" s="10" t="s">
        <v>2873</v>
      </c>
      <c r="E23" s="10" t="n">
        <v>1</v>
      </c>
      <c r="F23" s="10" t="s">
        <v>2857</v>
      </c>
      <c r="G23" s="10" t="s">
        <v>2818</v>
      </c>
      <c r="H23" s="10" t="s">
        <v>2858</v>
      </c>
      <c r="I23" s="10" t="s">
        <v>60</v>
      </c>
      <c r="J23" s="12" t="n">
        <v>1.6</v>
      </c>
    </row>
    <row r="24" customFormat="false" ht="15" hidden="false" customHeight="false" outlineLevel="0" collapsed="false">
      <c r="A24" s="10" t="s">
        <v>2892</v>
      </c>
      <c r="B24" s="10" t="s">
        <v>2893</v>
      </c>
      <c r="C24" s="11" t="s">
        <v>2894</v>
      </c>
      <c r="D24" s="10" t="s">
        <v>2873</v>
      </c>
      <c r="E24" s="10" t="n">
        <v>1</v>
      </c>
      <c r="F24" s="10" t="s">
        <v>2857</v>
      </c>
      <c r="G24" s="10" t="s">
        <v>2818</v>
      </c>
      <c r="H24" s="10" t="s">
        <v>2858</v>
      </c>
      <c r="I24" s="10" t="s">
        <v>60</v>
      </c>
      <c r="J24" s="12" t="n">
        <v>40</v>
      </c>
    </row>
    <row r="25" customFormat="false" ht="15" hidden="false" customHeight="false" outlineLevel="0" collapsed="false">
      <c r="A25" s="10" t="s">
        <v>2895</v>
      </c>
      <c r="B25" s="10" t="s">
        <v>2896</v>
      </c>
      <c r="C25" s="11" t="s">
        <v>2894</v>
      </c>
      <c r="D25" s="10" t="s">
        <v>2873</v>
      </c>
      <c r="E25" s="10" t="n">
        <v>1</v>
      </c>
      <c r="F25" s="10" t="s">
        <v>2857</v>
      </c>
      <c r="G25" s="10" t="s">
        <v>2818</v>
      </c>
      <c r="H25" s="10" t="s">
        <v>2858</v>
      </c>
      <c r="I25" s="10" t="s">
        <v>60</v>
      </c>
      <c r="J25" s="12" t="n">
        <v>0.4</v>
      </c>
    </row>
    <row r="26" customFormat="false" ht="15" hidden="false" customHeight="false" outlineLevel="0" collapsed="false">
      <c r="A26" s="10" t="s">
        <v>2897</v>
      </c>
      <c r="B26" s="10" t="s">
        <v>2898</v>
      </c>
      <c r="C26" s="11" t="s">
        <v>2894</v>
      </c>
      <c r="D26" s="10" t="s">
        <v>2873</v>
      </c>
      <c r="E26" s="10" t="n">
        <v>1</v>
      </c>
      <c r="F26" s="10" t="s">
        <v>2857</v>
      </c>
      <c r="G26" s="10" t="s">
        <v>2818</v>
      </c>
      <c r="H26" s="10" t="s">
        <v>2858</v>
      </c>
      <c r="I26" s="10" t="s">
        <v>60</v>
      </c>
      <c r="J26" s="12" t="n">
        <v>8</v>
      </c>
    </row>
    <row r="27" customFormat="false" ht="15" hidden="false" customHeight="false" outlineLevel="0" collapsed="false">
      <c r="A27" s="10" t="s">
        <v>2899</v>
      </c>
      <c r="B27" s="10" t="s">
        <v>2900</v>
      </c>
      <c r="C27" s="11" t="s">
        <v>2901</v>
      </c>
      <c r="D27" s="10" t="s">
        <v>2873</v>
      </c>
      <c r="E27" s="10" t="n">
        <v>1</v>
      </c>
      <c r="F27" s="10" t="s">
        <v>2857</v>
      </c>
      <c r="G27" s="10" t="s">
        <v>2818</v>
      </c>
      <c r="H27" s="10" t="s">
        <v>2858</v>
      </c>
      <c r="I27" s="10" t="s">
        <v>60</v>
      </c>
      <c r="J27" s="12" t="n">
        <v>8.03555555555555</v>
      </c>
    </row>
    <row r="28" customFormat="false" ht="15" hidden="false" customHeight="false" outlineLevel="0" collapsed="false">
      <c r="A28" s="10" t="s">
        <v>2902</v>
      </c>
      <c r="B28" s="10" t="s">
        <v>2903</v>
      </c>
      <c r="C28" s="11" t="s">
        <v>2901</v>
      </c>
      <c r="D28" s="10" t="s">
        <v>2873</v>
      </c>
      <c r="E28" s="10" t="n">
        <v>1</v>
      </c>
      <c r="F28" s="10" t="s">
        <v>2857</v>
      </c>
      <c r="G28" s="10" t="s">
        <v>2818</v>
      </c>
      <c r="H28" s="10" t="s">
        <v>2858</v>
      </c>
      <c r="I28" s="10" t="s">
        <v>60</v>
      </c>
      <c r="J28" s="12" t="n">
        <v>0.0803555555555556</v>
      </c>
    </row>
    <row r="29" customFormat="false" ht="15" hidden="false" customHeight="false" outlineLevel="0" collapsed="false">
      <c r="A29" s="10" t="s">
        <v>2904</v>
      </c>
      <c r="B29" s="10" t="s">
        <v>2905</v>
      </c>
      <c r="C29" s="11" t="s">
        <v>2901</v>
      </c>
      <c r="D29" s="10" t="s">
        <v>2873</v>
      </c>
      <c r="E29" s="10" t="n">
        <v>1</v>
      </c>
      <c r="F29" s="10" t="s">
        <v>2857</v>
      </c>
      <c r="G29" s="10" t="s">
        <v>2818</v>
      </c>
      <c r="H29" s="10" t="s">
        <v>2858</v>
      </c>
      <c r="I29" s="10" t="s">
        <v>60</v>
      </c>
      <c r="J29" s="12" t="n">
        <v>1.60711111111111</v>
      </c>
    </row>
    <row r="30" customFormat="false" ht="15" hidden="false" customHeight="false" outlineLevel="0" collapsed="false">
      <c r="A30" s="10" t="s">
        <v>2906</v>
      </c>
      <c r="B30" s="10" t="s">
        <v>2907</v>
      </c>
      <c r="C30" s="11" t="s">
        <v>2908</v>
      </c>
      <c r="D30" s="10" t="s">
        <v>2873</v>
      </c>
      <c r="E30" s="10" t="n">
        <v>1</v>
      </c>
      <c r="F30" s="10" t="s">
        <v>2857</v>
      </c>
      <c r="G30" s="10" t="s">
        <v>2818</v>
      </c>
      <c r="H30" s="10" t="s">
        <v>2858</v>
      </c>
      <c r="I30" s="10" t="s">
        <v>60</v>
      </c>
      <c r="J30" s="12" t="n">
        <v>40</v>
      </c>
    </row>
    <row r="31" customFormat="false" ht="15" hidden="false" customHeight="false" outlineLevel="0" collapsed="false">
      <c r="A31" s="10" t="s">
        <v>2909</v>
      </c>
      <c r="B31" s="10" t="s">
        <v>2910</v>
      </c>
      <c r="C31" s="11" t="s">
        <v>2908</v>
      </c>
      <c r="D31" s="10" t="s">
        <v>2873</v>
      </c>
      <c r="E31" s="10" t="n">
        <v>1</v>
      </c>
      <c r="F31" s="10" t="s">
        <v>2857</v>
      </c>
      <c r="G31" s="10" t="s">
        <v>2818</v>
      </c>
      <c r="H31" s="10" t="s">
        <v>2858</v>
      </c>
      <c r="I31" s="10" t="s">
        <v>60</v>
      </c>
      <c r="J31" s="12" t="n">
        <v>0.4</v>
      </c>
    </row>
    <row r="32" customFormat="false" ht="15" hidden="false" customHeight="false" outlineLevel="0" collapsed="false">
      <c r="A32" s="10" t="s">
        <v>2911</v>
      </c>
      <c r="B32" s="10" t="s">
        <v>2912</v>
      </c>
      <c r="C32" s="11" t="s">
        <v>2908</v>
      </c>
      <c r="D32" s="10" t="s">
        <v>2873</v>
      </c>
      <c r="E32" s="10" t="n">
        <v>1</v>
      </c>
      <c r="F32" s="10" t="s">
        <v>2857</v>
      </c>
      <c r="G32" s="10" t="s">
        <v>2818</v>
      </c>
      <c r="H32" s="10" t="s">
        <v>2858</v>
      </c>
      <c r="I32" s="10" t="s">
        <v>60</v>
      </c>
      <c r="J32" s="12" t="n">
        <v>8</v>
      </c>
    </row>
    <row r="33" customFormat="false" ht="15" hidden="false" customHeight="false" outlineLevel="0" collapsed="false">
      <c r="A33" s="10" t="s">
        <v>2913</v>
      </c>
      <c r="B33" s="10" t="s">
        <v>2914</v>
      </c>
      <c r="C33" s="11" t="s">
        <v>2915</v>
      </c>
      <c r="D33" s="10" t="s">
        <v>2873</v>
      </c>
      <c r="E33" s="10" t="n">
        <v>1</v>
      </c>
      <c r="F33" s="10" t="s">
        <v>2857</v>
      </c>
      <c r="G33" s="10" t="s">
        <v>2818</v>
      </c>
      <c r="H33" s="10" t="s">
        <v>2858</v>
      </c>
      <c r="I33" s="10" t="s">
        <v>60</v>
      </c>
      <c r="J33" s="12" t="n">
        <v>7.74222222222222</v>
      </c>
    </row>
    <row r="34" customFormat="false" ht="15" hidden="false" customHeight="false" outlineLevel="0" collapsed="false">
      <c r="A34" s="10" t="s">
        <v>2916</v>
      </c>
      <c r="B34" s="10" t="s">
        <v>2917</v>
      </c>
      <c r="C34" s="11" t="s">
        <v>2915</v>
      </c>
      <c r="D34" s="10" t="s">
        <v>2873</v>
      </c>
      <c r="E34" s="10" t="n">
        <v>1</v>
      </c>
      <c r="F34" s="10" t="s">
        <v>2857</v>
      </c>
      <c r="G34" s="10" t="s">
        <v>2818</v>
      </c>
      <c r="H34" s="10" t="s">
        <v>2858</v>
      </c>
      <c r="I34" s="10" t="s">
        <v>60</v>
      </c>
      <c r="J34" s="12" t="n">
        <v>0.0803555555555556</v>
      </c>
    </row>
    <row r="35" customFormat="false" ht="15" hidden="false" customHeight="false" outlineLevel="0" collapsed="false">
      <c r="A35" s="10" t="s">
        <v>2918</v>
      </c>
      <c r="B35" s="10" t="s">
        <v>2919</v>
      </c>
      <c r="C35" s="11" t="s">
        <v>2915</v>
      </c>
      <c r="D35" s="10" t="s">
        <v>2873</v>
      </c>
      <c r="E35" s="10" t="n">
        <v>1</v>
      </c>
      <c r="F35" s="10" t="s">
        <v>2857</v>
      </c>
      <c r="G35" s="10" t="s">
        <v>2818</v>
      </c>
      <c r="H35" s="10" t="s">
        <v>2858</v>
      </c>
      <c r="I35" s="10" t="s">
        <v>60</v>
      </c>
      <c r="J35" s="12" t="n">
        <v>1.60711111111111</v>
      </c>
    </row>
    <row r="36" customFormat="false" ht="15" hidden="false" customHeight="false" outlineLevel="0" collapsed="false">
      <c r="A36" s="10" t="s">
        <v>2920</v>
      </c>
      <c r="B36" s="10" t="s">
        <v>2921</v>
      </c>
      <c r="C36" s="11" t="s">
        <v>2922</v>
      </c>
      <c r="D36" s="10" t="s">
        <v>393</v>
      </c>
      <c r="E36" s="10" t="n">
        <v>15</v>
      </c>
      <c r="F36" s="10" t="s">
        <v>2857</v>
      </c>
      <c r="G36" s="10" t="s">
        <v>2818</v>
      </c>
      <c r="H36" s="10" t="s">
        <v>2858</v>
      </c>
      <c r="I36" s="10" t="s">
        <v>60</v>
      </c>
      <c r="J36" s="12" t="n">
        <v>0.142679390737942</v>
      </c>
      <c r="K36" s="12" t="n">
        <v>0.142679390737942</v>
      </c>
      <c r="L36" s="12" t="n">
        <v>0.142679390737942</v>
      </c>
      <c r="M36" s="12" t="n">
        <v>0.0703975899347298</v>
      </c>
      <c r="N36" s="12" t="n">
        <v>0.0703975899347298</v>
      </c>
      <c r="O36" s="12" t="n">
        <v>0.0703975899347298</v>
      </c>
      <c r="P36" s="12" t="n">
        <v>0.0655864074968763</v>
      </c>
      <c r="Q36" s="12" t="n">
        <v>0.0655864074968763</v>
      </c>
      <c r="R36" s="12" t="n">
        <v>0.0655864074968763</v>
      </c>
      <c r="S36" s="12" t="n">
        <v>0.0400178434586299</v>
      </c>
      <c r="T36" s="12" t="n">
        <v>0.0400178434586299</v>
      </c>
      <c r="U36" s="12" t="n">
        <v>0.0400178434586299</v>
      </c>
      <c r="V36" s="12" t="n">
        <v>0.0272504145323638</v>
      </c>
      <c r="W36" s="12" t="n">
        <v>0.0272504145323638</v>
      </c>
      <c r="X36" s="12" t="n">
        <v>0.0272504145323638</v>
      </c>
    </row>
    <row r="37" customFormat="false" ht="15" hidden="false" customHeight="false" outlineLevel="0" collapsed="false">
      <c r="A37" s="10" t="s">
        <v>2923</v>
      </c>
      <c r="B37" s="10" t="s">
        <v>2924</v>
      </c>
      <c r="C37" s="11" t="s">
        <v>2922</v>
      </c>
      <c r="D37" s="10" t="s">
        <v>393</v>
      </c>
      <c r="E37" s="10" t="n">
        <v>15</v>
      </c>
      <c r="F37" s="10" t="s">
        <v>2857</v>
      </c>
      <c r="G37" s="10" t="s">
        <v>2818</v>
      </c>
      <c r="H37" s="10" t="s">
        <v>2858</v>
      </c>
      <c r="I37" s="10" t="s">
        <v>60</v>
      </c>
      <c r="J37" s="12" t="n">
        <v>0.00813235831640886</v>
      </c>
      <c r="K37" s="12" t="n">
        <v>0.00813235831640886</v>
      </c>
      <c r="L37" s="12" t="n">
        <v>0.00813235831640886</v>
      </c>
      <c r="M37" s="12" t="n">
        <v>0.00378530041866208</v>
      </c>
      <c r="N37" s="12" t="n">
        <v>0.00378530041866208</v>
      </c>
      <c r="O37" s="12" t="n">
        <v>0.00378530041866208</v>
      </c>
      <c r="P37" s="12" t="n">
        <v>0.00332896549749013</v>
      </c>
      <c r="Q37" s="12" t="n">
        <v>0.00332896549749013</v>
      </c>
      <c r="R37" s="12" t="n">
        <v>0.00332896549749013</v>
      </c>
      <c r="S37" s="12" t="n">
        <v>0.00220433968028437</v>
      </c>
      <c r="T37" s="12" t="n">
        <v>0.00220433968028437</v>
      </c>
      <c r="U37" s="12" t="n">
        <v>0.00220433968028437</v>
      </c>
      <c r="V37" s="12" t="n">
        <v>0.00143044852589726</v>
      </c>
      <c r="W37" s="12" t="n">
        <v>0.00143044852589726</v>
      </c>
      <c r="X37" s="12" t="n">
        <v>0.00143044852589726</v>
      </c>
    </row>
    <row r="38" customFormat="false" ht="15" hidden="false" customHeight="false" outlineLevel="0" collapsed="false">
      <c r="A38" s="10" t="s">
        <v>2925</v>
      </c>
      <c r="B38" s="10" t="s">
        <v>2926</v>
      </c>
      <c r="C38" s="11" t="s">
        <v>2922</v>
      </c>
      <c r="D38" s="10" t="s">
        <v>393</v>
      </c>
      <c r="E38" s="10" t="n">
        <v>15</v>
      </c>
      <c r="F38" s="10" t="s">
        <v>2857</v>
      </c>
      <c r="G38" s="10" t="s">
        <v>2818</v>
      </c>
      <c r="H38" s="10" t="s">
        <v>2858</v>
      </c>
      <c r="I38" s="10" t="s">
        <v>60</v>
      </c>
      <c r="J38" s="12" t="n">
        <v>0.0231462920032773</v>
      </c>
      <c r="K38" s="12" t="n">
        <v>0.0231462920032773</v>
      </c>
      <c r="L38" s="12" t="n">
        <v>0.0231462920032773</v>
      </c>
      <c r="M38" s="12" t="n">
        <v>0.0111975472382432</v>
      </c>
      <c r="N38" s="12" t="n">
        <v>0.0111975472382432</v>
      </c>
      <c r="O38" s="12" t="n">
        <v>0.0111975472382432</v>
      </c>
      <c r="P38" s="12" t="n">
        <v>0.0102273044724078</v>
      </c>
      <c r="Q38" s="12" t="n">
        <v>0.0102273044724078</v>
      </c>
      <c r="R38" s="12" t="n">
        <v>0.0102273044724078</v>
      </c>
      <c r="S38" s="12" t="n">
        <v>0.00642112099901794</v>
      </c>
      <c r="T38" s="12" t="n">
        <v>0.00642112099901794</v>
      </c>
      <c r="U38" s="12" t="n">
        <v>0.00642112099901794</v>
      </c>
      <c r="V38" s="12" t="n">
        <v>0.00430948556016603</v>
      </c>
      <c r="W38" s="12" t="n">
        <v>0.00430948556016603</v>
      </c>
      <c r="X38" s="12" t="n">
        <v>0.00430948556016603</v>
      </c>
    </row>
    <row r="39" customFormat="false" ht="15" hidden="false" customHeight="false" outlineLevel="0" collapsed="false">
      <c r="A39" s="10" t="s">
        <v>2927</v>
      </c>
      <c r="B39" s="10" t="s">
        <v>2928</v>
      </c>
      <c r="C39" s="11" t="s">
        <v>2929</v>
      </c>
      <c r="D39" s="10" t="s">
        <v>2930</v>
      </c>
      <c r="E39" s="10" t="n">
        <v>1</v>
      </c>
      <c r="F39" s="10" t="s">
        <v>2857</v>
      </c>
      <c r="G39" s="10" t="s">
        <v>2818</v>
      </c>
      <c r="H39" s="10" t="s">
        <v>2858</v>
      </c>
      <c r="I39" s="10" t="s">
        <v>60</v>
      </c>
      <c r="J39" s="12" t="n">
        <v>8</v>
      </c>
    </row>
    <row r="40" customFormat="false" ht="15" hidden="false" customHeight="false" outlineLevel="0" collapsed="false">
      <c r="A40" s="10" t="s">
        <v>2931</v>
      </c>
      <c r="B40" s="10" t="s">
        <v>2932</v>
      </c>
      <c r="C40" s="11" t="s">
        <v>2933</v>
      </c>
      <c r="D40" s="11" t="s">
        <v>2934</v>
      </c>
      <c r="E40" s="10" t="n">
        <v>1</v>
      </c>
      <c r="F40" s="10" t="s">
        <v>2857</v>
      </c>
      <c r="G40" s="10" t="s">
        <v>2818</v>
      </c>
      <c r="H40" s="10" t="s">
        <v>2858</v>
      </c>
      <c r="I40" s="10" t="s">
        <v>60</v>
      </c>
      <c r="J40" s="12" t="n">
        <v>4</v>
      </c>
    </row>
    <row r="41" customFormat="false" ht="15" hidden="false" customHeight="false" outlineLevel="0" collapsed="false">
      <c r="A41" s="10" t="s">
        <v>2935</v>
      </c>
      <c r="B41" s="10" t="s">
        <v>2936</v>
      </c>
      <c r="C41" s="10" t="s">
        <v>2937</v>
      </c>
      <c r="D41" s="10" t="s">
        <v>2938</v>
      </c>
      <c r="E41" s="10" t="n">
        <v>1</v>
      </c>
      <c r="F41" s="10" t="s">
        <v>2857</v>
      </c>
      <c r="G41" s="10" t="s">
        <v>2818</v>
      </c>
      <c r="H41" s="10" t="s">
        <v>2858</v>
      </c>
      <c r="I41" s="10" t="s">
        <v>60</v>
      </c>
      <c r="J41" s="12" t="n">
        <v>8.4</v>
      </c>
    </row>
    <row r="42" customFormat="false" ht="15" hidden="false" customHeight="false" outlineLevel="0" collapsed="false">
      <c r="A42" s="10" t="s">
        <v>2939</v>
      </c>
      <c r="B42" s="10" t="s">
        <v>2940</v>
      </c>
      <c r="C42" s="10" t="s">
        <v>2941</v>
      </c>
      <c r="D42" s="10" t="s">
        <v>2938</v>
      </c>
      <c r="E42" s="10" t="n">
        <v>1</v>
      </c>
      <c r="F42" s="10" t="s">
        <v>2857</v>
      </c>
      <c r="G42" s="10" t="s">
        <v>2818</v>
      </c>
      <c r="H42" s="10" t="s">
        <v>2858</v>
      </c>
      <c r="I42" s="10" t="s">
        <v>60</v>
      </c>
      <c r="J42" s="12" t="n">
        <v>3.9</v>
      </c>
    </row>
    <row r="43" customFormat="false" ht="15" hidden="false" customHeight="false" outlineLevel="0" collapsed="false">
      <c r="A43" s="10" t="s">
        <v>2942</v>
      </c>
      <c r="B43" s="10" t="s">
        <v>2943</v>
      </c>
      <c r="C43" s="10" t="s">
        <v>2944</v>
      </c>
      <c r="D43" s="10" t="s">
        <v>2938</v>
      </c>
      <c r="E43" s="10" t="n">
        <v>1</v>
      </c>
      <c r="F43" s="10" t="s">
        <v>2857</v>
      </c>
      <c r="G43" s="10" t="s">
        <v>2818</v>
      </c>
      <c r="H43" s="10" t="s">
        <v>2858</v>
      </c>
      <c r="I43" s="10" t="s">
        <v>60</v>
      </c>
      <c r="J43" s="12" t="n">
        <v>12</v>
      </c>
    </row>
    <row r="44" customFormat="false" ht="15" hidden="false" customHeight="false" outlineLevel="0" collapsed="false">
      <c r="A44" s="10" t="s">
        <v>2945</v>
      </c>
      <c r="B44" s="10" t="s">
        <v>2946</v>
      </c>
      <c r="C44" s="10" t="s">
        <v>2947</v>
      </c>
      <c r="D44" s="10" t="s">
        <v>2938</v>
      </c>
      <c r="E44" s="10" t="n">
        <v>1</v>
      </c>
      <c r="F44" s="10" t="s">
        <v>2857</v>
      </c>
      <c r="G44" s="10" t="s">
        <v>2818</v>
      </c>
      <c r="H44" s="10" t="s">
        <v>2858</v>
      </c>
      <c r="I44" s="10" t="s">
        <v>60</v>
      </c>
      <c r="J44" s="12" t="n">
        <v>13.07</v>
      </c>
    </row>
    <row r="45" customFormat="false" ht="15" hidden="false" customHeight="false" outlineLevel="0" collapsed="false">
      <c r="A45" s="10" t="s">
        <v>2948</v>
      </c>
      <c r="B45" s="10" t="s">
        <v>2949</v>
      </c>
      <c r="C45" s="10" t="s">
        <v>2950</v>
      </c>
      <c r="D45" s="10" t="s">
        <v>2951</v>
      </c>
      <c r="E45" s="10" t="n">
        <v>1</v>
      </c>
      <c r="F45" s="10" t="s">
        <v>2857</v>
      </c>
      <c r="G45" s="10" t="s">
        <v>2818</v>
      </c>
      <c r="H45" s="10" t="s">
        <v>2858</v>
      </c>
      <c r="I45" s="10" t="s">
        <v>60</v>
      </c>
      <c r="J45" s="12" t="n">
        <v>0.6</v>
      </c>
    </row>
    <row r="46" customFormat="false" ht="15" hidden="false" customHeight="false" outlineLevel="0" collapsed="false">
      <c r="A46" s="10" t="s">
        <v>2952</v>
      </c>
      <c r="B46" s="10" t="s">
        <v>2953</v>
      </c>
      <c r="C46" s="10" t="s">
        <v>2954</v>
      </c>
      <c r="D46" s="10" t="s">
        <v>2951</v>
      </c>
      <c r="E46" s="10" t="n">
        <v>1</v>
      </c>
      <c r="F46" s="10" t="s">
        <v>2857</v>
      </c>
      <c r="G46" s="10" t="s">
        <v>2818</v>
      </c>
      <c r="H46" s="10" t="s">
        <v>2858</v>
      </c>
      <c r="I46" s="10" t="s">
        <v>60</v>
      </c>
      <c r="J46" s="12" t="n">
        <v>1.9</v>
      </c>
    </row>
    <row r="47" customFormat="false" ht="15" hidden="false" customHeight="false" outlineLevel="0" collapsed="false">
      <c r="A47" s="10" t="s">
        <v>2955</v>
      </c>
      <c r="B47" s="10" t="s">
        <v>2956</v>
      </c>
      <c r="C47" s="10" t="s">
        <v>2957</v>
      </c>
      <c r="D47" s="10" t="s">
        <v>2958</v>
      </c>
      <c r="E47" s="10" t="n">
        <v>1</v>
      </c>
      <c r="F47" s="10" t="s">
        <v>2857</v>
      </c>
      <c r="G47" s="10" t="s">
        <v>2818</v>
      </c>
      <c r="H47" s="10" t="s">
        <v>2858</v>
      </c>
      <c r="I47" s="10" t="s">
        <v>60</v>
      </c>
      <c r="J47" s="12" t="n">
        <v>6</v>
      </c>
    </row>
    <row r="48" customFormat="false" ht="15" hidden="false" customHeight="false" outlineLevel="0" collapsed="false">
      <c r="A48" s="10" t="s">
        <v>2959</v>
      </c>
      <c r="B48" s="10" t="s">
        <v>2960</v>
      </c>
      <c r="C48" s="10" t="s">
        <v>2961</v>
      </c>
      <c r="D48" s="10" t="s">
        <v>2958</v>
      </c>
      <c r="E48" s="10" t="n">
        <v>1</v>
      </c>
      <c r="F48" s="10" t="s">
        <v>2857</v>
      </c>
      <c r="G48" s="10" t="s">
        <v>2818</v>
      </c>
      <c r="H48" s="10" t="s">
        <v>2858</v>
      </c>
      <c r="I48" s="10" t="s">
        <v>60</v>
      </c>
      <c r="J48" s="12" t="n">
        <v>15</v>
      </c>
    </row>
    <row r="49" customFormat="false" ht="15" hidden="false" customHeight="false" outlineLevel="0" collapsed="false">
      <c r="A49" s="10" t="s">
        <v>2962</v>
      </c>
      <c r="B49" s="10" t="s">
        <v>2963</v>
      </c>
      <c r="C49" s="10" t="s">
        <v>2964</v>
      </c>
      <c r="D49" s="10" t="s">
        <v>2965</v>
      </c>
      <c r="E49" s="10" t="n">
        <v>1</v>
      </c>
      <c r="F49" s="10" t="s">
        <v>2857</v>
      </c>
      <c r="G49" s="10" t="s">
        <v>2818</v>
      </c>
      <c r="H49" s="10" t="s">
        <v>2858</v>
      </c>
      <c r="I49" s="10" t="s">
        <v>60</v>
      </c>
      <c r="J49" s="12" t="n">
        <v>2.5</v>
      </c>
    </row>
    <row r="50" customFormat="false" ht="15" hidden="false" customHeight="false" outlineLevel="0" collapsed="false">
      <c r="A50" s="10" t="s">
        <v>2966</v>
      </c>
      <c r="B50" s="10" t="s">
        <v>2967</v>
      </c>
      <c r="C50" s="11" t="s">
        <v>2968</v>
      </c>
      <c r="D50" s="10" t="s">
        <v>2969</v>
      </c>
      <c r="E50" s="10" t="n">
        <v>1</v>
      </c>
      <c r="F50" s="10" t="s">
        <v>2857</v>
      </c>
      <c r="G50" s="10" t="s">
        <v>2818</v>
      </c>
      <c r="H50" s="10" t="s">
        <v>2858</v>
      </c>
      <c r="I50" s="10" t="s">
        <v>60</v>
      </c>
      <c r="J50" s="12"/>
    </row>
    <row r="51" customFormat="false" ht="15" hidden="false" customHeight="false" outlineLevel="0" collapsed="false">
      <c r="A51" s="10" t="s">
        <v>2970</v>
      </c>
      <c r="B51" s="10" t="s">
        <v>2971</v>
      </c>
      <c r="C51" s="11" t="s">
        <v>2968</v>
      </c>
      <c r="D51" s="10" t="s">
        <v>2969</v>
      </c>
      <c r="E51" s="10" t="n">
        <v>1</v>
      </c>
      <c r="F51" s="10" t="s">
        <v>2857</v>
      </c>
      <c r="G51" s="10" t="s">
        <v>2818</v>
      </c>
      <c r="H51" s="10" t="s">
        <v>2858</v>
      </c>
      <c r="I51" s="10" t="s">
        <v>60</v>
      </c>
      <c r="J51" s="12" t="n">
        <v>10</v>
      </c>
    </row>
    <row r="52" customFormat="false" ht="15" hidden="false" customHeight="false" outlineLevel="0" collapsed="false">
      <c r="A52" s="10" t="s">
        <v>2972</v>
      </c>
      <c r="B52" s="10" t="s">
        <v>2973</v>
      </c>
      <c r="C52" s="11" t="s">
        <v>2968</v>
      </c>
      <c r="D52" s="10" t="s">
        <v>2969</v>
      </c>
      <c r="E52" s="10" t="n">
        <v>1</v>
      </c>
      <c r="F52" s="10" t="s">
        <v>2857</v>
      </c>
      <c r="G52" s="10" t="s">
        <v>2818</v>
      </c>
      <c r="H52" s="10" t="s">
        <v>2858</v>
      </c>
      <c r="I52" s="10" t="s">
        <v>60</v>
      </c>
      <c r="J52" s="12" t="n">
        <v>100</v>
      </c>
    </row>
    <row r="53" customFormat="false" ht="15" hidden="false" customHeight="false" outlineLevel="0" collapsed="false">
      <c r="A53" s="10" t="s">
        <v>2974</v>
      </c>
      <c r="B53" s="10" t="s">
        <v>2975</v>
      </c>
      <c r="C53" s="11" t="s">
        <v>2976</v>
      </c>
      <c r="D53" s="10" t="s">
        <v>393</v>
      </c>
      <c r="E53" s="10" t="n">
        <v>1</v>
      </c>
      <c r="F53" s="10" t="s">
        <v>2857</v>
      </c>
      <c r="G53" s="10" t="s">
        <v>2818</v>
      </c>
      <c r="H53" s="10" t="s">
        <v>2858</v>
      </c>
      <c r="I53" s="10" t="s">
        <v>60</v>
      </c>
      <c r="J53" s="12" t="n">
        <v>0.63609601991434</v>
      </c>
    </row>
    <row r="54" customFormat="false" ht="15" hidden="false" customHeight="false" outlineLevel="0" collapsed="false">
      <c r="A54" s="10" t="s">
        <v>2977</v>
      </c>
      <c r="B54" s="10" t="s">
        <v>2978</v>
      </c>
      <c r="C54" s="11" t="s">
        <v>2979</v>
      </c>
      <c r="D54" s="10" t="s">
        <v>393</v>
      </c>
      <c r="E54" s="10" t="n">
        <v>1</v>
      </c>
      <c r="F54" s="10" t="s">
        <v>2857</v>
      </c>
      <c r="G54" s="10" t="s">
        <v>2818</v>
      </c>
      <c r="H54" s="10" t="s">
        <v>2858</v>
      </c>
      <c r="I54" s="10" t="s">
        <v>60</v>
      </c>
      <c r="J54" s="12" t="n">
        <v>0.667220154597978</v>
      </c>
    </row>
    <row r="55" customFormat="false" ht="15" hidden="false" customHeight="false" outlineLevel="0" collapsed="false">
      <c r="A55" s="10" t="s">
        <v>2980</v>
      </c>
      <c r="B55" s="10" t="s">
        <v>2981</v>
      </c>
      <c r="C55" s="11" t="s">
        <v>2982</v>
      </c>
      <c r="D55" s="10" t="s">
        <v>393</v>
      </c>
      <c r="E55" s="10" t="n">
        <v>1</v>
      </c>
      <c r="F55" s="10" t="s">
        <v>2857</v>
      </c>
      <c r="G55" s="10" t="s">
        <v>2818</v>
      </c>
      <c r="H55" s="10" t="s">
        <v>2858</v>
      </c>
      <c r="I55" s="10" t="s">
        <v>60</v>
      </c>
      <c r="J55" s="12" t="n">
        <v>0.663556558253475</v>
      </c>
    </row>
    <row r="56" customFormat="false" ht="15" hidden="false" customHeight="false" outlineLevel="0" collapsed="false">
      <c r="A56" s="10" t="s">
        <v>2983</v>
      </c>
      <c r="B56" s="10" t="s">
        <v>2984</v>
      </c>
      <c r="C56" s="11" t="s">
        <v>2985</v>
      </c>
      <c r="D56" s="10" t="s">
        <v>2951</v>
      </c>
      <c r="E56" s="10" t="n">
        <v>1</v>
      </c>
      <c r="F56" s="10" t="s">
        <v>2857</v>
      </c>
      <c r="G56" s="10" t="s">
        <v>2818</v>
      </c>
      <c r="H56" s="10" t="s">
        <v>2858</v>
      </c>
      <c r="I56" s="10" t="s">
        <v>60</v>
      </c>
      <c r="J56" s="12" t="n">
        <v>0.0518797846974362</v>
      </c>
    </row>
    <row r="57" customFormat="false" ht="15" hidden="false" customHeight="false" outlineLevel="0" collapsed="false">
      <c r="A57" s="10" t="s">
        <v>2986</v>
      </c>
      <c r="B57" s="10" t="s">
        <v>2987</v>
      </c>
      <c r="C57" s="11" t="s">
        <v>2988</v>
      </c>
      <c r="D57" s="10" t="s">
        <v>2989</v>
      </c>
      <c r="E57" s="10" t="n">
        <v>1</v>
      </c>
      <c r="F57" s="10" t="s">
        <v>2857</v>
      </c>
      <c r="G57" s="10" t="s">
        <v>2818</v>
      </c>
      <c r="H57" s="10" t="s">
        <v>2858</v>
      </c>
      <c r="I57" s="10" t="s">
        <v>60</v>
      </c>
      <c r="J57" s="12" t="n">
        <v>0.0906847035646163</v>
      </c>
    </row>
    <row r="58" customFormat="false" ht="15" hidden="false" customHeight="false" outlineLevel="0" collapsed="false">
      <c r="A58" s="10" t="s">
        <v>2990</v>
      </c>
      <c r="B58" s="10" t="s">
        <v>2991</v>
      </c>
      <c r="C58" s="11" t="s">
        <v>2992</v>
      </c>
      <c r="D58" s="10" t="s">
        <v>2856</v>
      </c>
      <c r="E58" s="10" t="n">
        <v>1</v>
      </c>
      <c r="F58" s="10" t="s">
        <v>2857</v>
      </c>
      <c r="G58" s="10" t="s">
        <v>2818</v>
      </c>
      <c r="H58" s="10" t="s">
        <v>2858</v>
      </c>
      <c r="I58" s="10" t="s">
        <v>60</v>
      </c>
      <c r="J58" s="12" t="n">
        <v>4190200000</v>
      </c>
    </row>
    <row r="59" customFormat="false" ht="15" hidden="false" customHeight="false" outlineLevel="0" collapsed="false">
      <c r="A59" s="10" t="s">
        <v>2993</v>
      </c>
      <c r="B59" s="10" t="s">
        <v>2994</v>
      </c>
      <c r="C59" s="11" t="s">
        <v>2995</v>
      </c>
      <c r="D59" s="11" t="s">
        <v>1683</v>
      </c>
      <c r="E59" s="10" t="n">
        <v>1</v>
      </c>
      <c r="F59" s="10" t="s">
        <v>2857</v>
      </c>
      <c r="G59" s="10" t="s">
        <v>2818</v>
      </c>
      <c r="H59" s="10" t="s">
        <v>2858</v>
      </c>
      <c r="I59" s="10" t="s">
        <v>60</v>
      </c>
      <c r="J59" s="12" t="n">
        <v>1.52362137919411</v>
      </c>
    </row>
    <row r="60" customFormat="false" ht="15" hidden="false" customHeight="false" outlineLevel="0" collapsed="false">
      <c r="A60" s="10" t="s">
        <v>2996</v>
      </c>
      <c r="B60" s="10" t="s">
        <v>2997</v>
      </c>
      <c r="C60" s="11" t="s">
        <v>2998</v>
      </c>
      <c r="D60" s="10" t="s">
        <v>2999</v>
      </c>
      <c r="E60" s="10" t="n">
        <v>15</v>
      </c>
      <c r="F60" s="10" t="s">
        <v>2857</v>
      </c>
      <c r="G60" s="10" t="s">
        <v>2818</v>
      </c>
      <c r="H60" s="10" t="s">
        <v>2858</v>
      </c>
      <c r="I60" s="10" t="s">
        <v>60</v>
      </c>
      <c r="J60" s="12" t="n">
        <v>124.845239333062</v>
      </c>
      <c r="K60" s="12" t="n">
        <v>180.057740229558</v>
      </c>
      <c r="L60" s="12" t="n">
        <v>310.434186156141</v>
      </c>
      <c r="M60" s="12" t="n">
        <v>59.9538166457782</v>
      </c>
      <c r="N60" s="12" t="n">
        <v>80.7018780387141</v>
      </c>
      <c r="O60" s="12" t="n">
        <v>131.291756246702</v>
      </c>
      <c r="P60" s="12" t="n">
        <v>71.3864657110668</v>
      </c>
      <c r="Q60" s="12" t="n">
        <v>104.321299974554</v>
      </c>
      <c r="R60" s="12" t="n">
        <v>195.708768879222</v>
      </c>
      <c r="S60" s="12" t="n">
        <v>49.2053430691912</v>
      </c>
      <c r="T60" s="12" t="n">
        <v>63.8385436939176</v>
      </c>
      <c r="U60" s="12" t="n">
        <v>103.43656818684</v>
      </c>
      <c r="V60" s="12" t="n">
        <v>35.603489581288</v>
      </c>
      <c r="W60" s="12" t="n">
        <v>54.7374194642521</v>
      </c>
      <c r="X60" s="12" t="n">
        <v>100.33130878097</v>
      </c>
    </row>
    <row r="61" customFormat="false" ht="15" hidden="false" customHeight="false" outlineLevel="0" collapsed="false">
      <c r="A61" s="10" t="s">
        <v>3000</v>
      </c>
      <c r="B61" s="10" t="s">
        <v>3001</v>
      </c>
      <c r="C61" s="11" t="s">
        <v>2998</v>
      </c>
      <c r="D61" s="10" t="s">
        <v>2999</v>
      </c>
      <c r="E61" s="10" t="n">
        <v>15</v>
      </c>
      <c r="F61" s="10" t="s">
        <v>2857</v>
      </c>
      <c r="G61" s="10" t="s">
        <v>2818</v>
      </c>
      <c r="H61" s="10" t="s">
        <v>2858</v>
      </c>
      <c r="I61" s="10" t="s">
        <v>60</v>
      </c>
      <c r="J61" s="12" t="n">
        <v>7.1158575538008</v>
      </c>
      <c r="K61" s="12" t="n">
        <v>10.2628281044394</v>
      </c>
      <c r="L61" s="12" t="n">
        <v>17.6939502084177</v>
      </c>
      <c r="M61" s="12" t="n">
        <v>3.22373546395647</v>
      </c>
      <c r="N61" s="12" t="n">
        <v>4.33936521136578</v>
      </c>
      <c r="O61" s="12" t="n">
        <v>7.05959877814428</v>
      </c>
      <c r="P61" s="12" t="n">
        <v>3.62335871729553</v>
      </c>
      <c r="Q61" s="12" t="n">
        <v>5.29503019791332</v>
      </c>
      <c r="R61" s="12" t="n">
        <v>9.93357867918331</v>
      </c>
      <c r="S61" s="12" t="n">
        <v>2.71042317214205</v>
      </c>
      <c r="T61" s="12" t="n">
        <v>3.51647722200591</v>
      </c>
      <c r="U61" s="12" t="n">
        <v>5.69769162804601</v>
      </c>
      <c r="V61" s="12" t="n">
        <v>1.86892420032239</v>
      </c>
      <c r="W61" s="12" t="n">
        <v>2.87331632665873</v>
      </c>
      <c r="X61" s="12" t="n">
        <v>5.26666383649436</v>
      </c>
    </row>
    <row r="62" customFormat="false" ht="15" hidden="false" customHeight="false" outlineLevel="0" collapsed="false">
      <c r="A62" s="10" t="s">
        <v>3002</v>
      </c>
      <c r="B62" s="10" t="s">
        <v>3003</v>
      </c>
      <c r="C62" s="11" t="s">
        <v>2998</v>
      </c>
      <c r="D62" s="10" t="s">
        <v>2999</v>
      </c>
      <c r="E62" s="10" t="n">
        <v>15</v>
      </c>
      <c r="F62" s="10" t="s">
        <v>2857</v>
      </c>
      <c r="G62" s="10" t="s">
        <v>2818</v>
      </c>
      <c r="H62" s="10" t="s">
        <v>2858</v>
      </c>
      <c r="I62" s="10" t="s">
        <v>60</v>
      </c>
      <c r="J62" s="12" t="n">
        <v>20.2531308122109</v>
      </c>
      <c r="K62" s="12" t="n">
        <v>29.2100282405771</v>
      </c>
      <c r="L62" s="12" t="n">
        <v>50.3604639983862</v>
      </c>
      <c r="M62" s="12" t="n">
        <v>9.53634484684077</v>
      </c>
      <c r="N62" s="12" t="n">
        <v>12.8365629049415</v>
      </c>
      <c r="O62" s="12" t="n">
        <v>20.8834655266952</v>
      </c>
      <c r="P62" s="12" t="n">
        <v>11.13174433393</v>
      </c>
      <c r="Q62" s="12" t="n">
        <v>16.2674819145715</v>
      </c>
      <c r="R62" s="12" t="n">
        <v>30.5181095235811</v>
      </c>
      <c r="S62" s="12" t="n">
        <v>7.89531454817388</v>
      </c>
      <c r="T62" s="12" t="n">
        <v>10.2433059363508</v>
      </c>
      <c r="U62" s="12" t="n">
        <v>16.5970642755273</v>
      </c>
      <c r="V62" s="12" t="n">
        <v>5.63047303591872</v>
      </c>
      <c r="W62" s="12" t="n">
        <v>8.65638643778396</v>
      </c>
      <c r="X62" s="12" t="n">
        <v>15.8667797846025</v>
      </c>
    </row>
    <row r="63" customFormat="false" ht="15" hidden="false" customHeight="false" outlineLevel="0" collapsed="false">
      <c r="A63" s="10" t="s">
        <v>3004</v>
      </c>
      <c r="B63" s="10" t="s">
        <v>3005</v>
      </c>
      <c r="C63" s="11" t="s">
        <v>3006</v>
      </c>
      <c r="D63" s="10" t="s">
        <v>2869</v>
      </c>
      <c r="E63" s="10" t="n">
        <v>15</v>
      </c>
      <c r="F63" s="10" t="s">
        <v>2857</v>
      </c>
      <c r="G63" s="10" t="s">
        <v>2818</v>
      </c>
      <c r="H63" s="10" t="s">
        <v>2858</v>
      </c>
      <c r="I63" s="10" t="s">
        <v>60</v>
      </c>
      <c r="J63" s="12" t="n">
        <v>18.6899868774826</v>
      </c>
      <c r="K63" s="12" t="n">
        <v>18.6899868774826</v>
      </c>
      <c r="L63" s="12" t="n">
        <v>18.6899868774826</v>
      </c>
      <c r="M63" s="12" t="n">
        <v>96.6283848132214</v>
      </c>
      <c r="N63" s="12" t="n">
        <v>96.6283848132214</v>
      </c>
      <c r="O63" s="12" t="n">
        <v>96.6283848132214</v>
      </c>
      <c r="P63" s="12" t="n">
        <v>116.841337205439</v>
      </c>
      <c r="Q63" s="12" t="n">
        <v>116.841337205439</v>
      </c>
      <c r="R63" s="12" t="n">
        <v>116.841337205439</v>
      </c>
      <c r="S63" s="12" t="n">
        <v>246.697456312585</v>
      </c>
      <c r="T63" s="12" t="n">
        <v>246.697456312585</v>
      </c>
      <c r="U63" s="12" t="n">
        <v>246.697456312585</v>
      </c>
      <c r="V63" s="12" t="n">
        <v>358.71180915499</v>
      </c>
      <c r="W63" s="12" t="n">
        <v>358.71180915499</v>
      </c>
      <c r="X63" s="12" t="n">
        <v>358.71180915499</v>
      </c>
    </row>
    <row r="64" customFormat="false" ht="15" hidden="false" customHeight="false" outlineLevel="0" collapsed="false">
      <c r="A64" s="10" t="s">
        <v>3007</v>
      </c>
      <c r="B64" s="10" t="s">
        <v>3008</v>
      </c>
      <c r="C64" s="11" t="s">
        <v>3006</v>
      </c>
      <c r="D64" s="10" t="s">
        <v>2869</v>
      </c>
      <c r="E64" s="10" t="n">
        <v>15</v>
      </c>
      <c r="F64" s="10" t="s">
        <v>2857</v>
      </c>
      <c r="G64" s="10" t="s">
        <v>2818</v>
      </c>
      <c r="H64" s="10" t="s">
        <v>2858</v>
      </c>
      <c r="I64" s="10" t="s">
        <v>60</v>
      </c>
      <c r="J64" s="12" t="n">
        <v>3.57102907624799</v>
      </c>
      <c r="K64" s="12" t="n">
        <v>3.57102907624799</v>
      </c>
      <c r="L64" s="12" t="n">
        <v>3.57102907624799</v>
      </c>
      <c r="M64" s="12" t="n">
        <v>17.4680230535144</v>
      </c>
      <c r="N64" s="12" t="n">
        <v>17.4680230535144</v>
      </c>
      <c r="O64" s="12" t="n">
        <v>17.4680230535144</v>
      </c>
      <c r="P64" s="12" t="n">
        <v>25.4312759220773</v>
      </c>
      <c r="Q64" s="12" t="n">
        <v>25.4312759220773</v>
      </c>
      <c r="R64" s="12" t="n">
        <v>25.4312759220773</v>
      </c>
      <c r="S64" s="12" t="n">
        <v>37.2582226398973</v>
      </c>
      <c r="T64" s="12" t="n">
        <v>37.2582226398973</v>
      </c>
      <c r="U64" s="12" t="n">
        <v>37.2582226398973</v>
      </c>
      <c r="V64" s="12" t="n">
        <v>50.3527379522069</v>
      </c>
      <c r="W64" s="12" t="n">
        <v>50.3527379522069</v>
      </c>
      <c r="X64" s="12" t="n">
        <v>50.3527379522069</v>
      </c>
    </row>
    <row r="65" customFormat="false" ht="15" hidden="false" customHeight="false" outlineLevel="0" collapsed="false">
      <c r="A65" s="10" t="s">
        <v>3009</v>
      </c>
      <c r="B65" s="10" t="s">
        <v>3010</v>
      </c>
      <c r="C65" s="11" t="s">
        <v>3006</v>
      </c>
      <c r="D65" s="10" t="s">
        <v>2869</v>
      </c>
      <c r="E65" s="10" t="n">
        <v>15</v>
      </c>
      <c r="F65" s="10" t="s">
        <v>2857</v>
      </c>
      <c r="G65" s="10" t="s">
        <v>2818</v>
      </c>
      <c r="H65" s="10" t="s">
        <v>2858</v>
      </c>
      <c r="I65" s="10" t="s">
        <v>60</v>
      </c>
      <c r="J65" s="12" t="n">
        <v>20.7225049979976</v>
      </c>
      <c r="K65" s="12" t="n">
        <v>20.7225049979976</v>
      </c>
      <c r="L65" s="12" t="n">
        <v>20.7225049979976</v>
      </c>
      <c r="M65" s="12" t="n">
        <v>100.404653415384</v>
      </c>
      <c r="N65" s="12" t="n">
        <v>100.404653415384</v>
      </c>
      <c r="O65" s="12" t="n">
        <v>100.404653415384</v>
      </c>
      <c r="P65" s="12" t="n">
        <v>146.176727443319</v>
      </c>
      <c r="Q65" s="12" t="n">
        <v>146.176727443319</v>
      </c>
      <c r="R65" s="12" t="n">
        <v>146.176727443319</v>
      </c>
      <c r="S65" s="12" t="n">
        <v>228.808271164193</v>
      </c>
      <c r="T65" s="12" t="n">
        <v>228.808271164193</v>
      </c>
      <c r="U65" s="12" t="n">
        <v>228.808271164193</v>
      </c>
      <c r="V65" s="12" t="n">
        <v>314.529969229019</v>
      </c>
      <c r="W65" s="12" t="n">
        <v>314.529969229019</v>
      </c>
      <c r="X65" s="12" t="n">
        <v>314.529969229019</v>
      </c>
    </row>
    <row r="66" customFormat="false" ht="15" hidden="false" customHeight="false" outlineLevel="0" collapsed="false">
      <c r="A66" s="10" t="s">
        <v>3011</v>
      </c>
      <c r="B66" s="10" t="s">
        <v>3012</v>
      </c>
      <c r="C66" s="11" t="s">
        <v>3013</v>
      </c>
      <c r="D66" s="10" t="s">
        <v>2873</v>
      </c>
      <c r="E66" s="10" t="n">
        <v>15</v>
      </c>
      <c r="F66" s="10" t="s">
        <v>2857</v>
      </c>
      <c r="G66" s="10" t="s">
        <v>2818</v>
      </c>
      <c r="H66" s="10" t="s">
        <v>2858</v>
      </c>
      <c r="I66" s="10" t="s">
        <v>60</v>
      </c>
      <c r="J66" s="12" t="n">
        <v>12.1259494958246</v>
      </c>
      <c r="K66" s="12" t="n">
        <v>17.4882236341092</v>
      </c>
      <c r="L66" s="12" t="n">
        <v>30.1504691923057</v>
      </c>
      <c r="M66" s="12" t="n">
        <v>2.47874275603365</v>
      </c>
      <c r="N66" s="12" t="n">
        <v>3.33624632374847</v>
      </c>
      <c r="O66" s="12" t="n">
        <v>5.42709231808209</v>
      </c>
      <c r="P66" s="12" t="n">
        <v>2.50359127783313</v>
      </c>
      <c r="Q66" s="12" t="n">
        <v>3.65821842869405</v>
      </c>
      <c r="R66" s="12" t="n">
        <v>6.86207401823829</v>
      </c>
      <c r="S66" s="12" t="n">
        <v>1.43636730002922</v>
      </c>
      <c r="T66" s="12" t="n">
        <v>1.86327342843922</v>
      </c>
      <c r="U66" s="12" t="n">
        <v>3.01849843781912</v>
      </c>
      <c r="V66" s="12" t="n">
        <v>1.06974114187471</v>
      </c>
      <c r="W66" s="12" t="n">
        <v>1.64418091652518</v>
      </c>
      <c r="X66" s="12" t="n">
        <v>3.01300288173229</v>
      </c>
    </row>
    <row r="67" customFormat="false" ht="15" hidden="false" customHeight="false" outlineLevel="0" collapsed="false">
      <c r="A67" s="10" t="s">
        <v>3014</v>
      </c>
      <c r="B67" s="10" t="s">
        <v>3015</v>
      </c>
      <c r="C67" s="11" t="s">
        <v>3013</v>
      </c>
      <c r="D67" s="10" t="s">
        <v>2873</v>
      </c>
      <c r="E67" s="10" t="n">
        <v>15</v>
      </c>
      <c r="F67" s="10" t="s">
        <v>2857</v>
      </c>
      <c r="G67" s="10" t="s">
        <v>2818</v>
      </c>
      <c r="H67" s="10" t="s">
        <v>2858</v>
      </c>
      <c r="I67" s="10" t="s">
        <v>60</v>
      </c>
      <c r="J67" s="12" t="n">
        <v>0.14312525381939</v>
      </c>
      <c r="K67" s="12" t="n">
        <v>0.206416687105845</v>
      </c>
      <c r="L67" s="12" t="n">
        <v>0.355870379575896</v>
      </c>
      <c r="M67" s="12" t="n">
        <v>0.0305159047022073</v>
      </c>
      <c r="N67" s="12" t="n">
        <v>0.0410722884251396</v>
      </c>
      <c r="O67" s="12" t="n">
        <v>0.0668118578598896</v>
      </c>
      <c r="P67" s="12" t="n">
        <v>0.026689888040409</v>
      </c>
      <c r="Q67" s="12" t="n">
        <v>0.0389980126855996</v>
      </c>
      <c r="R67" s="12" t="n">
        <v>0.0731505561381752</v>
      </c>
      <c r="S67" s="12" t="n">
        <v>0.0204678080994292</v>
      </c>
      <c r="T67" s="12" t="n">
        <v>0.0265511244968956</v>
      </c>
      <c r="U67" s="12" t="n">
        <v>0.043012821283724</v>
      </c>
      <c r="V67" s="12" t="n">
        <v>0.0159747161030332</v>
      </c>
      <c r="W67" s="12" t="n">
        <v>0.0245532903975434</v>
      </c>
      <c r="X67" s="12" t="n">
        <v>0.0449950171767023</v>
      </c>
    </row>
    <row r="68" customFormat="false" ht="15" hidden="false" customHeight="false" outlineLevel="0" collapsed="false">
      <c r="A68" s="10" t="s">
        <v>3016</v>
      </c>
      <c r="B68" s="10" t="s">
        <v>3017</v>
      </c>
      <c r="C68" s="11" t="s">
        <v>3013</v>
      </c>
      <c r="D68" s="10" t="s">
        <v>2873</v>
      </c>
      <c r="E68" s="10" t="n">
        <v>15</v>
      </c>
      <c r="F68" s="10" t="s">
        <v>2857</v>
      </c>
      <c r="G68" s="10" t="s">
        <v>2818</v>
      </c>
      <c r="H68" s="10" t="s">
        <v>2858</v>
      </c>
      <c r="I68" s="10" t="s">
        <v>60</v>
      </c>
      <c r="J68" s="12" t="n">
        <v>0.652311022264843</v>
      </c>
      <c r="K68" s="12" t="n">
        <v>0.940780187403963</v>
      </c>
      <c r="L68" s="12" t="n">
        <v>1.62195897661968</v>
      </c>
      <c r="M68" s="12" t="n">
        <v>0.139221764502238</v>
      </c>
      <c r="N68" s="12" t="n">
        <v>0.187391181616638</v>
      </c>
      <c r="O68" s="12" t="n">
        <v>0.304842393034249</v>
      </c>
      <c r="P68" s="12" t="n">
        <v>0.124510333313163</v>
      </c>
      <c r="Q68" s="12" t="n">
        <v>0.181940203763427</v>
      </c>
      <c r="R68" s="12" t="n">
        <v>0.341296417855299</v>
      </c>
      <c r="S68" s="12" t="n">
        <v>0.0863304123367692</v>
      </c>
      <c r="T68" s="12" t="n">
        <v>0.111995045760437</v>
      </c>
      <c r="U68" s="12" t="n">
        <v>0.181444567363731</v>
      </c>
      <c r="V68" s="12" t="n">
        <v>0.0658875303105049</v>
      </c>
      <c r="W68" s="12" t="n">
        <v>0.101280089037722</v>
      </c>
      <c r="X68" s="12" t="n">
        <v>0.185616365752151</v>
      </c>
    </row>
    <row r="69" customFormat="false" ht="15" hidden="false" customHeight="false" outlineLevel="0" collapsed="false">
      <c r="A69" s="10" t="s">
        <v>3018</v>
      </c>
      <c r="B69" s="10" t="s">
        <v>3019</v>
      </c>
      <c r="C69" s="11" t="s">
        <v>3020</v>
      </c>
      <c r="D69" s="10" t="s">
        <v>2869</v>
      </c>
      <c r="E69" s="10" t="n">
        <v>1</v>
      </c>
      <c r="F69" s="10" t="s">
        <v>2857</v>
      </c>
      <c r="G69" s="10" t="s">
        <v>2818</v>
      </c>
      <c r="H69" s="10" t="s">
        <v>2858</v>
      </c>
      <c r="I69" s="10" t="s">
        <v>60</v>
      </c>
      <c r="J69" s="12" t="n">
        <v>1.15731961755801</v>
      </c>
    </row>
    <row r="70" customFormat="false" ht="15" hidden="false" customHeight="false" outlineLevel="0" collapsed="false">
      <c r="A70" s="10" t="s">
        <v>3021</v>
      </c>
      <c r="B70" s="10" t="s">
        <v>3022</v>
      </c>
      <c r="C70" s="11" t="s">
        <v>3023</v>
      </c>
      <c r="D70" s="10" t="s">
        <v>2869</v>
      </c>
      <c r="E70" s="10" t="n">
        <v>1</v>
      </c>
      <c r="F70" s="10" t="s">
        <v>2857</v>
      </c>
      <c r="G70" s="10" t="s">
        <v>2818</v>
      </c>
      <c r="H70" s="10" t="s">
        <v>2858</v>
      </c>
      <c r="I70" s="10" t="s">
        <v>60</v>
      </c>
      <c r="J70" s="12" t="n">
        <v>0.578659808779004</v>
      </c>
    </row>
    <row r="71" customFormat="false" ht="15" hidden="false" customHeight="false" outlineLevel="0" collapsed="false">
      <c r="A71" s="10" t="s">
        <v>3024</v>
      </c>
      <c r="B71" s="10" t="s">
        <v>3025</v>
      </c>
      <c r="C71" s="11" t="s">
        <v>3026</v>
      </c>
      <c r="D71" s="10" t="s">
        <v>2869</v>
      </c>
      <c r="E71" s="10" t="n">
        <v>1</v>
      </c>
      <c r="F71" s="10" t="s">
        <v>2857</v>
      </c>
      <c r="G71" s="10" t="s">
        <v>2818</v>
      </c>
      <c r="H71" s="10" t="s">
        <v>2858</v>
      </c>
      <c r="I71" s="10" t="s">
        <v>60</v>
      </c>
      <c r="J71" s="12" t="n">
        <v>8.10123732290606</v>
      </c>
    </row>
    <row r="72" customFormat="false" ht="15" hidden="false" customHeight="false" outlineLevel="0" collapsed="false">
      <c r="A72" s="10" t="s">
        <v>3027</v>
      </c>
      <c r="B72" s="10" t="s">
        <v>3028</v>
      </c>
      <c r="C72" s="11" t="s">
        <v>3029</v>
      </c>
      <c r="D72" s="10" t="s">
        <v>2938</v>
      </c>
      <c r="E72" s="10" t="n">
        <v>15</v>
      </c>
      <c r="F72" s="10" t="s">
        <v>2857</v>
      </c>
      <c r="G72" s="10" t="s">
        <v>2818</v>
      </c>
      <c r="H72" s="10" t="s">
        <v>2858</v>
      </c>
      <c r="I72" s="10" t="s">
        <v>60</v>
      </c>
      <c r="J72" s="12" t="n">
        <v>31.6322694</v>
      </c>
      <c r="K72" s="12" t="n">
        <v>40.180214</v>
      </c>
      <c r="L72" s="12" t="n">
        <v>50.3067434</v>
      </c>
      <c r="M72" s="12" t="n">
        <v>30.8513904</v>
      </c>
      <c r="N72" s="12" t="n">
        <v>36.685174</v>
      </c>
      <c r="O72" s="12" t="n">
        <v>43.8362044</v>
      </c>
      <c r="P72" s="12" t="n">
        <v>38.7669024</v>
      </c>
      <c r="Q72" s="12" t="n">
        <v>50.115504</v>
      </c>
      <c r="R72" s="12" t="n">
        <v>67.1365064</v>
      </c>
      <c r="S72" s="12" t="n">
        <v>43.4854032</v>
      </c>
      <c r="T72" s="12" t="n">
        <v>50.256352</v>
      </c>
      <c r="U72" s="12" t="n">
        <v>58.8235752</v>
      </c>
      <c r="V72" s="12" t="n">
        <v>46.057578</v>
      </c>
      <c r="W72" s="12" t="n">
        <v>62.75578</v>
      </c>
      <c r="X72" s="12" t="n">
        <v>81.667558</v>
      </c>
    </row>
    <row r="73" customFormat="false" ht="15" hidden="false" customHeight="false" outlineLevel="0" collapsed="false">
      <c r="A73" s="11" t="s">
        <v>3030</v>
      </c>
      <c r="B73" s="10" t="s">
        <v>3031</v>
      </c>
      <c r="C73" s="10" t="s">
        <v>3032</v>
      </c>
      <c r="D73" s="10" t="s">
        <v>3033</v>
      </c>
      <c r="E73" s="10" t="n">
        <v>5</v>
      </c>
      <c r="F73" s="11" t="s">
        <v>3034</v>
      </c>
      <c r="G73" s="10" t="s">
        <v>2818</v>
      </c>
      <c r="H73" s="10" t="s">
        <v>2858</v>
      </c>
      <c r="I73" s="10" t="s">
        <v>60</v>
      </c>
      <c r="J73" s="12" t="n">
        <v>1.4</v>
      </c>
      <c r="K73" s="12" t="n">
        <v>0.26</v>
      </c>
      <c r="L73" s="12" t="n">
        <v>4.4</v>
      </c>
      <c r="M73" s="12" t="n">
        <v>0</v>
      </c>
      <c r="N73" s="12" t="n">
        <v>45</v>
      </c>
    </row>
    <row r="74" customFormat="false" ht="15" hidden="false" customHeight="false" outlineLevel="0" collapsed="false">
      <c r="A74" s="11" t="s">
        <v>3035</v>
      </c>
      <c r="B74" s="10" t="s">
        <v>3036</v>
      </c>
      <c r="C74" s="10" t="s">
        <v>3037</v>
      </c>
      <c r="D74" s="10" t="s">
        <v>3033</v>
      </c>
      <c r="E74" s="10" t="n">
        <v>5</v>
      </c>
      <c r="F74" s="11" t="s">
        <v>3034</v>
      </c>
      <c r="G74" s="10" t="s">
        <v>2818</v>
      </c>
      <c r="H74" s="10" t="s">
        <v>2858</v>
      </c>
      <c r="I74" s="10" t="s">
        <v>60</v>
      </c>
      <c r="J74" s="12" t="n">
        <v>0.15</v>
      </c>
      <c r="K74" s="12" t="n">
        <v>0.03</v>
      </c>
      <c r="L74" s="12" t="n">
        <v>0.5</v>
      </c>
      <c r="M74" s="12" t="n">
        <v>0</v>
      </c>
      <c r="N74" s="12" t="n">
        <v>42</v>
      </c>
    </row>
    <row r="75" customFormat="false" ht="15" hidden="false" customHeight="false" outlineLevel="0" collapsed="false">
      <c r="A75" s="11" t="s">
        <v>3038</v>
      </c>
      <c r="B75" s="10" t="s">
        <v>3039</v>
      </c>
      <c r="C75" s="10" t="s">
        <v>3040</v>
      </c>
      <c r="D75" s="10" t="s">
        <v>2873</v>
      </c>
      <c r="E75" s="10" t="n">
        <v>3</v>
      </c>
      <c r="F75" s="11" t="s">
        <v>3034</v>
      </c>
      <c r="G75" s="10" t="s">
        <v>2818</v>
      </c>
      <c r="H75" s="10" t="s">
        <v>2858</v>
      </c>
      <c r="I75" s="10" t="s">
        <v>60</v>
      </c>
      <c r="J75" s="12" t="n">
        <v>1.176</v>
      </c>
      <c r="K75" s="12" t="n">
        <v>1.176</v>
      </c>
      <c r="L75" s="12" t="n">
        <v>1.176</v>
      </c>
    </row>
    <row r="76" customFormat="false" ht="15" hidden="false" customHeight="false" outlineLevel="0" collapsed="false">
      <c r="A76" s="11" t="s">
        <v>3041</v>
      </c>
      <c r="B76" s="10" t="s">
        <v>3042</v>
      </c>
      <c r="C76" s="10" t="s">
        <v>3043</v>
      </c>
      <c r="D76" s="10" t="s">
        <v>2873</v>
      </c>
      <c r="E76" s="10" t="n">
        <v>3</v>
      </c>
      <c r="F76" s="11" t="s">
        <v>3034</v>
      </c>
      <c r="G76" s="10" t="s">
        <v>2818</v>
      </c>
      <c r="H76" s="10" t="s">
        <v>2858</v>
      </c>
      <c r="I76" s="10" t="s">
        <v>60</v>
      </c>
      <c r="J76" s="12" t="n">
        <v>0.130222222222222</v>
      </c>
      <c r="K76" s="12" t="n">
        <v>0.130222222222222</v>
      </c>
      <c r="L76" s="12" t="n">
        <v>0.130222222222222</v>
      </c>
    </row>
    <row r="77" customFormat="false" ht="15" hidden="false" customHeight="false" outlineLevel="0" collapsed="false">
      <c r="A77" s="11" t="s">
        <v>3044</v>
      </c>
      <c r="B77" s="10" t="s">
        <v>3045</v>
      </c>
      <c r="C77" s="10" t="s">
        <v>3046</v>
      </c>
      <c r="D77" s="10" t="s">
        <v>2873</v>
      </c>
      <c r="E77" s="10" t="n">
        <v>3</v>
      </c>
      <c r="F77" s="11" t="s">
        <v>3034</v>
      </c>
      <c r="G77" s="10" t="s">
        <v>2818</v>
      </c>
      <c r="H77" s="10" t="s">
        <v>2858</v>
      </c>
      <c r="I77" s="10" t="s">
        <v>60</v>
      </c>
      <c r="J77" s="12" t="n">
        <v>0.130222222222222</v>
      </c>
      <c r="K77" s="14" t="s">
        <v>3047</v>
      </c>
      <c r="L77" s="14" t="s">
        <v>3047</v>
      </c>
    </row>
    <row r="78" customFormat="false" ht="15" hidden="false" customHeight="false" outlineLevel="0" collapsed="false">
      <c r="A78" s="11" t="s">
        <v>3048</v>
      </c>
      <c r="B78" s="10" t="s">
        <v>3049</v>
      </c>
      <c r="C78" s="10" t="s">
        <v>3050</v>
      </c>
      <c r="D78" s="11" t="s">
        <v>3051</v>
      </c>
      <c r="E78" s="10" t="n">
        <v>3</v>
      </c>
      <c r="F78" s="11" t="s">
        <v>3034</v>
      </c>
      <c r="G78" s="10" t="s">
        <v>2818</v>
      </c>
      <c r="H78" s="10" t="s">
        <v>2858</v>
      </c>
      <c r="I78" s="10" t="s">
        <v>60</v>
      </c>
      <c r="J78" s="12" t="s">
        <v>3052</v>
      </c>
      <c r="K78" s="12" t="s">
        <v>2113</v>
      </c>
      <c r="L78" s="12" t="s">
        <v>2113</v>
      </c>
    </row>
    <row r="79" customFormat="false" ht="15" hidden="false" customHeight="false" outlineLevel="0" collapsed="false">
      <c r="A79" s="11" t="s">
        <v>3053</v>
      </c>
      <c r="B79" s="10" t="s">
        <v>3054</v>
      </c>
      <c r="C79" s="10" t="s">
        <v>3055</v>
      </c>
      <c r="D79" s="10" t="s">
        <v>2930</v>
      </c>
      <c r="E79" s="10" t="n">
        <v>3</v>
      </c>
      <c r="F79" s="11" t="s">
        <v>3034</v>
      </c>
      <c r="G79" s="10" t="s">
        <v>2818</v>
      </c>
      <c r="H79" s="10" t="s">
        <v>2858</v>
      </c>
      <c r="I79" s="10" t="s">
        <v>60</v>
      </c>
      <c r="J79" s="12" t="n">
        <v>1.29646017699115</v>
      </c>
      <c r="K79" s="12" t="s">
        <v>2113</v>
      </c>
      <c r="L79" s="12" t="s">
        <v>2113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7" t="s">
        <v>3056</v>
      </c>
    </row>
    <row r="2" customFormat="false" ht="15" hidden="false" customHeight="false" outlineLevel="0" collapsed="false">
      <c r="A2" s="2" t="s">
        <v>3057</v>
      </c>
    </row>
    <row r="3" customFormat="false" ht="15" hidden="false" customHeight="false" outlineLevel="0" collapsed="false">
      <c r="A3" s="6" t="s">
        <v>3058</v>
      </c>
      <c r="B3" s="10" t="s">
        <v>3059</v>
      </c>
    </row>
    <row r="4" customFormat="false" ht="15" hidden="false" customHeight="false" outlineLevel="0" collapsed="false">
      <c r="A4" s="6" t="s">
        <v>3060</v>
      </c>
      <c r="B4" s="10" t="s">
        <v>3061</v>
      </c>
    </row>
    <row r="5" customFormat="false" ht="15" hidden="false" customHeight="false" outlineLevel="0" collapsed="false">
      <c r="A5" s="3" t="s">
        <v>3062</v>
      </c>
      <c r="B5" s="10" t="s">
        <v>3063</v>
      </c>
    </row>
    <row r="6" customFormat="false" ht="15" hidden="false" customHeight="false" outlineLevel="0" collapsed="false">
      <c r="A6" s="3" t="s">
        <v>2821</v>
      </c>
      <c r="B6" s="10" t="s">
        <v>60</v>
      </c>
    </row>
    <row r="9" customFormat="false" ht="15" hidden="false" customHeight="false" outlineLevel="0" collapsed="false">
      <c r="A9" s="8" t="s">
        <v>3064</v>
      </c>
      <c r="B9" s="9" t="s">
        <v>2833</v>
      </c>
      <c r="C9" s="9" t="s">
        <v>2834</v>
      </c>
      <c r="D9" s="9" t="s">
        <v>35</v>
      </c>
      <c r="E9" s="9" t="s">
        <v>2836</v>
      </c>
      <c r="F9" s="8" t="s">
        <v>3065</v>
      </c>
      <c r="G9" s="8" t="s">
        <v>1900</v>
      </c>
      <c r="H9" s="8" t="s">
        <v>3066</v>
      </c>
      <c r="I9" s="8" t="s">
        <v>3067</v>
      </c>
      <c r="J9" s="8" t="s">
        <v>3068</v>
      </c>
      <c r="K9" s="8" t="s">
        <v>3069</v>
      </c>
    </row>
    <row r="10" customFormat="false" ht="15" hidden="false" customHeight="false" outlineLevel="0" collapsed="false">
      <c r="A10" s="10" t="s">
        <v>3070</v>
      </c>
      <c r="B10" s="10" t="s">
        <v>3071</v>
      </c>
      <c r="C10" s="11" t="s">
        <v>3072</v>
      </c>
      <c r="D10" s="10" t="s">
        <v>2938</v>
      </c>
      <c r="E10" s="10" t="s">
        <v>2857</v>
      </c>
      <c r="F10" s="12" t="n">
        <v>13.07</v>
      </c>
      <c r="G10" s="12" t="n">
        <v>34.2037814299461</v>
      </c>
      <c r="H10" s="12" t="n">
        <v>54.7956532383272</v>
      </c>
      <c r="I10" s="12" t="n">
        <v>78.4240890026059</v>
      </c>
      <c r="J10" s="12" t="n">
        <v>102.127374380687</v>
      </c>
      <c r="K10" s="12" t="n">
        <v>126.38309270298</v>
      </c>
    </row>
    <row r="11" customFormat="false" ht="15" hidden="false" customHeight="false" outlineLevel="0" collapsed="false">
      <c r="A11" s="10" t="s">
        <v>3073</v>
      </c>
      <c r="B11" s="10" t="s">
        <v>3074</v>
      </c>
      <c r="C11" s="11" t="s">
        <v>3075</v>
      </c>
      <c r="D11" s="10" t="s">
        <v>2938</v>
      </c>
      <c r="E11" s="10" t="s">
        <v>2857</v>
      </c>
      <c r="F11" s="12" t="n">
        <v>10.456</v>
      </c>
      <c r="G11" s="12" t="n">
        <v>27.3630251439569</v>
      </c>
      <c r="H11" s="12" t="n">
        <v>43.8365225906617</v>
      </c>
      <c r="I11" s="12" t="n">
        <v>62.7392712020847</v>
      </c>
      <c r="J11" s="12" t="n">
        <v>97.6120791148627</v>
      </c>
      <c r="K11" s="12" t="n">
        <v>126.38309270298</v>
      </c>
    </row>
    <row r="12" customFormat="false" ht="15" hidden="false" customHeight="false" outlineLevel="0" collapsed="false">
      <c r="A12" s="10" t="s">
        <v>3076</v>
      </c>
      <c r="B12" s="10" t="s">
        <v>3077</v>
      </c>
      <c r="C12" s="10" t="s">
        <v>3078</v>
      </c>
      <c r="D12" s="10" t="s">
        <v>3079</v>
      </c>
      <c r="E12" s="10" t="s">
        <v>2857</v>
      </c>
      <c r="F12" s="12" t="n">
        <v>3538.06010994171</v>
      </c>
      <c r="G12" s="12" t="n">
        <v>10018.6243193776</v>
      </c>
      <c r="H12" s="12" t="n">
        <v>22447.299009042</v>
      </c>
      <c r="I12" s="12" t="n">
        <v>47137.5517848678</v>
      </c>
      <c r="J12" s="12" t="n">
        <v>92412.3198790402</v>
      </c>
      <c r="K12" s="12" t="n">
        <v>173673.865896334</v>
      </c>
    </row>
    <row r="13" customFormat="false" ht="15" hidden="false" customHeight="false" outlineLevel="0" collapsed="false">
      <c r="A13" s="10" t="s">
        <v>3080</v>
      </c>
      <c r="B13" s="10" t="s">
        <v>3081</v>
      </c>
      <c r="C13" s="11" t="s">
        <v>3082</v>
      </c>
      <c r="D13" s="10" t="s">
        <v>2951</v>
      </c>
      <c r="E13" s="10" t="s">
        <v>2857</v>
      </c>
      <c r="F13" s="12" t="n">
        <v>0.7</v>
      </c>
      <c r="G13" s="12" t="n">
        <v>0.695673315790576</v>
      </c>
      <c r="H13" s="12" t="n">
        <v>1.04296669691285</v>
      </c>
      <c r="I13" s="12" t="n">
        <v>1.77037335789445</v>
      </c>
      <c r="J13" s="12" t="n">
        <v>3.16500718994562</v>
      </c>
      <c r="K13" s="12" t="n">
        <v>5.5973070706251</v>
      </c>
    </row>
    <row r="14" customFormat="false" ht="15" hidden="false" customHeight="false" outlineLevel="0" collapsed="false">
      <c r="A14" s="10" t="s">
        <v>3083</v>
      </c>
      <c r="B14" s="10" t="s">
        <v>3084</v>
      </c>
      <c r="C14" s="11" t="s">
        <v>3085</v>
      </c>
      <c r="D14" s="10" t="s">
        <v>2951</v>
      </c>
      <c r="E14" s="10" t="s">
        <v>2857</v>
      </c>
      <c r="F14" s="12" t="n">
        <v>0.282644620596551</v>
      </c>
      <c r="G14" s="12" t="n">
        <v>1.15652519056375</v>
      </c>
      <c r="H14" s="12" t="n">
        <v>5.75203207098036</v>
      </c>
      <c r="I14" s="12" t="n">
        <v>8.94117740372192</v>
      </c>
      <c r="J14" s="12" t="n">
        <v>12.1464088498934</v>
      </c>
      <c r="K14" s="12" t="n">
        <v>14.9447258544384</v>
      </c>
    </row>
    <row r="15" customFormat="false" ht="15" hidden="false" customHeight="false" outlineLevel="0" collapsed="false">
      <c r="A15" s="10" t="s">
        <v>3086</v>
      </c>
      <c r="B15" s="10" t="s">
        <v>3087</v>
      </c>
      <c r="C15" s="11" t="s">
        <v>3088</v>
      </c>
      <c r="D15" s="10" t="s">
        <v>2938</v>
      </c>
      <c r="E15" s="10" t="s">
        <v>2857</v>
      </c>
      <c r="F15" s="12" t="n">
        <v>14.7552380952381</v>
      </c>
      <c r="G15" s="12" t="n">
        <v>53.2406349206349</v>
      </c>
      <c r="H15" s="12" t="n">
        <v>141.726031746032</v>
      </c>
      <c r="I15" s="12" t="n">
        <v>175.211428571429</v>
      </c>
      <c r="J15" s="12" t="n">
        <v>208.696825396825</v>
      </c>
      <c r="K15" s="12" t="n">
        <v>228.222222222222</v>
      </c>
    </row>
    <row r="16" customFormat="false" ht="15" hidden="false" customHeight="false" outlineLevel="0" collapsed="false">
      <c r="A16" s="10" t="s">
        <v>3089</v>
      </c>
      <c r="B16" s="10" t="s">
        <v>3090</v>
      </c>
      <c r="C16" s="11" t="s">
        <v>3091</v>
      </c>
      <c r="D16" s="10" t="s">
        <v>2938</v>
      </c>
      <c r="E16" s="10" t="s">
        <v>2857</v>
      </c>
      <c r="F16" s="12" t="n">
        <v>29.2352380952381</v>
      </c>
      <c r="G16" s="12" t="n">
        <v>76.0789549206349</v>
      </c>
      <c r="H16" s="12" t="n">
        <v>171.943842226032</v>
      </c>
      <c r="I16" s="12" t="n">
        <v>212.125402324709</v>
      </c>
      <c r="J16" s="12" t="n">
        <v>251.920901307586</v>
      </c>
      <c r="K16" s="12" t="n">
        <v>276.644521629114</v>
      </c>
    </row>
    <row r="17" customFormat="false" ht="15" hidden="false" customHeight="false" outlineLevel="0" collapsed="false">
      <c r="A17" s="10" t="s">
        <v>3092</v>
      </c>
      <c r="B17" s="10" t="s">
        <v>3093</v>
      </c>
      <c r="C17" s="11" t="s">
        <v>3094</v>
      </c>
      <c r="D17" s="10" t="s">
        <v>3095</v>
      </c>
      <c r="E17" s="10" t="s">
        <v>2857</v>
      </c>
      <c r="F17" s="12" t="n">
        <v>36.9934512743654</v>
      </c>
      <c r="G17" s="12" t="n">
        <v>23.6596879749924</v>
      </c>
      <c r="H17" s="12" t="n">
        <v>7.62104975245563</v>
      </c>
      <c r="I17" s="12" t="n">
        <v>7.01689144160907</v>
      </c>
      <c r="J17" s="12" t="n">
        <v>8.03629124633981</v>
      </c>
      <c r="K17" s="12" t="n">
        <v>8.45670197860781</v>
      </c>
    </row>
    <row r="18" customFormat="false" ht="15" hidden="false" customHeight="false" outlineLevel="0" collapsed="false">
      <c r="A18" s="10" t="s">
        <v>3096</v>
      </c>
      <c r="B18" s="10" t="s">
        <v>3097</v>
      </c>
      <c r="C18" s="11" t="s">
        <v>3098</v>
      </c>
      <c r="D18" s="10" t="s">
        <v>3095</v>
      </c>
      <c r="E18" s="10" t="s">
        <v>2857</v>
      </c>
      <c r="F18" s="12" t="n">
        <v>103.434617059168</v>
      </c>
      <c r="G18" s="12" t="n">
        <v>65.7823586908213</v>
      </c>
      <c r="H18" s="12" t="n">
        <v>29.8927127151303</v>
      </c>
      <c r="I18" s="12" t="n">
        <v>23.7245490998096</v>
      </c>
      <c r="J18" s="12" t="n">
        <v>20.7403607453734</v>
      </c>
      <c r="K18" s="12" t="n">
        <v>18.5111807552464</v>
      </c>
    </row>
    <row r="19" customFormat="false" ht="15" hidden="false" customHeight="false" outlineLevel="0" collapsed="false">
      <c r="A19" s="10" t="s">
        <v>3099</v>
      </c>
      <c r="B19" s="10" t="s">
        <v>3100</v>
      </c>
      <c r="C19" s="11" t="s">
        <v>3101</v>
      </c>
      <c r="D19" s="10" t="s">
        <v>3095</v>
      </c>
      <c r="E19" s="10" t="s">
        <v>2857</v>
      </c>
      <c r="F19" s="12" t="n">
        <v>-66.4411657848026</v>
      </c>
      <c r="G19" s="12" t="n">
        <v>-42.1226707158289</v>
      </c>
      <c r="H19" s="12" t="n">
        <v>-22.2716629626746</v>
      </c>
      <c r="I19" s="12" t="n">
        <v>-16.7076576582005</v>
      </c>
      <c r="J19" s="12" t="n">
        <v>-12.7040694990336</v>
      </c>
      <c r="K19" s="12" t="n">
        <v>-10.0544787766386</v>
      </c>
    </row>
    <row r="20" customFormat="false" ht="15" hidden="false" customHeight="false" outlineLevel="0" collapsed="false">
      <c r="A20" s="10" t="s">
        <v>3102</v>
      </c>
      <c r="B20" s="10" t="s">
        <v>3103</v>
      </c>
      <c r="C20" s="11" t="s">
        <v>3104</v>
      </c>
      <c r="D20" s="11" t="s">
        <v>3105</v>
      </c>
      <c r="E20" s="10" t="s">
        <v>2857</v>
      </c>
      <c r="F20" s="12" t="n">
        <v>0.357650584747695</v>
      </c>
      <c r="G20" s="12" t="n">
        <v>0.359666154359005</v>
      </c>
      <c r="H20" s="12" t="n">
        <v>0.254946743210703</v>
      </c>
      <c r="I20" s="12" t="n">
        <v>0.295765007465006</v>
      </c>
      <c r="J20" s="12" t="n">
        <v>0.387471141172531</v>
      </c>
      <c r="K20" s="12" t="n">
        <v>0.456842925927943</v>
      </c>
    </row>
    <row r="21" customFormat="false" ht="15" hidden="false" customHeight="false" outlineLevel="0" collapsed="false">
      <c r="A21" s="10" t="s">
        <v>3106</v>
      </c>
      <c r="B21" s="10" t="s">
        <v>3107</v>
      </c>
      <c r="C21" s="11" t="s">
        <v>3108</v>
      </c>
      <c r="D21" s="10" t="s">
        <v>2938</v>
      </c>
      <c r="E21" s="10" t="s">
        <v>2857</v>
      </c>
      <c r="F21" s="12" t="n">
        <v>-12.7792380952381</v>
      </c>
      <c r="G21" s="12" t="n">
        <v>-39.415929776678</v>
      </c>
      <c r="H21" s="12" t="n">
        <v>-116.01731963537</v>
      </c>
      <c r="I21" s="12" t="n">
        <v>-134.878131122624</v>
      </c>
      <c r="J21" s="12" t="n">
        <v>-137.624622192723</v>
      </c>
      <c r="K21" s="12" t="n">
        <v>-131.908808926133</v>
      </c>
    </row>
    <row r="22" customFormat="false" ht="15" hidden="false" customHeight="false" outlineLevel="0" collapsed="false">
      <c r="A22" s="10" t="s">
        <v>3109</v>
      </c>
      <c r="B22" s="10" t="s">
        <v>3110</v>
      </c>
      <c r="C22" s="11" t="s">
        <v>3111</v>
      </c>
      <c r="D22" s="10" t="s">
        <v>2938</v>
      </c>
      <c r="E22" s="10" t="s">
        <v>2857</v>
      </c>
      <c r="F22" s="12"/>
      <c r="G22" s="12" t="n">
        <v>0</v>
      </c>
      <c r="H22" s="12" t="n">
        <v>38.4332494120481</v>
      </c>
      <c r="I22" s="12" t="n">
        <v>134.878131122624</v>
      </c>
      <c r="J22" s="12" t="n">
        <v>137.624622192723</v>
      </c>
      <c r="K22" s="12" t="n">
        <v>131.908808926133</v>
      </c>
    </row>
    <row r="23" customFormat="false" ht="15" hidden="false" customHeight="false" outlineLevel="0" collapsed="false">
      <c r="A23" s="10" t="s">
        <v>3112</v>
      </c>
      <c r="B23" s="10" t="s">
        <v>3113</v>
      </c>
      <c r="C23" s="11" t="s">
        <v>3114</v>
      </c>
      <c r="D23" s="10" t="s">
        <v>2938</v>
      </c>
      <c r="E23" s="10" t="s">
        <v>2857</v>
      </c>
      <c r="F23" s="12"/>
      <c r="G23" s="12" t="n">
        <v>0</v>
      </c>
      <c r="H23" s="12" t="n">
        <v>38.4332494120481</v>
      </c>
      <c r="I23" s="12" t="n">
        <v>173.311380534672</v>
      </c>
      <c r="J23" s="12" t="n">
        <v>310.936002727395</v>
      </c>
      <c r="K23" s="12" t="n">
        <v>442.844811653528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70"/>
    <col collapsed="false" customWidth="true" hidden="false" outlineLevel="0" max="11" min="11" style="0" width="36"/>
  </cols>
  <sheetData>
    <row r="1" customFormat="false" ht="20.1" hidden="false" customHeight="false" outlineLevel="0" collapsed="false">
      <c r="A1" s="7" t="s">
        <v>3115</v>
      </c>
    </row>
    <row r="2" customFormat="false" ht="15" hidden="false" customHeight="false" outlineLevel="0" collapsed="false">
      <c r="A2" s="2" t="s">
        <v>3116</v>
      </c>
    </row>
    <row r="3" customFormat="false" ht="15" hidden="false" customHeight="false" outlineLevel="0" collapsed="false">
      <c r="A3" s="13" t="s">
        <v>3117</v>
      </c>
    </row>
    <row r="4" customFormat="false" ht="66.4" hidden="false" customHeight="false" outlineLevel="0" collapsed="false">
      <c r="A4" s="8" t="s">
        <v>3118</v>
      </c>
      <c r="B4" s="9" t="s">
        <v>30</v>
      </c>
      <c r="C4" s="9" t="s">
        <v>3119</v>
      </c>
      <c r="D4" s="9" t="s">
        <v>2934</v>
      </c>
      <c r="E4" s="9" t="s">
        <v>35</v>
      </c>
      <c r="F4" s="9" t="s">
        <v>32</v>
      </c>
      <c r="G4" s="9" t="s">
        <v>33</v>
      </c>
      <c r="H4" s="9" t="s">
        <v>34</v>
      </c>
      <c r="I4" s="9" t="s">
        <v>22</v>
      </c>
      <c r="J4" s="9" t="s">
        <v>3120</v>
      </c>
      <c r="K4" s="9" t="s">
        <v>3121</v>
      </c>
      <c r="L4" s="9" t="s">
        <v>50</v>
      </c>
      <c r="M4" s="8" t="s">
        <v>3122</v>
      </c>
    </row>
    <row r="5" customFormat="false" ht="15" hidden="false" customHeight="false" outlineLevel="0" collapsed="false">
      <c r="A5" s="10" t="s">
        <v>3123</v>
      </c>
      <c r="B5" s="10" t="s">
        <v>3124</v>
      </c>
      <c r="C5" s="11" t="s">
        <v>3125</v>
      </c>
      <c r="D5" s="11" t="s">
        <v>3126</v>
      </c>
      <c r="E5" s="11" t="s">
        <v>2657</v>
      </c>
      <c r="F5" s="12" t="n">
        <v>2025</v>
      </c>
      <c r="G5" s="12" t="n">
        <v>2025</v>
      </c>
      <c r="H5" s="12" t="n">
        <v>2025</v>
      </c>
      <c r="I5" s="10" t="s">
        <v>3127</v>
      </c>
      <c r="J5" s="11" t="s">
        <v>3128</v>
      </c>
      <c r="K5" s="11" t="s">
        <v>3129</v>
      </c>
      <c r="L5" s="10" t="n">
        <f aca="false">IF(AND(ISNUMBER($F5),ISNUMBER($G5),ISNUMBER($H5)),IF(AND($G5&lt;=$F5,$F5&lt;=$H5),0,1),0)</f>
        <v>0</v>
      </c>
      <c r="M5" s="10" t="n">
        <f aca="false">IF(AND(OR($I5="Analogy",$I5="Assumed"),OR($G5="",$H5="")),1,0)</f>
        <v>0</v>
      </c>
    </row>
    <row r="6" customFormat="false" ht="15" hidden="false" customHeight="false" outlineLevel="0" collapsed="false">
      <c r="A6" s="10" t="s">
        <v>3130</v>
      </c>
      <c r="B6" s="10" t="s">
        <v>3131</v>
      </c>
      <c r="C6" s="11" t="s">
        <v>3125</v>
      </c>
      <c r="D6" s="11" t="s">
        <v>3132</v>
      </c>
      <c r="E6" s="11" t="s">
        <v>2657</v>
      </c>
      <c r="F6" s="12" t="n">
        <v>2026</v>
      </c>
      <c r="G6" s="12" t="n">
        <v>2026</v>
      </c>
      <c r="H6" s="12" t="n">
        <v>2026</v>
      </c>
      <c r="I6" s="10" t="s">
        <v>3127</v>
      </c>
      <c r="J6" s="10" t="s">
        <v>3133</v>
      </c>
      <c r="K6" s="11" t="s">
        <v>3129</v>
      </c>
      <c r="L6" s="10" t="n">
        <f aca="false">IF(AND(ISNUMBER($F6),ISNUMBER($G6),ISNUMBER($H6)),IF(AND($G6&lt;=$F6,$F6&lt;=$H6),0,1),0)</f>
        <v>0</v>
      </c>
      <c r="M6" s="10" t="n">
        <f aca="false">IF(AND(OR($I6="Analogy",$I6="Assumed"),OR($G6="",$H6="")),1,0)</f>
        <v>0</v>
      </c>
    </row>
    <row r="7" customFormat="false" ht="15" hidden="false" customHeight="false" outlineLevel="0" collapsed="false">
      <c r="A7" s="10" t="s">
        <v>3134</v>
      </c>
      <c r="B7" s="10" t="s">
        <v>3135</v>
      </c>
      <c r="C7" s="11" t="s">
        <v>3125</v>
      </c>
      <c r="D7" s="11" t="s">
        <v>3136</v>
      </c>
      <c r="E7" s="11" t="s">
        <v>2657</v>
      </c>
      <c r="F7" s="12" t="n">
        <v>2027</v>
      </c>
      <c r="G7" s="12" t="n">
        <v>2027</v>
      </c>
      <c r="H7" s="12" t="n">
        <v>2027</v>
      </c>
      <c r="I7" s="10" t="s">
        <v>3127</v>
      </c>
      <c r="J7" s="11" t="s">
        <v>3129</v>
      </c>
      <c r="K7" s="11" t="s">
        <v>3129</v>
      </c>
      <c r="L7" s="10" t="n">
        <f aca="false">IF(AND(ISNUMBER($F7),ISNUMBER($G7),ISNUMBER($H7)),IF(AND($G7&lt;=$F7,$F7&lt;=$H7),0,1),0)</f>
        <v>0</v>
      </c>
      <c r="M7" s="10" t="n">
        <f aca="false">IF(AND(OR($I7="Analogy",$I7="Assumed"),OR($G7="",$H7="")),1,0)</f>
        <v>0</v>
      </c>
    </row>
    <row r="8" customFormat="false" ht="15" hidden="false" customHeight="false" outlineLevel="0" collapsed="false">
      <c r="A8" s="10" t="s">
        <v>3137</v>
      </c>
      <c r="B8" s="10" t="s">
        <v>3138</v>
      </c>
      <c r="C8" s="11" t="s">
        <v>3125</v>
      </c>
      <c r="D8" s="11" t="s">
        <v>3139</v>
      </c>
      <c r="E8" s="11" t="s">
        <v>2657</v>
      </c>
      <c r="F8" s="12" t="n">
        <v>2028</v>
      </c>
      <c r="G8" s="12" t="n">
        <v>2028</v>
      </c>
      <c r="H8" s="12" t="n">
        <v>2028</v>
      </c>
      <c r="I8" s="10" t="s">
        <v>3127</v>
      </c>
      <c r="J8" s="11" t="s">
        <v>3129</v>
      </c>
      <c r="K8" s="11" t="s">
        <v>3129</v>
      </c>
      <c r="L8" s="10" t="n">
        <f aca="false">IF(AND(ISNUMBER($F8),ISNUMBER($G8),ISNUMBER($H8)),IF(AND($G8&lt;=$F8,$F8&lt;=$H8),0,1),0)</f>
        <v>0</v>
      </c>
      <c r="M8" s="10" t="n">
        <f aca="false">IF(AND(OR($I8="Analogy",$I8="Assumed"),OR($G8="",$H8="")),1,0)</f>
        <v>0</v>
      </c>
    </row>
    <row r="9" customFormat="false" ht="15" hidden="false" customHeight="false" outlineLevel="0" collapsed="false">
      <c r="A9" s="10" t="s">
        <v>3140</v>
      </c>
      <c r="B9" s="10" t="s">
        <v>3141</v>
      </c>
      <c r="C9" s="11" t="s">
        <v>3125</v>
      </c>
      <c r="D9" s="11" t="s">
        <v>3142</v>
      </c>
      <c r="E9" s="11" t="s">
        <v>2657</v>
      </c>
      <c r="F9" s="12" t="n">
        <v>2029</v>
      </c>
      <c r="G9" s="12" t="n">
        <v>2029</v>
      </c>
      <c r="H9" s="12" t="n">
        <v>2029</v>
      </c>
      <c r="I9" s="10" t="s">
        <v>3127</v>
      </c>
      <c r="J9" s="11" t="s">
        <v>3129</v>
      </c>
      <c r="K9" s="11" t="s">
        <v>3129</v>
      </c>
      <c r="L9" s="10" t="n">
        <f aca="false">IF(AND(ISNUMBER($F9),ISNUMBER($G9),ISNUMBER($H9)),IF(AND($G9&lt;=$F9,$F9&lt;=$H9),0,1),0)</f>
        <v>0</v>
      </c>
      <c r="M9" s="10" t="n">
        <f aca="false">IF(AND(OR($I9="Analogy",$I9="Assumed"),OR($G9="",$H9="")),1,0)</f>
        <v>0</v>
      </c>
    </row>
    <row r="10" customFormat="false" ht="15" hidden="false" customHeight="false" outlineLevel="0" collapsed="false">
      <c r="A10" s="10" t="s">
        <v>3143</v>
      </c>
      <c r="B10" s="10" t="s">
        <v>3144</v>
      </c>
      <c r="C10" s="11" t="s">
        <v>3125</v>
      </c>
      <c r="D10" s="11" t="s">
        <v>3145</v>
      </c>
      <c r="E10" s="11" t="s">
        <v>2657</v>
      </c>
      <c r="F10" s="12" t="n">
        <v>2030</v>
      </c>
      <c r="G10" s="12" t="n">
        <v>2030</v>
      </c>
      <c r="H10" s="12" t="n">
        <v>2030</v>
      </c>
      <c r="I10" s="10" t="s">
        <v>3127</v>
      </c>
      <c r="J10" s="11" t="s">
        <v>3129</v>
      </c>
      <c r="K10" s="11" t="s">
        <v>3129</v>
      </c>
      <c r="L10" s="10" t="n">
        <f aca="false">IF(AND(ISNUMBER($F10),ISNUMBER($G10),ISNUMBER($H10)),IF(AND($G10&lt;=$F10,$F10&lt;=$H10),0,1),0)</f>
        <v>0</v>
      </c>
      <c r="M10" s="10" t="n">
        <f aca="false">IF(AND(OR($I10="Analogy",$I10="Assumed"),OR($G10="",$H10="")),1,0)</f>
        <v>0</v>
      </c>
    </row>
    <row r="11" customFormat="false" ht="15" hidden="false" customHeight="false" outlineLevel="0" collapsed="false">
      <c r="A11" s="10" t="s">
        <v>3146</v>
      </c>
      <c r="B11" s="10" t="s">
        <v>3147</v>
      </c>
      <c r="C11" s="11" t="s">
        <v>3148</v>
      </c>
      <c r="D11" s="10" t="s">
        <v>2113</v>
      </c>
      <c r="E11" s="11" t="s">
        <v>3149</v>
      </c>
      <c r="F11" s="12" t="n">
        <v>365</v>
      </c>
      <c r="G11" s="12" t="n">
        <v>365</v>
      </c>
      <c r="H11" s="12" t="n">
        <v>365</v>
      </c>
      <c r="I11" s="10" t="s">
        <v>3127</v>
      </c>
      <c r="J11" s="11" t="s">
        <v>3150</v>
      </c>
      <c r="K11" s="11" t="s">
        <v>3129</v>
      </c>
      <c r="L11" s="10" t="n">
        <f aca="false">IF(AND(ISNUMBER($F11),ISNUMBER($G11),ISNUMBER($H11)),IF(AND($G11&lt;=$F11,$F11&lt;=$H11),0,1),0)</f>
        <v>0</v>
      </c>
      <c r="M11" s="10" t="n">
        <f aca="false">IF(AND(OR($I11="Analogy",$I11="Assumed"),OR($G11="",$H11="")),1,0)</f>
        <v>0</v>
      </c>
    </row>
    <row r="12" customFormat="false" ht="15" hidden="false" customHeight="false" outlineLevel="0" collapsed="false">
      <c r="A12" s="10" t="s">
        <v>3151</v>
      </c>
      <c r="B12" s="10" t="s">
        <v>3152</v>
      </c>
      <c r="C12" s="10" t="s">
        <v>3153</v>
      </c>
      <c r="D12" s="10" t="s">
        <v>654</v>
      </c>
      <c r="E12" s="11" t="s">
        <v>3149</v>
      </c>
      <c r="F12" s="12" t="n">
        <v>181</v>
      </c>
      <c r="G12" s="12" t="n">
        <v>181</v>
      </c>
      <c r="H12" s="12" t="n">
        <v>181</v>
      </c>
      <c r="I12" s="10" t="s">
        <v>3127</v>
      </c>
      <c r="J12" s="10" t="s">
        <v>3154</v>
      </c>
      <c r="K12" s="11" t="s">
        <v>3129</v>
      </c>
      <c r="L12" s="10" t="n">
        <f aca="false">IF(AND(ISNUMBER($F12),ISNUMBER($G12),ISNUMBER($H12)),IF(AND($G12&lt;=$F12,$F12&lt;=$H12),0,1),0)</f>
        <v>0</v>
      </c>
      <c r="M12" s="10" t="n">
        <f aca="false">IF(AND(OR($I12="Analogy",$I12="Assumed"),OR($G12="",$H12="")),1,0)</f>
        <v>0</v>
      </c>
    </row>
    <row r="13" customFormat="false" ht="15" hidden="false" customHeight="false" outlineLevel="0" collapsed="false">
      <c r="A13" s="10" t="s">
        <v>3155</v>
      </c>
      <c r="B13" s="10" t="s">
        <v>3156</v>
      </c>
      <c r="C13" s="10" t="s">
        <v>3157</v>
      </c>
      <c r="D13" s="10" t="s">
        <v>3158</v>
      </c>
      <c r="E13" s="11" t="s">
        <v>3149</v>
      </c>
      <c r="F13" s="12" t="n">
        <v>184</v>
      </c>
      <c r="G13" s="12" t="n">
        <v>184</v>
      </c>
      <c r="H13" s="12" t="n">
        <v>184</v>
      </c>
      <c r="I13" s="10" t="s">
        <v>3127</v>
      </c>
      <c r="J13" s="10" t="s">
        <v>3159</v>
      </c>
      <c r="K13" s="11" t="s">
        <v>3129</v>
      </c>
      <c r="L13" s="10" t="n">
        <f aca="false">IF(AND(ISNUMBER($F13),ISNUMBER($G13),ISNUMBER($H13)),IF(AND($G13&lt;=$F13,$F13&lt;=$H13),0,1),0)</f>
        <v>0</v>
      </c>
      <c r="M13" s="10" t="n">
        <f aca="false">IF(AND(OR($I13="Analogy",$I13="Assumed"),OR($G13="",$H13="")),1,0)</f>
        <v>0</v>
      </c>
    </row>
    <row r="14" customFormat="false" ht="15" hidden="false" customHeight="false" outlineLevel="0" collapsed="false">
      <c r="A14" s="10" t="s">
        <v>3160</v>
      </c>
      <c r="B14" s="10" t="s">
        <v>3161</v>
      </c>
      <c r="C14" s="11" t="s">
        <v>3162</v>
      </c>
      <c r="D14" s="10" t="s">
        <v>2113</v>
      </c>
      <c r="E14" s="11" t="s">
        <v>3163</v>
      </c>
      <c r="F14" s="12" t="n">
        <v>12</v>
      </c>
      <c r="G14" s="12" t="n">
        <v>12</v>
      </c>
      <c r="H14" s="12" t="n">
        <v>12</v>
      </c>
      <c r="I14" s="10" t="s">
        <v>3127</v>
      </c>
      <c r="J14" s="11" t="s">
        <v>3164</v>
      </c>
      <c r="K14" s="11" t="s">
        <v>3129</v>
      </c>
      <c r="L14" s="10" t="n">
        <f aca="false">IF(AND(ISNUMBER($F14),ISNUMBER($G14),ISNUMBER($H14)),IF(AND($G14&lt;=$F14,$F14&lt;=$H14),0,1),0)</f>
        <v>0</v>
      </c>
      <c r="M14" s="10" t="n">
        <f aca="false">IF(AND(OR($I14="Analogy",$I14="Assumed"),OR($G14="",$H14="")),1,0)</f>
        <v>0</v>
      </c>
    </row>
    <row r="15" customFormat="false" ht="15" hidden="false" customHeight="false" outlineLevel="0" collapsed="false">
      <c r="A15" s="10" t="s">
        <v>3165</v>
      </c>
      <c r="B15" s="10" t="s">
        <v>3166</v>
      </c>
      <c r="C15" s="11" t="s">
        <v>3167</v>
      </c>
      <c r="D15" s="10" t="s">
        <v>2113</v>
      </c>
      <c r="E15" s="11" t="s">
        <v>3163</v>
      </c>
      <c r="F15" s="12" t="n">
        <v>6</v>
      </c>
      <c r="G15" s="12" t="n">
        <v>6</v>
      </c>
      <c r="H15" s="12" t="n">
        <v>6</v>
      </c>
      <c r="I15" s="10" t="s">
        <v>3127</v>
      </c>
      <c r="J15" s="11" t="s">
        <v>3129</v>
      </c>
      <c r="K15" s="11" t="s">
        <v>3129</v>
      </c>
      <c r="L15" s="10" t="n">
        <f aca="false">IF(AND(ISNUMBER($F15),ISNUMBER($G15),ISNUMBER($H15)),IF(AND($G15&lt;=$F15,$F15&lt;=$H15),0,1),0)</f>
        <v>0</v>
      </c>
      <c r="M15" s="10" t="n">
        <f aca="false">IF(AND(OR($I15="Analogy",$I15="Assumed"),OR($G15="",$H15="")),1,0)</f>
        <v>0</v>
      </c>
    </row>
    <row r="16" customFormat="false" ht="15" hidden="false" customHeight="false" outlineLevel="0" collapsed="false">
      <c r="A16" s="10" t="s">
        <v>3168</v>
      </c>
      <c r="B16" s="10" t="s">
        <v>3169</v>
      </c>
      <c r="C16" s="11" t="s">
        <v>3170</v>
      </c>
      <c r="D16" s="10" t="s">
        <v>2113</v>
      </c>
      <c r="E16" s="11" t="s">
        <v>3163</v>
      </c>
      <c r="F16" s="12" t="n">
        <v>3</v>
      </c>
      <c r="G16" s="12" t="n">
        <v>3</v>
      </c>
      <c r="H16" s="12" t="n">
        <v>3</v>
      </c>
      <c r="I16" s="10" t="s">
        <v>3127</v>
      </c>
      <c r="J16" s="11" t="s">
        <v>3171</v>
      </c>
      <c r="K16" s="11" t="s">
        <v>3129</v>
      </c>
      <c r="L16" s="10" t="n">
        <f aca="false">IF(AND(ISNUMBER($F16),ISNUMBER($G16),ISNUMBER($H16)),IF(AND($G16&lt;=$F16,$F16&lt;=$H16),0,1),0)</f>
        <v>0</v>
      </c>
      <c r="M16" s="10" t="n">
        <f aca="false">IF(AND(OR($I16="Analogy",$I16="Assumed"),OR($G16="",$H16="")),1,0)</f>
        <v>0</v>
      </c>
    </row>
    <row r="17" customFormat="false" ht="15" hidden="false" customHeight="false" outlineLevel="0" collapsed="false">
      <c r="A17" s="10" t="s">
        <v>3172</v>
      </c>
      <c r="B17" s="10" t="s">
        <v>3173</v>
      </c>
      <c r="C17" s="11" t="s">
        <v>3174</v>
      </c>
      <c r="D17" s="10" t="s">
        <v>2113</v>
      </c>
      <c r="E17" s="11" t="s">
        <v>1683</v>
      </c>
      <c r="F17" s="12" t="n">
        <v>2</v>
      </c>
      <c r="G17" s="12" t="n">
        <v>2</v>
      </c>
      <c r="H17" s="12" t="n">
        <v>2</v>
      </c>
      <c r="I17" s="10" t="s">
        <v>3127</v>
      </c>
      <c r="J17" s="11" t="s">
        <v>3175</v>
      </c>
      <c r="K17" s="11" t="s">
        <v>3129</v>
      </c>
      <c r="L17" s="10" t="n">
        <f aca="false">IF(AND(ISNUMBER($F17),ISNUMBER($G17),ISNUMBER($H17)),IF(AND($G17&lt;=$F17,$F17&lt;=$H17),0,1),0)</f>
        <v>0</v>
      </c>
      <c r="M17" s="10" t="n">
        <f aca="false">IF(AND(OR($I17="Analogy",$I17="Assumed"),OR($G17="",$H17="")),1,0)</f>
        <v>0</v>
      </c>
    </row>
    <row r="18" customFormat="false" ht="15" hidden="false" customHeight="false" outlineLevel="0" collapsed="false">
      <c r="A18" s="10" t="s">
        <v>3176</v>
      </c>
      <c r="B18" s="10" t="s">
        <v>3177</v>
      </c>
      <c r="C18" s="11" t="s">
        <v>3178</v>
      </c>
      <c r="D18" s="10" t="s">
        <v>2113</v>
      </c>
      <c r="E18" s="10" t="s">
        <v>3179</v>
      </c>
      <c r="F18" s="12" t="n">
        <v>100</v>
      </c>
      <c r="G18" s="12" t="n">
        <v>100</v>
      </c>
      <c r="H18" s="12" t="n">
        <v>100</v>
      </c>
      <c r="I18" s="10" t="s">
        <v>3127</v>
      </c>
      <c r="J18" s="10" t="s">
        <v>3180</v>
      </c>
      <c r="K18" s="11" t="s">
        <v>3129</v>
      </c>
      <c r="L18" s="10" t="n">
        <f aca="false">IF(AND(ISNUMBER($F18),ISNUMBER($G18),ISNUMBER($H18)),IF(AND($G18&lt;=$F18,$F18&lt;=$H18),0,1),0)</f>
        <v>0</v>
      </c>
      <c r="M18" s="10" t="n">
        <f aca="false">IF(AND(OR($I18="Analogy",$I18="Assumed"),OR($G18="",$H18="")),1,0)</f>
        <v>0</v>
      </c>
    </row>
    <row r="19" customFormat="false" ht="15" hidden="false" customHeight="false" outlineLevel="0" collapsed="false">
      <c r="A19" s="10" t="s">
        <v>3181</v>
      </c>
      <c r="B19" s="10" t="s">
        <v>3182</v>
      </c>
      <c r="C19" s="11" t="s">
        <v>3183</v>
      </c>
      <c r="D19" s="10" t="s">
        <v>2113</v>
      </c>
      <c r="E19" s="10" t="s">
        <v>2113</v>
      </c>
      <c r="F19" s="12" t="n">
        <v>100</v>
      </c>
      <c r="G19" s="12" t="n">
        <v>100</v>
      </c>
      <c r="H19" s="12" t="n">
        <v>100</v>
      </c>
      <c r="I19" s="10" t="s">
        <v>3127</v>
      </c>
      <c r="J19" s="10" t="s">
        <v>3184</v>
      </c>
      <c r="K19" s="11" t="s">
        <v>3129</v>
      </c>
      <c r="L19" s="10" t="n">
        <f aca="false">IF(AND(ISNUMBER($F19),ISNUMBER($G19),ISNUMBER($H19)),IF(AND($G19&lt;=$F19,$F19&lt;=$H19),0,1),0)</f>
        <v>0</v>
      </c>
      <c r="M19" s="10" t="n">
        <f aca="false">IF(AND(OR($I19="Analogy",$I19="Assumed"),OR($G19="",$H19="")),1,0)</f>
        <v>0</v>
      </c>
    </row>
    <row r="20" customFormat="false" ht="15" hidden="false" customHeight="false" outlineLevel="0" collapsed="false">
      <c r="A20" s="10" t="s">
        <v>3185</v>
      </c>
      <c r="B20" s="10" t="s">
        <v>3186</v>
      </c>
      <c r="C20" s="11" t="s">
        <v>3187</v>
      </c>
      <c r="D20" s="10" t="s">
        <v>2113</v>
      </c>
      <c r="E20" s="10" t="s">
        <v>2113</v>
      </c>
      <c r="F20" s="12" t="n">
        <v>100</v>
      </c>
      <c r="G20" s="12" t="n">
        <v>100</v>
      </c>
      <c r="H20" s="12" t="n">
        <v>100</v>
      </c>
      <c r="I20" s="10" t="s">
        <v>3127</v>
      </c>
      <c r="J20" s="10" t="s">
        <v>3188</v>
      </c>
      <c r="K20" s="11" t="s">
        <v>3129</v>
      </c>
      <c r="L20" s="10" t="n">
        <f aca="false">IF(AND(ISNUMBER($F20),ISNUMBER($G20),ISNUMBER($H20)),IF(AND($G20&lt;=$F20,$F20&lt;=$H20),0,1),0)</f>
        <v>0</v>
      </c>
      <c r="M20" s="10" t="n">
        <f aca="false">IF(AND(OR($I20="Analogy",$I20="Assumed"),OR($G20="",$H20="")),1,0)</f>
        <v>0</v>
      </c>
    </row>
    <row r="21" customFormat="false" ht="15" hidden="false" customHeight="false" outlineLevel="0" collapsed="false">
      <c r="A21" s="10" t="s">
        <v>3189</v>
      </c>
      <c r="B21" s="10" t="s">
        <v>3190</v>
      </c>
      <c r="C21" s="11" t="s">
        <v>3191</v>
      </c>
      <c r="D21" s="10" t="s">
        <v>2113</v>
      </c>
      <c r="E21" s="10" t="s">
        <v>2113</v>
      </c>
      <c r="F21" s="12" t="n">
        <v>10000</v>
      </c>
      <c r="G21" s="12" t="n">
        <v>10000</v>
      </c>
      <c r="H21" s="12" t="n">
        <v>10000</v>
      </c>
      <c r="I21" s="10" t="s">
        <v>3127</v>
      </c>
      <c r="J21" s="10" t="s">
        <v>3192</v>
      </c>
      <c r="K21" s="11" t="s">
        <v>3129</v>
      </c>
      <c r="L21" s="10" t="n">
        <f aca="false">IF(AND(ISNUMBER($F21),ISNUMBER($G21),ISNUMBER($H21)),IF(AND($G21&lt;=$F21,$F21&lt;=$H21),0,1),0)</f>
        <v>0</v>
      </c>
      <c r="M21" s="10" t="n">
        <f aca="false">IF(AND(OR($I21="Analogy",$I21="Assumed"),OR($G21="",$H21="")),1,0)</f>
        <v>0</v>
      </c>
    </row>
    <row r="22" customFormat="false" ht="15" hidden="false" customHeight="false" outlineLevel="0" collapsed="false">
      <c r="A22" s="10" t="s">
        <v>3193</v>
      </c>
      <c r="B22" s="10" t="s">
        <v>3194</v>
      </c>
      <c r="C22" s="11" t="s">
        <v>3195</v>
      </c>
      <c r="D22" s="10" t="s">
        <v>2113</v>
      </c>
      <c r="E22" s="10" t="s">
        <v>2113</v>
      </c>
      <c r="F22" s="12" t="n">
        <v>1000</v>
      </c>
      <c r="G22" s="12" t="n">
        <v>1000</v>
      </c>
      <c r="H22" s="12" t="n">
        <v>1000</v>
      </c>
      <c r="I22" s="10" t="s">
        <v>3127</v>
      </c>
      <c r="J22" s="10" t="s">
        <v>3196</v>
      </c>
      <c r="K22" s="11" t="s">
        <v>3129</v>
      </c>
      <c r="L22" s="10" t="n">
        <f aca="false">IF(AND(ISNUMBER($F22),ISNUMBER($G22),ISNUMBER($H22)),IF(AND($G22&lt;=$F22,$F22&lt;=$H22),0,1),0)</f>
        <v>0</v>
      </c>
      <c r="M22" s="10" t="n">
        <f aca="false">IF(AND(OR($I22="Analogy",$I22="Assumed"),OR($G22="",$H22="")),1,0)</f>
        <v>0</v>
      </c>
    </row>
    <row r="23" customFormat="false" ht="15" hidden="false" customHeight="false" outlineLevel="0" collapsed="false">
      <c r="A23" s="10" t="s">
        <v>3197</v>
      </c>
      <c r="B23" s="10" t="s">
        <v>3198</v>
      </c>
      <c r="C23" s="11" t="s">
        <v>3199</v>
      </c>
      <c r="D23" s="10" t="s">
        <v>2113</v>
      </c>
      <c r="E23" s="10" t="s">
        <v>2113</v>
      </c>
      <c r="F23" s="12" t="n">
        <v>1000</v>
      </c>
      <c r="G23" s="12" t="n">
        <v>1000</v>
      </c>
      <c r="H23" s="12" t="n">
        <v>1000</v>
      </c>
      <c r="I23" s="10" t="s">
        <v>3127</v>
      </c>
      <c r="J23" s="11" t="s">
        <v>3129</v>
      </c>
      <c r="K23" s="11" t="s">
        <v>3129</v>
      </c>
      <c r="L23" s="10" t="n">
        <f aca="false">IF(AND(ISNUMBER($F23),ISNUMBER($G23),ISNUMBER($H23)),IF(AND($G23&lt;=$F23,$F23&lt;=$H23),0,1),0)</f>
        <v>0</v>
      </c>
      <c r="M23" s="10" t="n">
        <f aca="false">IF(AND(OR($I23="Analogy",$I23="Assumed"),OR($G23="",$H23="")),1,0)</f>
        <v>0</v>
      </c>
    </row>
    <row r="24" customFormat="false" ht="15" hidden="false" customHeight="false" outlineLevel="0" collapsed="false">
      <c r="A24" s="10" t="s">
        <v>3200</v>
      </c>
      <c r="B24" s="10" t="s">
        <v>3201</v>
      </c>
      <c r="C24" s="11" t="s">
        <v>3202</v>
      </c>
      <c r="D24" s="10" t="s">
        <v>2113</v>
      </c>
      <c r="E24" s="10" t="s">
        <v>2113</v>
      </c>
      <c r="F24" s="12" t="n">
        <v>100</v>
      </c>
      <c r="G24" s="12" t="n">
        <v>100</v>
      </c>
      <c r="H24" s="12" t="n">
        <v>100</v>
      </c>
      <c r="I24" s="10" t="s">
        <v>3127</v>
      </c>
      <c r="J24" s="11" t="s">
        <v>3203</v>
      </c>
      <c r="K24" s="11" t="s">
        <v>3129</v>
      </c>
      <c r="L24" s="10" t="n">
        <f aca="false">IF(AND(ISNUMBER($F24),ISNUMBER($G24),ISNUMBER($H24)),IF(AND($G24&lt;=$F24,$F24&lt;=$H24),0,1),0)</f>
        <v>0</v>
      </c>
      <c r="M24" s="10" t="n">
        <f aca="false">IF(AND(OR($I24="Analogy",$I24="Assumed"),OR($G24="",$H24="")),1,0)</f>
        <v>0</v>
      </c>
    </row>
    <row r="25" customFormat="false" ht="15" hidden="false" customHeight="false" outlineLevel="0" collapsed="false">
      <c r="A25" s="10" t="s">
        <v>3204</v>
      </c>
      <c r="B25" s="10" t="s">
        <v>3205</v>
      </c>
      <c r="C25" s="11" t="s">
        <v>3206</v>
      </c>
      <c r="D25" s="10" t="s">
        <v>2113</v>
      </c>
      <c r="E25" s="10" t="s">
        <v>2113</v>
      </c>
      <c r="F25" s="12" t="n">
        <v>10</v>
      </c>
      <c r="G25" s="12" t="n">
        <v>10</v>
      </c>
      <c r="H25" s="12" t="n">
        <v>10</v>
      </c>
      <c r="I25" s="10" t="s">
        <v>3127</v>
      </c>
      <c r="J25" s="11" t="s">
        <v>3207</v>
      </c>
      <c r="K25" s="11" t="s">
        <v>3129</v>
      </c>
      <c r="L25" s="10" t="n">
        <f aca="false">IF(AND(ISNUMBER($F25),ISNUMBER($G25),ISNUMBER($H25)),IF(AND($G25&lt;=$F25,$F25&lt;=$H25),0,1),0)</f>
        <v>0</v>
      </c>
      <c r="M25" s="10" t="n">
        <f aca="false">IF(AND(OR($I25="Analogy",$I25="Assumed"),OR($G25="",$H25="")),1,0)</f>
        <v>0</v>
      </c>
    </row>
    <row r="26" customFormat="false" ht="15" hidden="false" customHeight="false" outlineLevel="0" collapsed="false">
      <c r="A26" s="10" t="s">
        <v>3208</v>
      </c>
      <c r="B26" s="10" t="s">
        <v>3209</v>
      </c>
      <c r="C26" s="11" t="s">
        <v>3210</v>
      </c>
      <c r="D26" s="10" t="s">
        <v>2113</v>
      </c>
      <c r="E26" s="11" t="s">
        <v>3211</v>
      </c>
      <c r="F26" s="12" t="n">
        <v>4.8</v>
      </c>
      <c r="G26" s="12" t="n">
        <v>4.8</v>
      </c>
      <c r="H26" s="12" t="n">
        <v>4.8</v>
      </c>
      <c r="I26" s="10" t="s">
        <v>3127</v>
      </c>
      <c r="J26" s="10" t="s">
        <v>3212</v>
      </c>
      <c r="K26" s="11" t="s">
        <v>3129</v>
      </c>
      <c r="L26" s="10" t="n">
        <f aca="false">IF(AND(ISNUMBER($F26),ISNUMBER($G26),ISNUMBER($H26)),IF(AND($G26&lt;=$F26,$F26&lt;=$H26),0,1),0)</f>
        <v>0</v>
      </c>
      <c r="M26" s="10" t="n">
        <f aca="false">IF(AND(OR($I26="Analogy",$I26="Assumed"),OR($G26="",$H26="")),1,0)</f>
        <v>0</v>
      </c>
    </row>
    <row r="27" customFormat="false" ht="15" hidden="false" customHeight="false" outlineLevel="0" collapsed="false">
      <c r="A27" s="10" t="s">
        <v>3213</v>
      </c>
      <c r="B27" s="10" t="s">
        <v>3214</v>
      </c>
      <c r="C27" s="11" t="s">
        <v>3215</v>
      </c>
      <c r="D27" s="10" t="s">
        <v>1095</v>
      </c>
      <c r="E27" s="11" t="s">
        <v>3216</v>
      </c>
      <c r="F27" s="12" t="n">
        <v>6.7399</v>
      </c>
      <c r="G27" s="12" t="n">
        <v>6.4029</v>
      </c>
      <c r="H27" s="12" t="n">
        <v>7.0769</v>
      </c>
      <c r="I27" s="10" t="s">
        <v>61</v>
      </c>
      <c r="J27" s="11" t="s">
        <v>3217</v>
      </c>
      <c r="K27" s="10" t="s">
        <v>3218</v>
      </c>
      <c r="L27" s="10" t="n">
        <f aca="false">IF(AND(ISNUMBER($F27),ISNUMBER($G27),ISNUMBER($H27)),IF(AND($G27&lt;=$F27,$F27&lt;=$H27),0,1),0)</f>
        <v>0</v>
      </c>
      <c r="M27" s="10" t="n">
        <f aca="false">IF(AND(OR($I27="Analogy",$I27="Assumed"),OR($G27="",$H27="")),1,0)</f>
        <v>0</v>
      </c>
    </row>
    <row r="28" customFormat="false" ht="15" hidden="false" customHeight="false" outlineLevel="0" collapsed="false">
      <c r="A28" s="10" t="s">
        <v>3219</v>
      </c>
      <c r="B28" s="10" t="s">
        <v>3220</v>
      </c>
      <c r="C28" s="11" t="s">
        <v>3221</v>
      </c>
      <c r="D28" s="10" t="s">
        <v>1095</v>
      </c>
      <c r="E28" s="11" t="s">
        <v>3222</v>
      </c>
      <c r="F28" s="12" t="n">
        <v>0.85923</v>
      </c>
      <c r="G28" s="12" t="n">
        <v>0.81627</v>
      </c>
      <c r="H28" s="12" t="n">
        <v>0.90219</v>
      </c>
      <c r="I28" s="10" t="s">
        <v>61</v>
      </c>
      <c r="J28" s="11" t="s">
        <v>3223</v>
      </c>
      <c r="K28" s="10" t="s">
        <v>3218</v>
      </c>
      <c r="L28" s="10" t="n">
        <f aca="false">IF(AND(ISNUMBER($F28),ISNUMBER($G28),ISNUMBER($H28)),IF(AND($G28&lt;=$F28,$F28&lt;=$H28),0,1),0)</f>
        <v>0</v>
      </c>
      <c r="M28" s="10" t="n">
        <f aca="false">IF(AND(OR($I28="Analogy",$I28="Assumed"),OR($G28="",$H28="")),1,0)</f>
        <v>0</v>
      </c>
    </row>
    <row r="29" customFormat="false" ht="15" hidden="false" customHeight="false" outlineLevel="0" collapsed="false">
      <c r="A29" s="10" t="s">
        <v>3224</v>
      </c>
      <c r="B29" s="10" t="s">
        <v>3225</v>
      </c>
      <c r="C29" s="10" t="s">
        <v>3226</v>
      </c>
      <c r="D29" s="10" t="s">
        <v>2113</v>
      </c>
      <c r="E29" s="11" t="s">
        <v>3105</v>
      </c>
      <c r="F29" s="12" t="n">
        <v>0.6</v>
      </c>
      <c r="G29" s="12" t="n">
        <v>0.3</v>
      </c>
      <c r="H29" s="12" t="n">
        <v>0.9</v>
      </c>
      <c r="I29" s="10" t="s">
        <v>3227</v>
      </c>
      <c r="J29" s="11" t="s">
        <v>3228</v>
      </c>
      <c r="K29" s="10" t="s">
        <v>3229</v>
      </c>
      <c r="L29" s="10" t="n">
        <f aca="false">IF(AND(ISNUMBER($F29),ISNUMBER($G29),ISNUMBER($H29)),IF(AND($G29&lt;=$F29,$F29&lt;=$H29),0,1),0)</f>
        <v>0</v>
      </c>
      <c r="M29" s="10" t="n">
        <f aca="false">IF(AND(OR($I29="Analogy",$I29="Assumed"),OR($G29="",$H29="")),1,0)</f>
        <v>0</v>
      </c>
    </row>
    <row r="30" customFormat="false" ht="15" hidden="false" customHeight="false" outlineLevel="0" collapsed="false">
      <c r="A30" s="10" t="s">
        <v>3230</v>
      </c>
      <c r="B30" s="10" t="s">
        <v>3231</v>
      </c>
      <c r="C30" s="10" t="s">
        <v>3232</v>
      </c>
      <c r="D30" s="10" t="s">
        <v>654</v>
      </c>
      <c r="E30" s="11" t="s">
        <v>3149</v>
      </c>
      <c r="F30" s="12" t="n">
        <v>42</v>
      </c>
      <c r="G30" s="12" t="n">
        <v>42</v>
      </c>
      <c r="H30" s="12" t="n">
        <v>42</v>
      </c>
      <c r="I30" s="10" t="s">
        <v>628</v>
      </c>
      <c r="J30" s="10" t="s">
        <v>3233</v>
      </c>
      <c r="K30" s="11" t="s">
        <v>3234</v>
      </c>
      <c r="L30" s="10" t="n">
        <f aca="false">IF(AND(ISNUMBER($F30),ISNUMBER($G30),ISNUMBER($H30)),IF(AND($G30&lt;=$F30,$F30&lt;=$H30),0,1),0)</f>
        <v>0</v>
      </c>
      <c r="M30" s="10" t="n">
        <f aca="false">IF(AND(OR($I30="Analogy",$I30="Assumed"),OR($G30="",$H30="")),1,0)</f>
        <v>0</v>
      </c>
    </row>
    <row r="31" customFormat="false" ht="15" hidden="false" customHeight="false" outlineLevel="0" collapsed="false">
      <c r="A31" s="10" t="s">
        <v>3235</v>
      </c>
      <c r="B31" s="10" t="s">
        <v>3236</v>
      </c>
      <c r="C31" s="10" t="s">
        <v>3237</v>
      </c>
      <c r="D31" s="10" t="s">
        <v>654</v>
      </c>
      <c r="E31" s="11" t="s">
        <v>3149</v>
      </c>
      <c r="F31" s="12" t="n">
        <v>54</v>
      </c>
      <c r="G31" s="12" t="n">
        <v>54</v>
      </c>
      <c r="H31" s="12" t="n">
        <v>54</v>
      </c>
      <c r="I31" s="10" t="s">
        <v>628</v>
      </c>
      <c r="J31" s="10" t="s">
        <v>3238</v>
      </c>
      <c r="K31" s="11" t="s">
        <v>3234</v>
      </c>
      <c r="L31" s="10" t="n">
        <f aca="false">IF(AND(ISNUMBER($F31),ISNUMBER($G31),ISNUMBER($H31)),IF(AND($G31&lt;=$F31,$F31&lt;=$H31),0,1),0)</f>
        <v>0</v>
      </c>
      <c r="M31" s="10" t="n">
        <f aca="false">IF(AND(OR($I31="Analogy",$I31="Assumed"),OR($G31="",$H31="")),1,0)</f>
        <v>0</v>
      </c>
    </row>
    <row r="32" customFormat="false" ht="15" hidden="false" customHeight="false" outlineLevel="0" collapsed="false">
      <c r="A32" s="10" t="s">
        <v>3239</v>
      </c>
      <c r="B32" s="10" t="s">
        <v>3240</v>
      </c>
      <c r="C32" s="10" t="s">
        <v>3241</v>
      </c>
      <c r="D32" s="10" t="s">
        <v>3158</v>
      </c>
      <c r="E32" s="11" t="s">
        <v>3149</v>
      </c>
      <c r="F32" s="12" t="n">
        <v>128</v>
      </c>
      <c r="G32" s="12" t="n">
        <v>128</v>
      </c>
      <c r="H32" s="12" t="n">
        <v>128</v>
      </c>
      <c r="I32" s="10" t="s">
        <v>628</v>
      </c>
      <c r="J32" s="10" t="s">
        <v>3242</v>
      </c>
      <c r="K32" s="11" t="s">
        <v>3234</v>
      </c>
      <c r="L32" s="10" t="n">
        <f aca="false">IF(AND(ISNUMBER($F32),ISNUMBER($G32),ISNUMBER($H32)),IF(AND($G32&lt;=$F32,$F32&lt;=$H32),0,1),0)</f>
        <v>0</v>
      </c>
      <c r="M32" s="10" t="n">
        <f aca="false">IF(AND(OR($I32="Analogy",$I32="Assumed"),OR($G32="",$H32="")),1,0)</f>
        <v>0</v>
      </c>
    </row>
    <row r="33" customFormat="false" ht="15" hidden="false" customHeight="false" outlineLevel="0" collapsed="false">
      <c r="A33" s="10" t="s">
        <v>3243</v>
      </c>
      <c r="B33" s="10" t="s">
        <v>3244</v>
      </c>
      <c r="C33" s="10" t="s">
        <v>3245</v>
      </c>
      <c r="D33" s="10" t="s">
        <v>2113</v>
      </c>
      <c r="E33" s="11" t="s">
        <v>3105</v>
      </c>
      <c r="F33" s="12" t="n">
        <v>0.15</v>
      </c>
      <c r="G33" s="12" t="n">
        <v>0.05</v>
      </c>
      <c r="H33" s="12" t="n">
        <v>0.3</v>
      </c>
      <c r="I33" s="10" t="s">
        <v>1300</v>
      </c>
      <c r="J33" s="10" t="s">
        <v>3246</v>
      </c>
      <c r="K33" s="10" t="s">
        <v>3247</v>
      </c>
      <c r="L33" s="10" t="n">
        <f aca="false">IF(AND(ISNUMBER($F33),ISNUMBER($G33),ISNUMBER($H33)),IF(AND($G33&lt;=$F33,$F33&lt;=$H33),0,1),0)</f>
        <v>0</v>
      </c>
      <c r="M33" s="10" t="n">
        <f aca="false">IF(AND(OR($I33="Analogy",$I33="Assumed"),OR($G33="",$H33="")),1,0)</f>
        <v>0</v>
      </c>
    </row>
    <row r="34" customFormat="false" ht="15" hidden="false" customHeight="false" outlineLevel="0" collapsed="false">
      <c r="A34" s="10" t="s">
        <v>3248</v>
      </c>
      <c r="B34" s="10" t="s">
        <v>3249</v>
      </c>
      <c r="C34" s="10" t="s">
        <v>3250</v>
      </c>
      <c r="D34" s="10" t="s">
        <v>2113</v>
      </c>
      <c r="E34" s="11" t="s">
        <v>3105</v>
      </c>
      <c r="F34" s="12" t="n">
        <v>0.5</v>
      </c>
      <c r="G34" s="12" t="n">
        <v>0.3</v>
      </c>
      <c r="H34" s="12" t="n">
        <v>0.75</v>
      </c>
      <c r="I34" s="10" t="s">
        <v>1300</v>
      </c>
      <c r="J34" s="10" t="s">
        <v>3251</v>
      </c>
      <c r="K34" s="11" t="s">
        <v>3252</v>
      </c>
      <c r="L34" s="10" t="n">
        <f aca="false">IF(AND(ISNUMBER($F34),ISNUMBER($G34),ISNUMBER($H34)),IF(AND($G34&lt;=$F34,$F34&lt;=$H34),0,1),0)</f>
        <v>0</v>
      </c>
      <c r="M34" s="10" t="n">
        <f aca="false">IF(AND(OR($I34="Analogy",$I34="Assumed"),OR($G34="",$H34="")),1,0)</f>
        <v>0</v>
      </c>
    </row>
    <row r="35" customFormat="false" ht="15" hidden="false" customHeight="false" outlineLevel="0" collapsed="false">
      <c r="A35" s="10" t="s">
        <v>3253</v>
      </c>
      <c r="B35" s="10" t="s">
        <v>3254</v>
      </c>
      <c r="C35" s="10" t="s">
        <v>3255</v>
      </c>
      <c r="D35" s="10" t="s">
        <v>2113</v>
      </c>
      <c r="E35" s="11" t="s">
        <v>3105</v>
      </c>
      <c r="F35" s="12" t="n">
        <v>0.25</v>
      </c>
      <c r="G35" s="12" t="n">
        <v>0.1</v>
      </c>
      <c r="H35" s="12" t="n">
        <v>0.4</v>
      </c>
      <c r="I35" s="10" t="s">
        <v>3227</v>
      </c>
      <c r="J35" s="10" t="s">
        <v>3256</v>
      </c>
      <c r="K35" s="10" t="s">
        <v>3257</v>
      </c>
      <c r="L35" s="10" t="n">
        <f aca="false">IF(AND(ISNUMBER($F35),ISNUMBER($G35),ISNUMBER($H35)),IF(AND($G35&lt;=$F35,$F35&lt;=$H35),0,1),0)</f>
        <v>0</v>
      </c>
      <c r="M35" s="10" t="n">
        <f aca="false">IF(AND(OR($I35="Analogy",$I35="Assumed"),OR($G35="",$H35="")),1,0)</f>
        <v>0</v>
      </c>
    </row>
    <row r="36" customFormat="false" ht="15" hidden="false" customHeight="false" outlineLevel="0" collapsed="false">
      <c r="A36" s="10" t="s">
        <v>3258</v>
      </c>
      <c r="B36" s="10" t="s">
        <v>3259</v>
      </c>
      <c r="C36" s="11" t="s">
        <v>3260</v>
      </c>
      <c r="D36" s="10" t="s">
        <v>3065</v>
      </c>
      <c r="E36" s="11" t="s">
        <v>3105</v>
      </c>
      <c r="F36" s="12" t="n">
        <v>0.6</v>
      </c>
      <c r="G36" s="12" t="n">
        <v>0.4</v>
      </c>
      <c r="H36" s="12" t="n">
        <v>0.8</v>
      </c>
      <c r="I36" s="10" t="s">
        <v>3227</v>
      </c>
      <c r="J36" s="10" t="s">
        <v>3261</v>
      </c>
      <c r="K36" s="10" t="s">
        <v>3262</v>
      </c>
      <c r="L36" s="10" t="n">
        <f aca="false">IF(AND(ISNUMBER($F36),ISNUMBER($G36),ISNUMBER($H36)),IF(AND($G36&lt;=$F36,$F36&lt;=$H36),0,1),0)</f>
        <v>0</v>
      </c>
      <c r="M36" s="10" t="n">
        <f aca="false">IF(AND(OR($I36="Analogy",$I36="Assumed"),OR($G36="",$H36="")),1,0)</f>
        <v>0</v>
      </c>
    </row>
    <row r="37" customFormat="false" ht="15" hidden="false" customHeight="false" outlineLevel="0" collapsed="false">
      <c r="A37" s="10" t="s">
        <v>3263</v>
      </c>
      <c r="B37" s="10" t="s">
        <v>3264</v>
      </c>
      <c r="C37" s="11" t="s">
        <v>3260</v>
      </c>
      <c r="D37" s="10" t="s">
        <v>1900</v>
      </c>
      <c r="E37" s="11" t="s">
        <v>3105</v>
      </c>
      <c r="F37" s="12" t="n">
        <v>0.7</v>
      </c>
      <c r="G37" s="12" t="n">
        <v>0.5</v>
      </c>
      <c r="H37" s="12" t="n">
        <v>0.85</v>
      </c>
      <c r="I37" s="10" t="s">
        <v>3227</v>
      </c>
      <c r="J37" s="10" t="s">
        <v>3265</v>
      </c>
      <c r="K37" s="10" t="s">
        <v>3266</v>
      </c>
      <c r="L37" s="10" t="n">
        <f aca="false">IF(AND(ISNUMBER($F37),ISNUMBER($G37),ISNUMBER($H37)),IF(AND($G37&lt;=$F37,$F37&lt;=$H37),0,1),0)</f>
        <v>0</v>
      </c>
      <c r="M37" s="10" t="n">
        <f aca="false">IF(AND(OR($I37="Analogy",$I37="Assumed"),OR($G37="",$H37="")),1,0)</f>
        <v>0</v>
      </c>
    </row>
    <row r="38" customFormat="false" ht="15" hidden="false" customHeight="false" outlineLevel="0" collapsed="false">
      <c r="A38" s="10" t="s">
        <v>3267</v>
      </c>
      <c r="B38" s="10" t="s">
        <v>3268</v>
      </c>
      <c r="C38" s="11" t="s">
        <v>3260</v>
      </c>
      <c r="D38" s="10" t="s">
        <v>3269</v>
      </c>
      <c r="E38" s="11" t="s">
        <v>3105</v>
      </c>
      <c r="F38" s="12" t="n">
        <v>0.7</v>
      </c>
      <c r="G38" s="12" t="n">
        <v>0.5</v>
      </c>
      <c r="H38" s="12" t="n">
        <v>0.85</v>
      </c>
      <c r="I38" s="10" t="s">
        <v>3227</v>
      </c>
      <c r="J38" s="11" t="s">
        <v>3270</v>
      </c>
      <c r="K38" s="10" t="s">
        <v>3266</v>
      </c>
      <c r="L38" s="10" t="n">
        <f aca="false">IF(AND(ISNUMBER($F38),ISNUMBER($G38),ISNUMBER($H38)),IF(AND($G38&lt;=$F38,$F38&lt;=$H38),0,1),0)</f>
        <v>0</v>
      </c>
      <c r="M38" s="10" t="n">
        <f aca="false">IF(AND(OR($I38="Analogy",$I38="Assumed"),OR($G38="",$H38="")),1,0)</f>
        <v>0</v>
      </c>
    </row>
    <row r="39" customFormat="false" ht="15" hidden="false" customHeight="false" outlineLevel="0" collapsed="false">
      <c r="A39" s="10" t="s">
        <v>3271</v>
      </c>
      <c r="B39" s="10" t="s">
        <v>3272</v>
      </c>
      <c r="C39" s="10" t="s">
        <v>3273</v>
      </c>
      <c r="D39" s="10" t="s">
        <v>3269</v>
      </c>
      <c r="E39" s="11" t="s">
        <v>3274</v>
      </c>
      <c r="F39" s="12" t="n">
        <v>-0.2</v>
      </c>
      <c r="G39" s="12" t="n">
        <v>-0.4</v>
      </c>
      <c r="H39" s="12" t="n">
        <v>0.2</v>
      </c>
      <c r="I39" s="10" t="s">
        <v>3227</v>
      </c>
      <c r="J39" s="11" t="s">
        <v>3275</v>
      </c>
      <c r="K39" s="10" t="s">
        <v>3276</v>
      </c>
      <c r="L39" s="10" t="n">
        <f aca="false">IF(AND(ISNUMBER($F39),ISNUMBER($G39),ISNUMBER($H39)),IF(AND($G39&lt;=$F39,$F39&lt;=$H39),0,1),0)</f>
        <v>0</v>
      </c>
      <c r="M39" s="10" t="n">
        <f aca="false">IF(AND(OR($I39="Analogy",$I39="Assumed"),OR($G39="",$H39="")),1,0)</f>
        <v>0</v>
      </c>
    </row>
    <row r="40" customFormat="false" ht="15" hidden="false" customHeight="false" outlineLevel="0" collapsed="false">
      <c r="A40" s="10" t="s">
        <v>3277</v>
      </c>
      <c r="B40" s="10" t="s">
        <v>3278</v>
      </c>
      <c r="C40" s="10" t="s">
        <v>3279</v>
      </c>
      <c r="D40" s="10" t="s">
        <v>3269</v>
      </c>
      <c r="E40" s="11" t="s">
        <v>3274</v>
      </c>
      <c r="F40" s="12" t="n">
        <v>-0.2</v>
      </c>
      <c r="G40" s="12" t="n">
        <v>-0.4</v>
      </c>
      <c r="H40" s="12" t="n">
        <v>0.2</v>
      </c>
      <c r="I40" s="10" t="s">
        <v>3227</v>
      </c>
      <c r="J40" s="11" t="s">
        <v>3280</v>
      </c>
      <c r="K40" s="10" t="s">
        <v>3276</v>
      </c>
      <c r="L40" s="10" t="n">
        <f aca="false">IF(AND(ISNUMBER($F40),ISNUMBER($G40),ISNUMBER($H40)),IF(AND($G40&lt;=$F40,$F40&lt;=$H40),0,1),0)</f>
        <v>0</v>
      </c>
      <c r="M40" s="10" t="n">
        <f aca="false">IF(AND(OR($I40="Analogy",$I40="Assumed"),OR($G40="",$H40="")),1,0)</f>
        <v>0</v>
      </c>
    </row>
    <row r="41" customFormat="false" ht="15" hidden="false" customHeight="false" outlineLevel="0" collapsed="false">
      <c r="A41" s="10" t="s">
        <v>3281</v>
      </c>
      <c r="B41" s="10" t="s">
        <v>3282</v>
      </c>
      <c r="C41" s="10" t="s">
        <v>3283</v>
      </c>
      <c r="D41" s="10" t="s">
        <v>2113</v>
      </c>
      <c r="E41" s="10" t="s">
        <v>3284</v>
      </c>
      <c r="F41" s="12" t="n">
        <v>20</v>
      </c>
      <c r="G41" s="12" t="n">
        <v>5</v>
      </c>
      <c r="H41" s="12" t="n">
        <v>50</v>
      </c>
      <c r="I41" s="10" t="s">
        <v>3227</v>
      </c>
      <c r="J41" s="10" t="s">
        <v>3285</v>
      </c>
      <c r="K41" s="10" t="s">
        <v>3286</v>
      </c>
      <c r="L41" s="10" t="n">
        <f aca="false">IF(AND(ISNUMBER($F41),ISNUMBER($G41),ISNUMBER($H41)),IF(AND($G41&lt;=$F41,$F41&lt;=$H41),0,1),0)</f>
        <v>0</v>
      </c>
      <c r="M41" s="10" t="n">
        <f aca="false">IF(AND(OR($I41="Analogy",$I41="Assumed"),OR($G41="",$H41="")),1,0)</f>
        <v>0</v>
      </c>
    </row>
    <row r="42" customFormat="false" ht="15" hidden="false" customHeight="false" outlineLevel="0" collapsed="false">
      <c r="A42" s="10" t="s">
        <v>3287</v>
      </c>
      <c r="B42" s="10" t="s">
        <v>3288</v>
      </c>
      <c r="C42" s="10" t="s">
        <v>3289</v>
      </c>
      <c r="D42" s="10" t="s">
        <v>3158</v>
      </c>
      <c r="E42" s="11" t="s">
        <v>3290</v>
      </c>
      <c r="F42" s="12" t="n">
        <v>1.3</v>
      </c>
      <c r="G42" s="12" t="n">
        <v>0.5</v>
      </c>
      <c r="H42" s="12" t="n">
        <v>3</v>
      </c>
      <c r="I42" s="10" t="s">
        <v>3227</v>
      </c>
      <c r="J42" s="11" t="s">
        <v>3291</v>
      </c>
      <c r="K42" s="10" t="s">
        <v>3292</v>
      </c>
      <c r="L42" s="10" t="n">
        <f aca="false">IF(AND(ISNUMBER($F42),ISNUMBER($G42),ISNUMBER($H42)),IF(AND($G42&lt;=$F42,$F42&lt;=$H42),0,1),0)</f>
        <v>0</v>
      </c>
      <c r="M42" s="10" t="n">
        <f aca="false">IF(AND(OR($I42="Analogy",$I42="Assumed"),OR($G42="",$H42="")),1,0)</f>
        <v>0</v>
      </c>
    </row>
    <row r="43" customFormat="false" ht="15" hidden="false" customHeight="false" outlineLevel="0" collapsed="false">
      <c r="A43" s="10" t="s">
        <v>3293</v>
      </c>
      <c r="B43" s="10" t="s">
        <v>3294</v>
      </c>
      <c r="C43" s="10" t="s">
        <v>3295</v>
      </c>
      <c r="D43" s="10" t="s">
        <v>3158</v>
      </c>
      <c r="E43" s="11" t="s">
        <v>3290</v>
      </c>
      <c r="F43" s="12" t="n">
        <v>0.1</v>
      </c>
      <c r="G43" s="12" t="n">
        <v>0</v>
      </c>
      <c r="H43" s="12" t="n">
        <v>0.3</v>
      </c>
      <c r="I43" s="10" t="s">
        <v>3227</v>
      </c>
      <c r="J43" s="10" t="s">
        <v>3296</v>
      </c>
      <c r="K43" s="10" t="s">
        <v>3297</v>
      </c>
      <c r="L43" s="10" t="n">
        <f aca="false">IF(AND(ISNUMBER($F43),ISNUMBER($G43),ISNUMBER($H43)),IF(AND($G43&lt;=$F43,$F43&lt;=$H43),0,1),0)</f>
        <v>0</v>
      </c>
      <c r="M43" s="10" t="n">
        <f aca="false">IF(AND(OR($I43="Analogy",$I43="Assumed"),OR($G43="",$H43="")),1,0)</f>
        <v>0</v>
      </c>
    </row>
    <row r="44" customFormat="false" ht="15" hidden="false" customHeight="false" outlineLevel="0" collapsed="false">
      <c r="A44" s="10" t="s">
        <v>3298</v>
      </c>
      <c r="B44" s="10" t="s">
        <v>3299</v>
      </c>
      <c r="C44" s="10" t="s">
        <v>3300</v>
      </c>
      <c r="D44" s="10" t="s">
        <v>3066</v>
      </c>
      <c r="E44" s="11" t="s">
        <v>3274</v>
      </c>
      <c r="F44" s="12" t="n">
        <v>0.8</v>
      </c>
      <c r="G44" s="12" t="n">
        <v>0.4</v>
      </c>
      <c r="H44" s="12" t="n">
        <v>1.6</v>
      </c>
      <c r="I44" s="10" t="s">
        <v>3227</v>
      </c>
      <c r="J44" s="10" t="s">
        <v>3301</v>
      </c>
      <c r="K44" s="11" t="s">
        <v>3302</v>
      </c>
      <c r="L44" s="10" t="n">
        <f aca="false">IF(AND(ISNUMBER($F44),ISNUMBER($G44),ISNUMBER($H44)),IF(AND($G44&lt;=$F44,$F44&lt;=$H44),0,1),0)</f>
        <v>0</v>
      </c>
      <c r="M44" s="10" t="n">
        <f aca="false">IF(AND(OR($I44="Analogy",$I44="Assumed"),OR($G44="",$H44="")),1,0)</f>
        <v>0</v>
      </c>
    </row>
    <row r="45" customFormat="false" ht="15" hidden="false" customHeight="false" outlineLevel="0" collapsed="false">
      <c r="A45" s="10" t="s">
        <v>3303</v>
      </c>
      <c r="B45" s="10" t="s">
        <v>3304</v>
      </c>
      <c r="C45" s="10" t="s">
        <v>3300</v>
      </c>
      <c r="D45" s="10" t="s">
        <v>3067</v>
      </c>
      <c r="E45" s="11" t="s">
        <v>3274</v>
      </c>
      <c r="F45" s="12" t="n">
        <v>0.5</v>
      </c>
      <c r="G45" s="12" t="n">
        <v>0.25</v>
      </c>
      <c r="H45" s="12" t="n">
        <v>1</v>
      </c>
      <c r="I45" s="10" t="s">
        <v>3227</v>
      </c>
      <c r="J45" s="10" t="s">
        <v>3305</v>
      </c>
      <c r="K45" s="11" t="s">
        <v>3302</v>
      </c>
      <c r="L45" s="10" t="n">
        <f aca="false">IF(AND(ISNUMBER($F45),ISNUMBER($G45),ISNUMBER($H45)),IF(AND($G45&lt;=$F45,$F45&lt;=$H45),0,1),0)</f>
        <v>0</v>
      </c>
      <c r="M45" s="10" t="n">
        <f aca="false">IF(AND(OR($I45="Analogy",$I45="Assumed"),OR($G45="",$H45="")),1,0)</f>
        <v>0</v>
      </c>
    </row>
    <row r="46" customFormat="false" ht="15" hidden="false" customHeight="false" outlineLevel="0" collapsed="false">
      <c r="A46" s="10" t="s">
        <v>3306</v>
      </c>
      <c r="B46" s="10" t="s">
        <v>3307</v>
      </c>
      <c r="C46" s="10" t="s">
        <v>3300</v>
      </c>
      <c r="D46" s="10" t="s">
        <v>3068</v>
      </c>
      <c r="E46" s="11" t="s">
        <v>3274</v>
      </c>
      <c r="F46" s="12" t="n">
        <v>0.35</v>
      </c>
      <c r="G46" s="12" t="n">
        <v>0.175</v>
      </c>
      <c r="H46" s="12" t="n">
        <v>0.7</v>
      </c>
      <c r="I46" s="10" t="s">
        <v>3227</v>
      </c>
      <c r="J46" s="10" t="s">
        <v>3308</v>
      </c>
      <c r="K46" s="11" t="s">
        <v>3302</v>
      </c>
      <c r="L46" s="10" t="n">
        <f aca="false">IF(AND(ISNUMBER($F46),ISNUMBER($G46),ISNUMBER($H46)),IF(AND($G46&lt;=$F46,$F46&lt;=$H46),0,1),0)</f>
        <v>0</v>
      </c>
      <c r="M46" s="10" t="n">
        <f aca="false">IF(AND(OR($I46="Analogy",$I46="Assumed"),OR($G46="",$H46="")),1,0)</f>
        <v>0</v>
      </c>
    </row>
    <row r="47" customFormat="false" ht="15" hidden="false" customHeight="false" outlineLevel="0" collapsed="false">
      <c r="A47" s="10" t="s">
        <v>3309</v>
      </c>
      <c r="B47" s="10" t="s">
        <v>3310</v>
      </c>
      <c r="C47" s="10" t="s">
        <v>3300</v>
      </c>
      <c r="D47" s="10" t="s">
        <v>3069</v>
      </c>
      <c r="E47" s="11" t="s">
        <v>3274</v>
      </c>
      <c r="F47" s="12" t="n">
        <v>0.25</v>
      </c>
      <c r="G47" s="12" t="n">
        <v>0.125</v>
      </c>
      <c r="H47" s="12" t="n">
        <v>0.5</v>
      </c>
      <c r="I47" s="10" t="s">
        <v>3227</v>
      </c>
      <c r="J47" s="10" t="s">
        <v>3311</v>
      </c>
      <c r="K47" s="11" t="s">
        <v>3302</v>
      </c>
      <c r="L47" s="10" t="n">
        <f aca="false">IF(AND(ISNUMBER($F47),ISNUMBER($G47),ISNUMBER($H47)),IF(AND($G47&lt;=$F47,$F47&lt;=$H47),0,1),0)</f>
        <v>0</v>
      </c>
      <c r="M47" s="10" t="n">
        <f aca="false">IF(AND(OR($I47="Analogy",$I47="Assumed"),OR($G47="",$H47="")),1,0)</f>
        <v>0</v>
      </c>
    </row>
    <row r="48" customFormat="false" ht="15" hidden="false" customHeight="false" outlineLevel="0" collapsed="false">
      <c r="A48" s="10" t="s">
        <v>3312</v>
      </c>
      <c r="B48" s="10" t="s">
        <v>3313</v>
      </c>
      <c r="C48" s="10" t="s">
        <v>3314</v>
      </c>
      <c r="D48" s="10" t="s">
        <v>3269</v>
      </c>
      <c r="E48" s="11" t="s">
        <v>3274</v>
      </c>
      <c r="F48" s="12" t="n">
        <v>0.15</v>
      </c>
      <c r="G48" s="12" t="n">
        <v>0.05</v>
      </c>
      <c r="H48" s="12" t="n">
        <v>0.25</v>
      </c>
      <c r="I48" s="10" t="s">
        <v>1300</v>
      </c>
      <c r="J48" s="10" t="s">
        <v>3315</v>
      </c>
      <c r="K48" s="10" t="s">
        <v>3316</v>
      </c>
      <c r="L48" s="10" t="n">
        <f aca="false">IF(AND(ISNUMBER($F48),ISNUMBER($G48),ISNUMBER($H48)),IF(AND($G48&lt;=$F48,$F48&lt;=$H48),0,1),0)</f>
        <v>0</v>
      </c>
      <c r="M48" s="10" t="n">
        <f aca="false">IF(AND(OR($I48="Analogy",$I48="Assumed"),OR($G48="",$H48="")),1,0)</f>
        <v>0</v>
      </c>
    </row>
    <row r="49" customFormat="false" ht="15" hidden="false" customHeight="false" outlineLevel="0" collapsed="false">
      <c r="A49" s="10" t="s">
        <v>3317</v>
      </c>
      <c r="B49" s="10" t="s">
        <v>3318</v>
      </c>
      <c r="C49" s="11" t="s">
        <v>3319</v>
      </c>
      <c r="D49" s="10" t="s">
        <v>3320</v>
      </c>
      <c r="E49" s="11" t="s">
        <v>3321</v>
      </c>
      <c r="F49" s="12" t="n">
        <v>-0.7</v>
      </c>
      <c r="G49" s="12" t="n">
        <v>-1.05</v>
      </c>
      <c r="H49" s="12" t="n">
        <v>-0.35</v>
      </c>
      <c r="I49" s="10" t="s">
        <v>1300</v>
      </c>
      <c r="J49" s="10" t="s">
        <v>3322</v>
      </c>
      <c r="K49" s="11" t="s">
        <v>3252</v>
      </c>
      <c r="L49" s="10" t="n">
        <f aca="false">IF(AND(ISNUMBER($F49),ISNUMBER($G49),ISNUMBER($H49)),IF(AND($G49&lt;=$F49,$F49&lt;=$H49),0,1),0)</f>
        <v>0</v>
      </c>
      <c r="M49" s="10" t="n">
        <f aca="false">IF(AND(OR($I49="Analogy",$I49="Assumed"),OR($G49="",$H49="")),1,0)</f>
        <v>0</v>
      </c>
    </row>
    <row r="50" customFormat="false" ht="15" hidden="false" customHeight="false" outlineLevel="0" collapsed="false">
      <c r="A50" s="10" t="s">
        <v>3323</v>
      </c>
      <c r="B50" s="10" t="s">
        <v>3324</v>
      </c>
      <c r="C50" s="11" t="s">
        <v>3325</v>
      </c>
      <c r="D50" s="10" t="s">
        <v>3320</v>
      </c>
      <c r="E50" s="11" t="s">
        <v>3321</v>
      </c>
      <c r="F50" s="12" t="n">
        <v>-0.3</v>
      </c>
      <c r="G50" s="12" t="n">
        <v>-0.45</v>
      </c>
      <c r="H50" s="12" t="n">
        <v>-0.15</v>
      </c>
      <c r="I50" s="10" t="s">
        <v>1300</v>
      </c>
      <c r="J50" s="10" t="s">
        <v>3326</v>
      </c>
      <c r="K50" s="11" t="s">
        <v>3252</v>
      </c>
      <c r="L50" s="10" t="n">
        <f aca="false">IF(AND(ISNUMBER($F50),ISNUMBER($G50),ISNUMBER($H50)),IF(AND($G50&lt;=$F50,$F50&lt;=$H50),0,1),0)</f>
        <v>0</v>
      </c>
      <c r="M50" s="10" t="n">
        <f aca="false">IF(AND(OR($I50="Analogy",$I50="Assumed"),OR($G50="",$H50="")),1,0)</f>
        <v>0</v>
      </c>
    </row>
    <row r="51" customFormat="false" ht="15" hidden="false" customHeight="false" outlineLevel="0" collapsed="false">
      <c r="A51" s="10" t="s">
        <v>3327</v>
      </c>
      <c r="B51" s="10" t="s">
        <v>3328</v>
      </c>
      <c r="C51" s="11" t="s">
        <v>3329</v>
      </c>
      <c r="D51" s="10" t="s">
        <v>2113</v>
      </c>
      <c r="E51" s="11" t="s">
        <v>1701</v>
      </c>
      <c r="F51" s="12" t="n">
        <v>0.3</v>
      </c>
      <c r="G51" s="12" t="n">
        <v>0.1</v>
      </c>
      <c r="H51" s="12" t="n">
        <v>1</v>
      </c>
      <c r="I51" s="10" t="s">
        <v>3227</v>
      </c>
      <c r="J51" s="10" t="s">
        <v>3330</v>
      </c>
      <c r="K51" s="10" t="s">
        <v>3331</v>
      </c>
      <c r="L51" s="10" t="n">
        <f aca="false">IF(AND(ISNUMBER($F51),ISNUMBER($G51),ISNUMBER($H51)),IF(AND($G51&lt;=$F51,$F51&lt;=$H51),0,1),0)</f>
        <v>0</v>
      </c>
      <c r="M51" s="10" t="n">
        <f aca="false">IF(AND(OR($I51="Analogy",$I51="Assumed"),OR($G51="",$H51="")),1,0)</f>
        <v>0</v>
      </c>
    </row>
    <row r="52" customFormat="false" ht="15" hidden="false" customHeight="false" outlineLevel="0" collapsed="false">
      <c r="A52" s="10" t="s">
        <v>3332</v>
      </c>
      <c r="B52" s="10" t="s">
        <v>3333</v>
      </c>
      <c r="C52" s="10" t="s">
        <v>3334</v>
      </c>
      <c r="D52" s="10" t="s">
        <v>654</v>
      </c>
      <c r="E52" s="11" t="s">
        <v>1701</v>
      </c>
      <c r="F52" s="12" t="n">
        <v>1</v>
      </c>
      <c r="G52" s="12" t="n">
        <v>0.7</v>
      </c>
      <c r="H52" s="12" t="n">
        <v>1.5</v>
      </c>
      <c r="I52" s="10" t="s">
        <v>3227</v>
      </c>
      <c r="J52" s="10" t="s">
        <v>3335</v>
      </c>
      <c r="K52" s="10" t="s">
        <v>3336</v>
      </c>
      <c r="L52" s="10" t="n">
        <f aca="false">IF(AND(ISNUMBER($F52),ISNUMBER($G52),ISNUMBER($H52)),IF(AND($G52&lt;=$F52,$F52&lt;=$H52),0,1),0)</f>
        <v>0</v>
      </c>
      <c r="M52" s="10" t="n">
        <f aca="false">IF(AND(OR($I52="Analogy",$I52="Assumed"),OR($G52="",$H52="")),1,0)</f>
        <v>0</v>
      </c>
    </row>
    <row r="53" customFormat="false" ht="15" hidden="false" customHeight="false" outlineLevel="0" collapsed="false">
      <c r="A53" s="10" t="s">
        <v>3337</v>
      </c>
      <c r="B53" s="10" t="s">
        <v>3338</v>
      </c>
      <c r="C53" s="10" t="s">
        <v>3339</v>
      </c>
      <c r="D53" s="10" t="s">
        <v>3065</v>
      </c>
      <c r="E53" s="11" t="s">
        <v>1701</v>
      </c>
      <c r="F53" s="12" t="n">
        <v>0.15</v>
      </c>
      <c r="G53" s="12" t="n">
        <v>0.05</v>
      </c>
      <c r="H53" s="12" t="n">
        <v>0.3</v>
      </c>
      <c r="I53" s="10" t="s">
        <v>3227</v>
      </c>
      <c r="J53" s="10" t="s">
        <v>3340</v>
      </c>
      <c r="K53" s="10" t="s">
        <v>3341</v>
      </c>
      <c r="L53" s="10" t="n">
        <f aca="false">IF(AND(ISNUMBER($F53),ISNUMBER($G53),ISNUMBER($H53)),IF(AND($G53&lt;=$F53,$F53&lt;=$H53),0,1),0)</f>
        <v>0</v>
      </c>
      <c r="M53" s="10" t="n">
        <f aca="false">IF(AND(OR($I53="Analogy",$I53="Assumed"),OR($G53="",$H53="")),1,0)</f>
        <v>0</v>
      </c>
    </row>
    <row r="54" customFormat="false" ht="15" hidden="false" customHeight="false" outlineLevel="0" collapsed="false">
      <c r="A54" s="10" t="s">
        <v>3342</v>
      </c>
      <c r="B54" s="10" t="s">
        <v>3343</v>
      </c>
      <c r="C54" s="10" t="s">
        <v>3344</v>
      </c>
      <c r="D54" s="10" t="s">
        <v>3158</v>
      </c>
      <c r="E54" s="11" t="s">
        <v>3290</v>
      </c>
      <c r="F54" s="12" t="n">
        <v>0.5</v>
      </c>
      <c r="G54" s="12" t="n">
        <v>0</v>
      </c>
      <c r="H54" s="12" t="n">
        <v>1.5</v>
      </c>
      <c r="I54" s="10" t="s">
        <v>3227</v>
      </c>
      <c r="J54" s="10" t="s">
        <v>3345</v>
      </c>
      <c r="K54" s="10" t="s">
        <v>3346</v>
      </c>
      <c r="L54" s="10" t="n">
        <f aca="false">IF(AND(ISNUMBER($F54),ISNUMBER($G54),ISNUMBER($H54)),IF(AND($G54&lt;=$F54,$F54&lt;=$H54),0,1),0)</f>
        <v>0</v>
      </c>
      <c r="M54" s="10" t="n">
        <f aca="false">IF(AND(OR($I54="Analogy",$I54="Assumed"),OR($G54="",$H54="")),1,0)</f>
        <v>0</v>
      </c>
    </row>
    <row r="55" customFormat="false" ht="15" hidden="false" customHeight="false" outlineLevel="0" collapsed="false">
      <c r="A55" s="10" t="s">
        <v>3347</v>
      </c>
      <c r="B55" s="10" t="s">
        <v>3348</v>
      </c>
      <c r="C55" s="10" t="s">
        <v>3349</v>
      </c>
      <c r="D55" s="10" t="s">
        <v>3066</v>
      </c>
      <c r="E55" s="11" t="s">
        <v>3274</v>
      </c>
      <c r="F55" s="12" t="n">
        <v>0.5</v>
      </c>
      <c r="G55" s="12" t="n">
        <v>0.2</v>
      </c>
      <c r="H55" s="12" t="n">
        <v>1</v>
      </c>
      <c r="I55" s="10" t="s">
        <v>3227</v>
      </c>
      <c r="J55" s="11" t="s">
        <v>3350</v>
      </c>
      <c r="K55" s="10" t="s">
        <v>3351</v>
      </c>
      <c r="L55" s="10" t="n">
        <f aca="false">IF(AND(ISNUMBER($F55),ISNUMBER($G55),ISNUMBER($H55)),IF(AND($G55&lt;=$F55,$F55&lt;=$H55),0,1),0)</f>
        <v>0</v>
      </c>
      <c r="M55" s="10" t="n">
        <f aca="false">IF(AND(OR($I55="Analogy",$I55="Assumed"),OR($G55="",$H55="")),1,0)</f>
        <v>0</v>
      </c>
    </row>
    <row r="56" customFormat="false" ht="15" hidden="false" customHeight="false" outlineLevel="0" collapsed="false">
      <c r="A56" s="10" t="s">
        <v>3352</v>
      </c>
      <c r="B56" s="10" t="s">
        <v>3353</v>
      </c>
      <c r="C56" s="10" t="s">
        <v>3349</v>
      </c>
      <c r="D56" s="10" t="s">
        <v>3067</v>
      </c>
      <c r="E56" s="11" t="s">
        <v>3274</v>
      </c>
      <c r="F56" s="12" t="n">
        <v>0.3</v>
      </c>
      <c r="G56" s="12" t="n">
        <v>0.1</v>
      </c>
      <c r="H56" s="12" t="n">
        <v>0.6</v>
      </c>
      <c r="I56" s="10" t="s">
        <v>3227</v>
      </c>
      <c r="J56" s="11" t="s">
        <v>1087</v>
      </c>
      <c r="K56" s="10" t="s">
        <v>3354</v>
      </c>
      <c r="L56" s="10" t="n">
        <f aca="false">IF(AND(ISNUMBER($F56),ISNUMBER($G56),ISNUMBER($H56)),IF(AND($G56&lt;=$F56,$F56&lt;=$H56),0,1),0)</f>
        <v>0</v>
      </c>
      <c r="M56" s="10" t="n">
        <f aca="false">IF(AND(OR($I56="Analogy",$I56="Assumed"),OR($G56="",$H56="")),1,0)</f>
        <v>0</v>
      </c>
    </row>
    <row r="57" customFormat="false" ht="15" hidden="false" customHeight="false" outlineLevel="0" collapsed="false">
      <c r="A57" s="10" t="s">
        <v>3355</v>
      </c>
      <c r="B57" s="10" t="s">
        <v>3356</v>
      </c>
      <c r="C57" s="10" t="s">
        <v>3349</v>
      </c>
      <c r="D57" s="10" t="s">
        <v>3068</v>
      </c>
      <c r="E57" s="11" t="s">
        <v>3274</v>
      </c>
      <c r="F57" s="12" t="n">
        <v>0.2</v>
      </c>
      <c r="G57" s="12" t="n">
        <v>0.05</v>
      </c>
      <c r="H57" s="12" t="n">
        <v>0.4</v>
      </c>
      <c r="I57" s="10" t="s">
        <v>3227</v>
      </c>
      <c r="J57" s="11" t="s">
        <v>1087</v>
      </c>
      <c r="K57" s="10" t="s">
        <v>3357</v>
      </c>
      <c r="L57" s="10" t="n">
        <f aca="false">IF(AND(ISNUMBER($F57),ISNUMBER($G57),ISNUMBER($H57)),IF(AND($G57&lt;=$F57,$F57&lt;=$H57),0,1),0)</f>
        <v>0</v>
      </c>
      <c r="M57" s="10" t="n">
        <f aca="false">IF(AND(OR($I57="Analogy",$I57="Assumed"),OR($G57="",$H57="")),1,0)</f>
        <v>0</v>
      </c>
    </row>
    <row r="58" customFormat="false" ht="15" hidden="false" customHeight="false" outlineLevel="0" collapsed="false">
      <c r="A58" s="10" t="s">
        <v>3358</v>
      </c>
      <c r="B58" s="10" t="s">
        <v>3359</v>
      </c>
      <c r="C58" s="10" t="s">
        <v>3349</v>
      </c>
      <c r="D58" s="10" t="s">
        <v>3069</v>
      </c>
      <c r="E58" s="11" t="s">
        <v>3274</v>
      </c>
      <c r="F58" s="12" t="n">
        <v>0.15</v>
      </c>
      <c r="G58" s="12" t="n">
        <v>0</v>
      </c>
      <c r="H58" s="12" t="n">
        <v>0.3</v>
      </c>
      <c r="I58" s="10" t="s">
        <v>3227</v>
      </c>
      <c r="J58" s="11" t="s">
        <v>1087</v>
      </c>
      <c r="K58" s="10" t="s">
        <v>3297</v>
      </c>
      <c r="L58" s="10" t="n">
        <f aca="false">IF(AND(ISNUMBER($F58),ISNUMBER($G58),ISNUMBER($H58)),IF(AND($G58&lt;=$F58,$F58&lt;=$H58),0,1),0)</f>
        <v>0</v>
      </c>
      <c r="M58" s="10" t="n">
        <f aca="false">IF(AND(OR($I58="Analogy",$I58="Assumed"),OR($G58="",$H58="")),1,0)</f>
        <v>0</v>
      </c>
    </row>
    <row r="59" customFormat="false" ht="15" hidden="false" customHeight="false" outlineLevel="0" collapsed="false">
      <c r="A59" s="10" t="s">
        <v>3360</v>
      </c>
      <c r="B59" s="10" t="s">
        <v>3361</v>
      </c>
      <c r="C59" s="10" t="s">
        <v>3362</v>
      </c>
      <c r="D59" s="10" t="s">
        <v>2113</v>
      </c>
      <c r="E59" s="11" t="s">
        <v>3105</v>
      </c>
      <c r="F59" s="12" t="n">
        <v>0.6</v>
      </c>
      <c r="G59" s="12" t="n">
        <v>0.4</v>
      </c>
      <c r="H59" s="12" t="n">
        <v>0.8</v>
      </c>
      <c r="I59" s="10" t="s">
        <v>3227</v>
      </c>
      <c r="J59" s="11" t="s">
        <v>3363</v>
      </c>
      <c r="K59" s="10" t="s">
        <v>3262</v>
      </c>
      <c r="L59" s="10" t="n">
        <f aca="false">IF(AND(ISNUMBER($F59),ISNUMBER($G59),ISNUMBER($H59)),IF(AND($G59&lt;=$F59,$F59&lt;=$H59),0,1),0)</f>
        <v>0</v>
      </c>
      <c r="M59" s="10" t="n">
        <f aca="false">IF(AND(OR($I59="Analogy",$I59="Assumed"),OR($G59="",$H59="")),1,0)</f>
        <v>0</v>
      </c>
    </row>
    <row r="60" customFormat="false" ht="15" hidden="false" customHeight="false" outlineLevel="0" collapsed="false">
      <c r="A60" s="10" t="s">
        <v>3364</v>
      </c>
      <c r="B60" s="10" t="s">
        <v>3365</v>
      </c>
      <c r="C60" s="10" t="s">
        <v>3366</v>
      </c>
      <c r="D60" s="10" t="s">
        <v>2113</v>
      </c>
      <c r="E60" s="11" t="s">
        <v>3105</v>
      </c>
      <c r="F60" s="12" t="n">
        <v>0.3</v>
      </c>
      <c r="G60" s="12" t="n">
        <v>0.15</v>
      </c>
      <c r="H60" s="12" t="n">
        <v>0.45</v>
      </c>
      <c r="I60" s="10" t="s">
        <v>3227</v>
      </c>
      <c r="J60" s="10" t="s">
        <v>3367</v>
      </c>
      <c r="K60" s="10" t="s">
        <v>3368</v>
      </c>
      <c r="L60" s="10" t="n">
        <f aca="false">IF(AND(ISNUMBER($F60),ISNUMBER($G60),ISNUMBER($H60)),IF(AND($G60&lt;=$F60,$F60&lt;=$H60),0,1),0)</f>
        <v>0</v>
      </c>
      <c r="M60" s="10" t="n">
        <f aca="false">IF(AND(OR($I60="Analogy",$I60="Assumed"),OR($G60="",$H60="")),1,0)</f>
        <v>0</v>
      </c>
    </row>
    <row r="61" customFormat="false" ht="15" hidden="false" customHeight="false" outlineLevel="0" collapsed="false">
      <c r="A61" s="10" t="s">
        <v>3369</v>
      </c>
      <c r="B61" s="10" t="s">
        <v>3370</v>
      </c>
      <c r="C61" s="10" t="s">
        <v>3371</v>
      </c>
      <c r="D61" s="10" t="s">
        <v>2113</v>
      </c>
      <c r="E61" s="11" t="s">
        <v>3105</v>
      </c>
      <c r="F61" s="12" t="n">
        <v>0.3</v>
      </c>
      <c r="G61" s="12" t="n">
        <v>0.1</v>
      </c>
      <c r="H61" s="12" t="n">
        <v>0.5</v>
      </c>
      <c r="I61" s="10" t="s">
        <v>3227</v>
      </c>
      <c r="J61" s="11" t="s">
        <v>3372</v>
      </c>
      <c r="K61" s="10" t="s">
        <v>3373</v>
      </c>
      <c r="L61" s="10" t="n">
        <f aca="false">IF(AND(ISNUMBER($F61),ISNUMBER($G61),ISNUMBER($H61)),IF(AND($G61&lt;=$F61,$F61&lt;=$H61),0,1),0)</f>
        <v>0</v>
      </c>
      <c r="M61" s="10" t="n">
        <f aca="false">IF(AND(OR($I61="Analogy",$I61="Assumed"),OR($G61="",$H61="")),1,0)</f>
        <v>0</v>
      </c>
    </row>
    <row r="62" customFormat="false" ht="15" hidden="false" customHeight="false" outlineLevel="0" collapsed="false">
      <c r="A62" s="10" t="s">
        <v>3374</v>
      </c>
      <c r="B62" s="10" t="s">
        <v>3375</v>
      </c>
      <c r="C62" s="10" t="s">
        <v>3376</v>
      </c>
      <c r="D62" s="10" t="s">
        <v>2113</v>
      </c>
      <c r="E62" s="11" t="s">
        <v>3105</v>
      </c>
      <c r="F62" s="12" t="n">
        <v>0.2</v>
      </c>
      <c r="G62" s="12" t="n">
        <v>0.1</v>
      </c>
      <c r="H62" s="12" t="n">
        <v>0.3</v>
      </c>
      <c r="I62" s="10" t="s">
        <v>3227</v>
      </c>
      <c r="J62" s="11" t="s">
        <v>3377</v>
      </c>
      <c r="K62" s="10" t="s">
        <v>3378</v>
      </c>
      <c r="L62" s="10" t="n">
        <f aca="false">IF(AND(ISNUMBER($F62),ISNUMBER($G62),ISNUMBER($H62)),IF(AND($G62&lt;=$F62,$F62&lt;=$H62),0,1),0)</f>
        <v>0</v>
      </c>
      <c r="M62" s="10" t="n">
        <f aca="false">IF(AND(OR($I62="Analogy",$I62="Assumed"),OR($G62="",$H62="")),1,0)</f>
        <v>0</v>
      </c>
    </row>
    <row r="63" customFormat="false" ht="15" hidden="false" customHeight="false" outlineLevel="0" collapsed="false">
      <c r="A63" s="10" t="s">
        <v>3379</v>
      </c>
      <c r="B63" s="10" t="s">
        <v>3380</v>
      </c>
      <c r="C63" s="10" t="s">
        <v>3381</v>
      </c>
      <c r="D63" s="10" t="s">
        <v>3269</v>
      </c>
      <c r="E63" s="11" t="s">
        <v>3274</v>
      </c>
      <c r="F63" s="12" t="n">
        <v>0</v>
      </c>
      <c r="G63" s="12" t="n">
        <v>-0.2</v>
      </c>
      <c r="H63" s="12" t="n">
        <v>0.2</v>
      </c>
      <c r="I63" s="10" t="s">
        <v>3227</v>
      </c>
      <c r="J63" s="10" t="s">
        <v>3382</v>
      </c>
      <c r="K63" s="10" t="s">
        <v>3383</v>
      </c>
      <c r="L63" s="10" t="n">
        <f aca="false">IF(AND(ISNUMBER($F63),ISNUMBER($G63),ISNUMBER($H63)),IF(AND($G63&lt;=$F63,$F63&lt;=$H63),0,1),0)</f>
        <v>0</v>
      </c>
      <c r="M63" s="10" t="n">
        <f aca="false">IF(AND(OR($I63="Analogy",$I63="Assumed"),OR($G63="",$H63="")),1,0)</f>
        <v>0</v>
      </c>
    </row>
    <row r="64" customFormat="false" ht="15" hidden="false" customHeight="false" outlineLevel="0" collapsed="false">
      <c r="A64" s="10" t="s">
        <v>3384</v>
      </c>
      <c r="B64" s="10" t="s">
        <v>3385</v>
      </c>
      <c r="C64" s="10" t="s">
        <v>3386</v>
      </c>
      <c r="D64" s="10" t="s">
        <v>2113</v>
      </c>
      <c r="E64" s="11" t="s">
        <v>3105</v>
      </c>
      <c r="F64" s="12" t="n">
        <v>0.15</v>
      </c>
      <c r="G64" s="12" t="n">
        <v>0.05</v>
      </c>
      <c r="H64" s="12" t="n">
        <v>0.4</v>
      </c>
      <c r="I64" s="10" t="s">
        <v>3227</v>
      </c>
      <c r="J64" s="11" t="s">
        <v>3387</v>
      </c>
      <c r="K64" s="10" t="s">
        <v>3357</v>
      </c>
      <c r="L64" s="10" t="n">
        <f aca="false">IF(AND(ISNUMBER($F64),ISNUMBER($G64),ISNUMBER($H64)),IF(AND($G64&lt;=$F64,$F64&lt;=$H64),0,1),0)</f>
        <v>0</v>
      </c>
      <c r="M64" s="10" t="n">
        <f aca="false">IF(AND(OR($I64="Analogy",$I64="Assumed"),OR($G64="",$H64="")),1,0)</f>
        <v>0</v>
      </c>
    </row>
    <row r="65" customFormat="false" ht="15" hidden="false" customHeight="false" outlineLevel="0" collapsed="false">
      <c r="A65" s="10" t="s">
        <v>3388</v>
      </c>
      <c r="B65" s="10" t="s">
        <v>3389</v>
      </c>
      <c r="C65" s="10" t="s">
        <v>3390</v>
      </c>
      <c r="D65" s="10" t="s">
        <v>2113</v>
      </c>
      <c r="E65" s="11" t="s">
        <v>1526</v>
      </c>
      <c r="F65" s="12" t="n">
        <v>17.5</v>
      </c>
      <c r="G65" s="12" t="n">
        <v>15</v>
      </c>
      <c r="H65" s="12" t="n">
        <v>20</v>
      </c>
      <c r="I65" s="10" t="s">
        <v>628</v>
      </c>
      <c r="J65" s="10" t="s">
        <v>3391</v>
      </c>
      <c r="K65" s="10" t="s">
        <v>3392</v>
      </c>
      <c r="L65" s="10" t="n">
        <f aca="false">IF(AND(ISNUMBER($F65),ISNUMBER($G65),ISNUMBER($H65)),IF(AND($G65&lt;=$F65,$F65&lt;=$H65),0,1),0)</f>
        <v>0</v>
      </c>
      <c r="M65" s="10" t="n">
        <f aca="false">IF(AND(OR($I65="Analogy",$I65="Assumed"),OR($G65="",$H65="")),1,0)</f>
        <v>0</v>
      </c>
    </row>
    <row r="66" customFormat="false" ht="15" hidden="false" customHeight="false" outlineLevel="0" collapsed="false">
      <c r="A66" s="10" t="s">
        <v>3393</v>
      </c>
      <c r="B66" s="10" t="s">
        <v>3394</v>
      </c>
      <c r="C66" s="10" t="s">
        <v>3395</v>
      </c>
      <c r="D66" s="10" t="s">
        <v>2113</v>
      </c>
      <c r="E66" s="10" t="s">
        <v>3396</v>
      </c>
      <c r="F66" s="12" t="n">
        <v>20</v>
      </c>
      <c r="G66" s="12" t="n">
        <v>10</v>
      </c>
      <c r="H66" s="12" t="n">
        <v>40</v>
      </c>
      <c r="I66" s="10" t="s">
        <v>3227</v>
      </c>
      <c r="J66" s="11" t="s">
        <v>3397</v>
      </c>
      <c r="K66" s="10" t="s">
        <v>3398</v>
      </c>
      <c r="L66" s="10" t="n">
        <f aca="false">IF(AND(ISNUMBER($F66),ISNUMBER($G66),ISNUMBER($H66)),IF(AND($G66&lt;=$F66,$F66&lt;=$H66),0,1),0)</f>
        <v>0</v>
      </c>
      <c r="M66" s="10" t="n">
        <f aca="false">IF(AND(OR($I66="Analogy",$I66="Assumed"),OR($G66="",$H66="")),1,0)</f>
        <v>0</v>
      </c>
    </row>
    <row r="67" customFormat="false" ht="15" hidden="false" customHeight="false" outlineLevel="0" collapsed="false">
      <c r="A67" s="10" t="s">
        <v>3399</v>
      </c>
      <c r="B67" s="10" t="s">
        <v>3400</v>
      </c>
      <c r="C67" s="10" t="s">
        <v>3401</v>
      </c>
      <c r="D67" s="10" t="s">
        <v>2113</v>
      </c>
      <c r="E67" s="11" t="s">
        <v>3105</v>
      </c>
      <c r="F67" s="12" t="n">
        <v>0.9</v>
      </c>
      <c r="G67" s="12" t="n">
        <v>0.7</v>
      </c>
      <c r="H67" s="12" t="n">
        <v>1</v>
      </c>
      <c r="I67" s="10" t="s">
        <v>3227</v>
      </c>
      <c r="J67" s="10" t="s">
        <v>3402</v>
      </c>
      <c r="K67" s="10" t="s">
        <v>3403</v>
      </c>
      <c r="L67" s="10" t="n">
        <f aca="false">IF(AND(ISNUMBER($F67),ISNUMBER($G67),ISNUMBER($H67)),IF(AND($G67&lt;=$F67,$F67&lt;=$H67),0,1),0)</f>
        <v>0</v>
      </c>
      <c r="M67" s="10" t="n">
        <f aca="false">IF(AND(OR($I67="Analogy",$I67="Assumed"),OR($G67="",$H67="")),1,0)</f>
        <v>0</v>
      </c>
    </row>
    <row r="68" customFormat="false" ht="15" hidden="false" customHeight="false" outlineLevel="0" collapsed="false">
      <c r="A68" s="10" t="s">
        <v>3404</v>
      </c>
      <c r="B68" s="10" t="s">
        <v>3405</v>
      </c>
      <c r="C68" s="11" t="s">
        <v>3406</v>
      </c>
      <c r="D68" s="10" t="s">
        <v>3065</v>
      </c>
      <c r="E68" s="11" t="s">
        <v>3407</v>
      </c>
      <c r="F68" s="12" t="n">
        <v>10</v>
      </c>
      <c r="G68" s="12" t="n">
        <v>3</v>
      </c>
      <c r="H68" s="12" t="n">
        <v>30</v>
      </c>
      <c r="I68" s="10" t="s">
        <v>3227</v>
      </c>
      <c r="J68" s="10" t="s">
        <v>3408</v>
      </c>
      <c r="K68" s="10" t="s">
        <v>3409</v>
      </c>
      <c r="L68" s="10" t="n">
        <f aca="false">IF(AND(ISNUMBER($F68),ISNUMBER($G68),ISNUMBER($H68)),IF(AND($G68&lt;=$F68,$F68&lt;=$H68),0,1),0)</f>
        <v>0</v>
      </c>
      <c r="M68" s="10" t="n">
        <f aca="false">IF(AND(OR($I68="Analogy",$I68="Assumed"),OR($G68="",$H68="")),1,0)</f>
        <v>0</v>
      </c>
    </row>
    <row r="69" customFormat="false" ht="15" hidden="false" customHeight="false" outlineLevel="0" collapsed="false">
      <c r="A69" s="10" t="s">
        <v>3410</v>
      </c>
      <c r="B69" s="10" t="s">
        <v>3411</v>
      </c>
      <c r="C69" s="11" t="s">
        <v>3412</v>
      </c>
      <c r="D69" s="10" t="s">
        <v>3413</v>
      </c>
      <c r="E69" s="11" t="s">
        <v>3274</v>
      </c>
      <c r="F69" s="12" t="n">
        <v>0.1</v>
      </c>
      <c r="G69" s="12" t="n">
        <v>-0.2</v>
      </c>
      <c r="H69" s="12" t="n">
        <v>0.5</v>
      </c>
      <c r="I69" s="10" t="s">
        <v>3227</v>
      </c>
      <c r="J69" s="11" t="s">
        <v>3414</v>
      </c>
      <c r="K69" s="10" t="s">
        <v>3415</v>
      </c>
      <c r="L69" s="10" t="n">
        <f aca="false">IF(AND(ISNUMBER($F69),ISNUMBER($G69),ISNUMBER($H69)),IF(AND($G69&lt;=$F69,$F69&lt;=$H69),0,1),0)</f>
        <v>0</v>
      </c>
      <c r="M69" s="10" t="n">
        <f aca="false">IF(AND(OR($I69="Analogy",$I69="Assumed"),OR($G69="",$H69="")),1,0)</f>
        <v>0</v>
      </c>
    </row>
    <row r="70" customFormat="false" ht="15" hidden="false" customHeight="false" outlineLevel="0" collapsed="false">
      <c r="A70" s="10" t="s">
        <v>3416</v>
      </c>
      <c r="B70" s="10" t="s">
        <v>3417</v>
      </c>
      <c r="C70" s="11" t="s">
        <v>3418</v>
      </c>
      <c r="D70" s="10" t="s">
        <v>2113</v>
      </c>
      <c r="E70" s="11" t="s">
        <v>3419</v>
      </c>
      <c r="F70" s="12" t="n">
        <v>1</v>
      </c>
      <c r="G70" s="12" t="n">
        <v>0.3</v>
      </c>
      <c r="H70" s="12" t="n">
        <v>3</v>
      </c>
      <c r="I70" s="10" t="s">
        <v>1300</v>
      </c>
      <c r="J70" s="10" t="s">
        <v>3420</v>
      </c>
      <c r="K70" s="10" t="s">
        <v>3421</v>
      </c>
      <c r="L70" s="10" t="n">
        <f aca="false">IF(AND(ISNUMBER($F70),ISNUMBER($G70),ISNUMBER($H70)),IF(AND($G70&lt;=$F70,$F70&lt;=$H70),0,1),0)</f>
        <v>0</v>
      </c>
      <c r="M70" s="10" t="n">
        <f aca="false">IF(AND(OR($I70="Analogy",$I70="Assumed"),OR($G70="",$H70="")),1,0)</f>
        <v>0</v>
      </c>
    </row>
    <row r="71" customFormat="false" ht="15" hidden="false" customHeight="false" outlineLevel="0" collapsed="false">
      <c r="A71" s="10" t="s">
        <v>3422</v>
      </c>
      <c r="B71" s="10" t="s">
        <v>3423</v>
      </c>
      <c r="C71" s="11" t="s">
        <v>3424</v>
      </c>
      <c r="D71" s="10" t="s">
        <v>2113</v>
      </c>
      <c r="E71" s="10" t="s">
        <v>3284</v>
      </c>
      <c r="F71" s="12" t="n">
        <v>3</v>
      </c>
      <c r="G71" s="12" t="n">
        <v>1</v>
      </c>
      <c r="H71" s="12" t="n">
        <v>10</v>
      </c>
      <c r="I71" s="10" t="s">
        <v>1300</v>
      </c>
      <c r="J71" s="10" t="s">
        <v>3425</v>
      </c>
      <c r="K71" s="10" t="s">
        <v>3426</v>
      </c>
      <c r="L71" s="10" t="n">
        <f aca="false">IF(AND(ISNUMBER($F71),ISNUMBER($G71),ISNUMBER($H71)),IF(AND($G71&lt;=$F71,$F71&lt;=$H71),0,1),0)</f>
        <v>0</v>
      </c>
      <c r="M71" s="10" t="n">
        <f aca="false">IF(AND(OR($I71="Analogy",$I71="Assumed"),OR($G71="",$H71="")),1,0)</f>
        <v>0</v>
      </c>
    </row>
    <row r="72" customFormat="false" ht="15" hidden="false" customHeight="false" outlineLevel="0" collapsed="false">
      <c r="A72" s="10" t="s">
        <v>3427</v>
      </c>
      <c r="B72" s="10" t="s">
        <v>3428</v>
      </c>
      <c r="C72" s="11" t="s">
        <v>3429</v>
      </c>
      <c r="D72" s="10" t="s">
        <v>2113</v>
      </c>
      <c r="E72" s="11" t="s">
        <v>3105</v>
      </c>
      <c r="F72" s="12" t="n">
        <v>0.3</v>
      </c>
      <c r="G72" s="12" t="n">
        <v>0.1</v>
      </c>
      <c r="H72" s="12" t="n">
        <v>0.6</v>
      </c>
      <c r="I72" s="10" t="s">
        <v>3227</v>
      </c>
      <c r="J72" s="11" t="s">
        <v>3430</v>
      </c>
      <c r="K72" s="10" t="s">
        <v>3354</v>
      </c>
      <c r="L72" s="10" t="n">
        <f aca="false">IF(AND(ISNUMBER($F72),ISNUMBER($G72),ISNUMBER($H72)),IF(AND($G72&lt;=$F72,$F72&lt;=$H72),0,1),0)</f>
        <v>0</v>
      </c>
      <c r="M72" s="10" t="n">
        <f aca="false">IF(AND(OR($I72="Analogy",$I72="Assumed"),OR($G72="",$H72="")),1,0)</f>
        <v>0</v>
      </c>
    </row>
    <row r="73" customFormat="false" ht="15" hidden="false" customHeight="false" outlineLevel="0" collapsed="false">
      <c r="A73" s="10" t="s">
        <v>3431</v>
      </c>
      <c r="B73" s="10" t="s">
        <v>3432</v>
      </c>
      <c r="C73" s="11" t="s">
        <v>3433</v>
      </c>
      <c r="D73" s="10" t="s">
        <v>3158</v>
      </c>
      <c r="E73" s="11" t="s">
        <v>3105</v>
      </c>
      <c r="F73" s="12" t="n">
        <v>1</v>
      </c>
      <c r="G73" s="12" t="n">
        <v>0</v>
      </c>
      <c r="H73" s="12" t="n">
        <v>1</v>
      </c>
      <c r="I73" s="10" t="s">
        <v>3227</v>
      </c>
      <c r="J73" s="11" t="s">
        <v>3434</v>
      </c>
      <c r="K73" s="10" t="s">
        <v>3435</v>
      </c>
      <c r="L73" s="10" t="n">
        <f aca="false">IF(AND(ISNUMBER($F73),ISNUMBER($G73),ISNUMBER($H73)),IF(AND($G73&lt;=$F73,$F73&lt;=$H73),0,1),0)</f>
        <v>0</v>
      </c>
      <c r="M73" s="10" t="n">
        <f aca="false">IF(AND(OR($I73="Analogy",$I73="Assumed"),OR($G73="",$H73="")),1,0)</f>
        <v>0</v>
      </c>
    </row>
    <row r="74" customFormat="false" ht="15" hidden="false" customHeight="false" outlineLevel="0" collapsed="false">
      <c r="A74" s="10" t="s">
        <v>3436</v>
      </c>
      <c r="B74" s="10" t="s">
        <v>3437</v>
      </c>
      <c r="C74" s="11" t="s">
        <v>3438</v>
      </c>
      <c r="D74" s="10" t="s">
        <v>3269</v>
      </c>
      <c r="E74" s="11" t="s">
        <v>3274</v>
      </c>
      <c r="F74" s="12" t="n">
        <v>0</v>
      </c>
      <c r="G74" s="12" t="n">
        <v>-0.2</v>
      </c>
      <c r="H74" s="12" t="n">
        <v>0.2</v>
      </c>
      <c r="I74" s="10" t="s">
        <v>3227</v>
      </c>
      <c r="J74" s="11" t="s">
        <v>3439</v>
      </c>
      <c r="K74" s="11" t="s">
        <v>3440</v>
      </c>
      <c r="L74" s="10" t="n">
        <f aca="false">IF(AND(ISNUMBER($F74),ISNUMBER($G74),ISNUMBER($H74)),IF(AND($G74&lt;=$F74,$F74&lt;=$H74),0,1),0)</f>
        <v>0</v>
      </c>
      <c r="M74" s="10" t="n">
        <f aca="false">IF(AND(OR($I74="Analogy",$I74="Assumed"),OR($G74="",$H74="")),1,0)</f>
        <v>0</v>
      </c>
    </row>
    <row r="75" customFormat="false" ht="15" hidden="false" customHeight="false" outlineLevel="0" collapsed="false">
      <c r="A75" s="10" t="s">
        <v>3441</v>
      </c>
      <c r="B75" s="10" t="s">
        <v>3442</v>
      </c>
      <c r="C75" s="11" t="s">
        <v>3443</v>
      </c>
      <c r="D75" s="11" t="s">
        <v>3444</v>
      </c>
      <c r="E75" s="10" t="s">
        <v>55</v>
      </c>
      <c r="F75" s="12" t="n">
        <v>0</v>
      </c>
      <c r="G75" s="12" t="n">
        <v>0</v>
      </c>
      <c r="H75" s="12" t="n">
        <v>0</v>
      </c>
      <c r="I75" s="10" t="s">
        <v>3127</v>
      </c>
      <c r="J75" s="11" t="s">
        <v>3445</v>
      </c>
      <c r="K75" s="11" t="s">
        <v>3446</v>
      </c>
      <c r="L75" s="10" t="n">
        <f aca="false">IF(AND(ISNUMBER($F75),ISNUMBER($G75),ISNUMBER($H75)),IF(AND($G75&lt;=$F75,$F75&lt;=$H75),0,1),0)</f>
        <v>0</v>
      </c>
      <c r="M75" s="10" t="n">
        <f aca="false">IF(AND(OR($I75="Analogy",$I75="Assumed"),OR($G75="",$H75="")),1,0)</f>
        <v>0</v>
      </c>
    </row>
    <row r="76" customFormat="false" ht="15" hidden="false" customHeight="false" outlineLevel="0" collapsed="false">
      <c r="A76" s="10" t="s">
        <v>3447</v>
      </c>
      <c r="B76" s="10" t="s">
        <v>3448</v>
      </c>
      <c r="C76" s="11" t="s">
        <v>3449</v>
      </c>
      <c r="D76" s="11" t="s">
        <v>3444</v>
      </c>
      <c r="E76" s="11" t="s">
        <v>3105</v>
      </c>
      <c r="F76" s="12" t="n">
        <v>1</v>
      </c>
      <c r="G76" s="12" t="n">
        <v>1</v>
      </c>
      <c r="H76" s="12" t="n">
        <v>1</v>
      </c>
      <c r="I76" s="10" t="s">
        <v>3127</v>
      </c>
      <c r="J76" s="11" t="s">
        <v>3450</v>
      </c>
      <c r="K76" s="11" t="s">
        <v>3451</v>
      </c>
      <c r="L76" s="10" t="n">
        <f aca="false">IF(AND(ISNUMBER($F76),ISNUMBER($G76),ISNUMBER($H76)),IF(AND($G76&lt;=$F76,$F76&lt;=$H76),0,1),0)</f>
        <v>0</v>
      </c>
      <c r="M76" s="10" t="n">
        <f aca="false">IF(AND(OR($I76="Analogy",$I76="Assumed"),OR($G76="",$H76="")),1,0)</f>
        <v>0</v>
      </c>
    </row>
    <row r="77" customFormat="false" ht="15" hidden="false" customHeight="false" outlineLevel="0" collapsed="false">
      <c r="A77" s="10" t="s">
        <v>3452</v>
      </c>
      <c r="B77" s="10" t="s">
        <v>3453</v>
      </c>
      <c r="C77" s="10" t="s">
        <v>3454</v>
      </c>
      <c r="D77" s="10" t="s">
        <v>2113</v>
      </c>
      <c r="E77" s="11" t="s">
        <v>3105</v>
      </c>
      <c r="F77" s="12" t="n">
        <v>0.25</v>
      </c>
      <c r="G77" s="12" t="n">
        <v>0.25</v>
      </c>
      <c r="H77" s="12" t="n">
        <v>0.25</v>
      </c>
      <c r="I77" s="10" t="s">
        <v>3127</v>
      </c>
      <c r="J77" s="11" t="s">
        <v>3455</v>
      </c>
      <c r="K77" s="11" t="s">
        <v>3456</v>
      </c>
      <c r="L77" s="10" t="n">
        <f aca="false">IF(AND(ISNUMBER($F77),ISNUMBER($G77),ISNUMBER($H77)),IF(AND($G77&lt;=$F77,$F77&lt;=$H77),0,1),0)</f>
        <v>0</v>
      </c>
      <c r="M77" s="10" t="n">
        <f aca="false">IF(AND(OR($I77="Analogy",$I77="Assumed"),OR($G77="",$H77="")),1,0)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3457</v>
      </c>
    </row>
    <row r="2" customFormat="false" ht="15" hidden="false" customHeight="false" outlineLevel="0" collapsed="false">
      <c r="A2" s="13" t="s">
        <v>3458</v>
      </c>
    </row>
    <row r="3" customFormat="false" ht="15" hidden="false" customHeight="false" outlineLevel="0" collapsed="false">
      <c r="A3" s="13" t="s">
        <v>3459</v>
      </c>
    </row>
    <row r="5" customFormat="false" ht="15" hidden="false" customHeight="false" outlineLevel="0" collapsed="false">
      <c r="A5" s="9" t="s">
        <v>3460</v>
      </c>
      <c r="B5" s="9" t="s">
        <v>31</v>
      </c>
      <c r="C5" s="9" t="s">
        <v>35</v>
      </c>
      <c r="D5" s="8" t="s">
        <v>3065</v>
      </c>
      <c r="E5" s="8" t="s">
        <v>1900</v>
      </c>
      <c r="F5" s="8" t="s">
        <v>3066</v>
      </c>
      <c r="G5" s="8" t="s">
        <v>3067</v>
      </c>
      <c r="H5" s="8" t="s">
        <v>3068</v>
      </c>
      <c r="I5" s="8" t="s">
        <v>3069</v>
      </c>
      <c r="J5" s="9"/>
      <c r="K5" s="8" t="s">
        <v>654</v>
      </c>
      <c r="L5" s="8" t="s">
        <v>3158</v>
      </c>
      <c r="M5" s="9" t="s">
        <v>2834</v>
      </c>
    </row>
    <row r="6" customFormat="false" ht="15" hidden="false" customHeight="false" outlineLevel="0" collapsed="false">
      <c r="B6" s="3" t="s">
        <v>3461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3462</v>
      </c>
      <c r="L6" s="6" t="s">
        <v>3463</v>
      </c>
    </row>
    <row r="7" customFormat="false" ht="15" hidden="false" customHeight="false" outlineLevel="0" collapsed="false">
      <c r="A7" s="15" t="s">
        <v>3464</v>
      </c>
    </row>
    <row r="8" customFormat="false" ht="15" hidden="false" customHeight="false" outlineLevel="0" collapsed="false">
      <c r="A8" s="10" t="s">
        <v>3465</v>
      </c>
      <c r="B8" s="11" t="s">
        <v>3466</v>
      </c>
      <c r="C8" s="11" t="s">
        <v>1701</v>
      </c>
      <c r="F8" s="16" t="n">
        <f aca="false">Revenue!F24/Revenue!L24</f>
        <v>0.8</v>
      </c>
      <c r="G8" s="16" t="n">
        <f aca="false">Revenue!G24/Revenue!F24</f>
        <v>0.8</v>
      </c>
      <c r="H8" s="16" t="n">
        <f aca="false">Revenue!H24/Revenue!G24</f>
        <v>0.8</v>
      </c>
      <c r="I8" s="16" t="n">
        <f aca="false">Revenue!I24/Revenue!H24</f>
        <v>0.8</v>
      </c>
      <c r="L8" s="16" t="n">
        <f aca="false">Revenue!L24/Revenue!K24</f>
        <v>1.26963127239957</v>
      </c>
      <c r="M8" s="13" t="s">
        <v>3467</v>
      </c>
    </row>
    <row r="9" customFormat="false" ht="15" hidden="false" customHeight="false" outlineLevel="0" collapsed="false">
      <c r="A9" s="10" t="s">
        <v>3468</v>
      </c>
      <c r="B9" s="10" t="s">
        <v>3469</v>
      </c>
      <c r="C9" s="10" t="s">
        <v>3284</v>
      </c>
      <c r="D9" s="10" t="n">
        <f aca="false">INP_037</f>
        <v>20</v>
      </c>
      <c r="E9" s="10" t="n">
        <f aca="false">E11/E10</f>
        <v>20.3167410759138</v>
      </c>
      <c r="F9" s="10" t="n">
        <f aca="false">E9*(1+INP_044)*F8^INP_046</f>
        <v>24.9818668950436</v>
      </c>
      <c r="G9" s="10" t="n">
        <f aca="false">F9*(1+INP_044)*G8^INP_046</f>
        <v>30.7181979250383</v>
      </c>
      <c r="H9" s="10" t="n">
        <f aca="false">G9*(1+INP_044)*H8^INP_046</f>
        <v>37.7717040814527</v>
      </c>
      <c r="I9" s="10" t="n">
        <f aca="false">H9*(1+INP_044)*I8^INP_046</f>
        <v>46.4448348401952</v>
      </c>
      <c r="K9" s="10" t="n">
        <f aca="false">INP_037</f>
        <v>20</v>
      </c>
      <c r="L9" s="10" t="n">
        <f aca="false">K9*(1+INP_039)*L8^INP_046</f>
        <v>20.4795022744763</v>
      </c>
      <c r="M9" s="2" t="s">
        <v>3470</v>
      </c>
    </row>
    <row r="10" customFormat="false" ht="15" hidden="false" customHeight="false" outlineLevel="0" collapsed="false">
      <c r="A10" s="10" t="s">
        <v>3471</v>
      </c>
      <c r="B10" s="10" t="s">
        <v>3472</v>
      </c>
      <c r="C10" s="11" t="s">
        <v>3473</v>
      </c>
      <c r="D10" s="10" t="n">
        <f aca="false">D11/D9</f>
        <v>3.32307569727226</v>
      </c>
      <c r="E10" s="10" t="n">
        <f aca="false">K10+L10</f>
        <v>26.8804581493243</v>
      </c>
      <c r="F10" s="10" t="n">
        <f aca="false">E10*(1+INP_040)*F8^INP_045</f>
        <v>56.5647902120621</v>
      </c>
      <c r="G10" s="10" t="n">
        <f aca="false">F10*(1+INP_041)*G8^INP_045</f>
        <v>99.1914979635811</v>
      </c>
      <c r="H10" s="10" t="n">
        <f aca="false">G10*(1+INP_042)*H8^INP_045</f>
        <v>156.547171981642</v>
      </c>
      <c r="I10" s="10" t="n">
        <f aca="false">H10*(1+INP_043)*I8^INP_045</f>
        <v>228.766405635706</v>
      </c>
      <c r="K10" s="10" t="n">
        <f aca="false">K11/K9</f>
        <v>9.12424365676369</v>
      </c>
      <c r="L10" s="10" t="n">
        <f aca="false">K10*(1+INP_038)*L8^INP_045</f>
        <v>17.7562144925606</v>
      </c>
      <c r="M10" s="2" t="s">
        <v>3474</v>
      </c>
    </row>
    <row r="11" customFormat="false" ht="15" hidden="false" customHeight="false" outlineLevel="0" collapsed="false">
      <c r="A11" s="10" t="s">
        <v>3475</v>
      </c>
      <c r="B11" s="10" t="s">
        <v>3476</v>
      </c>
      <c r="C11" s="10" t="s">
        <v>3079</v>
      </c>
      <c r="D11" s="16" t="n">
        <f aca="false">Revenue!D44*INP_015/Revenue!D24</f>
        <v>66.4615139454451</v>
      </c>
      <c r="E11" s="10" t="n">
        <f aca="false">K11+L11</f>
        <v>546.123308221758</v>
      </c>
      <c r="F11" s="10" t="n">
        <f aca="false">F10*F9</f>
        <v>1413.0940600238</v>
      </c>
      <c r="G11" s="10" t="n">
        <f aca="false">G10*G9</f>
        <v>3046.98406692631</v>
      </c>
      <c r="H11" s="10" t="n">
        <f aca="false">H10*H9</f>
        <v>5913.05345487888</v>
      </c>
      <c r="I11" s="10" t="n">
        <f aca="false">I10*I9</f>
        <v>10625.0179267355</v>
      </c>
      <c r="K11" s="16" t="n">
        <f aca="false">Revenue!K44*INP_015/Revenue!K24</f>
        <v>182.484873135274</v>
      </c>
      <c r="L11" s="10" t="n">
        <f aca="false">L10*L9</f>
        <v>363.638435086484</v>
      </c>
      <c r="M11" s="13" t="s">
        <v>3477</v>
      </c>
    </row>
    <row r="12" customFormat="false" ht="15" hidden="false" customHeight="false" outlineLevel="0" collapsed="false">
      <c r="A12" s="10" t="s">
        <v>3478</v>
      </c>
      <c r="B12" s="10" t="s">
        <v>3479</v>
      </c>
      <c r="C12" s="10" t="s">
        <v>3079</v>
      </c>
      <c r="D12" s="16" t="n">
        <f aca="false">D11*Revenue!D22</f>
        <v>39.8769083672671</v>
      </c>
      <c r="E12" s="10" t="n">
        <f aca="false">K12+L12</f>
        <v>382.286315755231</v>
      </c>
      <c r="F12" s="16" t="n">
        <f aca="false">F11*Revenue!F22</f>
        <v>989.165842016659</v>
      </c>
      <c r="G12" s="16" t="n">
        <f aca="false">G11*Revenue!G22</f>
        <v>2132.88884684842</v>
      </c>
      <c r="H12" s="16" t="n">
        <f aca="false">H11*Revenue!H22</f>
        <v>4139.13741841522</v>
      </c>
      <c r="I12" s="16" t="n">
        <f aca="false">I11*Revenue!I22</f>
        <v>7437.51254871484</v>
      </c>
      <c r="K12" s="16" t="n">
        <f aca="false">K11*Revenue!K22</f>
        <v>127.739411194692</v>
      </c>
      <c r="L12" s="16" t="n">
        <f aca="false">L11*Revenue!L22</f>
        <v>254.546904560539</v>
      </c>
      <c r="M12" s="13" t="s">
        <v>3480</v>
      </c>
    </row>
    <row r="13" customFormat="false" ht="15" hidden="false" customHeight="false" outlineLevel="0" collapsed="false">
      <c r="A13" s="10" t="s">
        <v>3481</v>
      </c>
      <c r="B13" s="10" t="s">
        <v>3482</v>
      </c>
      <c r="C13" s="10" t="s">
        <v>3079</v>
      </c>
      <c r="D13" s="16" t="n">
        <f aca="false">D11*Revenue!D23</f>
        <v>26.5846055781781</v>
      </c>
      <c r="E13" s="10" t="n">
        <f aca="false">K13+L13</f>
        <v>163.836992466527</v>
      </c>
      <c r="F13" s="16" t="n">
        <f aca="false">F11*Revenue!F23</f>
        <v>423.92821800714</v>
      </c>
      <c r="G13" s="16" t="n">
        <f aca="false">G11*Revenue!G23</f>
        <v>914.095220077895</v>
      </c>
      <c r="H13" s="16" t="n">
        <f aca="false">H11*Revenue!H23</f>
        <v>1773.91603646366</v>
      </c>
      <c r="I13" s="16" t="n">
        <f aca="false">I11*Revenue!I23</f>
        <v>3187.50537802065</v>
      </c>
      <c r="K13" s="16" t="n">
        <f aca="false">K11*Revenue!K23</f>
        <v>54.7454619405822</v>
      </c>
      <c r="L13" s="16" t="n">
        <f aca="false">L11*Revenue!L23</f>
        <v>109.091530525945</v>
      </c>
      <c r="M13" s="13" t="s">
        <v>3480</v>
      </c>
    </row>
    <row r="14" customFormat="false" ht="15" hidden="false" customHeight="false" outlineLevel="0" collapsed="false">
      <c r="A14" s="10" t="s">
        <v>3483</v>
      </c>
      <c r="B14" s="11" t="s">
        <v>3484</v>
      </c>
      <c r="C14" s="10" t="s">
        <v>3079</v>
      </c>
      <c r="D14" s="10" t="n">
        <f aca="false">D11*INP_047</f>
        <v>19.9384541836335</v>
      </c>
      <c r="E14" s="10" t="n">
        <f aca="false">K14+L14</f>
        <v>163.836992466527</v>
      </c>
      <c r="F14" s="10" t="n">
        <f aca="false">F11*INP_047</f>
        <v>423.92821800714</v>
      </c>
      <c r="G14" s="10" t="n">
        <f aca="false">G11*INP_047</f>
        <v>914.095220077894</v>
      </c>
      <c r="H14" s="10" t="n">
        <f aca="false">H11*INP_047</f>
        <v>1773.91603646366</v>
      </c>
      <c r="I14" s="10" t="n">
        <f aca="false">I11*INP_047</f>
        <v>3187.50537802065</v>
      </c>
      <c r="K14" s="10" t="n">
        <f aca="false">K11*INP_047</f>
        <v>54.7454619405821</v>
      </c>
      <c r="L14" s="10" t="n">
        <f aca="false">L11*INP_047</f>
        <v>109.091530525945</v>
      </c>
      <c r="M14" s="13" t="s">
        <v>3485</v>
      </c>
    </row>
    <row r="15" customFormat="false" ht="15" hidden="false" customHeight="false" outlineLevel="0" collapsed="false">
      <c r="A15" s="15" t="s">
        <v>3486</v>
      </c>
    </row>
    <row r="16" customFormat="false" ht="15" hidden="false" customHeight="false" outlineLevel="0" collapsed="false">
      <c r="A16" s="10" t="s">
        <v>3487</v>
      </c>
      <c r="B16" s="10" t="s">
        <v>3488</v>
      </c>
      <c r="C16" s="11" t="s">
        <v>3489</v>
      </c>
      <c r="D16" s="10" t="n">
        <f aca="false">SRC_ZP_402*INP_049</f>
        <v>3.63</v>
      </c>
      <c r="E16" s="10" t="n">
        <f aca="false">(K16+L16)/INP_013</f>
        <v>30.25</v>
      </c>
      <c r="F16" s="10" t="n">
        <f aca="false">E16*(1+INP_051)</f>
        <v>45.375</v>
      </c>
      <c r="G16" s="10" t="n">
        <f aca="false">F16*(1+INP_052)</f>
        <v>58.9875</v>
      </c>
      <c r="H16" s="10" t="n">
        <f aca="false">G16*(1+INP_053)</f>
        <v>70.785</v>
      </c>
      <c r="I16" s="10" t="n">
        <f aca="false">H16*(1+INP_054)</f>
        <v>81.40275</v>
      </c>
      <c r="K16" s="10" t="n">
        <f aca="false">SRC_ZP_402*INP_048</f>
        <v>24.2</v>
      </c>
      <c r="L16" s="10" t="n">
        <f aca="false">K16*(1+INP_050)</f>
        <v>36.3</v>
      </c>
      <c r="M16" s="13" t="s">
        <v>3490</v>
      </c>
    </row>
    <row r="17" customFormat="false" ht="15" hidden="false" customHeight="false" outlineLevel="0" collapsed="false">
      <c r="A17" s="10" t="s">
        <v>3491</v>
      </c>
      <c r="B17" s="10" t="s">
        <v>3492</v>
      </c>
      <c r="C17" s="11" t="s">
        <v>3489</v>
      </c>
      <c r="D17" s="16" t="n">
        <f aca="false">D16*Revenue!D35</f>
        <v>2.178</v>
      </c>
      <c r="E17" s="16" t="n">
        <f aca="false">E16*Revenue!E35</f>
        <v>18.15</v>
      </c>
      <c r="F17" s="16" t="n">
        <f aca="false">F16*Revenue!F35</f>
        <v>27.225</v>
      </c>
      <c r="G17" s="16" t="n">
        <f aca="false">G16*Revenue!G35</f>
        <v>35.3925</v>
      </c>
      <c r="H17" s="16" t="n">
        <f aca="false">H16*Revenue!H35</f>
        <v>42.471</v>
      </c>
      <c r="I17" s="16" t="n">
        <f aca="false">I16*Revenue!I35</f>
        <v>48.84165</v>
      </c>
      <c r="K17" s="16" t="n">
        <f aca="false">K16*Revenue!K35</f>
        <v>14.52</v>
      </c>
      <c r="L17" s="16" t="n">
        <f aca="false">L16*Revenue!L35</f>
        <v>21.78</v>
      </c>
      <c r="M17" s="2" t="s">
        <v>3493</v>
      </c>
    </row>
    <row r="18" customFormat="false" ht="15" hidden="false" customHeight="false" outlineLevel="0" collapsed="false">
      <c r="A18" s="10" t="s">
        <v>3494</v>
      </c>
      <c r="B18" s="10" t="s">
        <v>3495</v>
      </c>
      <c r="C18" s="11" t="s">
        <v>3489</v>
      </c>
      <c r="D18" s="16" t="n">
        <f aca="false">D16*Revenue!D36</f>
        <v>1.089</v>
      </c>
      <c r="E18" s="16" t="n">
        <f aca="false">E16*Revenue!E36</f>
        <v>9.075</v>
      </c>
      <c r="F18" s="16" t="n">
        <f aca="false">F16*Revenue!F36</f>
        <v>13.6125</v>
      </c>
      <c r="G18" s="16" t="n">
        <f aca="false">G16*Revenue!G36</f>
        <v>17.69625</v>
      </c>
      <c r="H18" s="16" t="n">
        <f aca="false">H16*Revenue!H36</f>
        <v>21.2355</v>
      </c>
      <c r="I18" s="16" t="n">
        <f aca="false">I16*Revenue!I36</f>
        <v>24.420825</v>
      </c>
      <c r="K18" s="16" t="n">
        <f aca="false">K16*Revenue!K36</f>
        <v>7.26</v>
      </c>
      <c r="L18" s="16" t="n">
        <f aca="false">L16*Revenue!L36</f>
        <v>10.89</v>
      </c>
      <c r="M18" s="2" t="s">
        <v>3493</v>
      </c>
    </row>
    <row r="19" customFormat="false" ht="15" hidden="false" customHeight="false" outlineLevel="0" collapsed="false">
      <c r="A19" s="10" t="s">
        <v>3496</v>
      </c>
      <c r="B19" s="10" t="s">
        <v>3497</v>
      </c>
      <c r="C19" s="11" t="s">
        <v>3489</v>
      </c>
      <c r="D19" s="16" t="n">
        <f aca="false">D16*Revenue!D37</f>
        <v>0.363</v>
      </c>
      <c r="E19" s="16" t="n">
        <f aca="false">E16*Revenue!E37</f>
        <v>3.025</v>
      </c>
      <c r="F19" s="16" t="n">
        <f aca="false">F16*Revenue!F37</f>
        <v>4.5375</v>
      </c>
      <c r="G19" s="16" t="n">
        <f aca="false">G16*Revenue!G37</f>
        <v>5.89875</v>
      </c>
      <c r="H19" s="16" t="n">
        <f aca="false">H16*Revenue!H37</f>
        <v>7.0785</v>
      </c>
      <c r="I19" s="16" t="n">
        <f aca="false">I16*Revenue!I37</f>
        <v>8.140275</v>
      </c>
      <c r="K19" s="16" t="n">
        <f aca="false">K16*Revenue!K37</f>
        <v>2.42</v>
      </c>
      <c r="L19" s="16" t="n">
        <f aca="false">L16*Revenue!L37</f>
        <v>3.63</v>
      </c>
      <c r="M19" s="2" t="s">
        <v>3493</v>
      </c>
    </row>
    <row r="20" customFormat="false" ht="15" hidden="false" customHeight="false" outlineLevel="0" collapsed="false">
      <c r="A20" s="10" t="s">
        <v>3498</v>
      </c>
      <c r="B20" s="11" t="s">
        <v>3499</v>
      </c>
      <c r="C20" s="10" t="s">
        <v>3500</v>
      </c>
      <c r="D20" s="10" t="n">
        <f aca="false">SRC_ZP_376*INP_022*INP_060*INP_061*INP_062/INP_019</f>
        <v>20.16</v>
      </c>
      <c r="E20" s="10" t="n">
        <f aca="false">SRC_ZP_376*INP_022*INP_060*INP_061*INP_062/INP_019</f>
        <v>20.16</v>
      </c>
      <c r="F20" s="10" t="n">
        <f aca="false">SRC_ZP_376*INP_022*INP_060*INP_061*INP_062/INP_019</f>
        <v>20.16</v>
      </c>
      <c r="G20" s="10" t="n">
        <f aca="false">SRC_ZP_376*INP_022*INP_060*INP_061*INP_062/INP_019</f>
        <v>20.16</v>
      </c>
      <c r="H20" s="10" t="n">
        <f aca="false">SRC_ZP_376*INP_022*INP_060*INP_061*INP_062/INP_019</f>
        <v>20.16</v>
      </c>
      <c r="I20" s="10" t="n">
        <f aca="false">SRC_ZP_376*INP_022*INP_060*INP_061*INP_062/INP_019</f>
        <v>20.16</v>
      </c>
      <c r="K20" s="10" t="n">
        <f aca="false">SRC_ZP_376*INP_022*INP_060*INP_061*INP_062/INP_019</f>
        <v>20.16</v>
      </c>
      <c r="L20" s="10" t="n">
        <f aca="false">SRC_ZP_376*INP_022*INP_060*INP_061*INP_062/INP_019</f>
        <v>20.16</v>
      </c>
      <c r="M20" s="2" t="s">
        <v>3501</v>
      </c>
    </row>
    <row r="21" customFormat="false" ht="15" hidden="false" customHeight="false" outlineLevel="0" collapsed="false">
      <c r="A21" s="10" t="s">
        <v>3502</v>
      </c>
      <c r="B21" s="11" t="s">
        <v>3503</v>
      </c>
      <c r="C21" s="10" t="s">
        <v>3500</v>
      </c>
      <c r="D21" s="10" t="n">
        <f aca="false">SRC_ZP_377*INP_022*INP_060*INP_061*INP_062/INP_019</f>
        <v>100.8</v>
      </c>
      <c r="E21" s="10" t="n">
        <f aca="false">SRC_ZP_377*INP_022*INP_060*INP_061*INP_062/INP_019</f>
        <v>100.8</v>
      </c>
      <c r="F21" s="10" t="n">
        <f aca="false">SRC_ZP_377*INP_022*INP_060*INP_061*INP_062/INP_019</f>
        <v>100.8</v>
      </c>
      <c r="G21" s="10" t="n">
        <f aca="false">SRC_ZP_377*INP_022*INP_060*INP_061*INP_062/INP_019</f>
        <v>100.8</v>
      </c>
      <c r="H21" s="10" t="n">
        <f aca="false">SRC_ZP_377*INP_022*INP_060*INP_061*INP_062/INP_019</f>
        <v>100.8</v>
      </c>
      <c r="I21" s="10" t="n">
        <f aca="false">SRC_ZP_377*INP_022*INP_060*INP_061*INP_062/INP_019</f>
        <v>100.8</v>
      </c>
      <c r="K21" s="10" t="n">
        <f aca="false">SRC_ZP_377*INP_022*INP_060*INP_061*INP_062/INP_019</f>
        <v>100.8</v>
      </c>
      <c r="L21" s="10" t="n">
        <f aca="false">SRC_ZP_377*INP_022*INP_060*INP_061*INP_062/INP_019</f>
        <v>100.8</v>
      </c>
      <c r="M21" s="2" t="s">
        <v>3501</v>
      </c>
    </row>
    <row r="22" customFormat="false" ht="15" hidden="false" customHeight="false" outlineLevel="0" collapsed="false">
      <c r="A22" s="10" t="s">
        <v>3504</v>
      </c>
      <c r="B22" s="11" t="s">
        <v>3505</v>
      </c>
      <c r="C22" s="10" t="s">
        <v>3500</v>
      </c>
      <c r="D22" s="10" t="n">
        <f aca="false">SRC_ZP_378*INP_022*INP_060*INP_061*INP_062/INP_019</f>
        <v>403.2</v>
      </c>
      <c r="E22" s="10" t="n">
        <f aca="false">SRC_ZP_378*INP_022*INP_060*INP_061*INP_062/INP_019</f>
        <v>403.2</v>
      </c>
      <c r="F22" s="10" t="n">
        <f aca="false">SRC_ZP_378*INP_022*INP_060*INP_061*INP_062/INP_019</f>
        <v>403.2</v>
      </c>
      <c r="G22" s="10" t="n">
        <f aca="false">SRC_ZP_378*INP_022*INP_060*INP_061*INP_062/INP_019</f>
        <v>403.2</v>
      </c>
      <c r="H22" s="10" t="n">
        <f aca="false">SRC_ZP_378*INP_022*INP_060*INP_061*INP_062/INP_019</f>
        <v>403.2</v>
      </c>
      <c r="I22" s="10" t="n">
        <f aca="false">SRC_ZP_378*INP_022*INP_060*INP_061*INP_062/INP_019</f>
        <v>403.2</v>
      </c>
      <c r="K22" s="10" t="n">
        <f aca="false">SRC_ZP_378*INP_022*INP_060*INP_061*INP_062/INP_019</f>
        <v>403.2</v>
      </c>
      <c r="L22" s="10" t="n">
        <f aca="false">SRC_ZP_378*INP_022*INP_060*INP_061*INP_062/INP_019</f>
        <v>403.2</v>
      </c>
      <c r="M22" s="2" t="s">
        <v>3501</v>
      </c>
    </row>
    <row r="23" customFormat="false" ht="15" hidden="false" customHeight="false" outlineLevel="0" collapsed="false">
      <c r="A23" s="10" t="s">
        <v>3506</v>
      </c>
      <c r="B23" s="10" t="s">
        <v>3507</v>
      </c>
      <c r="C23" s="10" t="s">
        <v>3079</v>
      </c>
      <c r="D23" s="10" t="n">
        <f aca="false">D17*D20*INP_007/INP_016</f>
        <v>160.265952</v>
      </c>
      <c r="E23" s="10" t="n">
        <f aca="false">K23+L23</f>
        <v>1337.745024</v>
      </c>
      <c r="F23" s="10" t="n">
        <f aca="false">F17*F20*INP_007/INP_016</f>
        <v>2003.3244</v>
      </c>
      <c r="G23" s="10" t="n">
        <f aca="false">G17*G20*INP_007/INP_016</f>
        <v>2604.32172</v>
      </c>
      <c r="H23" s="10" t="n">
        <f aca="false">H17*H20*INP_007/INP_016</f>
        <v>3125.186064</v>
      </c>
      <c r="I23" s="10" t="n">
        <f aca="false">I17*I20*INP_007/INP_016</f>
        <v>3593.9639736</v>
      </c>
      <c r="K23" s="10" t="n">
        <f aca="false">K17*K20*INP_008/INP_016</f>
        <v>529.828992</v>
      </c>
      <c r="L23" s="10" t="n">
        <f aca="false">L17*L20*INP_009/INP_016</f>
        <v>807.916032</v>
      </c>
      <c r="M23" s="2" t="s">
        <v>3508</v>
      </c>
    </row>
    <row r="24" customFormat="false" ht="15" hidden="false" customHeight="false" outlineLevel="0" collapsed="false">
      <c r="A24" s="10" t="s">
        <v>3509</v>
      </c>
      <c r="B24" s="10" t="s">
        <v>3510</v>
      </c>
      <c r="C24" s="10" t="s">
        <v>3079</v>
      </c>
      <c r="D24" s="10" t="n">
        <f aca="false">D18*D21*INP_007/INP_016</f>
        <v>400.66488</v>
      </c>
      <c r="E24" s="10" t="n">
        <f aca="false">K24+L24</f>
        <v>3344.36256</v>
      </c>
      <c r="F24" s="10" t="n">
        <f aca="false">F18*F21*INP_007/INP_016</f>
        <v>5008.311</v>
      </c>
      <c r="G24" s="10" t="n">
        <f aca="false">G18*G21*INP_007/INP_016</f>
        <v>6510.8043</v>
      </c>
      <c r="H24" s="10" t="n">
        <f aca="false">H18*H21*INP_007/INP_016</f>
        <v>7812.96516</v>
      </c>
      <c r="I24" s="10" t="n">
        <f aca="false">I18*I21*INP_007/INP_016</f>
        <v>8984.909934</v>
      </c>
      <c r="K24" s="10" t="n">
        <f aca="false">K18*K21*INP_008/INP_016</f>
        <v>1324.57248</v>
      </c>
      <c r="L24" s="10" t="n">
        <f aca="false">L18*L21*INP_009/INP_016</f>
        <v>2019.79008</v>
      </c>
      <c r="M24" s="2" t="s">
        <v>3508</v>
      </c>
    </row>
    <row r="25" customFormat="false" ht="15" hidden="false" customHeight="false" outlineLevel="0" collapsed="false">
      <c r="A25" s="10" t="s">
        <v>3511</v>
      </c>
      <c r="B25" s="10" t="s">
        <v>3512</v>
      </c>
      <c r="C25" s="10" t="s">
        <v>3079</v>
      </c>
      <c r="D25" s="10" t="n">
        <f aca="false">D19*D22*INP_007/INP_016</f>
        <v>534.21984</v>
      </c>
      <c r="E25" s="10" t="n">
        <f aca="false">K25+L25</f>
        <v>4459.15008</v>
      </c>
      <c r="F25" s="10" t="n">
        <f aca="false">F19*F22*INP_007/INP_016</f>
        <v>6677.748</v>
      </c>
      <c r="G25" s="10" t="n">
        <f aca="false">G19*G22*INP_007/INP_016</f>
        <v>8681.07240000001</v>
      </c>
      <c r="H25" s="10" t="n">
        <f aca="false">H19*H22*INP_007/INP_016</f>
        <v>10417.28688</v>
      </c>
      <c r="I25" s="10" t="n">
        <f aca="false">I19*I22*INP_007/INP_016</f>
        <v>11979.879912</v>
      </c>
      <c r="K25" s="10" t="n">
        <f aca="false">K19*K22*INP_008/INP_016</f>
        <v>1766.09664</v>
      </c>
      <c r="L25" s="10" t="n">
        <f aca="false">L19*L22*INP_009/INP_016</f>
        <v>2693.05344</v>
      </c>
      <c r="M25" s="2" t="s">
        <v>3508</v>
      </c>
    </row>
    <row r="26" customFormat="false" ht="15" hidden="false" customHeight="false" outlineLevel="0" collapsed="false">
      <c r="A26" s="10" t="s">
        <v>3513</v>
      </c>
      <c r="B26" s="10" t="s">
        <v>3514</v>
      </c>
      <c r="C26" s="10" t="s">
        <v>3079</v>
      </c>
      <c r="D26" s="10" t="n">
        <f aca="false">D23+D24+D25</f>
        <v>1095.150672</v>
      </c>
      <c r="E26" s="10" t="n">
        <f aca="false">E23+E24+E25</f>
        <v>9141.257664</v>
      </c>
      <c r="F26" s="10" t="n">
        <f aca="false">F23+F24+F25</f>
        <v>13689.3834</v>
      </c>
      <c r="G26" s="10" t="n">
        <f aca="false">G23+G24+G25</f>
        <v>17796.19842</v>
      </c>
      <c r="H26" s="10" t="n">
        <f aca="false">H23+H24+H25</f>
        <v>21355.438104</v>
      </c>
      <c r="I26" s="10" t="n">
        <f aca="false">I23+I24+I25</f>
        <v>24558.7538196</v>
      </c>
      <c r="K26" s="10" t="n">
        <f aca="false">K23+K24+K25</f>
        <v>3620.498112</v>
      </c>
      <c r="L26" s="10" t="n">
        <f aca="false">L23+L24+L25</f>
        <v>5520.759552</v>
      </c>
      <c r="M26" s="2"/>
    </row>
    <row r="27" customFormat="false" ht="15" hidden="false" customHeight="false" outlineLevel="0" collapsed="false">
      <c r="A27" s="10" t="s">
        <v>3515</v>
      </c>
      <c r="B27" s="10" t="s">
        <v>3516</v>
      </c>
      <c r="C27" s="10" t="s">
        <v>3079</v>
      </c>
      <c r="D27" s="10" t="n">
        <f aca="false">D26*INP_063</f>
        <v>985.6356048</v>
      </c>
      <c r="E27" s="10" t="n">
        <f aca="false">E26*INP_063</f>
        <v>8227.1318976</v>
      </c>
      <c r="F27" s="10" t="n">
        <f aca="false">F26*INP_063</f>
        <v>12320.44506</v>
      </c>
      <c r="G27" s="10" t="n">
        <f aca="false">G26*INP_063</f>
        <v>16016.578578</v>
      </c>
      <c r="H27" s="10" t="n">
        <f aca="false">H26*INP_063</f>
        <v>19219.8942936</v>
      </c>
      <c r="I27" s="10" t="n">
        <f aca="false">I26*INP_063</f>
        <v>22102.87843764</v>
      </c>
      <c r="K27" s="10" t="n">
        <f aca="false">K26*INP_063</f>
        <v>3258.4483008</v>
      </c>
      <c r="L27" s="10" t="n">
        <f aca="false">L26*INP_063</f>
        <v>4968.6835968</v>
      </c>
      <c r="M27" s="13" t="s">
        <v>3517</v>
      </c>
    </row>
    <row r="28" customFormat="false" ht="15" hidden="false" customHeight="false" outlineLevel="0" collapsed="false">
      <c r="A28" s="10" t="s">
        <v>3518</v>
      </c>
      <c r="B28" s="10" t="s">
        <v>3519</v>
      </c>
      <c r="C28" s="10" t="s">
        <v>3079</v>
      </c>
      <c r="D28" s="10" t="n">
        <f aca="false">D26*(1-INP_063)</f>
        <v>109.5150672</v>
      </c>
      <c r="E28" s="10" t="n">
        <f aca="false">E26*(1-INP_063)</f>
        <v>914.1257664</v>
      </c>
      <c r="F28" s="10" t="n">
        <f aca="false">F26*(1-INP_063)</f>
        <v>1368.93834</v>
      </c>
      <c r="G28" s="10" t="n">
        <f aca="false">G26*(1-INP_063)</f>
        <v>1779.619842</v>
      </c>
      <c r="H28" s="10" t="n">
        <f aca="false">H26*(1-INP_063)</f>
        <v>2135.5438104</v>
      </c>
      <c r="I28" s="10" t="n">
        <f aca="false">I26*(1-INP_063)</f>
        <v>2455.87538196</v>
      </c>
      <c r="K28" s="10" t="n">
        <f aca="false">K26*(1-INP_063)</f>
        <v>362.0498112</v>
      </c>
      <c r="L28" s="10" t="n">
        <f aca="false">L26*(1-INP_063)</f>
        <v>552.0759552</v>
      </c>
      <c r="M28" s="2"/>
    </row>
    <row r="29" customFormat="false" ht="15" hidden="false" customHeight="false" outlineLevel="0" collapsed="false">
      <c r="A29" s="15" t="s">
        <v>3520</v>
      </c>
    </row>
    <row r="30" customFormat="false" ht="15" hidden="false" customHeight="false" outlineLevel="0" collapsed="false">
      <c r="A30" s="10" t="s">
        <v>3521</v>
      </c>
      <c r="B30" s="11" t="s">
        <v>3406</v>
      </c>
      <c r="C30" s="11" t="s">
        <v>3407</v>
      </c>
      <c r="D30" s="10" t="n">
        <f aca="false">INP_064</f>
        <v>10</v>
      </c>
      <c r="E30" s="10" t="n">
        <f aca="false">D30*(1+INP_065)</f>
        <v>11</v>
      </c>
      <c r="F30" s="10" t="n">
        <f aca="false">E30*(1+INP_065)</f>
        <v>12.1</v>
      </c>
      <c r="G30" s="10" t="n">
        <f aca="false">F30*(1+INP_065)</f>
        <v>13.31</v>
      </c>
      <c r="H30" s="10" t="n">
        <f aca="false">G30*(1+INP_065)</f>
        <v>14.641</v>
      </c>
      <c r="I30" s="10" t="n">
        <f aca="false">H30*(1+INP_065)</f>
        <v>16.1051</v>
      </c>
      <c r="M30" s="13" t="s">
        <v>3522</v>
      </c>
    </row>
    <row r="31" customFormat="false" ht="15" hidden="false" customHeight="false" outlineLevel="0" collapsed="false">
      <c r="A31" s="10" t="s">
        <v>3523</v>
      </c>
      <c r="B31" s="11" t="s">
        <v>3524</v>
      </c>
      <c r="C31" s="10" t="s">
        <v>3079</v>
      </c>
      <c r="D31" s="10" t="n">
        <f aca="false">D30*INP_066*INP_067*INP_007/INP_018</f>
        <v>10.95</v>
      </c>
      <c r="E31" s="10" t="n">
        <f aca="false">E30*INP_066*INP_067*INP_007/INP_018</f>
        <v>12.045</v>
      </c>
      <c r="F31" s="10" t="n">
        <f aca="false">F30*INP_066*INP_067*INP_007/INP_018</f>
        <v>13.2495</v>
      </c>
      <c r="G31" s="10" t="n">
        <f aca="false">G30*INP_066*INP_067*INP_007/INP_018</f>
        <v>14.57445</v>
      </c>
      <c r="H31" s="10" t="n">
        <f aca="false">H30*INP_066*INP_067*INP_007/INP_018</f>
        <v>16.031895</v>
      </c>
      <c r="I31" s="10" t="n">
        <f aca="false">I30*INP_066*INP_067*INP_007/INP_018</f>
        <v>17.6350845</v>
      </c>
      <c r="M31" s="2" t="s">
        <v>3525</v>
      </c>
    </row>
    <row r="32" customFormat="false" ht="15" hidden="false" customHeight="false" outlineLevel="0" collapsed="false">
      <c r="A32" s="10" t="s">
        <v>3526</v>
      </c>
      <c r="B32" s="11" t="s">
        <v>3527</v>
      </c>
      <c r="C32" s="10" t="s">
        <v>3079</v>
      </c>
      <c r="D32" s="10" t="n">
        <f aca="false">D31*INP_068</f>
        <v>3.285</v>
      </c>
      <c r="E32" s="10" t="n">
        <f aca="false">E31*INP_068</f>
        <v>3.6135</v>
      </c>
      <c r="F32" s="10" t="n">
        <f aca="false">F31*INP_068</f>
        <v>3.97485</v>
      </c>
      <c r="G32" s="10" t="n">
        <f aca="false">G31*INP_068</f>
        <v>4.372335</v>
      </c>
      <c r="H32" s="10" t="n">
        <f aca="false">H31*INP_068</f>
        <v>4.8095685</v>
      </c>
      <c r="I32" s="10" t="n">
        <f aca="false">I31*INP_068</f>
        <v>5.29052535</v>
      </c>
      <c r="M32" s="2"/>
    </row>
    <row r="33" customFormat="false" ht="15" hidden="false" customHeight="false" outlineLevel="0" collapsed="false">
      <c r="A33" s="10" t="s">
        <v>3528</v>
      </c>
      <c r="B33" s="11" t="s">
        <v>3529</v>
      </c>
      <c r="C33" s="10" t="s">
        <v>3079</v>
      </c>
      <c r="D33" s="10" t="n">
        <f aca="false">D31*(1-INP_068)</f>
        <v>7.665</v>
      </c>
      <c r="E33" s="10" t="n">
        <f aca="false">E31*(1-INP_068)</f>
        <v>8.4315</v>
      </c>
      <c r="F33" s="10" t="n">
        <f aca="false">F31*(1-INP_068)</f>
        <v>9.27465</v>
      </c>
      <c r="G33" s="10" t="n">
        <f aca="false">G31*(1-INP_068)</f>
        <v>10.202115</v>
      </c>
      <c r="H33" s="10" t="n">
        <f aca="false">H31*(1-INP_068)</f>
        <v>11.2223265</v>
      </c>
      <c r="I33" s="10" t="n">
        <f aca="false">I31*(1-INP_068)</f>
        <v>12.34455915</v>
      </c>
      <c r="M33" s="2"/>
    </row>
    <row r="34" customFormat="false" ht="15" hidden="false" customHeight="false" outlineLevel="0" collapsed="false">
      <c r="A34" s="15" t="s">
        <v>3530</v>
      </c>
    </row>
    <row r="35" customFormat="false" ht="15" hidden="false" customHeight="false" outlineLevel="0" collapsed="false">
      <c r="A35" s="10" t="s">
        <v>3531</v>
      </c>
      <c r="B35" s="11" t="s">
        <v>3532</v>
      </c>
      <c r="C35" s="10" t="s">
        <v>3079</v>
      </c>
      <c r="D35" s="10" t="n">
        <f aca="false">D12+D27</f>
        <v>1025.51251316727</v>
      </c>
      <c r="E35" s="10" t="n">
        <f aca="false">E12+E27</f>
        <v>8609.41821335523</v>
      </c>
      <c r="F35" s="10" t="n">
        <f aca="false">F12+F27</f>
        <v>13309.6109020167</v>
      </c>
      <c r="G35" s="10" t="n">
        <f aca="false">G12+G27</f>
        <v>18149.4674248484</v>
      </c>
      <c r="H35" s="10" t="n">
        <f aca="false">H12+H27</f>
        <v>23359.0317120152</v>
      </c>
      <c r="I35" s="10" t="n">
        <f aca="false">I12+I27</f>
        <v>29540.3909863548</v>
      </c>
      <c r="M35" s="13" t="s">
        <v>3533</v>
      </c>
    </row>
    <row r="36" customFormat="false" ht="15" hidden="false" customHeight="false" outlineLevel="0" collapsed="false">
      <c r="A36" s="10" t="s">
        <v>3534</v>
      </c>
      <c r="B36" s="11" t="s">
        <v>3535</v>
      </c>
      <c r="C36" s="10" t="s">
        <v>3079</v>
      </c>
      <c r="D36" s="10" t="n">
        <f aca="false">D13+D28</f>
        <v>136.099672778178</v>
      </c>
      <c r="E36" s="10" t="n">
        <f aca="false">E13+E28</f>
        <v>1077.96275886653</v>
      </c>
      <c r="F36" s="10" t="n">
        <f aca="false">F13+F28</f>
        <v>1792.86655800714</v>
      </c>
      <c r="G36" s="10" t="n">
        <f aca="false">G13+G28</f>
        <v>2693.7150620779</v>
      </c>
      <c r="H36" s="10" t="n">
        <f aca="false">H13+H28</f>
        <v>3909.45984686366</v>
      </c>
      <c r="I36" s="10" t="n">
        <f aca="false">I13+I28</f>
        <v>5643.38075998064</v>
      </c>
      <c r="M36" s="13" t="s">
        <v>3536</v>
      </c>
    </row>
    <row r="37" customFormat="false" ht="15" hidden="false" customHeight="false" outlineLevel="0" collapsed="false">
      <c r="A37" s="10" t="s">
        <v>3537</v>
      </c>
      <c r="B37" s="11" t="s">
        <v>3538</v>
      </c>
      <c r="C37" s="10" t="s">
        <v>3079</v>
      </c>
      <c r="D37" s="10" t="n">
        <f aca="false">D32</f>
        <v>3.285</v>
      </c>
      <c r="E37" s="10" t="n">
        <f aca="false">E32</f>
        <v>3.6135</v>
      </c>
      <c r="F37" s="10" t="n">
        <f aca="false">F32</f>
        <v>3.97485</v>
      </c>
      <c r="G37" s="10" t="n">
        <f aca="false">G32</f>
        <v>4.372335</v>
      </c>
      <c r="H37" s="10" t="n">
        <f aca="false">H32</f>
        <v>4.8095685</v>
      </c>
      <c r="I37" s="10" t="n">
        <f aca="false">I32</f>
        <v>5.29052535</v>
      </c>
      <c r="M37" s="2" t="s">
        <v>3539</v>
      </c>
    </row>
    <row r="38" customFormat="false" ht="15" hidden="false" customHeight="false" outlineLevel="0" collapsed="false">
      <c r="A38" s="10" t="s">
        <v>3540</v>
      </c>
      <c r="B38" s="11" t="s">
        <v>3541</v>
      </c>
      <c r="C38" s="10" t="s">
        <v>3079</v>
      </c>
      <c r="D38" s="10" t="n">
        <f aca="false">D33+D14</f>
        <v>27.6034541836335</v>
      </c>
      <c r="E38" s="10" t="n">
        <f aca="false">E33+E14</f>
        <v>172.268492466527</v>
      </c>
      <c r="F38" s="10" t="n">
        <f aca="false">F33+F14</f>
        <v>433.20286800714</v>
      </c>
      <c r="G38" s="10" t="n">
        <f aca="false">G33+G14</f>
        <v>924.297335077894</v>
      </c>
      <c r="H38" s="10" t="n">
        <f aca="false">H33+H14</f>
        <v>1785.13836296366</v>
      </c>
      <c r="I38" s="10" t="n">
        <f aca="false">I33+I14</f>
        <v>3199.84993717065</v>
      </c>
      <c r="M38" s="2" t="s">
        <v>3542</v>
      </c>
    </row>
    <row r="39" customFormat="false" ht="15" hidden="false" customHeight="false" outlineLevel="0" collapsed="false">
      <c r="A39" s="10" t="s">
        <v>3543</v>
      </c>
      <c r="B39" s="11" t="s">
        <v>3544</v>
      </c>
      <c r="C39" s="10" t="s">
        <v>3079</v>
      </c>
      <c r="D39" s="10" t="n">
        <f aca="false">D35+D36</f>
        <v>1161.61218594545</v>
      </c>
      <c r="E39" s="10" t="n">
        <f aca="false">E35+E36</f>
        <v>9687.38097222176</v>
      </c>
      <c r="F39" s="10" t="n">
        <f aca="false">F35+F36</f>
        <v>15102.4774600238</v>
      </c>
      <c r="G39" s="10" t="n">
        <f aca="false">G35+G36</f>
        <v>20843.1824869263</v>
      </c>
      <c r="H39" s="10" t="n">
        <f aca="false">H35+H36</f>
        <v>27268.4915588789</v>
      </c>
      <c r="I39" s="10" t="n">
        <f aca="false">I35+I36</f>
        <v>35183.7717463355</v>
      </c>
      <c r="M39" s="2"/>
    </row>
    <row r="40" customFormat="false" ht="15" hidden="false" customHeight="false" outlineLevel="0" collapsed="false">
      <c r="A40" s="10" t="s">
        <v>3545</v>
      </c>
      <c r="B40" s="11" t="s">
        <v>3546</v>
      </c>
      <c r="C40" s="10" t="s">
        <v>3079</v>
      </c>
      <c r="D40" s="10" t="n">
        <f aca="false">D37+D38</f>
        <v>30.8884541836335</v>
      </c>
      <c r="E40" s="10" t="n">
        <f aca="false">E37+E38</f>
        <v>175.881992466527</v>
      </c>
      <c r="F40" s="10" t="n">
        <f aca="false">F37+F38</f>
        <v>437.17771800714</v>
      </c>
      <c r="G40" s="10" t="n">
        <f aca="false">G37+G38</f>
        <v>928.669670077894</v>
      </c>
      <c r="H40" s="10" t="n">
        <f aca="false">H37+H38</f>
        <v>1789.94793146366</v>
      </c>
      <c r="I40" s="10" t="n">
        <f aca="false">I37+I38</f>
        <v>3205.14046252065</v>
      </c>
      <c r="M40" s="2"/>
    </row>
    <row r="41" customFormat="false" ht="15" hidden="false" customHeight="false" outlineLevel="0" collapsed="false">
      <c r="A41" s="10" t="s">
        <v>3547</v>
      </c>
      <c r="B41" s="10" t="s">
        <v>3078</v>
      </c>
      <c r="C41" s="10" t="s">
        <v>3079</v>
      </c>
      <c r="D41" s="10" t="n">
        <f aca="false">D39+D40</f>
        <v>1192.50064012908</v>
      </c>
      <c r="E41" s="10" t="n">
        <f aca="false">E39+E40</f>
        <v>9863.26296468829</v>
      </c>
      <c r="F41" s="10" t="n">
        <f aca="false">F39+F40</f>
        <v>15539.6551780309</v>
      </c>
      <c r="G41" s="10" t="n">
        <f aca="false">G39+G40</f>
        <v>21771.8521570042</v>
      </c>
      <c r="H41" s="10" t="n">
        <f aca="false">H39+H40</f>
        <v>29058.4394903425</v>
      </c>
      <c r="I41" s="10" t="n">
        <f aca="false">I39+I40</f>
        <v>38388.9122088561</v>
      </c>
      <c r="M41" s="2"/>
    </row>
    <row r="42" customFormat="false" ht="15" hidden="false" customHeight="false" outlineLevel="0" collapsed="false">
      <c r="A42" s="15" t="s">
        <v>3548</v>
      </c>
    </row>
    <row r="43" customFormat="false" ht="15" hidden="false" customHeight="false" outlineLevel="0" collapsed="false">
      <c r="A43" s="10" t="s">
        <v>3549</v>
      </c>
      <c r="B43" s="10" t="s">
        <v>3550</v>
      </c>
      <c r="C43" s="11" t="s">
        <v>1701</v>
      </c>
      <c r="K43" s="16" t="n">
        <f aca="false">(SRC_ZP_169/(SRC_ZP_112-SRC_ZP_170))/(Revenue!K24/Revenue!D24)</f>
        <v>3.24095943895404</v>
      </c>
      <c r="M43" s="2" t="s">
        <v>3551</v>
      </c>
    </row>
    <row r="44" customFormat="false" ht="15" hidden="false" customHeight="false" outlineLevel="0" collapsed="false">
      <c r="A44" s="10" t="s">
        <v>3552</v>
      </c>
      <c r="B44" s="11" t="s">
        <v>3553</v>
      </c>
      <c r="C44" s="11" t="s">
        <v>1701</v>
      </c>
      <c r="L44" s="10" t="n">
        <f aca="false">L11/K11</f>
        <v>1.99270453949859</v>
      </c>
      <c r="M44" s="2" t="s">
        <v>3554</v>
      </c>
    </row>
    <row r="45" customFormat="false" ht="15" hidden="false" customHeight="false" outlineLevel="0" collapsed="false">
      <c r="A45" s="10" t="s">
        <v>3555</v>
      </c>
      <c r="B45" s="11" t="s">
        <v>3556</v>
      </c>
      <c r="C45" s="11" t="s">
        <v>1701</v>
      </c>
      <c r="K45" s="10" t="n">
        <f aca="false">SRC_ZP_410</f>
        <v>40</v>
      </c>
      <c r="M45" s="13" t="s">
        <v>3557</v>
      </c>
    </row>
    <row r="46" customFormat="false" ht="15" hidden="false" customHeight="false" outlineLevel="0" collapsed="false">
      <c r="A46" s="10" t="s">
        <v>3558</v>
      </c>
      <c r="B46" s="11" t="s">
        <v>3559</v>
      </c>
      <c r="C46" s="10" t="s">
        <v>1706</v>
      </c>
      <c r="D46" s="10" t="n">
        <f aca="false">D41/INP_007</f>
        <v>3.26712504144953</v>
      </c>
      <c r="M46" s="2" t="s">
        <v>3560</v>
      </c>
    </row>
    <row r="47" customFormat="false" ht="15" hidden="false" customHeight="false" outlineLevel="0" collapsed="false">
      <c r="A47" s="10" t="s">
        <v>3561</v>
      </c>
      <c r="B47" s="11" t="s">
        <v>3562</v>
      </c>
      <c r="C47" s="10" t="s">
        <v>1706</v>
      </c>
      <c r="D47" s="10" t="n">
        <f aca="false">SRC_ZP_413</f>
        <v>4.2</v>
      </c>
      <c r="M47" s="13" t="s">
        <v>408</v>
      </c>
    </row>
    <row r="48" customFormat="false" ht="15" hidden="false" customHeight="false" outlineLevel="0" collapsed="false">
      <c r="A48" s="10" t="s">
        <v>3563</v>
      </c>
      <c r="B48" s="10" t="s">
        <v>3564</v>
      </c>
      <c r="C48" s="11" t="s">
        <v>3105</v>
      </c>
      <c r="D48" s="10" t="n">
        <f aca="false">D11/(SRC_ZP_413*INP_007)</f>
        <v>0.0433538903753719</v>
      </c>
      <c r="M48" s="2" t="s">
        <v>3565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3566</v>
      </c>
    </row>
    <row r="2" customFormat="false" ht="15" hidden="false" customHeight="false" outlineLevel="0" collapsed="false">
      <c r="A2" s="13" t="s">
        <v>3567</v>
      </c>
    </row>
    <row r="3" customFormat="false" ht="15" hidden="false" customHeight="false" outlineLevel="0" collapsed="false">
      <c r="A3" s="2" t="s">
        <v>3568</v>
      </c>
    </row>
    <row r="5" customFormat="false" ht="15" hidden="false" customHeight="false" outlineLevel="0" collapsed="false">
      <c r="A5" s="9" t="s">
        <v>3460</v>
      </c>
      <c r="B5" s="9" t="s">
        <v>31</v>
      </c>
      <c r="C5" s="9" t="s">
        <v>35</v>
      </c>
      <c r="D5" s="8" t="s">
        <v>3065</v>
      </c>
      <c r="E5" s="8" t="s">
        <v>1900</v>
      </c>
      <c r="F5" s="8" t="s">
        <v>3066</v>
      </c>
      <c r="G5" s="8" t="s">
        <v>3067</v>
      </c>
      <c r="H5" s="8" t="s">
        <v>3068</v>
      </c>
      <c r="I5" s="8" t="s">
        <v>3069</v>
      </c>
      <c r="J5" s="9"/>
      <c r="K5" s="8" t="s">
        <v>654</v>
      </c>
      <c r="L5" s="8" t="s">
        <v>3158</v>
      </c>
      <c r="M5" s="9" t="s">
        <v>2834</v>
      </c>
    </row>
    <row r="6" customFormat="false" ht="15" hidden="false" customHeight="false" outlineLevel="0" collapsed="false">
      <c r="B6" s="3" t="s">
        <v>3461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3462</v>
      </c>
      <c r="L6" s="6" t="s">
        <v>3463</v>
      </c>
    </row>
    <row r="7" customFormat="false" ht="15" hidden="false" customHeight="false" outlineLevel="0" collapsed="false">
      <c r="A7" s="15" t="s">
        <v>3569</v>
      </c>
    </row>
    <row r="8" customFormat="false" ht="15" hidden="false" customHeight="false" outlineLevel="0" collapsed="false">
      <c r="A8" s="10" t="s">
        <v>3570</v>
      </c>
      <c r="B8" s="10" t="s">
        <v>3571</v>
      </c>
      <c r="C8" s="11" t="s">
        <v>3105</v>
      </c>
      <c r="K8" s="10" t="n">
        <f aca="false">INP_026/INP_008</f>
        <v>0.232044198895028</v>
      </c>
      <c r="M8" s="13" t="s">
        <v>3572</v>
      </c>
    </row>
    <row r="9" customFormat="false" ht="15" hidden="false" customHeight="false" outlineLevel="0" collapsed="false">
      <c r="A9" s="10" t="s">
        <v>3573</v>
      </c>
      <c r="B9" s="10" t="s">
        <v>3574</v>
      </c>
      <c r="C9" s="11" t="s">
        <v>3105</v>
      </c>
      <c r="K9" s="10" t="n">
        <f aca="false">INP_027/INP_008</f>
        <v>0.298342541436464</v>
      </c>
      <c r="M9" s="13" t="s">
        <v>3575</v>
      </c>
    </row>
    <row r="10" customFormat="false" ht="15" hidden="false" customHeight="false" outlineLevel="0" collapsed="false">
      <c r="A10" s="10" t="s">
        <v>3576</v>
      </c>
      <c r="B10" s="10" t="s">
        <v>3577</v>
      </c>
      <c r="C10" s="11" t="s">
        <v>3105</v>
      </c>
      <c r="K10" s="10" t="n">
        <f aca="false">(1-K8-K9)</f>
        <v>0.469613259668508</v>
      </c>
      <c r="M10" s="13" t="s">
        <v>3578</v>
      </c>
    </row>
    <row r="11" customFormat="false" ht="15" hidden="false" customHeight="false" outlineLevel="0" collapsed="false">
      <c r="A11" s="10" t="s">
        <v>3579</v>
      </c>
      <c r="B11" s="10" t="s">
        <v>3580</v>
      </c>
      <c r="C11" s="11" t="s">
        <v>3105</v>
      </c>
      <c r="L11" s="10" t="n">
        <f aca="false">INP_028/INP_009</f>
        <v>0.695652173913044</v>
      </c>
      <c r="M11" s="13" t="s">
        <v>3581</v>
      </c>
    </row>
    <row r="12" customFormat="false" ht="15" hidden="false" customHeight="false" outlineLevel="0" collapsed="false">
      <c r="A12" s="15" t="s">
        <v>3582</v>
      </c>
    </row>
    <row r="13" customFormat="false" ht="15" hidden="false" customHeight="false" outlineLevel="0" collapsed="false">
      <c r="A13" s="10" t="s">
        <v>3583</v>
      </c>
      <c r="B13" s="10" t="s">
        <v>3584</v>
      </c>
      <c r="C13" s="11" t="s">
        <v>3585</v>
      </c>
      <c r="D13" s="10" t="n">
        <f aca="false">(1-INP_025)*SRC_ZP_311+INP_025*SRC_ZP_314</f>
        <v>3.6</v>
      </c>
      <c r="E13" s="10" t="n">
        <f aca="false">(K13+L13)/INP_013</f>
        <v>6.88397790055249</v>
      </c>
      <c r="F13" s="10" t="n">
        <f aca="false">L13*(1+INP_035)</f>
        <v>6.4</v>
      </c>
      <c r="G13" s="10" t="n">
        <f aca="false">F13*(1+INP_035)</f>
        <v>5.12</v>
      </c>
      <c r="H13" s="10" t="n">
        <f aca="false">G13*(1+INP_035)</f>
        <v>4.096</v>
      </c>
      <c r="I13" s="10" t="n">
        <f aca="false">H13*(1+INP_035)</f>
        <v>3.2768</v>
      </c>
      <c r="K13" s="10" t="n">
        <f aca="false">K8*D13+K9*((1-INP_025)*SRC_ZP_302+INP_025*SRC_ZP_305)+K10*((1-INP_025)*SRC_ZP_290+INP_025*SRC_ZP_293)</f>
        <v>5.76795580110497</v>
      </c>
      <c r="L13" s="10" t="n">
        <f aca="false">SRC_ZP_284</f>
        <v>8</v>
      </c>
      <c r="M13" s="13" t="s">
        <v>3586</v>
      </c>
    </row>
    <row r="14" customFormat="false" ht="15" hidden="false" customHeight="false" outlineLevel="0" collapsed="false">
      <c r="A14" s="10" t="s">
        <v>3587</v>
      </c>
      <c r="B14" s="10" t="s">
        <v>3588</v>
      </c>
      <c r="C14" s="11" t="s">
        <v>3585</v>
      </c>
      <c r="D14" s="10" t="n">
        <f aca="false">(1-INP_025)*SRC_ZP_312+INP_025*SRC_ZP_315</f>
        <v>0.72</v>
      </c>
      <c r="E14" s="10" t="n">
        <f aca="false">(K14+L14)/INP_013</f>
        <v>1.68132596685083</v>
      </c>
      <c r="F14" s="10" t="n">
        <f aca="false">L14*(1+INP_035)</f>
        <v>1.6</v>
      </c>
      <c r="G14" s="10" t="n">
        <f aca="false">F14*(1+INP_035)</f>
        <v>1.28</v>
      </c>
      <c r="H14" s="10" t="n">
        <f aca="false">G14*(1+INP_035)</f>
        <v>1.024</v>
      </c>
      <c r="I14" s="10" t="n">
        <f aca="false">H14*(1+INP_035)</f>
        <v>0.8192</v>
      </c>
      <c r="K14" s="10" t="n">
        <f aca="false">K8*D14+K9*((1-INP_025)*SRC_ZP_303+INP_025*SRC_ZP_306)+K10*((1-INP_025)*SRC_ZP_291+INP_025*SRC_ZP_294)</f>
        <v>1.36265193370166</v>
      </c>
      <c r="L14" s="10" t="n">
        <f aca="false">SRC_ZP_285</f>
        <v>2</v>
      </c>
      <c r="M14" s="13" t="s">
        <v>3586</v>
      </c>
    </row>
    <row r="15" customFormat="false" ht="15" hidden="false" customHeight="false" outlineLevel="0" collapsed="false">
      <c r="A15" s="10" t="s">
        <v>3589</v>
      </c>
      <c r="B15" s="10" t="s">
        <v>3590</v>
      </c>
      <c r="C15" s="11" t="s">
        <v>3585</v>
      </c>
      <c r="D15" s="10" t="n">
        <f aca="false">(1-INP_025)*SRC_ZP_313+INP_025*SRC_ZP_316</f>
        <v>15.2</v>
      </c>
      <c r="E15" s="10" t="n">
        <f aca="false">(K15+L15)/INP_013</f>
        <v>25.0055248618785</v>
      </c>
      <c r="F15" s="10" t="n">
        <f aca="false">L15*(1+INP_035)</f>
        <v>22.4</v>
      </c>
      <c r="G15" s="10" t="n">
        <f aca="false">F15*(1+INP_035)</f>
        <v>17.92</v>
      </c>
      <c r="H15" s="10" t="n">
        <f aca="false">G15*(1+INP_035)</f>
        <v>14.336</v>
      </c>
      <c r="I15" s="10" t="n">
        <f aca="false">H15*(1+INP_035)</f>
        <v>11.4688</v>
      </c>
      <c r="K15" s="10" t="n">
        <f aca="false">K8*D15+K9*((1-INP_025)*SRC_ZP_304+INP_025*SRC_ZP_307)+K10*((1-INP_025)*SRC_ZP_292+INP_025*SRC_ZP_295)</f>
        <v>22.0110497237569</v>
      </c>
      <c r="L15" s="10" t="n">
        <f aca="false">SRC_ZP_286</f>
        <v>28</v>
      </c>
      <c r="M15" s="13" t="s">
        <v>3586</v>
      </c>
    </row>
    <row r="16" customFormat="false" ht="15" hidden="false" customHeight="false" outlineLevel="0" collapsed="false">
      <c r="A16" s="10" t="s">
        <v>3591</v>
      </c>
      <c r="B16" s="10" t="s">
        <v>3592</v>
      </c>
      <c r="C16" s="11" t="s">
        <v>3585</v>
      </c>
      <c r="D16" s="10" t="n">
        <f aca="false">(1-INP_025)*SRC_ZP_320+INP_025*SRC_ZP_323</f>
        <v>1.04</v>
      </c>
      <c r="E16" s="10" t="n">
        <f aca="false">(K16+L16)/INP_013</f>
        <v>0.956521739130435</v>
      </c>
      <c r="F16" s="10" t="n">
        <f aca="false">L16*(1+INP_036)</f>
        <v>0.698434782608696</v>
      </c>
      <c r="G16" s="10" t="n">
        <f aca="false">F16*(1+INP_036)</f>
        <v>0.558747826086957</v>
      </c>
      <c r="H16" s="10" t="n">
        <f aca="false">G16*(1+INP_036)</f>
        <v>0.446998260869565</v>
      </c>
      <c r="I16" s="10" t="n">
        <f aca="false">H16*(1+INP_036)</f>
        <v>0.357598608695652</v>
      </c>
      <c r="K16" s="10" t="n">
        <f aca="false">D16</f>
        <v>1.04</v>
      </c>
      <c r="L16" s="10" t="n">
        <f aca="false">(1-L11)*K16+L11*SRC_ZP_329</f>
        <v>0.87304347826087</v>
      </c>
      <c r="M16" s="13" t="s">
        <v>3593</v>
      </c>
    </row>
    <row r="17" customFormat="false" ht="15" hidden="false" customHeight="false" outlineLevel="0" collapsed="false">
      <c r="A17" s="10" t="s">
        <v>3594</v>
      </c>
      <c r="B17" s="10" t="s">
        <v>3595</v>
      </c>
      <c r="C17" s="11" t="s">
        <v>3585</v>
      </c>
      <c r="D17" s="10" t="n">
        <f aca="false">(1-INP_025)*SRC_ZP_321+INP_025*SRC_ZP_324</f>
        <v>0.208</v>
      </c>
      <c r="E17" s="10" t="n">
        <f aca="false">(K17+L17)/INP_013</f>
        <v>0.215652173913043</v>
      </c>
      <c r="F17" s="10" t="n">
        <f aca="false">L17*(1+INP_036)</f>
        <v>0.17864347826087</v>
      </c>
      <c r="G17" s="10" t="n">
        <f aca="false">F17*(1+INP_036)</f>
        <v>0.142914782608696</v>
      </c>
      <c r="H17" s="10" t="n">
        <f aca="false">G17*(1+INP_036)</f>
        <v>0.114331826086957</v>
      </c>
      <c r="I17" s="10" t="n">
        <f aca="false">H17*(1+INP_036)</f>
        <v>0.0914654608695652</v>
      </c>
      <c r="K17" s="10" t="n">
        <f aca="false">D17</f>
        <v>0.208</v>
      </c>
      <c r="L17" s="10" t="n">
        <f aca="false">(1-L11)*K17+L11*SRC_ZP_330</f>
        <v>0.223304347826087</v>
      </c>
      <c r="M17" s="13" t="s">
        <v>3593</v>
      </c>
    </row>
    <row r="18" customFormat="false" ht="15" hidden="false" customHeight="false" outlineLevel="0" collapsed="false">
      <c r="A18" s="10" t="s">
        <v>3596</v>
      </c>
      <c r="B18" s="10" t="s">
        <v>3597</v>
      </c>
      <c r="C18" s="11" t="s">
        <v>3585</v>
      </c>
      <c r="D18" s="10" t="n">
        <f aca="false">(1-INP_025)*SRC_ZP_322+INP_025*SRC_ZP_325</f>
        <v>7.2</v>
      </c>
      <c r="E18" s="10" t="n">
        <f aca="false">(K18+L18)/INP_013</f>
        <v>5.6695652173913</v>
      </c>
      <c r="F18" s="10" t="n">
        <f aca="false">L18*(1+INP_036)</f>
        <v>3.31130434782609</v>
      </c>
      <c r="G18" s="10" t="n">
        <f aca="false">F18*(1+INP_036)</f>
        <v>2.64904347826087</v>
      </c>
      <c r="H18" s="10" t="n">
        <f aca="false">G18*(1+INP_036)</f>
        <v>2.1192347826087</v>
      </c>
      <c r="I18" s="10" t="n">
        <f aca="false">H18*(1+INP_036)</f>
        <v>1.69538782608696</v>
      </c>
      <c r="K18" s="10" t="n">
        <f aca="false">D18</f>
        <v>7.2</v>
      </c>
      <c r="L18" s="10" t="n">
        <f aca="false">(1-L11)*K18+L11*SRC_ZP_331</f>
        <v>4.13913043478261</v>
      </c>
      <c r="M18" s="13" t="s">
        <v>3593</v>
      </c>
    </row>
    <row r="19" customFormat="false" ht="15" hidden="false" customHeight="false" outlineLevel="0" collapsed="false">
      <c r="A19" s="15" t="s">
        <v>3598</v>
      </c>
    </row>
    <row r="20" customFormat="false" ht="15" hidden="false" customHeight="false" outlineLevel="0" collapsed="false">
      <c r="A20" s="10" t="s">
        <v>3599</v>
      </c>
      <c r="B20" s="10" t="s">
        <v>3600</v>
      </c>
      <c r="C20" s="11" t="s">
        <v>3585</v>
      </c>
      <c r="D20" s="10" t="n">
        <f aca="false">((1-INP_029)*(INP_030*D14+(1-INP_030)*D13)+INP_029*D15)*(1-INP_031)</f>
        <v>3.087</v>
      </c>
      <c r="E20" s="10" t="n">
        <f aca="false">(K20+L20)/INP_013</f>
        <v>5.54331215469613</v>
      </c>
      <c r="F20" s="10" t="n">
        <f aca="false">((1-INP_029)*(INP_030*F14+(1-INP_030)*F13)+INP_029*F15)*(1-INP_031)</f>
        <v>5.07</v>
      </c>
      <c r="G20" s="10" t="n">
        <f aca="false">((1-INP_029)*(INP_030*G14+(1-INP_030)*G13)+INP_029*G15)*(1-INP_031)</f>
        <v>4.056</v>
      </c>
      <c r="H20" s="10" t="n">
        <f aca="false">((1-INP_029)*(INP_030*H14+(1-INP_030)*H13)+INP_029*H15)*(1-INP_031)</f>
        <v>3.2448</v>
      </c>
      <c r="I20" s="10" t="n">
        <f aca="false">((1-INP_029)*(INP_030*I14+(1-INP_030)*I13)+INP_029*I15)*(1-INP_031)</f>
        <v>2.59584</v>
      </c>
      <c r="K20" s="10" t="n">
        <f aca="false">((1-INP_029)*(INP_030*K14+(1-INP_030)*K13)+INP_029*K15)*(1-INP_031)</f>
        <v>4.74912430939227</v>
      </c>
      <c r="L20" s="10" t="n">
        <f aca="false">((1-INP_029)*(INP_030*L14+(1-INP_030)*L13)+INP_029*L15)*(1-INP_031)</f>
        <v>6.3375</v>
      </c>
      <c r="M20" s="2" t="s">
        <v>3601</v>
      </c>
    </row>
    <row r="21" customFormat="false" ht="15" hidden="false" customHeight="false" outlineLevel="0" collapsed="false">
      <c r="A21" s="10" t="s">
        <v>3602</v>
      </c>
      <c r="B21" s="10" t="s">
        <v>3603</v>
      </c>
      <c r="C21" s="11" t="s">
        <v>3585</v>
      </c>
      <c r="D21" s="10" t="n">
        <f aca="false">((1-INP_029)*(INP_030*D17+(1-INP_030)*D16)+INP_029*D18)*(1-INP_031)</f>
        <v>1.2078</v>
      </c>
      <c r="E21" s="10" t="n">
        <f aca="false">(K21+L21)/INP_013</f>
        <v>1.01145652173913</v>
      </c>
      <c r="F21" s="10" t="n">
        <f aca="false">((1-INP_029)*(INP_030*F17+(1-INP_030)*F16)+INP_029*F18)*(1-INP_031)</f>
        <v>0.652090434782609</v>
      </c>
      <c r="G21" s="10" t="n">
        <f aca="false">((1-INP_029)*(INP_030*G17+(1-INP_030)*G16)+INP_029*G18)*(1-INP_031)</f>
        <v>0.521672347826087</v>
      </c>
      <c r="H21" s="10" t="n">
        <f aca="false">((1-INP_029)*(INP_030*H17+(1-INP_030)*H16)+INP_029*H18)*(1-INP_031)</f>
        <v>0.41733787826087</v>
      </c>
      <c r="I21" s="10" t="n">
        <f aca="false">((1-INP_029)*(INP_030*I17+(1-INP_030)*I16)+INP_029*I18)*(1-INP_031)</f>
        <v>0.333870302608696</v>
      </c>
      <c r="K21" s="10" t="n">
        <f aca="false">((1-INP_029)*(INP_030*K17+(1-INP_030)*K16)+INP_029*K18)*(1-INP_031)</f>
        <v>1.2078</v>
      </c>
      <c r="L21" s="10" t="n">
        <f aca="false">((1-INP_029)*(INP_030*L17+(1-INP_030)*L16)+INP_029*L18)*(1-INP_031)</f>
        <v>0.815113043478261</v>
      </c>
      <c r="M21" s="2" t="s">
        <v>3601</v>
      </c>
    </row>
    <row r="22" customFormat="false" ht="15" hidden="false" customHeight="false" outlineLevel="0" collapsed="false">
      <c r="A22" s="10" t="s">
        <v>3604</v>
      </c>
      <c r="B22" s="11" t="s">
        <v>3605</v>
      </c>
      <c r="C22" s="11" t="s">
        <v>3105</v>
      </c>
      <c r="D22" s="10" t="n">
        <f aca="false">INP_032</f>
        <v>0.6</v>
      </c>
      <c r="E22" s="10" t="n">
        <f aca="false">INP_033</f>
        <v>0.7</v>
      </c>
      <c r="F22" s="10" t="n">
        <f aca="false">INP_034</f>
        <v>0.7</v>
      </c>
      <c r="G22" s="10" t="n">
        <f aca="false">INP_034</f>
        <v>0.7</v>
      </c>
      <c r="H22" s="10" t="n">
        <f aca="false">INP_034</f>
        <v>0.7</v>
      </c>
      <c r="I22" s="10" t="n">
        <f aca="false">INP_034</f>
        <v>0.7</v>
      </c>
      <c r="K22" s="10" t="n">
        <f aca="false">INP_033</f>
        <v>0.7</v>
      </c>
      <c r="L22" s="10" t="n">
        <f aca="false">INP_033</f>
        <v>0.7</v>
      </c>
      <c r="M22" s="13" t="s">
        <v>3606</v>
      </c>
    </row>
    <row r="23" customFormat="false" ht="15" hidden="false" customHeight="false" outlineLevel="0" collapsed="false">
      <c r="A23" s="10" t="s">
        <v>3607</v>
      </c>
      <c r="B23" s="11" t="s">
        <v>3608</v>
      </c>
      <c r="C23" s="11" t="s">
        <v>3105</v>
      </c>
      <c r="D23" s="10" t="n">
        <f aca="false">(1-D22)</f>
        <v>0.4</v>
      </c>
      <c r="E23" s="10" t="n">
        <f aca="false">(1-E22)</f>
        <v>0.3</v>
      </c>
      <c r="F23" s="10" t="n">
        <f aca="false">(1-F22)</f>
        <v>0.3</v>
      </c>
      <c r="G23" s="10" t="n">
        <f aca="false">(1-G22)</f>
        <v>0.3</v>
      </c>
      <c r="H23" s="10" t="n">
        <f aca="false">(1-H22)</f>
        <v>0.3</v>
      </c>
      <c r="I23" s="10" t="n">
        <f aca="false">(1-I22)</f>
        <v>0.3</v>
      </c>
      <c r="K23" s="10" t="n">
        <f aca="false">(1-K22)</f>
        <v>0.3</v>
      </c>
      <c r="L23" s="10" t="n">
        <f aca="false">(1-L22)</f>
        <v>0.3</v>
      </c>
      <c r="M23" s="2" t="s">
        <v>3609</v>
      </c>
    </row>
    <row r="24" customFormat="false" ht="15" hidden="false" customHeight="false" outlineLevel="0" collapsed="false">
      <c r="A24" s="10" t="s">
        <v>3610</v>
      </c>
      <c r="B24" s="11" t="s">
        <v>3611</v>
      </c>
      <c r="C24" s="11" t="s">
        <v>3585</v>
      </c>
      <c r="D24" s="10" t="n">
        <f aca="false">D22*D20+D23*D21</f>
        <v>2.33532</v>
      </c>
      <c r="E24" s="16" t="n">
        <f aca="false">E47*INP_015/Demand!E11</f>
        <v>4.34862386070652</v>
      </c>
      <c r="F24" s="10" t="n">
        <f aca="false">F22*F20+F23*F21</f>
        <v>3.74462713043478</v>
      </c>
      <c r="G24" s="10" t="n">
        <f aca="false">G22*G20+G23*G21</f>
        <v>2.99570170434783</v>
      </c>
      <c r="H24" s="10" t="n">
        <f aca="false">H22*H20+H23*H21</f>
        <v>2.39656136347826</v>
      </c>
      <c r="I24" s="10" t="n">
        <f aca="false">I22*I20+I23*I21</f>
        <v>1.91724909078261</v>
      </c>
      <c r="K24" s="10" t="n">
        <f aca="false">K22*K20+K23*K21</f>
        <v>3.68672701657459</v>
      </c>
      <c r="L24" s="10" t="n">
        <f aca="false">L22*L20+L23*L21</f>
        <v>4.68078391304348</v>
      </c>
      <c r="M24" s="13" t="s">
        <v>3612</v>
      </c>
    </row>
    <row r="25" customFormat="false" ht="15" hidden="false" customHeight="false" outlineLevel="0" collapsed="false">
      <c r="A25" s="15" t="s">
        <v>3613</v>
      </c>
    </row>
    <row r="26" customFormat="false" ht="15" hidden="false" customHeight="false" outlineLevel="0" collapsed="false">
      <c r="A26" s="10" t="s">
        <v>3614</v>
      </c>
      <c r="B26" s="10" t="s">
        <v>3615</v>
      </c>
      <c r="C26" s="11" t="s">
        <v>3616</v>
      </c>
      <c r="K26" s="10" t="n">
        <f aca="false">SRC_ZP_356</f>
        <v>49</v>
      </c>
      <c r="L26" s="10" t="n">
        <f aca="false">SRC_ZP_356</f>
        <v>49</v>
      </c>
      <c r="M26" s="13" t="s">
        <v>3617</v>
      </c>
    </row>
    <row r="27" customFormat="false" ht="15" hidden="false" customHeight="false" outlineLevel="0" collapsed="false">
      <c r="A27" s="10" t="s">
        <v>3618</v>
      </c>
      <c r="B27" s="10" t="s">
        <v>3619</v>
      </c>
      <c r="C27" s="11" t="s">
        <v>3616</v>
      </c>
      <c r="K27" s="10" t="n">
        <f aca="false">SRC_ZP_373/INP_012*INP_023</f>
        <v>67.399</v>
      </c>
      <c r="L27" s="10" t="n">
        <f aca="false">SRC_ZP_367*INP_023</f>
        <v>121.3182</v>
      </c>
      <c r="M27" s="13" t="s">
        <v>3620</v>
      </c>
    </row>
    <row r="28" customFormat="false" ht="15" hidden="false" customHeight="false" outlineLevel="0" collapsed="false">
      <c r="A28" s="10" t="s">
        <v>3621</v>
      </c>
      <c r="B28" s="10" t="s">
        <v>3622</v>
      </c>
      <c r="C28" s="11" t="s">
        <v>3616</v>
      </c>
      <c r="D28" s="10" t="n">
        <f aca="false">K28/(1+SRC_ZP_350/INP_014)</f>
        <v>33.5505846153846</v>
      </c>
      <c r="E28" s="10" t="n">
        <f aca="false">(K28+L28)/INP_013</f>
        <v>50.086064</v>
      </c>
      <c r="F28" s="10" t="n">
        <f aca="false">L28*(1+INP_059)</f>
        <v>56.556368</v>
      </c>
      <c r="G28" s="10" t="n">
        <f aca="false">F28*(1+INP_059)</f>
        <v>56.556368</v>
      </c>
      <c r="H28" s="10" t="n">
        <f aca="false">G28*(1+INP_059)</f>
        <v>56.556368</v>
      </c>
      <c r="I28" s="10" t="n">
        <f aca="false">H28*(1+INP_059)</f>
        <v>56.556368</v>
      </c>
      <c r="K28" s="10" t="n">
        <f aca="false">((1-INP_057)*K26+INP_057*K27)*(1-INP_058)</f>
        <v>43.61576</v>
      </c>
      <c r="L28" s="10" t="n">
        <f aca="false">((1-INP_057)*L26+INP_057*L27)*(1-INP_058)</f>
        <v>56.556368</v>
      </c>
      <c r="M28" s="2" t="s">
        <v>3623</v>
      </c>
    </row>
    <row r="29" customFormat="false" ht="15" hidden="false" customHeight="false" outlineLevel="0" collapsed="false">
      <c r="A29" s="10" t="s">
        <v>3624</v>
      </c>
      <c r="B29" s="10" t="s">
        <v>3625</v>
      </c>
      <c r="C29" s="11" t="s">
        <v>3616</v>
      </c>
      <c r="K29" s="10" t="n">
        <f aca="false">SRC_ZP_359</f>
        <v>149</v>
      </c>
      <c r="L29" s="10" t="n">
        <f aca="false">SRC_ZP_359</f>
        <v>149</v>
      </c>
      <c r="M29" s="13" t="s">
        <v>3617</v>
      </c>
    </row>
    <row r="30" customFormat="false" ht="15" hidden="false" customHeight="false" outlineLevel="0" collapsed="false">
      <c r="A30" s="10" t="s">
        <v>3626</v>
      </c>
      <c r="B30" s="10" t="s">
        <v>3627</v>
      </c>
      <c r="C30" s="11" t="s">
        <v>3616</v>
      </c>
      <c r="K30" s="10" t="n">
        <f aca="false">SRC_ZP_374/INP_012*INP_023</f>
        <v>202.197</v>
      </c>
      <c r="L30" s="10" t="n">
        <f aca="false">SRC_ZP_369*INP_023</f>
        <v>485.2728</v>
      </c>
      <c r="M30" s="13" t="s">
        <v>3620</v>
      </c>
    </row>
    <row r="31" customFormat="false" ht="15" hidden="false" customHeight="false" outlineLevel="0" collapsed="false">
      <c r="A31" s="10" t="s">
        <v>3628</v>
      </c>
      <c r="B31" s="10" t="s">
        <v>3629</v>
      </c>
      <c r="C31" s="11" t="s">
        <v>3616</v>
      </c>
      <c r="D31" s="10" t="n">
        <f aca="false">K31/(1+SRC_ZP_350/INP_014)</f>
        <v>101.513292307692</v>
      </c>
      <c r="E31" s="10" t="n">
        <f aca="false">(K31+L31)/INP_013</f>
        <v>165.936376</v>
      </c>
      <c r="F31" s="10" t="n">
        <f aca="false">L31*(1+INP_059)</f>
        <v>199.905472</v>
      </c>
      <c r="G31" s="10" t="n">
        <f aca="false">F31*(1+INP_059)</f>
        <v>199.905472</v>
      </c>
      <c r="H31" s="10" t="n">
        <f aca="false">G31*(1+INP_059)</f>
        <v>199.905472</v>
      </c>
      <c r="I31" s="10" t="n">
        <f aca="false">H31*(1+INP_059)</f>
        <v>199.905472</v>
      </c>
      <c r="K31" s="10" t="n">
        <f aca="false">((1-INP_057)*K29+INP_057*K30)*(1-INP_058)</f>
        <v>131.96728</v>
      </c>
      <c r="L31" s="10" t="n">
        <f aca="false">((1-INP_057)*L29+INP_057*L30)*(1-INP_058)</f>
        <v>199.905472</v>
      </c>
      <c r="M31" s="2" t="s">
        <v>3623</v>
      </c>
    </row>
    <row r="32" customFormat="false" ht="15" hidden="false" customHeight="false" outlineLevel="0" collapsed="false">
      <c r="A32" s="10" t="s">
        <v>3630</v>
      </c>
      <c r="B32" s="10" t="s">
        <v>3631</v>
      </c>
      <c r="C32" s="11" t="s">
        <v>3616</v>
      </c>
      <c r="K32" s="10" t="n">
        <f aca="false">SRC_ZP_362</f>
        <v>469</v>
      </c>
      <c r="L32" s="10" t="n">
        <f aca="false">SRC_ZP_362</f>
        <v>469</v>
      </c>
      <c r="M32" s="13" t="s">
        <v>3617</v>
      </c>
    </row>
    <row r="33" customFormat="false" ht="15" hidden="false" customHeight="false" outlineLevel="0" collapsed="false">
      <c r="A33" s="10" t="s">
        <v>3632</v>
      </c>
      <c r="B33" s="10" t="s">
        <v>3633</v>
      </c>
      <c r="C33" s="11" t="s">
        <v>3616</v>
      </c>
      <c r="K33" s="10" t="n">
        <f aca="false">SRC_ZP_375/INP_012*INP_023</f>
        <v>539.192</v>
      </c>
      <c r="L33" s="10" t="n">
        <f aca="false">SRC_ZP_371*INP_023</f>
        <v>1078.384</v>
      </c>
      <c r="M33" s="13" t="s">
        <v>3620</v>
      </c>
    </row>
    <row r="34" customFormat="false" ht="15" hidden="false" customHeight="false" outlineLevel="0" collapsed="false">
      <c r="A34" s="10" t="s">
        <v>3634</v>
      </c>
      <c r="B34" s="10" t="s">
        <v>3635</v>
      </c>
      <c r="C34" s="11" t="s">
        <v>3616</v>
      </c>
      <c r="D34" s="10" t="n">
        <f aca="false">K34/(1+SRC_ZP_350/INP_014)</f>
        <v>301.573907692308</v>
      </c>
      <c r="E34" s="10" t="n">
        <f aca="false">(K34+L34)/INP_013</f>
        <v>456.74912</v>
      </c>
      <c r="F34" s="10" t="n">
        <f aca="false">L34*(1+INP_059)</f>
        <v>521.45216</v>
      </c>
      <c r="G34" s="10" t="n">
        <f aca="false">F34*(1+INP_059)</f>
        <v>521.45216</v>
      </c>
      <c r="H34" s="10" t="n">
        <f aca="false">G34*(1+INP_059)</f>
        <v>521.45216</v>
      </c>
      <c r="I34" s="10" t="n">
        <f aca="false">H34*(1+INP_059)</f>
        <v>521.45216</v>
      </c>
      <c r="K34" s="10" t="n">
        <f aca="false">((1-INP_057)*K32+INP_057*K33)*(1-INP_058)</f>
        <v>392.04608</v>
      </c>
      <c r="L34" s="10" t="n">
        <f aca="false">((1-INP_057)*L32+INP_057*L33)*(1-INP_058)</f>
        <v>521.45216</v>
      </c>
      <c r="M34" s="2" t="s">
        <v>3623</v>
      </c>
    </row>
    <row r="35" customFormat="false" ht="15" hidden="false" customHeight="false" outlineLevel="0" collapsed="false">
      <c r="A35" s="10" t="s">
        <v>3636</v>
      </c>
      <c r="B35" s="11" t="s">
        <v>3637</v>
      </c>
      <c r="C35" s="11" t="s">
        <v>3105</v>
      </c>
      <c r="D35" s="10" t="n">
        <f aca="false">INP_055</f>
        <v>0.6</v>
      </c>
      <c r="E35" s="10" t="n">
        <f aca="false">INP_055</f>
        <v>0.6</v>
      </c>
      <c r="F35" s="10" t="n">
        <f aca="false">INP_055</f>
        <v>0.6</v>
      </c>
      <c r="G35" s="10" t="n">
        <f aca="false">INP_055</f>
        <v>0.6</v>
      </c>
      <c r="H35" s="10" t="n">
        <f aca="false">INP_055</f>
        <v>0.6</v>
      </c>
      <c r="I35" s="10" t="n">
        <f aca="false">INP_055</f>
        <v>0.6</v>
      </c>
      <c r="K35" s="10" t="n">
        <f aca="false">INP_055</f>
        <v>0.6</v>
      </c>
      <c r="L35" s="10" t="n">
        <f aca="false">INP_055</f>
        <v>0.6</v>
      </c>
      <c r="M35" s="13" t="s">
        <v>14</v>
      </c>
    </row>
    <row r="36" customFormat="false" ht="15" hidden="false" customHeight="false" outlineLevel="0" collapsed="false">
      <c r="A36" s="10" t="s">
        <v>3638</v>
      </c>
      <c r="B36" s="11" t="s">
        <v>3639</v>
      </c>
      <c r="C36" s="11" t="s">
        <v>3105</v>
      </c>
      <c r="D36" s="10" t="n">
        <f aca="false">INP_056</f>
        <v>0.3</v>
      </c>
      <c r="E36" s="10" t="n">
        <f aca="false">INP_056</f>
        <v>0.3</v>
      </c>
      <c r="F36" s="10" t="n">
        <f aca="false">INP_056</f>
        <v>0.3</v>
      </c>
      <c r="G36" s="10" t="n">
        <f aca="false">INP_056</f>
        <v>0.3</v>
      </c>
      <c r="H36" s="10" t="n">
        <f aca="false">INP_056</f>
        <v>0.3</v>
      </c>
      <c r="I36" s="10" t="n">
        <f aca="false">INP_056</f>
        <v>0.3</v>
      </c>
      <c r="K36" s="10" t="n">
        <f aca="false">INP_056</f>
        <v>0.3</v>
      </c>
      <c r="L36" s="10" t="n">
        <f aca="false">INP_056</f>
        <v>0.3</v>
      </c>
      <c r="M36" s="13" t="s">
        <v>14</v>
      </c>
    </row>
    <row r="37" customFormat="false" ht="15" hidden="false" customHeight="false" outlineLevel="0" collapsed="false">
      <c r="A37" s="10" t="s">
        <v>3640</v>
      </c>
      <c r="B37" s="11" t="s">
        <v>3641</v>
      </c>
      <c r="C37" s="11" t="s">
        <v>3105</v>
      </c>
      <c r="D37" s="10" t="n">
        <f aca="false">(1-D35-D36)</f>
        <v>0.1</v>
      </c>
      <c r="E37" s="10" t="n">
        <f aca="false">(1-E35-E36)</f>
        <v>0.1</v>
      </c>
      <c r="F37" s="10" t="n">
        <f aca="false">(1-F35-F36)</f>
        <v>0.1</v>
      </c>
      <c r="G37" s="10" t="n">
        <f aca="false">(1-G35-G36)</f>
        <v>0.1</v>
      </c>
      <c r="H37" s="10" t="n">
        <f aca="false">(1-H35-H36)</f>
        <v>0.1</v>
      </c>
      <c r="I37" s="10" t="n">
        <f aca="false">(1-I35-I36)</f>
        <v>0.1</v>
      </c>
      <c r="K37" s="10" t="n">
        <f aca="false">(1-K35-K36)</f>
        <v>0.1</v>
      </c>
      <c r="L37" s="10" t="n">
        <f aca="false">(1-L35-L36)</f>
        <v>0.1</v>
      </c>
      <c r="M37" s="2" t="s">
        <v>3642</v>
      </c>
    </row>
    <row r="38" customFormat="false" ht="15" hidden="false" customHeight="false" outlineLevel="0" collapsed="false">
      <c r="A38" s="10" t="s">
        <v>3643</v>
      </c>
      <c r="B38" s="11" t="s">
        <v>3644</v>
      </c>
      <c r="C38" s="11" t="s">
        <v>3616</v>
      </c>
      <c r="D38" s="10" t="n">
        <f aca="false">D35*D28+D36*D31+D37*D34</f>
        <v>80.7417292307692</v>
      </c>
      <c r="E38" s="10" t="n">
        <f aca="false">E35*E28+E36*E31+E37*E34</f>
        <v>125.5074632</v>
      </c>
      <c r="F38" s="10" t="n">
        <f aca="false">F35*F28+F36*F31+F37*F34</f>
        <v>146.0506784</v>
      </c>
      <c r="G38" s="10" t="n">
        <f aca="false">G35*G28+G36*G31+G37*G34</f>
        <v>146.0506784</v>
      </c>
      <c r="H38" s="10" t="n">
        <f aca="false">H35*H28+H36*H31+H37*H34</f>
        <v>146.0506784</v>
      </c>
      <c r="I38" s="10" t="n">
        <f aca="false">I35*I28+I36*I31+I37*I34</f>
        <v>146.0506784</v>
      </c>
      <c r="K38" s="10" t="n">
        <f aca="false">K35*K28+K36*K31+K37*K34</f>
        <v>104.964248</v>
      </c>
      <c r="L38" s="10" t="n">
        <f aca="false">L35*L28+L36*L31+L37*L34</f>
        <v>146.0506784</v>
      </c>
      <c r="M38" s="2"/>
    </row>
    <row r="39" customFormat="false" ht="15" hidden="false" customHeight="false" outlineLevel="0" collapsed="false">
      <c r="A39" s="15" t="s">
        <v>3645</v>
      </c>
    </row>
    <row r="40" customFormat="false" ht="15" hidden="false" customHeight="false" outlineLevel="0" collapsed="false">
      <c r="A40" s="10" t="s">
        <v>3646</v>
      </c>
      <c r="B40" s="10" t="s">
        <v>3647</v>
      </c>
      <c r="C40" s="10" t="s">
        <v>55</v>
      </c>
      <c r="D40" s="16" t="n">
        <f aca="false">Demand!D17*D28*INP_010/INP_017</f>
        <v>0.0876878079507692</v>
      </c>
      <c r="E40" s="10" t="n">
        <f aca="false">K40+L40</f>
        <v>1.119059118144</v>
      </c>
      <c r="F40" s="16" t="n">
        <f aca="false">Demand!F17*F28*INP_010/INP_017</f>
        <v>1.84769654256</v>
      </c>
      <c r="G40" s="16" t="n">
        <f aca="false">Demand!G17*G28*INP_010/INP_017</f>
        <v>2.402005505328</v>
      </c>
      <c r="H40" s="16" t="n">
        <f aca="false">Demand!H17*H28*INP_010/INP_017</f>
        <v>2.8824066063936</v>
      </c>
      <c r="I40" s="16" t="n">
        <f aca="false">Demand!I17*I28*INP_010/INP_017</f>
        <v>3.31476759735264</v>
      </c>
      <c r="K40" s="16" t="n">
        <f aca="false">Demand!K17*K28*INP_011/INP_017</f>
        <v>0.37998050112</v>
      </c>
      <c r="L40" s="16" t="n">
        <f aca="false">Demand!L17*L28*INP_011/INP_017</f>
        <v>0.739078617024</v>
      </c>
      <c r="M40" s="2" t="s">
        <v>3648</v>
      </c>
    </row>
    <row r="41" customFormat="false" ht="15" hidden="false" customHeight="false" outlineLevel="0" collapsed="false">
      <c r="A41" s="10" t="s">
        <v>3649</v>
      </c>
      <c r="B41" s="10" t="s">
        <v>3650</v>
      </c>
      <c r="C41" s="10" t="s">
        <v>55</v>
      </c>
      <c r="D41" s="16" t="n">
        <f aca="false">Demand!D18*D31*INP_010/INP_017</f>
        <v>0.132657570387692</v>
      </c>
      <c r="E41" s="10" t="n">
        <f aca="false">K41+L41</f>
        <v>1.881031825728</v>
      </c>
      <c r="F41" s="16" t="n">
        <f aca="false">Demand!F18*F31*INP_010/INP_017</f>
        <v>3.26545588512</v>
      </c>
      <c r="G41" s="16" t="n">
        <f aca="false">Demand!G18*G31*INP_010/INP_017</f>
        <v>4.245092650656</v>
      </c>
      <c r="H41" s="16" t="n">
        <f aca="false">Demand!H18*H31*INP_010/INP_017</f>
        <v>5.0941111807872</v>
      </c>
      <c r="I41" s="16" t="n">
        <f aca="false">Demand!I18*I31*INP_010/INP_017</f>
        <v>5.85822785790528</v>
      </c>
      <c r="K41" s="16" t="n">
        <f aca="false">Demand!K18*K31*INP_011/INP_017</f>
        <v>0.57484947168</v>
      </c>
      <c r="L41" s="16" t="n">
        <f aca="false">Demand!L18*L31*INP_011/INP_017</f>
        <v>1.306182354048</v>
      </c>
      <c r="M41" s="2" t="s">
        <v>3648</v>
      </c>
    </row>
    <row r="42" customFormat="false" ht="15" hidden="false" customHeight="false" outlineLevel="0" collapsed="false">
      <c r="A42" s="10" t="s">
        <v>3651</v>
      </c>
      <c r="B42" s="10" t="s">
        <v>3652</v>
      </c>
      <c r="C42" s="10" t="s">
        <v>55</v>
      </c>
      <c r="D42" s="16" t="n">
        <f aca="false">Demand!D19*D34*INP_010/INP_017</f>
        <v>0.131365594190769</v>
      </c>
      <c r="E42" s="10" t="n">
        <f aca="false">K42+L42</f>
        <v>1.70497371264</v>
      </c>
      <c r="F42" s="16" t="n">
        <f aca="false">Demand!F19*F34*INP_010/INP_017</f>
        <v>2.8393070112</v>
      </c>
      <c r="G42" s="16" t="n">
        <f aca="false">Demand!G19*G34*INP_010/INP_017</f>
        <v>3.69109911456</v>
      </c>
      <c r="H42" s="16" t="n">
        <f aca="false">Demand!H19*H34*INP_010/INP_017</f>
        <v>4.429318937472</v>
      </c>
      <c r="I42" s="16" t="n">
        <f aca="false">Demand!I19*I34*INP_010/INP_017</f>
        <v>5.0937167780928</v>
      </c>
      <c r="K42" s="16" t="n">
        <f aca="false">Demand!K19*K34*INP_011/INP_017</f>
        <v>0.56925090816</v>
      </c>
      <c r="L42" s="16" t="n">
        <f aca="false">Demand!L19*L34*INP_011/INP_017</f>
        <v>1.13572280448</v>
      </c>
      <c r="M42" s="2" t="s">
        <v>3648</v>
      </c>
    </row>
    <row r="43" customFormat="false" ht="15" hidden="false" customHeight="false" outlineLevel="0" collapsed="false">
      <c r="A43" s="10" t="s">
        <v>3653</v>
      </c>
      <c r="B43" s="10" t="s">
        <v>3654</v>
      </c>
      <c r="C43" s="10" t="s">
        <v>55</v>
      </c>
      <c r="D43" s="10" t="n">
        <f aca="false">D40+D41+D42</f>
        <v>0.351710972529231</v>
      </c>
      <c r="E43" s="10" t="n">
        <f aca="false">E40+E41+E42</f>
        <v>4.705064656512</v>
      </c>
      <c r="F43" s="10" t="n">
        <f aca="false">F40+F41+F42</f>
        <v>7.95245943888</v>
      </c>
      <c r="G43" s="10" t="n">
        <f aca="false">G40+G41+G42</f>
        <v>10.338197270544</v>
      </c>
      <c r="H43" s="10" t="n">
        <f aca="false">H40+H41+H42</f>
        <v>12.4058367246528</v>
      </c>
      <c r="I43" s="10" t="n">
        <f aca="false">I40+I41+I42</f>
        <v>14.2667122333507</v>
      </c>
      <c r="K43" s="10" t="n">
        <f aca="false">K40+K41+K42</f>
        <v>1.52408088096</v>
      </c>
      <c r="L43" s="10" t="n">
        <f aca="false">L40+L41+L42</f>
        <v>3.180983775552</v>
      </c>
      <c r="M43" s="2" t="s">
        <v>3655</v>
      </c>
    </row>
    <row r="44" customFormat="false" ht="15" hidden="false" customHeight="false" outlineLevel="0" collapsed="false">
      <c r="A44" s="10" t="s">
        <v>3656</v>
      </c>
      <c r="B44" s="11" t="s">
        <v>3657</v>
      </c>
      <c r="C44" s="10" t="s">
        <v>55</v>
      </c>
      <c r="D44" s="10" t="n">
        <f aca="false">SRC_ZP_112-D43</f>
        <v>1.55208902747077</v>
      </c>
      <c r="K44" s="10" t="n">
        <f aca="false">SRC_ZP_169-K43</f>
        <v>6.72771911904</v>
      </c>
      <c r="M44" s="13" t="s">
        <v>3658</v>
      </c>
    </row>
    <row r="45" customFormat="false" ht="15" hidden="false" customHeight="false" outlineLevel="0" collapsed="false">
      <c r="A45" s="10" t="s">
        <v>3659</v>
      </c>
      <c r="B45" s="10" t="s">
        <v>3660</v>
      </c>
      <c r="C45" s="10" t="s">
        <v>55</v>
      </c>
      <c r="D45" s="16" t="n">
        <f aca="false">Demand!D11*D22*D20/INP_015</f>
        <v>1.23100016129753</v>
      </c>
      <c r="E45" s="10" t="n">
        <f aca="false">K45+L45</f>
        <v>22.1984135062458</v>
      </c>
      <c r="F45" s="16" t="n">
        <f aca="false">Demand!F11*F22*F20/INP_015</f>
        <v>50.1507081902446</v>
      </c>
      <c r="G45" s="16" t="n">
        <f aca="false">Demand!G11*G22*G20/INP_015</f>
        <v>86.5099716281719</v>
      </c>
      <c r="H45" s="16" t="n">
        <f aca="false">Demand!H11*H22*H20/INP_015</f>
        <v>134.306730952737</v>
      </c>
      <c r="I45" s="16" t="n">
        <f aca="false">Demand!I11*I22*I20/INP_015</f>
        <v>193.065925744559</v>
      </c>
      <c r="K45" s="16" t="n">
        <f aca="false">Demand!K11*K22*K20/INP_015</f>
        <v>6.06650342972165</v>
      </c>
      <c r="L45" s="16" t="n">
        <f aca="false">Demand!L11*L22*L20/INP_015</f>
        <v>16.1319100765242</v>
      </c>
      <c r="M45" s="13" t="s">
        <v>3661</v>
      </c>
    </row>
    <row r="46" customFormat="false" ht="15" hidden="false" customHeight="false" outlineLevel="0" collapsed="false">
      <c r="A46" s="10" t="s">
        <v>3662</v>
      </c>
      <c r="B46" s="10" t="s">
        <v>3663</v>
      </c>
      <c r="C46" s="10" t="s">
        <v>55</v>
      </c>
      <c r="D46" s="16" t="n">
        <f aca="false">Demand!D11*D23*D21/INP_015</f>
        <v>0.321088866173235</v>
      </c>
      <c r="E46" s="10" t="n">
        <f aca="false">K46+L46</f>
        <v>1.5504349839654</v>
      </c>
      <c r="F46" s="16" t="n">
        <f aca="false">Demand!F11*F23*F21/INP_015</f>
        <v>2.76439535996892</v>
      </c>
      <c r="G46" s="16" t="n">
        <f aca="false">Demand!G11*G23*G21/INP_015</f>
        <v>4.76858199594639</v>
      </c>
      <c r="H46" s="16" t="n">
        <f aca="false">Demand!H11*H23*H21/INP_015</f>
        <v>7.40322354870677</v>
      </c>
      <c r="I46" s="16" t="n">
        <f aca="false">Demand!I11*I23*I21/INP_015</f>
        <v>10.642133851266</v>
      </c>
      <c r="K46" s="16" t="n">
        <f aca="false">Demand!K11*K23*K21/INP_015</f>
        <v>0.661215689318351</v>
      </c>
      <c r="L46" s="16" t="n">
        <f aca="false">Demand!L11*L23*L21/INP_015</f>
        <v>0.889219294647048</v>
      </c>
      <c r="M46" s="13" t="s">
        <v>3661</v>
      </c>
    </row>
    <row r="47" customFormat="false" ht="15" hidden="false" customHeight="false" outlineLevel="0" collapsed="false">
      <c r="A47" s="10" t="s">
        <v>3664</v>
      </c>
      <c r="B47" s="10" t="s">
        <v>3665</v>
      </c>
      <c r="C47" s="10" t="s">
        <v>55</v>
      </c>
      <c r="D47" s="10" t="n">
        <f aca="false">D45+D46</f>
        <v>1.55208902747077</v>
      </c>
      <c r="E47" s="10" t="n">
        <f aca="false">E45+E46</f>
        <v>23.7488484902112</v>
      </c>
      <c r="F47" s="10" t="n">
        <f aca="false">F45+F46</f>
        <v>52.9151035502135</v>
      </c>
      <c r="G47" s="10" t="n">
        <f aca="false">G45+G46</f>
        <v>91.2785536241183</v>
      </c>
      <c r="H47" s="10" t="n">
        <f aca="false">H45+H46</f>
        <v>141.709954501444</v>
      </c>
      <c r="I47" s="10" t="n">
        <f aca="false">I45+I46</f>
        <v>203.708059595825</v>
      </c>
      <c r="K47" s="10" t="n">
        <f aca="false">K45+K46</f>
        <v>6.72771911904</v>
      </c>
      <c r="L47" s="10" t="n">
        <f aca="false">L45+L46</f>
        <v>17.0211293711712</v>
      </c>
      <c r="M47" s="2" t="s">
        <v>3666</v>
      </c>
    </row>
    <row r="48" customFormat="false" ht="15" hidden="false" customHeight="false" outlineLevel="0" collapsed="false">
      <c r="A48" s="10" t="s">
        <v>3667</v>
      </c>
      <c r="B48" s="11" t="s">
        <v>3668</v>
      </c>
      <c r="C48" s="10" t="s">
        <v>55</v>
      </c>
      <c r="D48" s="10" t="n">
        <f aca="false">D47+D43</f>
        <v>1.9038</v>
      </c>
      <c r="E48" s="10" t="n">
        <f aca="false">E47+E43</f>
        <v>28.4539131467232</v>
      </c>
      <c r="F48" s="10" t="n">
        <f aca="false">F47+F43</f>
        <v>60.8675629890935</v>
      </c>
      <c r="G48" s="10" t="n">
        <f aca="false">G47+G43</f>
        <v>101.616750894662</v>
      </c>
      <c r="H48" s="10" t="n">
        <f aca="false">H47+H43</f>
        <v>154.115791226097</v>
      </c>
      <c r="I48" s="10" t="n">
        <f aca="false">I47+I43</f>
        <v>217.974771829176</v>
      </c>
      <c r="K48" s="10" t="n">
        <f aca="false">K47+K43</f>
        <v>8.2518</v>
      </c>
      <c r="L48" s="10" t="n">
        <f aca="false">L47+L43</f>
        <v>20.2021131467232</v>
      </c>
      <c r="M48" s="2" t="s">
        <v>3669</v>
      </c>
    </row>
    <row r="49" customFormat="false" ht="15" hidden="false" customHeight="false" outlineLevel="0" collapsed="false">
      <c r="A49" s="10" t="s">
        <v>3670</v>
      </c>
      <c r="B49" s="11" t="s">
        <v>3671</v>
      </c>
      <c r="C49" s="10" t="s">
        <v>55</v>
      </c>
      <c r="D49" s="10" t="n">
        <f aca="false">SRC_ZP_114</f>
        <v>1.6569</v>
      </c>
      <c r="E49" s="10" t="n">
        <f aca="false">K49+L49</f>
        <v>6.69995371179039</v>
      </c>
      <c r="F49" s="10" t="n">
        <f aca="false">E49*(1+INP_070)</f>
        <v>6.69995371179039</v>
      </c>
      <c r="G49" s="10" t="n">
        <f aca="false">F49*(1+INP_070)</f>
        <v>6.69995371179039</v>
      </c>
      <c r="H49" s="10" t="n">
        <f aca="false">G49*(1+INP_070)</f>
        <v>6.69995371179039</v>
      </c>
      <c r="I49" s="10" t="n">
        <f aca="false">H49*(1+INP_070)</f>
        <v>6.69995371179039</v>
      </c>
      <c r="K49" s="10" t="n">
        <f aca="false">SRC_ZP_171</f>
        <v>0.5556</v>
      </c>
      <c r="L49" s="10" t="n">
        <f aca="false">(SRC_ZP_114-SRC_ZP_172)*((1-INP_069)+INP_069*SRC_ZP_171/SRC_ZP_172)</f>
        <v>6.14435371179039</v>
      </c>
      <c r="M49" s="13" t="s">
        <v>3672</v>
      </c>
    </row>
    <row r="50" customFormat="false" ht="15" hidden="false" customHeight="false" outlineLevel="0" collapsed="false">
      <c r="A50" s="10" t="s">
        <v>3673</v>
      </c>
      <c r="B50" s="11" t="s">
        <v>3674</v>
      </c>
      <c r="C50" s="10" t="s">
        <v>55</v>
      </c>
      <c r="D50" s="10" t="n">
        <f aca="false">SRC_ZP_116</f>
        <v>3.6572</v>
      </c>
      <c r="E50" s="10" t="n">
        <f aca="false">K50+L50</f>
        <v>1.66166511690952</v>
      </c>
      <c r="F50" s="10" t="n">
        <f aca="false">E50*(1+INP_070)</f>
        <v>1.66166511690952</v>
      </c>
      <c r="G50" s="10" t="n">
        <f aca="false">F50*(1+INP_070)</f>
        <v>1.66166511690952</v>
      </c>
      <c r="H50" s="10" t="n">
        <f aca="false">G50*(1+INP_070)</f>
        <v>1.66166511690952</v>
      </c>
      <c r="I50" s="10" t="n">
        <f aca="false">H50*(1+INP_070)</f>
        <v>1.66166511690952</v>
      </c>
      <c r="K50" s="10" t="n">
        <f aca="false">SRC_ZP_173</f>
        <v>0.6704</v>
      </c>
      <c r="L50" s="10" t="n">
        <f aca="false">(SRC_ZP_116-SRC_ZP_174)*((1-INP_069)+INP_069*SRC_ZP_173/SRC_ZP_174)</f>
        <v>0.991265116909522</v>
      </c>
      <c r="M50" s="13" t="s">
        <v>3672</v>
      </c>
    </row>
    <row r="51" customFormat="false" ht="15" hidden="false" customHeight="false" outlineLevel="0" collapsed="false">
      <c r="A51" s="10" t="s">
        <v>3675</v>
      </c>
      <c r="B51" s="11" t="s">
        <v>3676</v>
      </c>
      <c r="C51" s="10" t="s">
        <v>55</v>
      </c>
      <c r="D51" s="10" t="n">
        <f aca="false">SRC_ZP_118</f>
        <v>0.0254</v>
      </c>
      <c r="E51" s="10" t="n">
        <f aca="false">K51+L51</f>
        <v>0.32385</v>
      </c>
      <c r="F51" s="10" t="n">
        <f aca="false">E51*(1+INP_070)</f>
        <v>0.32385</v>
      </c>
      <c r="G51" s="10" t="n">
        <f aca="false">F51*(1+INP_070)</f>
        <v>0.32385</v>
      </c>
      <c r="H51" s="10" t="n">
        <f aca="false">G51*(1+INP_070)</f>
        <v>0.32385</v>
      </c>
      <c r="I51" s="10" t="n">
        <f aca="false">H51*(1+INP_070)</f>
        <v>0.32385</v>
      </c>
      <c r="K51" s="10" t="n">
        <f aca="false">SRC_ZP_175</f>
        <v>0.0612</v>
      </c>
      <c r="L51" s="10" t="n">
        <f aca="false">(SRC_ZP_118-SRC_ZP_176)*((1-INP_069)+INP_069*SRC_ZP_175/SRC_ZP_176)</f>
        <v>0.26265</v>
      </c>
      <c r="M51" s="13" t="s">
        <v>3672</v>
      </c>
    </row>
    <row r="52" customFormat="false" ht="15" hidden="false" customHeight="false" outlineLevel="0" collapsed="false">
      <c r="A52" s="10" t="s">
        <v>3677</v>
      </c>
      <c r="B52" s="11" t="s">
        <v>3678</v>
      </c>
      <c r="C52" s="10" t="s">
        <v>55</v>
      </c>
      <c r="D52" s="10" t="n">
        <f aca="false">D49+D50+D51</f>
        <v>5.3395</v>
      </c>
      <c r="E52" s="10" t="n">
        <f aca="false">E49+E50+E51</f>
        <v>8.68546882869992</v>
      </c>
      <c r="F52" s="10" t="n">
        <f aca="false">F49+F50+F51</f>
        <v>8.68546882869992</v>
      </c>
      <c r="G52" s="10" t="n">
        <f aca="false">G49+G50+G51</f>
        <v>8.68546882869992</v>
      </c>
      <c r="H52" s="10" t="n">
        <f aca="false">H49+H50+H51</f>
        <v>8.68546882869992</v>
      </c>
      <c r="I52" s="10" t="n">
        <f aca="false">I49+I50+I51</f>
        <v>8.68546882869992</v>
      </c>
      <c r="K52" s="10" t="n">
        <f aca="false">K49+K50+K51</f>
        <v>1.2872</v>
      </c>
      <c r="L52" s="10" t="n">
        <f aca="false">L49+L50+L51</f>
        <v>7.39826882869992</v>
      </c>
      <c r="M52" s="13" t="s">
        <v>3679</v>
      </c>
    </row>
    <row r="53" customFormat="false" ht="15" hidden="false" customHeight="false" outlineLevel="0" collapsed="false">
      <c r="A53" s="10" t="s">
        <v>3680</v>
      </c>
      <c r="B53" s="11" t="s">
        <v>3681</v>
      </c>
      <c r="C53" s="10" t="s">
        <v>55</v>
      </c>
      <c r="D53" s="10" t="n">
        <f aca="false">INP_071</f>
        <v>0</v>
      </c>
      <c r="E53" s="10" t="n">
        <f aca="false">INP_071</f>
        <v>0</v>
      </c>
      <c r="F53" s="10" t="n">
        <f aca="false">INP_071</f>
        <v>0</v>
      </c>
      <c r="G53" s="10" t="n">
        <f aca="false">INP_071</f>
        <v>0</v>
      </c>
      <c r="H53" s="10" t="n">
        <f aca="false">INP_071</f>
        <v>0</v>
      </c>
      <c r="I53" s="10" t="n">
        <f aca="false">INP_071</f>
        <v>0</v>
      </c>
      <c r="K53" s="10" t="n">
        <f aca="false">INP_071</f>
        <v>0</v>
      </c>
      <c r="L53" s="10" t="n">
        <f aca="false">INP_071</f>
        <v>0</v>
      </c>
      <c r="M53" s="2" t="s">
        <v>3682</v>
      </c>
    </row>
    <row r="54" customFormat="false" ht="15" hidden="false" customHeight="false" outlineLevel="0" collapsed="false">
      <c r="A54" s="10" t="s">
        <v>3683</v>
      </c>
      <c r="B54" s="11" t="s">
        <v>3684</v>
      </c>
      <c r="C54" s="10" t="s">
        <v>55</v>
      </c>
      <c r="D54" s="10" t="n">
        <f aca="false">D48+D52+D53</f>
        <v>7.2433</v>
      </c>
      <c r="E54" s="10" t="n">
        <f aca="false">E48+E52+E53</f>
        <v>37.1393819754231</v>
      </c>
      <c r="F54" s="10" t="n">
        <f aca="false">F48+F52+F53</f>
        <v>69.5530318177935</v>
      </c>
      <c r="G54" s="10" t="n">
        <f aca="false">G48+G52+G53</f>
        <v>110.302219723362</v>
      </c>
      <c r="H54" s="10" t="n">
        <f aca="false">H48+H52+H53</f>
        <v>162.801260054796</v>
      </c>
      <c r="I54" s="10" t="n">
        <f aca="false">I48+I52+I53</f>
        <v>226.660240657876</v>
      </c>
      <c r="K54" s="10" t="n">
        <f aca="false">K48+K52+K53</f>
        <v>9.539</v>
      </c>
      <c r="L54" s="10" t="n">
        <f aca="false">L48+L52+L53</f>
        <v>27.6003819754231</v>
      </c>
      <c r="M54" s="2" t="s">
        <v>3685</v>
      </c>
    </row>
    <row r="55" customFormat="false" ht="15" hidden="false" customHeight="false" outlineLevel="0" collapsed="false">
      <c r="A55" s="10" t="s">
        <v>3686</v>
      </c>
      <c r="B55" s="11" t="s">
        <v>3687</v>
      </c>
      <c r="C55" s="10" t="s">
        <v>55</v>
      </c>
      <c r="D55" s="10" t="n">
        <f aca="false">D54</f>
        <v>7.2433</v>
      </c>
      <c r="E55" s="10" t="n">
        <f aca="false">E54</f>
        <v>37.1393819754231</v>
      </c>
      <c r="F55" s="10" t="n">
        <f aca="false">F54</f>
        <v>69.5530318177935</v>
      </c>
      <c r="G55" s="10" t="n">
        <f aca="false">G54</f>
        <v>110.302219723362</v>
      </c>
      <c r="H55" s="10" t="n">
        <f aca="false">H54</f>
        <v>162.801260054796</v>
      </c>
      <c r="I55" s="10" t="n">
        <f aca="false">I54</f>
        <v>226.660240657876</v>
      </c>
      <c r="K55" s="10" t="n">
        <f aca="false">K54</f>
        <v>9.539</v>
      </c>
      <c r="L55" s="10" t="n">
        <f aca="false">L54</f>
        <v>27.6003819754231</v>
      </c>
      <c r="M55" s="13" t="s">
        <v>3688</v>
      </c>
    </row>
    <row r="56" customFormat="false" ht="15" hidden="false" customHeight="false" outlineLevel="0" collapsed="false">
      <c r="A56" s="10" t="s">
        <v>3689</v>
      </c>
      <c r="B56" s="11" t="s">
        <v>3690</v>
      </c>
      <c r="C56" s="10" t="s">
        <v>55</v>
      </c>
      <c r="D56" s="10" t="n">
        <f aca="false">D48</f>
        <v>1.9038</v>
      </c>
      <c r="E56" s="10" t="n">
        <f aca="false">E48</f>
        <v>28.4539131467232</v>
      </c>
      <c r="F56" s="10" t="n">
        <f aca="false">F48</f>
        <v>60.8675629890935</v>
      </c>
      <c r="G56" s="10" t="n">
        <f aca="false">G48</f>
        <v>101.616750894662</v>
      </c>
      <c r="H56" s="10" t="n">
        <f aca="false">H48</f>
        <v>154.115791226097</v>
      </c>
      <c r="I56" s="10" t="n">
        <f aca="false">I48</f>
        <v>217.974771829176</v>
      </c>
      <c r="K56" s="10" t="n">
        <f aca="false">K48</f>
        <v>8.2518</v>
      </c>
      <c r="L56" s="10" t="n">
        <f aca="false">L48</f>
        <v>20.2021131467232</v>
      </c>
      <c r="M56" s="2" t="s">
        <v>3691</v>
      </c>
    </row>
    <row r="57" customFormat="false" ht="15" hidden="false" customHeight="false" outlineLevel="0" collapsed="false">
      <c r="A57" s="10" t="s">
        <v>3692</v>
      </c>
      <c r="B57" s="11" t="s">
        <v>3693</v>
      </c>
      <c r="C57" s="11" t="s">
        <v>3105</v>
      </c>
      <c r="D57" s="10" t="n">
        <f aca="false">INP_072</f>
        <v>1</v>
      </c>
      <c r="E57" s="10" t="n">
        <f aca="false">INP_072</f>
        <v>1</v>
      </c>
      <c r="F57" s="10" t="n">
        <f aca="false">INP_072</f>
        <v>1</v>
      </c>
      <c r="G57" s="10" t="n">
        <f aca="false">INP_072</f>
        <v>1</v>
      </c>
      <c r="H57" s="10" t="n">
        <f aca="false">INP_072</f>
        <v>1</v>
      </c>
      <c r="I57" s="10" t="n">
        <f aca="false">INP_072</f>
        <v>1</v>
      </c>
      <c r="M57" s="13" t="s">
        <v>3694</v>
      </c>
    </row>
    <row r="58" customFormat="false" ht="15" hidden="false" customHeight="false" outlineLevel="0" collapsed="false">
      <c r="A58" s="10" t="s">
        <v>3695</v>
      </c>
      <c r="B58" s="11" t="s">
        <v>3696</v>
      </c>
      <c r="C58" s="10" t="s">
        <v>55</v>
      </c>
      <c r="D58" s="10" t="n">
        <f aca="false">D56*D57+D52+D53</f>
        <v>7.2433</v>
      </c>
      <c r="E58" s="10" t="n">
        <f aca="false">E56*E57+E52+E53</f>
        <v>37.1393819754231</v>
      </c>
      <c r="F58" s="10" t="n">
        <f aca="false">F56*F57+F52+F53</f>
        <v>69.5530318177935</v>
      </c>
      <c r="G58" s="10" t="n">
        <f aca="false">G56*G57+G52+G53</f>
        <v>110.302219723362</v>
      </c>
      <c r="H58" s="10" t="n">
        <f aca="false">H56*H57+H52+H53</f>
        <v>162.801260054796</v>
      </c>
      <c r="I58" s="10" t="n">
        <f aca="false">I56*I57+I52+I53</f>
        <v>226.660240657876</v>
      </c>
      <c r="M58" s="2" t="s">
        <v>3697</v>
      </c>
    </row>
    <row r="59" customFormat="false" ht="15" hidden="false" customHeight="false" outlineLevel="0" collapsed="false">
      <c r="A59" s="10" t="s">
        <v>3698</v>
      </c>
      <c r="B59" s="11" t="s">
        <v>3699</v>
      </c>
      <c r="C59" s="10" t="s">
        <v>55</v>
      </c>
      <c r="D59" s="10" t="n">
        <f aca="false">D58</f>
        <v>7.2433</v>
      </c>
      <c r="E59" s="10" t="n">
        <f aca="false">E58</f>
        <v>37.1393819754231</v>
      </c>
      <c r="F59" s="10" t="n">
        <f aca="false">F58</f>
        <v>69.5530318177935</v>
      </c>
      <c r="G59" s="10" t="n">
        <f aca="false">G58</f>
        <v>110.302219723362</v>
      </c>
      <c r="H59" s="10" t="n">
        <f aca="false">H58</f>
        <v>162.801260054796</v>
      </c>
      <c r="I59" s="10" t="n">
        <f aca="false">I58</f>
        <v>226.660240657876</v>
      </c>
      <c r="M59" s="2"/>
    </row>
    <row r="60" customFormat="false" ht="15" hidden="false" customHeight="false" outlineLevel="0" collapsed="false">
      <c r="A60" s="10" t="s">
        <v>3700</v>
      </c>
      <c r="B60" s="11" t="s">
        <v>3701</v>
      </c>
      <c r="C60" s="10" t="s">
        <v>55</v>
      </c>
      <c r="D60" s="10" t="n">
        <f aca="false">D47+D52</f>
        <v>6.89158902747077</v>
      </c>
      <c r="E60" s="10" t="n">
        <f aca="false">E47+E52</f>
        <v>32.4343173189111</v>
      </c>
      <c r="F60" s="10" t="n">
        <f aca="false">F47+F52</f>
        <v>61.6005723789135</v>
      </c>
      <c r="G60" s="10" t="n">
        <f aca="false">G47+G52</f>
        <v>99.9640224528182</v>
      </c>
      <c r="H60" s="10" t="n">
        <f aca="false">H47+H52</f>
        <v>150.395423330144</v>
      </c>
      <c r="I60" s="10" t="n">
        <f aca="false">I47+I52</f>
        <v>212.393528424525</v>
      </c>
      <c r="K60" s="10" t="n">
        <f aca="false">K47+K52</f>
        <v>8.01491911904</v>
      </c>
      <c r="L60" s="10" t="n">
        <f aca="false">L47+L52</f>
        <v>24.4193981998711</v>
      </c>
      <c r="M60" s="13" t="s">
        <v>3702</v>
      </c>
    </row>
    <row r="61" customFormat="false" ht="15" hidden="false" customHeight="false" outlineLevel="0" collapsed="false">
      <c r="A61" s="10" t="s">
        <v>3703</v>
      </c>
      <c r="B61" s="11" t="s">
        <v>3704</v>
      </c>
      <c r="C61" s="10" t="s">
        <v>55</v>
      </c>
      <c r="D61" s="10" t="n">
        <f aca="false">D43</f>
        <v>0.351710972529231</v>
      </c>
      <c r="E61" s="10" t="n">
        <f aca="false">E43</f>
        <v>4.705064656512</v>
      </c>
      <c r="F61" s="10" t="n">
        <f aca="false">F43</f>
        <v>7.95245943888</v>
      </c>
      <c r="G61" s="10" t="n">
        <f aca="false">G43</f>
        <v>10.338197270544</v>
      </c>
      <c r="H61" s="10" t="n">
        <f aca="false">H43</f>
        <v>12.4058367246528</v>
      </c>
      <c r="I61" s="10" t="n">
        <f aca="false">I43</f>
        <v>14.2667122333507</v>
      </c>
      <c r="K61" s="10" t="n">
        <f aca="false">K43</f>
        <v>1.52408088096</v>
      </c>
      <c r="L61" s="10" t="n">
        <f aca="false">L43</f>
        <v>3.180983775552</v>
      </c>
      <c r="M61" s="13" t="s">
        <v>3705</v>
      </c>
    </row>
    <row r="62" customFormat="false" ht="15" hidden="false" customHeight="false" outlineLevel="0" collapsed="false">
      <c r="A62" s="10" t="s">
        <v>3706</v>
      </c>
      <c r="B62" s="11" t="s">
        <v>3707</v>
      </c>
      <c r="C62" s="10" t="s">
        <v>55</v>
      </c>
      <c r="D62" s="10" t="n">
        <f aca="false">D60+D61+D53-D54</f>
        <v>0</v>
      </c>
      <c r="E62" s="10" t="n">
        <f aca="false">E60+E61+E53-E54</f>
        <v>0</v>
      </c>
      <c r="F62" s="10" t="n">
        <f aca="false">F60+F61+F53-F54</f>
        <v>0</v>
      </c>
      <c r="G62" s="10" t="n">
        <f aca="false">G60+G61+G53-G54</f>
        <v>0</v>
      </c>
      <c r="H62" s="10" t="n">
        <f aca="false">H60+H61+H53-H54</f>
        <v>0</v>
      </c>
      <c r="I62" s="10" t="n">
        <f aca="false">I60+I61+I53-I54</f>
        <v>0</v>
      </c>
      <c r="K62" s="10" t="n">
        <f aca="false">K60+K61+K53-K54</f>
        <v>0</v>
      </c>
      <c r="L62" s="10" t="n">
        <f aca="false">L60+L61+L53-L54</f>
        <v>0</v>
      </c>
      <c r="M62" s="2"/>
    </row>
    <row r="63" customFormat="false" ht="15" hidden="false" customHeight="false" outlineLevel="0" collapsed="false">
      <c r="A63" s="10" t="s">
        <v>3708</v>
      </c>
      <c r="B63" s="11" t="s">
        <v>3709</v>
      </c>
      <c r="C63" s="11" t="s">
        <v>3105</v>
      </c>
      <c r="D63" s="10" t="n">
        <f aca="false">D56/D54</f>
        <v>0.26283600016567</v>
      </c>
      <c r="E63" s="10" t="n">
        <f aca="false">E56/E54</f>
        <v>0.766138574022381</v>
      </c>
      <c r="F63" s="10" t="n">
        <f aca="false">F56/F54</f>
        <v>0.87512451144541</v>
      </c>
      <c r="G63" s="10" t="n">
        <f aca="false">G56/G54</f>
        <v>0.921257533615524</v>
      </c>
      <c r="H63" s="10" t="n">
        <f aca="false">H56/H54</f>
        <v>0.946649867293555</v>
      </c>
      <c r="I63" s="10" t="n">
        <f aca="false">I56/I54</f>
        <v>0.961680668812975</v>
      </c>
      <c r="K63" s="10" t="n">
        <f aca="false">K56/K54</f>
        <v>0.865059230527309</v>
      </c>
      <c r="L63" s="10" t="n">
        <f aca="false">L56/L54</f>
        <v>0.731950491290746</v>
      </c>
      <c r="M63" s="13" t="s">
        <v>3710</v>
      </c>
    </row>
    <row r="64" customFormat="false" ht="15" hidden="false" customHeight="false" outlineLevel="0" collapsed="false">
      <c r="A64" s="10" t="s">
        <v>3711</v>
      </c>
      <c r="B64" s="11" t="s">
        <v>3712</v>
      </c>
      <c r="C64" s="11" t="s">
        <v>3105</v>
      </c>
      <c r="E64" s="10" t="n">
        <f aca="false">(E54-D54)/D54</f>
        <v>4.12741181166362</v>
      </c>
      <c r="F64" s="10" t="n">
        <f aca="false">(F54-E54)/E54</f>
        <v>0.872756845114439</v>
      </c>
      <c r="G64" s="10" t="n">
        <f aca="false">(G54-F54)/F54</f>
        <v>0.585872201981339</v>
      </c>
      <c r="H64" s="10" t="n">
        <f aca="false">(H54-G54)/G54</f>
        <v>0.475956335811752</v>
      </c>
      <c r="I64" s="10" t="n">
        <f aca="false">(I54-H54)/H54</f>
        <v>0.392251144626187</v>
      </c>
      <c r="M64" s="2"/>
    </row>
    <row r="65" customFormat="false" ht="15" hidden="false" customHeight="false" outlineLevel="0" collapsed="false">
      <c r="A65" s="15" t="s">
        <v>3713</v>
      </c>
    </row>
    <row r="66" customFormat="false" ht="15" hidden="false" customHeight="false" outlineLevel="0" collapsed="false">
      <c r="A66" s="10" t="s">
        <v>3714</v>
      </c>
      <c r="B66" s="10" t="s">
        <v>3715</v>
      </c>
      <c r="C66" s="10" t="s">
        <v>55</v>
      </c>
      <c r="D66" s="10" t="n">
        <f aca="false">D48-SRC_ZP_112</f>
        <v>0</v>
      </c>
      <c r="M66" s="2"/>
    </row>
    <row r="67" customFormat="false" ht="15" hidden="false" customHeight="false" outlineLevel="0" collapsed="false">
      <c r="A67" s="10" t="s">
        <v>3716</v>
      </c>
      <c r="B67" s="10" t="s">
        <v>3717</v>
      </c>
      <c r="C67" s="10" t="s">
        <v>55</v>
      </c>
      <c r="K67" s="10" t="n">
        <f aca="false">K48-SRC_ZP_169</f>
        <v>0</v>
      </c>
      <c r="M67" s="2"/>
    </row>
    <row r="68" customFormat="false" ht="15" hidden="false" customHeight="false" outlineLevel="0" collapsed="false">
      <c r="A68" s="10" t="s">
        <v>3718</v>
      </c>
      <c r="B68" s="10" t="s">
        <v>3719</v>
      </c>
      <c r="C68" s="10" t="s">
        <v>55</v>
      </c>
      <c r="D68" s="10" t="n">
        <f aca="false">D49-SRC_ZP_114</f>
        <v>0</v>
      </c>
      <c r="M68" s="2"/>
    </row>
    <row r="69" customFormat="false" ht="15" hidden="false" customHeight="false" outlineLevel="0" collapsed="false">
      <c r="A69" s="10" t="s">
        <v>3720</v>
      </c>
      <c r="B69" s="10" t="s">
        <v>3721</v>
      </c>
      <c r="C69" s="10" t="s">
        <v>55</v>
      </c>
      <c r="K69" s="10" t="n">
        <f aca="false">K49-SRC_ZP_171</f>
        <v>0</v>
      </c>
      <c r="M69" s="2"/>
    </row>
    <row r="70" customFormat="false" ht="15" hidden="false" customHeight="false" outlineLevel="0" collapsed="false">
      <c r="A70" s="10" t="s">
        <v>3722</v>
      </c>
      <c r="B70" s="10" t="s">
        <v>3723</v>
      </c>
      <c r="C70" s="10" t="s">
        <v>55</v>
      </c>
      <c r="D70" s="10" t="n">
        <f aca="false">D50-SRC_ZP_116</f>
        <v>0</v>
      </c>
      <c r="M70" s="2"/>
    </row>
    <row r="71" customFormat="false" ht="15" hidden="false" customHeight="false" outlineLevel="0" collapsed="false">
      <c r="A71" s="10" t="s">
        <v>3724</v>
      </c>
      <c r="B71" s="10" t="s">
        <v>3725</v>
      </c>
      <c r="C71" s="10" t="s">
        <v>55</v>
      </c>
      <c r="K71" s="10" t="n">
        <f aca="false">K50-SRC_ZP_173</f>
        <v>0</v>
      </c>
      <c r="M71" s="2"/>
    </row>
    <row r="72" customFormat="false" ht="15" hidden="false" customHeight="false" outlineLevel="0" collapsed="false">
      <c r="A72" s="10" t="s">
        <v>3726</v>
      </c>
      <c r="B72" s="10" t="s">
        <v>3727</v>
      </c>
      <c r="C72" s="10" t="s">
        <v>55</v>
      </c>
      <c r="D72" s="10" t="n">
        <f aca="false">D51-SRC_ZP_118</f>
        <v>0</v>
      </c>
      <c r="M72" s="2"/>
    </row>
    <row r="73" customFormat="false" ht="15" hidden="false" customHeight="false" outlineLevel="0" collapsed="false">
      <c r="A73" s="10" t="s">
        <v>3728</v>
      </c>
      <c r="B73" s="10" t="s">
        <v>3729</v>
      </c>
      <c r="C73" s="10" t="s">
        <v>55</v>
      </c>
      <c r="K73" s="10" t="n">
        <f aca="false">K51-SRC_ZP_175</f>
        <v>0</v>
      </c>
      <c r="M73" s="2"/>
    </row>
    <row r="74" customFormat="false" ht="15" hidden="false" customHeight="false" outlineLevel="0" collapsed="false">
      <c r="A74" s="10" t="s">
        <v>3730</v>
      </c>
      <c r="B74" s="10" t="s">
        <v>3731</v>
      </c>
      <c r="C74" s="10" t="s">
        <v>55</v>
      </c>
      <c r="D74" s="10" t="n">
        <f aca="false">D54-SRC_ZP_120</f>
        <v>0</v>
      </c>
      <c r="M74" s="2"/>
    </row>
    <row r="75" customFormat="false" ht="15" hidden="false" customHeight="false" outlineLevel="0" collapsed="false">
      <c r="A75" s="10" t="s">
        <v>3732</v>
      </c>
      <c r="B75" s="10" t="s">
        <v>3733</v>
      </c>
      <c r="C75" s="10" t="s">
        <v>55</v>
      </c>
      <c r="K75" s="10" t="n">
        <f aca="false">K54-SRC_ZP_177</f>
        <v>9.99999999979906E-005</v>
      </c>
      <c r="M75" s="2" t="s">
        <v>3734</v>
      </c>
    </row>
    <row r="76" customFormat="false" ht="15" hidden="false" customHeight="false" outlineLevel="0" collapsed="false">
      <c r="A76" s="10" t="s">
        <v>3735</v>
      </c>
      <c r="B76" s="10" t="s">
        <v>3736</v>
      </c>
      <c r="C76" s="10" t="s">
        <v>55</v>
      </c>
      <c r="D76" s="10" t="n">
        <f aca="false">SRC_ZP_413*INP_007*D24/INP_015+D43</f>
        <v>36.1521665725292</v>
      </c>
      <c r="M76" s="2" t="s">
        <v>3737</v>
      </c>
    </row>
    <row r="77" customFormat="false" ht="15" hidden="false" customHeight="false" outlineLevel="0" collapsed="false">
      <c r="A77" s="10" t="s">
        <v>3738</v>
      </c>
      <c r="B77" s="10" t="s">
        <v>3739</v>
      </c>
      <c r="C77" s="10" t="s">
        <v>55</v>
      </c>
      <c r="D77" s="10" t="n">
        <f aca="false">D76-SRC_ZP_112</f>
        <v>34.2483665725292</v>
      </c>
      <c r="M77" s="2" t="s">
        <v>3740</v>
      </c>
    </row>
    <row r="78" customFormat="false" ht="15" hidden="false" customHeight="false" outlineLevel="0" collapsed="false">
      <c r="A78" s="10" t="s">
        <v>3741</v>
      </c>
      <c r="B78" s="11" t="s">
        <v>3742</v>
      </c>
      <c r="C78" s="11" t="s">
        <v>3105</v>
      </c>
      <c r="K78" s="10" t="n">
        <f aca="false">(K24-D24)/D24</f>
        <v>0.578681729516549</v>
      </c>
      <c r="M78" s="2" t="s">
        <v>3743</v>
      </c>
    </row>
    <row r="79" customFormat="false" ht="15" hidden="false" customHeight="false" outlineLevel="0" collapsed="false">
      <c r="A79" s="10" t="s">
        <v>3744</v>
      </c>
      <c r="B79" s="11" t="s">
        <v>3745</v>
      </c>
      <c r="C79" s="11" t="s">
        <v>3105</v>
      </c>
      <c r="L79" s="10" t="n">
        <f aca="false">(L24-D24)/D24</f>
        <v>1.00434369296006</v>
      </c>
      <c r="M79" s="2" t="s">
        <v>3746</v>
      </c>
    </row>
    <row r="80" customFormat="false" ht="15" hidden="false" customHeight="false" outlineLevel="0" collapsed="false">
      <c r="A80" s="10" t="s">
        <v>3747</v>
      </c>
      <c r="B80" s="11" t="s">
        <v>3748</v>
      </c>
      <c r="C80" s="11" t="s">
        <v>3105</v>
      </c>
      <c r="K80" s="10" t="n">
        <f aca="false">SRC_ZP_347/INP_014</f>
        <v>1.01</v>
      </c>
      <c r="M80" s="13" t="s">
        <v>3749</v>
      </c>
    </row>
    <row r="81" customFormat="false" ht="15" hidden="false" customHeight="false" outlineLevel="0" collapsed="false">
      <c r="A81" s="10" t="s">
        <v>3750</v>
      </c>
      <c r="B81" s="11" t="s">
        <v>3751</v>
      </c>
      <c r="C81" s="11" t="s">
        <v>3105</v>
      </c>
      <c r="L81" s="10" t="n">
        <f aca="false">SRC_ZP_346/INP_014</f>
        <v>0.83</v>
      </c>
      <c r="M81" s="13" t="s">
        <v>3752</v>
      </c>
    </row>
    <row r="82" customFormat="false" ht="15" hidden="false" customHeight="false" outlineLevel="0" collapsed="false">
      <c r="A82" s="10" t="s">
        <v>3753</v>
      </c>
      <c r="B82" s="11" t="s">
        <v>3754</v>
      </c>
      <c r="C82" s="10" t="s">
        <v>55</v>
      </c>
      <c r="L82" s="10" t="n">
        <f aca="false">L56*INP_013</f>
        <v>40.4042262934464</v>
      </c>
      <c r="M82" s="2" t="s">
        <v>3755</v>
      </c>
    </row>
    <row r="83" customFormat="false" ht="15" hidden="false" customHeight="false" outlineLevel="0" collapsed="false">
      <c r="A83" s="10" t="s">
        <v>3756</v>
      </c>
      <c r="B83" s="11" t="s">
        <v>3757</v>
      </c>
      <c r="C83" s="10" t="s">
        <v>55</v>
      </c>
      <c r="L83" s="10" t="n">
        <f aca="false">SRC_ZP_417*INP_023</f>
        <v>107.8384</v>
      </c>
      <c r="M83" s="13" t="s">
        <v>3758</v>
      </c>
    </row>
    <row r="84" customFormat="false" ht="15" hidden="false" customHeight="false" outlineLevel="0" collapsed="false">
      <c r="A84" s="10" t="s">
        <v>3759</v>
      </c>
      <c r="B84" s="11" t="s">
        <v>3760</v>
      </c>
      <c r="C84" s="11" t="s">
        <v>3105</v>
      </c>
      <c r="L84" s="10" t="n">
        <f aca="false">(L82-L83)/L83</f>
        <v>-0.625326170515824</v>
      </c>
      <c r="M84" s="13" t="s">
        <v>3761</v>
      </c>
    </row>
    <row r="85" customFormat="false" ht="15" hidden="false" customHeight="false" outlineLevel="0" collapsed="false">
      <c r="A85" s="10" t="s">
        <v>3762</v>
      </c>
      <c r="B85" s="11" t="s">
        <v>3763</v>
      </c>
      <c r="C85" s="10" t="s">
        <v>55</v>
      </c>
      <c r="L85" s="10" t="n">
        <f aca="false">L54*INP_013</f>
        <v>55.2007639508462</v>
      </c>
      <c r="M85" s="2" t="s">
        <v>3764</v>
      </c>
    </row>
    <row r="86" customFormat="false" ht="15" hidden="false" customHeight="false" outlineLevel="0" collapsed="false">
      <c r="A86" s="10" t="s">
        <v>3765</v>
      </c>
      <c r="B86" s="11" t="s">
        <v>3766</v>
      </c>
      <c r="C86" s="10" t="s">
        <v>55</v>
      </c>
      <c r="L86" s="10" t="n">
        <f aca="false">SRC_ZP_419*INP_023</f>
        <v>121.3182</v>
      </c>
      <c r="M86" s="13" t="s">
        <v>3767</v>
      </c>
    </row>
    <row r="87" customFormat="false" ht="15" hidden="false" customHeight="false" outlineLevel="0" collapsed="false">
      <c r="A87" s="10" t="s">
        <v>3768</v>
      </c>
      <c r="B87" s="11" t="s">
        <v>3769</v>
      </c>
      <c r="C87" s="11" t="s">
        <v>3105</v>
      </c>
      <c r="L87" s="10" t="n">
        <f aca="false">(L85-L86)/L86</f>
        <v>-0.544991897746206</v>
      </c>
      <c r="M87" s="13" t="s">
        <v>3770</v>
      </c>
    </row>
    <row r="88" customFormat="false" ht="15" hidden="false" customHeight="false" outlineLevel="0" collapsed="false">
      <c r="A88" s="10" t="s">
        <v>3771</v>
      </c>
      <c r="B88" s="11" t="s">
        <v>3772</v>
      </c>
      <c r="C88" s="10" t="s">
        <v>55</v>
      </c>
      <c r="E88" s="10" t="n">
        <f aca="false">SRC_ZP_582/INP_020</f>
        <v>60.48</v>
      </c>
      <c r="M88" s="13" t="s">
        <v>3773</v>
      </c>
    </row>
    <row r="89" customFormat="false" ht="15" hidden="false" customHeight="false" outlineLevel="0" collapsed="false">
      <c r="A89" s="10" t="s">
        <v>3774</v>
      </c>
      <c r="B89" s="11" t="s">
        <v>3775</v>
      </c>
      <c r="C89" s="10" t="s">
        <v>55</v>
      </c>
      <c r="E89" s="10" t="n">
        <f aca="false">E54-E88</f>
        <v>-23.3406180245769</v>
      </c>
      <c r="M89" s="2"/>
    </row>
    <row r="90" customFormat="false" ht="15" hidden="false" customHeight="false" outlineLevel="0" collapsed="false">
      <c r="A90" s="10" t="s">
        <v>3776</v>
      </c>
      <c r="B90" s="10" t="s">
        <v>3777</v>
      </c>
      <c r="C90" s="11" t="s">
        <v>1701</v>
      </c>
      <c r="L90" s="16" t="n">
        <f aca="false">TK_Link!$J$73*INP_023/L13</f>
        <v>1.1794825</v>
      </c>
      <c r="M90" s="13" t="s">
        <v>3778</v>
      </c>
    </row>
    <row r="91" customFormat="false" ht="15" hidden="false" customHeight="false" outlineLevel="0" collapsed="false">
      <c r="A91" s="10" t="s">
        <v>3779</v>
      </c>
      <c r="B91" s="10" t="s">
        <v>3780</v>
      </c>
      <c r="C91" s="11" t="s">
        <v>1701</v>
      </c>
      <c r="L91" s="16" t="n">
        <f aca="false">TK_Link!$L$73*INP_023/L15</f>
        <v>1.05912714285714</v>
      </c>
      <c r="M91" s="2" t="s">
        <v>1087</v>
      </c>
    </row>
    <row r="92" customFormat="false" ht="15" hidden="false" customHeight="false" outlineLevel="0" collapsed="false">
      <c r="A92" s="10" t="s">
        <v>3781</v>
      </c>
      <c r="B92" s="10" t="s">
        <v>3782</v>
      </c>
      <c r="C92" s="11" t="s">
        <v>3585</v>
      </c>
      <c r="L92" s="16" t="n">
        <f aca="false">TK_Link!$J$77*INP_023</f>
        <v>0.877684755555554</v>
      </c>
      <c r="M92" s="13" t="s">
        <v>3783</v>
      </c>
    </row>
    <row r="93" customFormat="false" ht="15" hidden="false" customHeight="false" outlineLevel="0" collapsed="false">
      <c r="A93" s="10" t="s">
        <v>3784</v>
      </c>
      <c r="B93" s="10" t="s">
        <v>3785</v>
      </c>
      <c r="C93" s="11" t="s">
        <v>3585</v>
      </c>
      <c r="L93" s="16" t="n">
        <f aca="false">TK_Link!$K$75*INP_023</f>
        <v>7.9261224</v>
      </c>
      <c r="M93" s="13" t="s">
        <v>3786</v>
      </c>
    </row>
    <row r="94" customFormat="false" ht="15" hidden="false" customHeight="false" outlineLevel="0" collapsed="false">
      <c r="A94" s="10" t="s">
        <v>3787</v>
      </c>
      <c r="B94" s="11" t="s">
        <v>3788</v>
      </c>
      <c r="C94" s="11" t="s">
        <v>1701</v>
      </c>
      <c r="L94" s="10" t="n">
        <f aca="false">L20/L93</f>
        <v>0.799571301094215</v>
      </c>
      <c r="M94" s="2" t="s">
        <v>3789</v>
      </c>
    </row>
    <row r="95" customFormat="false" ht="15" hidden="false" customHeight="false" outlineLevel="0" collapsed="false">
      <c r="A95" s="10" t="s">
        <v>3790</v>
      </c>
      <c r="B95" s="11" t="s">
        <v>3791</v>
      </c>
      <c r="C95" s="11" t="s">
        <v>1701</v>
      </c>
      <c r="L95" s="10" t="n">
        <f aca="false">L21/L92</f>
        <v>0.928708215926929</v>
      </c>
      <c r="M95" s="2" t="s">
        <v>1087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7" t="s">
        <v>3792</v>
      </c>
    </row>
    <row r="2" customFormat="false" ht="15" hidden="false" customHeight="false" outlineLevel="0" collapsed="false">
      <c r="A2" s="13" t="s">
        <v>3793</v>
      </c>
    </row>
    <row r="4" customFormat="false" ht="15" hidden="false" customHeight="false" outlineLevel="0" collapsed="false">
      <c r="A4" s="9" t="s">
        <v>3460</v>
      </c>
      <c r="B4" s="9" t="s">
        <v>3794</v>
      </c>
      <c r="C4" s="9" t="s">
        <v>3795</v>
      </c>
      <c r="D4" s="9" t="s">
        <v>3796</v>
      </c>
      <c r="E4" s="9" t="s">
        <v>3797</v>
      </c>
      <c r="F4" s="9" t="s">
        <v>2834</v>
      </c>
    </row>
    <row r="5" customFormat="false" ht="15" hidden="false" customHeight="false" outlineLevel="0" collapsed="false">
      <c r="A5" s="10" t="s">
        <v>3798</v>
      </c>
      <c r="B5" s="10" t="s">
        <v>3799</v>
      </c>
      <c r="C5" s="10" t="n">
        <f aca="false">SUMPRODUCT(--(LEN(SRC_ZP!$A$5:$A$800)&gt;0))</f>
        <v>604</v>
      </c>
      <c r="D5" s="10" t="n">
        <v>604</v>
      </c>
      <c r="E5" s="10" t="str">
        <f aca="false">IF(C5=D5,"OK","ERR")</f>
        <v>OK</v>
      </c>
      <c r="F5" s="13" t="s">
        <v>3800</v>
      </c>
    </row>
    <row r="6" customFormat="false" ht="15" hidden="false" customHeight="false" outlineLevel="0" collapsed="false">
      <c r="A6" s="10" t="s">
        <v>3801</v>
      </c>
      <c r="B6" s="10" t="s">
        <v>3802</v>
      </c>
      <c r="C6" s="10" t="n">
        <f aca="false">SUM(SRC_ZP!$U$5:$U$800)</f>
        <v>22</v>
      </c>
      <c r="D6" s="10" t="n">
        <v>22</v>
      </c>
      <c r="E6" s="10" t="str">
        <f aca="false">IF(C6=D6,"OK","ERR")</f>
        <v>OK</v>
      </c>
      <c r="F6" s="2" t="s">
        <v>3803</v>
      </c>
    </row>
    <row r="7" customFormat="false" ht="15" hidden="false" customHeight="false" outlineLevel="0" collapsed="false">
      <c r="A7" s="10" t="s">
        <v>3804</v>
      </c>
      <c r="B7" s="10" t="s">
        <v>3805</v>
      </c>
      <c r="C7" s="10" t="n">
        <f aca="false">SUM(SRC_ZP!$V$5:$V$800)</f>
        <v>0</v>
      </c>
      <c r="D7" s="10" t="n">
        <v>0</v>
      </c>
      <c r="E7" s="10" t="str">
        <f aca="false">IF(C7=D7,"OK","ERR")</f>
        <v>OK</v>
      </c>
      <c r="F7" s="2"/>
    </row>
    <row r="8" customFormat="false" ht="15" hidden="false" customHeight="false" outlineLevel="0" collapsed="false">
      <c r="A8" s="10" t="s">
        <v>3806</v>
      </c>
      <c r="B8" s="10" t="s">
        <v>3807</v>
      </c>
      <c r="C8" s="10" t="n">
        <f aca="false">SUM(SRC_ZP!$W$5:$W$800)</f>
        <v>0</v>
      </c>
      <c r="D8" s="10" t="n">
        <v>0</v>
      </c>
      <c r="E8" s="10" t="str">
        <f aca="false">IF(C8=D8,"OK","ERR")</f>
        <v>OK</v>
      </c>
      <c r="F8" s="2"/>
    </row>
    <row r="9" customFormat="false" ht="15" hidden="false" customHeight="false" outlineLevel="0" collapsed="false">
      <c r="A9" s="10" t="s">
        <v>3808</v>
      </c>
      <c r="B9" s="10" t="s">
        <v>3809</v>
      </c>
      <c r="C9" s="10" t="n">
        <f aca="false">SUMPRODUCT(--(LEN(Inputs!$A$5:$A$600)&gt;0))</f>
        <v>73</v>
      </c>
      <c r="D9" s="10" t="n">
        <v>73</v>
      </c>
      <c r="E9" s="10" t="str">
        <f aca="false">IF(C9=D9,"OK","ERR")</f>
        <v>OK</v>
      </c>
      <c r="F9" s="13" t="s">
        <v>3810</v>
      </c>
    </row>
    <row r="10" customFormat="false" ht="15" hidden="false" customHeight="false" outlineLevel="0" collapsed="false">
      <c r="A10" s="10" t="s">
        <v>3811</v>
      </c>
      <c r="B10" s="10" t="s">
        <v>3812</v>
      </c>
      <c r="C10" s="10" t="n">
        <f aca="false">SUM(Inputs!$L$5:$L$600)</f>
        <v>0</v>
      </c>
      <c r="D10" s="10" t="n">
        <v>0</v>
      </c>
      <c r="E10" s="10" t="str">
        <f aca="false">IF(C10=D10,"OK","ERR")</f>
        <v>OK</v>
      </c>
      <c r="F10" s="2" t="s">
        <v>3813</v>
      </c>
    </row>
    <row r="11" customFormat="false" ht="15" hidden="false" customHeight="false" outlineLevel="0" collapsed="false">
      <c r="A11" s="10" t="s">
        <v>3814</v>
      </c>
      <c r="B11" s="10" t="s">
        <v>3815</v>
      </c>
      <c r="C11" s="10" t="n">
        <f aca="false">SUM(Inputs!$M$5:$M$600)</f>
        <v>0</v>
      </c>
      <c r="D11" s="10" t="n">
        <v>0</v>
      </c>
      <c r="E11" s="10" t="str">
        <f aca="false">IF(C11=D11,"OK","ERR")</f>
        <v>OK</v>
      </c>
      <c r="F11" s="2" t="s">
        <v>3816</v>
      </c>
    </row>
    <row r="12" customFormat="false" ht="15" hidden="false" customHeight="false" outlineLevel="0" collapsed="false">
      <c r="A12" s="10" t="s">
        <v>3817</v>
      </c>
      <c r="B12" s="10" t="s">
        <v>3818</v>
      </c>
      <c r="C12" s="10" t="n">
        <f aca="false">COUNTIF(TK_Link!$F$10:$F$200,"OK")</f>
        <v>63</v>
      </c>
      <c r="D12" s="10" t="n">
        <v>63</v>
      </c>
      <c r="E12" s="10" t="str">
        <f aca="false">IF(C12=D12,"OK","ERR")</f>
        <v>OK</v>
      </c>
      <c r="F12" s="2" t="s">
        <v>3819</v>
      </c>
    </row>
    <row r="13" customFormat="false" ht="15" hidden="false" customHeight="false" outlineLevel="0" collapsed="false">
      <c r="A13" s="10" t="s">
        <v>3820</v>
      </c>
      <c r="B13" s="10" t="s">
        <v>3821</v>
      </c>
      <c r="C13" s="10" t="n">
        <f aca="false">COUNTIF(TK_Link!$F$10:$F$200,"讀表（非具名）")</f>
        <v>7</v>
      </c>
      <c r="D13" s="10" t="n">
        <v>7</v>
      </c>
      <c r="E13" s="10" t="str">
        <f aca="false">IF(C13=D13,"OK","ERR")</f>
        <v>OK</v>
      </c>
      <c r="F13" s="2" t="s">
        <v>3822</v>
      </c>
    </row>
    <row r="14" customFormat="false" ht="15" hidden="false" customHeight="false" outlineLevel="0" collapsed="false">
      <c r="A14" s="10" t="s">
        <v>3823</v>
      </c>
      <c r="B14" s="10" t="s">
        <v>3824</v>
      </c>
      <c r="C14" s="10" t="n">
        <f aca="false">SUMPRODUCT(--ISERROR(TK_Link!$J$10:$X$200))</f>
        <v>0</v>
      </c>
      <c r="D14" s="10" t="n">
        <v>0</v>
      </c>
      <c r="E14" s="10" t="str">
        <f aca="false">IF(C14=D14,"OK","ERR")</f>
        <v>OK</v>
      </c>
      <c r="F14" s="2"/>
    </row>
    <row r="15" customFormat="false" ht="15" hidden="false" customHeight="false" outlineLevel="0" collapsed="false">
      <c r="A15" s="10" t="s">
        <v>3825</v>
      </c>
      <c r="B15" s="10" t="s">
        <v>3826</v>
      </c>
      <c r="C15" s="10" t="str">
        <f aca="false">TK_Version</f>
        <v>v5.26</v>
      </c>
      <c r="D15" s="10" t="s">
        <v>2818</v>
      </c>
      <c r="E15" s="10" t="str">
        <f aca="false">IF(C15=D15,"OK","ERR")</f>
        <v>OK</v>
      </c>
      <c r="F15" s="2" t="s">
        <v>3827</v>
      </c>
    </row>
    <row r="16" customFormat="false" ht="15" hidden="false" customHeight="false" outlineLevel="0" collapsed="false">
      <c r="A16" s="10" t="s">
        <v>3828</v>
      </c>
      <c r="B16" s="10" t="s">
        <v>3829</v>
      </c>
      <c r="C16" s="10" t="n">
        <f aca="false">COUNTIF(OAI_Link!$E$10:$E$60,"OK")</f>
        <v>14</v>
      </c>
      <c r="D16" s="10" t="n">
        <v>14</v>
      </c>
      <c r="E16" s="10" t="str">
        <f aca="false">IF(C16=D16,"OK","ERR")</f>
        <v>OK</v>
      </c>
      <c r="F16" s="13" t="s">
        <v>3830</v>
      </c>
    </row>
    <row r="17" customFormat="false" ht="15" hidden="false" customHeight="false" outlineLevel="0" collapsed="false">
      <c r="A17" s="10" t="s">
        <v>3831</v>
      </c>
      <c r="B17" s="10" t="s">
        <v>3832</v>
      </c>
      <c r="C17" s="10" t="n">
        <v>0</v>
      </c>
      <c r="D17" s="10" t="n">
        <v>0</v>
      </c>
      <c r="E17" s="10" t="str">
        <f aca="false">IF(C17=D17,"OK","ERR")</f>
        <v>OK</v>
      </c>
      <c r="F17" s="2" t="s">
        <v>3833</v>
      </c>
    </row>
    <row r="18" customFormat="false" ht="15" hidden="false" customHeight="false" outlineLevel="0" collapsed="false">
      <c r="A18" s="10" t="s">
        <v>3834</v>
      </c>
      <c r="B18" s="10" t="s">
        <v>3835</v>
      </c>
      <c r="C18" s="10" t="n">
        <v>0</v>
      </c>
      <c r="D18" s="10" t="n">
        <v>0</v>
      </c>
      <c r="E18" s="10" t="str">
        <f aca="false">IF(C18=D18,"OK","ERR")</f>
        <v>OK</v>
      </c>
      <c r="F18" s="13" t="s">
        <v>3836</v>
      </c>
    </row>
    <row r="19" customFormat="false" ht="15" hidden="false" customHeight="false" outlineLevel="0" collapsed="false">
      <c r="A19" s="10" t="s">
        <v>3837</v>
      </c>
      <c r="B19" s="10" t="s">
        <v>3838</v>
      </c>
      <c r="C19" s="10" t="n">
        <f aca="false">ABS(Revenue!$D$66)+ABS(Revenue!$D$68)+ABS(Revenue!$D$70)+ABS(Revenue!$D$72)</f>
        <v>0</v>
      </c>
      <c r="D19" s="10" t="n">
        <v>0</v>
      </c>
      <c r="E19" s="10" t="str">
        <f aca="false">IF(ISNUMBER(C19),IF(ABS(C19-D19)&lt;0.000000001,"OK","ERR"),"ERR")</f>
        <v>OK</v>
      </c>
      <c r="F19" s="13" t="s">
        <v>3839</v>
      </c>
    </row>
    <row r="20" customFormat="false" ht="15" hidden="false" customHeight="false" outlineLevel="0" collapsed="false">
      <c r="A20" s="10" t="s">
        <v>3840</v>
      </c>
      <c r="B20" s="10" t="s">
        <v>3841</v>
      </c>
      <c r="C20" s="10" t="n">
        <f aca="false">ABS(Revenue!$K$67)+ABS(Revenue!$K$69)+ABS(Revenue!$K$71)+ABS(Revenue!$K$73)</f>
        <v>0</v>
      </c>
      <c r="D20" s="10" t="n">
        <v>0</v>
      </c>
      <c r="E20" s="10" t="str">
        <f aca="false">IF(ISNUMBER(C20),IF(ABS(C20-D20)&lt;0.000000001,"OK","ERR"),"ERR")</f>
        <v>OK</v>
      </c>
      <c r="F20" s="2" t="s">
        <v>3842</v>
      </c>
    </row>
    <row r="21" customFormat="false" ht="15" hidden="false" customHeight="false" outlineLevel="0" collapsed="false">
      <c r="A21" s="10" t="s">
        <v>3843</v>
      </c>
      <c r="B21" s="10" t="s">
        <v>3844</v>
      </c>
      <c r="C21" s="10" t="n">
        <f aca="false">REV_Gap2025</f>
        <v>0</v>
      </c>
      <c r="D21" s="10" t="n">
        <v>0</v>
      </c>
      <c r="E21" s="10" t="str">
        <f aca="false">IF(ISNUMBER(C21),IF(ABS(C21-D21)&lt;0.000000001,"OK","ERR"),"ERR")</f>
        <v>OK</v>
      </c>
      <c r="F21" s="2" t="s">
        <v>3845</v>
      </c>
    </row>
    <row r="22" customFormat="false" ht="15" hidden="false" customHeight="false" outlineLevel="0" collapsed="false">
      <c r="A22" s="10" t="s">
        <v>3846</v>
      </c>
      <c r="B22" s="10" t="s">
        <v>3847</v>
      </c>
      <c r="C22" s="10" t="n">
        <f aca="false">REV_Gap1H26</f>
        <v>9.99999999979906E-005</v>
      </c>
      <c r="D22" s="10" t="n">
        <v>0</v>
      </c>
      <c r="E22" s="10" t="str">
        <f aca="false">IF(ISNUMBER(C22),IF(ABS(C22-D22)&lt;=0.0005,"OK","ERR"),"ERR")</f>
        <v>OK</v>
      </c>
      <c r="F22" s="2" t="s">
        <v>3848</v>
      </c>
    </row>
    <row r="23" customFormat="false" ht="15" hidden="false" customHeight="false" outlineLevel="0" collapsed="false">
      <c r="A23" s="10" t="s">
        <v>3849</v>
      </c>
      <c r="B23" s="11" t="s">
        <v>3850</v>
      </c>
      <c r="C23" s="10" t="n">
        <f aca="false">ABS(Revenue!D48+Revenue!D52+Revenue!D53-Revenue!D54)+ABS(Revenue!E48+Revenue!E52+Revenue!E53-Revenue!E54)+ABS(Revenue!F48+Revenue!F52+Revenue!F53-Revenue!F54)+ABS(Revenue!G48+Revenue!G52+Revenue!G53-Revenue!G54)+ABS(Revenue!H48+Revenue!H52+Revenue!H53-Revenue!H54)+ABS(Revenue!I48+Revenue!I52+Revenue!I53-Revenue!I54)+ABS(Revenue!K48+Revenue!K52+Revenue!K53-Revenue!K54)+ABS(Revenue!L48+Revenue!L52+Revenue!L53-Revenue!L54)</f>
        <v>0</v>
      </c>
      <c r="D23" s="10" t="n">
        <v>0</v>
      </c>
      <c r="E23" s="10" t="str">
        <f aca="false">IF(ISNUMBER(C23),IF(ABS(C23-D23)&lt;0.000000001,"OK","ERR"),"ERR")</f>
        <v>OK</v>
      </c>
      <c r="F23" s="13" t="s">
        <v>3851</v>
      </c>
    </row>
    <row r="24" customFormat="false" ht="15" hidden="false" customHeight="false" outlineLevel="0" collapsed="false">
      <c r="A24" s="10" t="s">
        <v>3852</v>
      </c>
      <c r="B24" s="11" t="s">
        <v>3853</v>
      </c>
      <c r="C24" s="10" t="n">
        <f aca="false">ABS(Revenue!D62)+ABS(Revenue!E62)+ABS(Revenue!F62)+ABS(Revenue!G62)+ABS(Revenue!H62)+ABS(Revenue!I62)+ABS(Revenue!K62)+ABS(Revenue!L62)</f>
        <v>0</v>
      </c>
      <c r="D24" s="10" t="n">
        <v>0</v>
      </c>
      <c r="E24" s="10" t="str">
        <f aca="false">IF(ISNUMBER(C24),IF(ABS(C24-D24)&lt;0.000000001,"OK","ERR"),"ERR")</f>
        <v>OK</v>
      </c>
      <c r="F24" s="13" t="s">
        <v>3854</v>
      </c>
    </row>
    <row r="25" customFormat="false" ht="15" hidden="false" customHeight="false" outlineLevel="0" collapsed="false">
      <c r="A25" s="10" t="s">
        <v>3855</v>
      </c>
      <c r="B25" s="11" t="s">
        <v>3856</v>
      </c>
      <c r="C25" s="10" t="n">
        <f aca="false">(Revenue!D44&lt;=0)+(Revenue!K44&lt;=0)</f>
        <v>0</v>
      </c>
      <c r="D25" s="10" t="n">
        <v>0</v>
      </c>
      <c r="E25" s="10" t="str">
        <f aca="false">IF(C25=D25,"OK","ERR")</f>
        <v>OK</v>
      </c>
      <c r="F25" s="13" t="s">
        <v>3857</v>
      </c>
    </row>
    <row r="26" customFormat="false" ht="15" hidden="false" customHeight="false" outlineLevel="0" collapsed="false">
      <c r="A26" s="10" t="s">
        <v>3858</v>
      </c>
      <c r="B26" s="10" t="s">
        <v>3859</v>
      </c>
      <c r="C26" s="10" t="n">
        <f aca="false">SUMPRODUCT(--(ABS(Demand!$D$11:$I$11+Demand!$D$26:$I$26+Demand!$D$31:$I$31+Demand!$D$14:$I$14-Demand!$D$41:$I$41)&gt;0.000000001*Demand!$D$41:$I$41))</f>
        <v>0</v>
      </c>
      <c r="D26" s="10" t="n">
        <v>0</v>
      </c>
      <c r="E26" s="10" t="str">
        <f aca="false">IF(C26=D26,"OK","ERR")</f>
        <v>OK</v>
      </c>
      <c r="F26" s="13" t="s">
        <v>3860</v>
      </c>
    </row>
    <row r="27" customFormat="false" ht="15" hidden="false" customHeight="false" outlineLevel="0" collapsed="false">
      <c r="A27" s="10" t="s">
        <v>3861</v>
      </c>
      <c r="B27" s="10" t="s">
        <v>3862</v>
      </c>
      <c r="C27" s="10" t="n">
        <f aca="false">(Revenue!D37&lt;0)+(Revenue!D37&gt;1)+(Revenue!E37&lt;0)+(Revenue!E37&gt;1)+(Revenue!F37&lt;0)+(Revenue!F37&gt;1)+(Revenue!G37&lt;0)+(Revenue!G37&gt;1)+(Revenue!H37&lt;0)+(Revenue!H37&gt;1)+(Revenue!I37&lt;0)+(Revenue!I37&gt;1)+(Revenue!K37&lt;0)+(Revenue!K37&gt;1)+(Revenue!L37&lt;0)+(Revenue!L37&gt;1)</f>
        <v>0</v>
      </c>
      <c r="D27" s="10" t="n">
        <v>0</v>
      </c>
      <c r="E27" s="10" t="str">
        <f aca="false">IF(C27=D27,"OK","ERR")</f>
        <v>OK</v>
      </c>
      <c r="F27" s="13" t="s">
        <v>3863</v>
      </c>
    </row>
    <row r="28" customFormat="false" ht="15" hidden="false" customHeight="false" outlineLevel="0" collapsed="false">
      <c r="A28" s="10" t="s">
        <v>3864</v>
      </c>
      <c r="B28" s="10" t="s">
        <v>3865</v>
      </c>
      <c r="C28" s="10" t="n">
        <f aca="false">(Revenue!D22&lt;0)+(Revenue!D22&gt;1)+(Revenue!E22&lt;0)+(Revenue!E22&gt;1)+(Revenue!F22&lt;0)+(Revenue!F22&gt;1)+(Revenue!G22&lt;0)+(Revenue!G22&gt;1)+(Revenue!H22&lt;0)+(Revenue!H22&gt;1)+(Revenue!I22&lt;0)+(Revenue!I22&gt;1)+(Revenue!K22&lt;0)+(Revenue!K22&gt;1)+(Revenue!L22&lt;0)+(Revenue!L22&gt;1)</f>
        <v>0</v>
      </c>
      <c r="D28" s="10" t="n">
        <v>0</v>
      </c>
      <c r="E28" s="10" t="str">
        <f aca="false">IF(C28=D28,"OK","ERR")</f>
        <v>OK</v>
      </c>
      <c r="F28" s="2"/>
    </row>
    <row r="29" customFormat="false" ht="15" hidden="false" customHeight="false" outlineLevel="0" collapsed="false">
      <c r="A29" s="10" t="s">
        <v>3866</v>
      </c>
      <c r="B29" s="10" t="s">
        <v>3867</v>
      </c>
      <c r="C29" s="10" t="n">
        <f aca="false">IF(Revenue!K10&lt;0,1,0)</f>
        <v>0</v>
      </c>
      <c r="D29" s="10" t="n">
        <v>0</v>
      </c>
      <c r="E29" s="10" t="str">
        <f aca="false">IF(C29=D29,"OK","ERR")</f>
        <v>OK</v>
      </c>
      <c r="F29" s="13" t="s">
        <v>3868</v>
      </c>
    </row>
    <row r="30" customFormat="false" ht="15" hidden="false" customHeight="false" outlineLevel="0" collapsed="false">
      <c r="A30" s="10" t="s">
        <v>3869</v>
      </c>
      <c r="B30" s="11" t="s">
        <v>3870</v>
      </c>
      <c r="C30" s="10" t="n">
        <f aca="false">IF(OR(INP_069&lt;0,INP_069&gt;1),1,0)</f>
        <v>0</v>
      </c>
      <c r="D30" s="10" t="n">
        <v>0</v>
      </c>
      <c r="E30" s="10" t="str">
        <f aca="false">IF(C30=D30,"OK","ERR")</f>
        <v>OK</v>
      </c>
      <c r="F30" s="2" t="s">
        <v>3871</v>
      </c>
    </row>
    <row r="31" customFormat="false" ht="15" hidden="false" customHeight="false" outlineLevel="0" collapsed="false">
      <c r="A31" s="10" t="s">
        <v>3872</v>
      </c>
      <c r="B31" s="10" t="s">
        <v>3873</v>
      </c>
      <c r="C31" s="10" t="n">
        <f aca="false">SUMPRODUCT(--(Demand!$D$10:$I$10&lt;=0))+SUMPRODUCT(--(Demand!$D$9:$I$9&lt;=0))</f>
        <v>0</v>
      </c>
      <c r="D31" s="10" t="n">
        <v>0</v>
      </c>
      <c r="E31" s="10" t="str">
        <f aca="false">IF(C31=D31,"OK","ERR")</f>
        <v>OK</v>
      </c>
      <c r="F31" s="2"/>
    </row>
    <row r="32" customFormat="false" ht="15" hidden="false" customHeight="false" outlineLevel="0" collapsed="false">
      <c r="A32" s="10" t="s">
        <v>3874</v>
      </c>
      <c r="B32" s="10" t="s">
        <v>3875</v>
      </c>
      <c r="C32" s="10" t="n">
        <f aca="false">REV_ARRGapMaaS</f>
        <v>-0.625326170515824</v>
      </c>
      <c r="E32" s="10" t="str">
        <f aca="false">IF(ISNUMBER(C32),IF(ABS(C32)&gt;INP_073,"WARN","OK"),"WARN")</f>
        <v>WARN</v>
      </c>
      <c r="F32" s="2" t="s">
        <v>3876</v>
      </c>
    </row>
    <row r="33" customFormat="false" ht="15" hidden="false" customHeight="false" outlineLevel="0" collapsed="false">
      <c r="A33" s="10" t="s">
        <v>3877</v>
      </c>
      <c r="B33" s="10" t="s">
        <v>3878</v>
      </c>
      <c r="C33" s="10" t="n">
        <f aca="false">REV_ARRGapTotal</f>
        <v>-0.544991897746206</v>
      </c>
      <c r="E33" s="10" t="str">
        <f aca="false">IF(ISNUMBER(C33),IF(ABS(C33)&gt;INP_073,"WARN","OK"),"WARN")</f>
        <v>WARN</v>
      </c>
      <c r="F33" s="2" t="s">
        <v>1087</v>
      </c>
    </row>
    <row r="34" customFormat="false" ht="15" hidden="false" customHeight="false" outlineLevel="0" collapsed="false">
      <c r="A34" s="10" t="s">
        <v>3879</v>
      </c>
      <c r="B34" s="11" t="s">
        <v>3880</v>
      </c>
      <c r="C34" s="10" t="n">
        <f aca="false">Revenue!K78</f>
        <v>0.578681729516549</v>
      </c>
      <c r="E34" s="10" t="s">
        <v>3881</v>
      </c>
      <c r="F34" s="2" t="s">
        <v>3882</v>
      </c>
    </row>
    <row r="35" customFormat="false" ht="15" hidden="false" customHeight="false" outlineLevel="0" collapsed="false">
      <c r="A35" s="10" t="s">
        <v>3883</v>
      </c>
      <c r="B35" s="11" t="s">
        <v>3884</v>
      </c>
      <c r="C35" s="10" t="n">
        <f aca="false">Revenue!L79</f>
        <v>1.00434369296006</v>
      </c>
      <c r="E35" s="10" t="s">
        <v>3881</v>
      </c>
      <c r="F35" s="2" t="s">
        <v>3885</v>
      </c>
    </row>
    <row r="36" customFormat="false" ht="15" hidden="false" customHeight="false" outlineLevel="0" collapsed="false">
      <c r="A36" s="10" t="s">
        <v>3886</v>
      </c>
      <c r="B36" s="11" t="s">
        <v>3887</v>
      </c>
      <c r="C36" s="10" t="n">
        <f aca="false">Demand!L44</f>
        <v>1.99270453949859</v>
      </c>
      <c r="E36" s="10" t="s">
        <v>3881</v>
      </c>
      <c r="F36" s="2" t="s">
        <v>3888</v>
      </c>
    </row>
    <row r="37" customFormat="false" ht="15" hidden="false" customHeight="false" outlineLevel="0" collapsed="false">
      <c r="A37" s="10" t="s">
        <v>3889</v>
      </c>
      <c r="B37" s="11" t="s">
        <v>3890</v>
      </c>
      <c r="C37" s="10" t="n">
        <f aca="false">DEM_ImpliedVolGrowth</f>
        <v>3.24095943895404</v>
      </c>
      <c r="E37" s="10" t="s">
        <v>3881</v>
      </c>
      <c r="F37" s="13" t="s">
        <v>3891</v>
      </c>
    </row>
    <row r="38" customFormat="false" ht="15" hidden="false" customHeight="false" outlineLevel="0" collapsed="false">
      <c r="A38" s="10" t="s">
        <v>3892</v>
      </c>
      <c r="B38" s="11" t="s">
        <v>3893</v>
      </c>
      <c r="C38" s="10" t="n">
        <f aca="false">REV_GapUncal2025</f>
        <v>34.2483665725292</v>
      </c>
      <c r="E38" s="10" t="s">
        <v>3881</v>
      </c>
      <c r="F38" s="2" t="s">
        <v>3894</v>
      </c>
    </row>
    <row r="39" customFormat="false" ht="15" hidden="false" customHeight="false" outlineLevel="0" collapsed="false">
      <c r="A39" s="10" t="s">
        <v>3895</v>
      </c>
      <c r="B39" s="11" t="s">
        <v>3896</v>
      </c>
      <c r="C39" s="10" t="n">
        <f aca="false">DEM_ApiBilledRatio2025</f>
        <v>0.0433538903753719</v>
      </c>
      <c r="E39" s="10" t="s">
        <v>3881</v>
      </c>
      <c r="F39" s="2"/>
    </row>
    <row r="40" customFormat="false" ht="15" hidden="false" customHeight="false" outlineLevel="0" collapsed="false">
      <c r="A40" s="10" t="s">
        <v>3897</v>
      </c>
      <c r="B40" s="11" t="s">
        <v>3898</v>
      </c>
      <c r="C40" s="10" t="n">
        <f aca="false">Revenue!E89</f>
        <v>-23.3406180245769</v>
      </c>
      <c r="E40" s="10" t="s">
        <v>3881</v>
      </c>
      <c r="F40" s="2" t="s">
        <v>3899</v>
      </c>
    </row>
    <row r="41" customFormat="false" ht="15" hidden="false" customHeight="false" outlineLevel="0" collapsed="false">
      <c r="A41" s="10" t="s">
        <v>3900</v>
      </c>
      <c r="B41" s="11" t="s">
        <v>3901</v>
      </c>
      <c r="C41" s="10" t="n">
        <f aca="false">Revenue!L94</f>
        <v>0.799571301094215</v>
      </c>
      <c r="E41" s="10" t="s">
        <v>3881</v>
      </c>
      <c r="F41" s="13" t="s">
        <v>3902</v>
      </c>
    </row>
    <row r="42" customFormat="false" ht="15" hidden="false" customHeight="false" outlineLevel="0" collapsed="false">
      <c r="A42" s="10" t="s">
        <v>3903</v>
      </c>
      <c r="B42" s="11" t="s">
        <v>3904</v>
      </c>
      <c r="C42" s="10" t="n">
        <f aca="false">Revenue!L95</f>
        <v>0.928708215926929</v>
      </c>
      <c r="E42" s="10" t="s">
        <v>3881</v>
      </c>
      <c r="F42" s="13" t="s">
        <v>3902</v>
      </c>
    </row>
    <row r="43" customFormat="false" ht="15" hidden="false" customHeight="false" outlineLevel="0" collapsed="false">
      <c r="A43" s="10" t="s">
        <v>3905</v>
      </c>
      <c r="B43" s="11" t="s">
        <v>3906</v>
      </c>
      <c r="C43" s="10" t="n">
        <f aca="false">INDEX(OAI_COST_PropGap_VR,1,6)</f>
        <v>-10.0544787766386</v>
      </c>
      <c r="E43" s="10" t="s">
        <v>3881</v>
      </c>
      <c r="F43" s="13" t="s">
        <v>3907</v>
      </c>
    </row>
    <row r="44" customFormat="false" ht="15" hidden="false" customHeight="false" outlineLevel="0" collapsed="false">
      <c r="A44" s="10" t="s">
        <v>3908</v>
      </c>
      <c r="B44" s="11" t="s">
        <v>3909</v>
      </c>
      <c r="C44" s="10" t="n">
        <f aca="false">INDEX(REV_GrossCapped,1,6)</f>
        <v>226.660240657876</v>
      </c>
      <c r="E44" s="10" t="s">
        <v>3881</v>
      </c>
      <c r="F44" s="2"/>
    </row>
    <row r="45" customFormat="false" ht="15" hidden="false" customHeight="false" outlineLevel="0" collapsed="false">
      <c r="A45" s="10" t="s">
        <v>3910</v>
      </c>
      <c r="B45" s="11" t="s">
        <v>3911</v>
      </c>
      <c r="C45" s="10" t="n">
        <f aca="false">INDEX(DEM_Tok_Total,1,6)</f>
        <v>38388.9122088561</v>
      </c>
      <c r="E45" s="10" t="s">
        <v>3881</v>
      </c>
      <c r="F45" s="2" t="s">
        <v>3912</v>
      </c>
    </row>
    <row r="46" customFormat="false" ht="15" hidden="false" customHeight="false" outlineLevel="0" collapsed="false">
      <c r="A46" s="10" t="s">
        <v>3913</v>
      </c>
      <c r="B46" s="11" t="s">
        <v>3914</v>
      </c>
      <c r="C46" s="10" t="n">
        <f aca="false">INP_072</f>
        <v>1</v>
      </c>
      <c r="E46" s="10" t="s">
        <v>3881</v>
      </c>
      <c r="F46" s="2"/>
    </row>
    <row r="48" customFormat="false" ht="15" hidden="false" customHeight="false" outlineLevel="0" collapsed="false">
      <c r="A48" s="6" t="s">
        <v>3915</v>
      </c>
      <c r="C48" s="10" t="n">
        <f aca="false">COUNTIF($E$5:$E$46,"ERR")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3916</v>
      </c>
      <c r="B1" s="0" t="s">
        <v>3917</v>
      </c>
      <c r="C1" s="0" t="s">
        <v>3918</v>
      </c>
      <c r="D1" s="0" t="s">
        <v>3919</v>
      </c>
    </row>
    <row r="2" customFormat="false" ht="15" hidden="false" customHeight="false" outlineLevel="0" collapsed="false">
      <c r="A2" s="0" t="s">
        <v>8</v>
      </c>
      <c r="B2" s="0" t="s">
        <v>52</v>
      </c>
      <c r="C2" s="0" t="s">
        <v>3920</v>
      </c>
      <c r="D2" s="0" t="n">
        <v>0.5741</v>
      </c>
    </row>
    <row r="3" customFormat="false" ht="15" hidden="false" customHeight="false" outlineLevel="0" collapsed="false">
      <c r="A3" s="0" t="s">
        <v>8</v>
      </c>
      <c r="B3" s="0" t="s">
        <v>52</v>
      </c>
      <c r="C3" s="0" t="s">
        <v>3921</v>
      </c>
    </row>
    <row r="4" customFormat="false" ht="15" hidden="false" customHeight="false" outlineLevel="0" collapsed="false">
      <c r="A4" s="0" t="s">
        <v>8</v>
      </c>
      <c r="B4" s="0" t="s">
        <v>52</v>
      </c>
      <c r="C4" s="0" t="s">
        <v>3922</v>
      </c>
    </row>
    <row r="5" customFormat="false" ht="15" hidden="false" customHeight="false" outlineLevel="0" collapsed="false">
      <c r="A5" s="0" t="s">
        <v>8</v>
      </c>
      <c r="B5" s="0" t="s">
        <v>69</v>
      </c>
      <c r="C5" s="0" t="s">
        <v>3920</v>
      </c>
      <c r="D5" s="0" t="n">
        <v>1.2454</v>
      </c>
    </row>
    <row r="6" customFormat="false" ht="15" hidden="false" customHeight="false" outlineLevel="0" collapsed="false">
      <c r="A6" s="0" t="s">
        <v>8</v>
      </c>
      <c r="B6" s="0" t="s">
        <v>69</v>
      </c>
      <c r="C6" s="0" t="s">
        <v>3921</v>
      </c>
    </row>
    <row r="7" customFormat="false" ht="15" hidden="false" customHeight="false" outlineLevel="0" collapsed="false">
      <c r="A7" s="0" t="s">
        <v>8</v>
      </c>
      <c r="B7" s="0" t="s">
        <v>69</v>
      </c>
      <c r="C7" s="0" t="s">
        <v>3922</v>
      </c>
    </row>
    <row r="8" customFormat="false" ht="15" hidden="false" customHeight="false" outlineLevel="0" collapsed="false">
      <c r="A8" s="0" t="s">
        <v>8</v>
      </c>
      <c r="B8" s="0" t="s">
        <v>73</v>
      </c>
      <c r="C8" s="0" t="s">
        <v>3920</v>
      </c>
      <c r="D8" s="0" t="n">
        <v>3.1241</v>
      </c>
    </row>
    <row r="9" customFormat="false" ht="15" hidden="false" customHeight="false" outlineLevel="0" collapsed="false">
      <c r="A9" s="0" t="s">
        <v>8</v>
      </c>
      <c r="B9" s="0" t="s">
        <v>73</v>
      </c>
      <c r="C9" s="0" t="s">
        <v>3921</v>
      </c>
    </row>
    <row r="10" customFormat="false" ht="15" hidden="false" customHeight="false" outlineLevel="0" collapsed="false">
      <c r="A10" s="0" t="s">
        <v>8</v>
      </c>
      <c r="B10" s="0" t="s">
        <v>73</v>
      </c>
      <c r="C10" s="0" t="s">
        <v>3922</v>
      </c>
    </row>
    <row r="11" customFormat="false" ht="15" hidden="false" customHeight="false" outlineLevel="0" collapsed="false">
      <c r="A11" s="0" t="s">
        <v>8</v>
      </c>
      <c r="B11" s="0" t="s">
        <v>77</v>
      </c>
      <c r="C11" s="0" t="s">
        <v>3920</v>
      </c>
      <c r="D11" s="0" t="n">
        <v>0.4491</v>
      </c>
    </row>
    <row r="12" customFormat="false" ht="15" hidden="false" customHeight="false" outlineLevel="0" collapsed="false">
      <c r="A12" s="0" t="s">
        <v>8</v>
      </c>
      <c r="B12" s="0" t="s">
        <v>77</v>
      </c>
      <c r="C12" s="0" t="s">
        <v>3921</v>
      </c>
    </row>
    <row r="13" customFormat="false" ht="15" hidden="false" customHeight="false" outlineLevel="0" collapsed="false">
      <c r="A13" s="0" t="s">
        <v>8</v>
      </c>
      <c r="B13" s="0" t="s">
        <v>77</v>
      </c>
      <c r="C13" s="0" t="s">
        <v>3922</v>
      </c>
    </row>
    <row r="14" customFormat="false" ht="15" hidden="false" customHeight="false" outlineLevel="0" collapsed="false">
      <c r="A14" s="0" t="s">
        <v>8</v>
      </c>
      <c r="B14" s="0" t="s">
        <v>82</v>
      </c>
      <c r="C14" s="0" t="s">
        <v>3920</v>
      </c>
      <c r="D14" s="0" t="n">
        <v>1.9088</v>
      </c>
    </row>
    <row r="15" customFormat="false" ht="15" hidden="false" customHeight="false" outlineLevel="0" collapsed="false">
      <c r="A15" s="0" t="s">
        <v>8</v>
      </c>
      <c r="B15" s="0" t="s">
        <v>82</v>
      </c>
      <c r="C15" s="0" t="s">
        <v>3921</v>
      </c>
    </row>
    <row r="16" customFormat="false" ht="15" hidden="false" customHeight="false" outlineLevel="0" collapsed="false">
      <c r="A16" s="0" t="s">
        <v>8</v>
      </c>
      <c r="B16" s="0" t="s">
        <v>82</v>
      </c>
      <c r="C16" s="0" t="s">
        <v>3922</v>
      </c>
    </row>
    <row r="17" customFormat="false" ht="15" hidden="false" customHeight="false" outlineLevel="0" collapsed="false">
      <c r="A17" s="0" t="s">
        <v>8</v>
      </c>
      <c r="B17" s="0" t="s">
        <v>86</v>
      </c>
      <c r="C17" s="0" t="s">
        <v>3920</v>
      </c>
      <c r="D17" s="0" t="n">
        <v>0.5482</v>
      </c>
    </row>
    <row r="18" customFormat="false" ht="15" hidden="false" customHeight="false" outlineLevel="0" collapsed="false">
      <c r="A18" s="0" t="s">
        <v>8</v>
      </c>
      <c r="B18" s="0" t="s">
        <v>86</v>
      </c>
      <c r="C18" s="0" t="s">
        <v>3921</v>
      </c>
    </row>
    <row r="19" customFormat="false" ht="15" hidden="false" customHeight="false" outlineLevel="0" collapsed="false">
      <c r="A19" s="0" t="s">
        <v>8</v>
      </c>
      <c r="B19" s="0" t="s">
        <v>86</v>
      </c>
      <c r="C19" s="0" t="s">
        <v>3922</v>
      </c>
    </row>
    <row r="20" customFormat="false" ht="15" hidden="false" customHeight="false" outlineLevel="0" collapsed="false">
      <c r="A20" s="0" t="s">
        <v>8</v>
      </c>
      <c r="B20" s="0" t="s">
        <v>90</v>
      </c>
      <c r="C20" s="0" t="s">
        <v>3920</v>
      </c>
      <c r="D20" s="0" t="n">
        <v>1.1261</v>
      </c>
    </row>
    <row r="21" customFormat="false" ht="15" hidden="false" customHeight="false" outlineLevel="0" collapsed="false">
      <c r="A21" s="0" t="s">
        <v>8</v>
      </c>
      <c r="B21" s="0" t="s">
        <v>90</v>
      </c>
      <c r="C21" s="0" t="s">
        <v>3921</v>
      </c>
    </row>
    <row r="22" customFormat="false" ht="15" hidden="false" customHeight="false" outlineLevel="0" collapsed="false">
      <c r="A22" s="0" t="s">
        <v>8</v>
      </c>
      <c r="B22" s="0" t="s">
        <v>90</v>
      </c>
      <c r="C22" s="0" t="s">
        <v>3922</v>
      </c>
    </row>
    <row r="23" customFormat="false" ht="15" hidden="false" customHeight="false" outlineLevel="0" collapsed="false">
      <c r="A23" s="0" t="s">
        <v>8</v>
      </c>
      <c r="B23" s="0" t="s">
        <v>93</v>
      </c>
      <c r="C23" s="0" t="s">
        <v>3920</v>
      </c>
      <c r="D23" s="0" t="n">
        <v>2.6393</v>
      </c>
    </row>
    <row r="24" customFormat="false" ht="15" hidden="false" customHeight="false" outlineLevel="0" collapsed="false">
      <c r="A24" s="0" t="s">
        <v>8</v>
      </c>
      <c r="B24" s="0" t="s">
        <v>93</v>
      </c>
      <c r="C24" s="0" t="s">
        <v>3921</v>
      </c>
    </row>
    <row r="25" customFormat="false" ht="15" hidden="false" customHeight="false" outlineLevel="0" collapsed="false">
      <c r="A25" s="0" t="s">
        <v>8</v>
      </c>
      <c r="B25" s="0" t="s">
        <v>93</v>
      </c>
      <c r="C25" s="0" t="s">
        <v>3922</v>
      </c>
    </row>
    <row r="26" customFormat="false" ht="15" hidden="false" customHeight="false" outlineLevel="0" collapsed="false">
      <c r="A26" s="0" t="s">
        <v>8</v>
      </c>
      <c r="B26" s="0" t="s">
        <v>96</v>
      </c>
      <c r="C26" s="0" t="s">
        <v>3920</v>
      </c>
      <c r="D26" s="0" t="n">
        <v>0.2681</v>
      </c>
    </row>
    <row r="27" customFormat="false" ht="15" hidden="false" customHeight="false" outlineLevel="0" collapsed="false">
      <c r="A27" s="0" t="s">
        <v>8</v>
      </c>
      <c r="B27" s="0" t="s">
        <v>96</v>
      </c>
      <c r="C27" s="0" t="s">
        <v>3921</v>
      </c>
    </row>
    <row r="28" customFormat="false" ht="15" hidden="false" customHeight="false" outlineLevel="0" collapsed="false">
      <c r="A28" s="0" t="s">
        <v>8</v>
      </c>
      <c r="B28" s="0" t="s">
        <v>96</v>
      </c>
      <c r="C28" s="0" t="s">
        <v>3922</v>
      </c>
    </row>
    <row r="29" customFormat="false" ht="15" hidden="false" customHeight="false" outlineLevel="0" collapsed="false">
      <c r="A29" s="0" t="s">
        <v>8</v>
      </c>
      <c r="B29" s="0" t="s">
        <v>99</v>
      </c>
      <c r="C29" s="0" t="s">
        <v>3920</v>
      </c>
      <c r="D29" s="0" t="n">
        <v>1.6178</v>
      </c>
    </row>
    <row r="30" customFormat="false" ht="15" hidden="false" customHeight="false" outlineLevel="0" collapsed="false">
      <c r="A30" s="0" t="s">
        <v>8</v>
      </c>
      <c r="B30" s="0" t="s">
        <v>99</v>
      </c>
      <c r="C30" s="0" t="s">
        <v>3921</v>
      </c>
    </row>
    <row r="31" customFormat="false" ht="15" hidden="false" customHeight="false" outlineLevel="0" collapsed="false">
      <c r="A31" s="0" t="s">
        <v>8</v>
      </c>
      <c r="B31" s="0" t="s">
        <v>99</v>
      </c>
      <c r="C31" s="0" t="s">
        <v>3922</v>
      </c>
    </row>
    <row r="32" customFormat="false" ht="15" hidden="false" customHeight="false" outlineLevel="0" collapsed="false">
      <c r="A32" s="0" t="s">
        <v>8</v>
      </c>
      <c r="B32" s="0" t="s">
        <v>102</v>
      </c>
      <c r="C32" s="0" t="s">
        <v>3920</v>
      </c>
      <c r="D32" s="0" t="n">
        <v>0.0259</v>
      </c>
    </row>
    <row r="33" customFormat="false" ht="15" hidden="false" customHeight="false" outlineLevel="0" collapsed="false">
      <c r="A33" s="0" t="s">
        <v>8</v>
      </c>
      <c r="B33" s="0" t="s">
        <v>102</v>
      </c>
      <c r="C33" s="0" t="s">
        <v>3921</v>
      </c>
    </row>
    <row r="34" customFormat="false" ht="15" hidden="false" customHeight="false" outlineLevel="0" collapsed="false">
      <c r="A34" s="0" t="s">
        <v>8</v>
      </c>
      <c r="B34" s="0" t="s">
        <v>102</v>
      </c>
      <c r="C34" s="0" t="s">
        <v>3922</v>
      </c>
    </row>
    <row r="35" customFormat="false" ht="15" hidden="false" customHeight="false" outlineLevel="0" collapsed="false">
      <c r="A35" s="0" t="s">
        <v>8</v>
      </c>
      <c r="B35" s="0" t="s">
        <v>106</v>
      </c>
      <c r="C35" s="0" t="s">
        <v>3920</v>
      </c>
      <c r="D35" s="0" t="n">
        <v>0.1192</v>
      </c>
    </row>
    <row r="36" customFormat="false" ht="15" hidden="false" customHeight="false" outlineLevel="0" collapsed="false">
      <c r="A36" s="0" t="s">
        <v>8</v>
      </c>
      <c r="B36" s="0" t="s">
        <v>106</v>
      </c>
      <c r="C36" s="0" t="s">
        <v>3921</v>
      </c>
    </row>
    <row r="37" customFormat="false" ht="15" hidden="false" customHeight="false" outlineLevel="0" collapsed="false">
      <c r="A37" s="0" t="s">
        <v>8</v>
      </c>
      <c r="B37" s="0" t="s">
        <v>106</v>
      </c>
      <c r="C37" s="0" t="s">
        <v>3922</v>
      </c>
    </row>
    <row r="38" customFormat="false" ht="15" hidden="false" customHeight="false" outlineLevel="0" collapsed="false">
      <c r="A38" s="0" t="s">
        <v>8</v>
      </c>
      <c r="B38" s="0" t="s">
        <v>109</v>
      </c>
      <c r="C38" s="0" t="s">
        <v>3920</v>
      </c>
      <c r="D38" s="0" t="n">
        <v>0.4848</v>
      </c>
    </row>
    <row r="39" customFormat="false" ht="15" hidden="false" customHeight="false" outlineLevel="0" collapsed="false">
      <c r="A39" s="0" t="s">
        <v>8</v>
      </c>
      <c r="B39" s="0" t="s">
        <v>109</v>
      </c>
      <c r="C39" s="0" t="s">
        <v>3921</v>
      </c>
    </row>
    <row r="40" customFormat="false" ht="15" hidden="false" customHeight="false" outlineLevel="0" collapsed="false">
      <c r="A40" s="0" t="s">
        <v>8</v>
      </c>
      <c r="B40" s="0" t="s">
        <v>109</v>
      </c>
      <c r="C40" s="0" t="s">
        <v>3922</v>
      </c>
    </row>
    <row r="41" customFormat="false" ht="15" hidden="false" customHeight="false" outlineLevel="0" collapsed="false">
      <c r="A41" s="0" t="s">
        <v>8</v>
      </c>
      <c r="B41" s="0" t="s">
        <v>112</v>
      </c>
      <c r="C41" s="0" t="s">
        <v>3920</v>
      </c>
      <c r="D41" s="0" t="n">
        <v>0.181</v>
      </c>
    </row>
    <row r="42" customFormat="false" ht="15" hidden="false" customHeight="false" outlineLevel="0" collapsed="false">
      <c r="A42" s="0" t="s">
        <v>8</v>
      </c>
      <c r="B42" s="0" t="s">
        <v>112</v>
      </c>
      <c r="C42" s="0" t="s">
        <v>3921</v>
      </c>
    </row>
    <row r="43" customFormat="false" ht="15" hidden="false" customHeight="false" outlineLevel="0" collapsed="false">
      <c r="A43" s="0" t="s">
        <v>8</v>
      </c>
      <c r="B43" s="0" t="s">
        <v>112</v>
      </c>
      <c r="C43" s="0" t="s">
        <v>3922</v>
      </c>
    </row>
    <row r="44" customFormat="false" ht="15" hidden="false" customHeight="false" outlineLevel="0" collapsed="false">
      <c r="A44" s="0" t="s">
        <v>8</v>
      </c>
      <c r="B44" s="0" t="s">
        <v>115</v>
      </c>
      <c r="C44" s="0" t="s">
        <v>3920</v>
      </c>
      <c r="D44" s="0" t="n">
        <v>0.291</v>
      </c>
    </row>
    <row r="45" customFormat="false" ht="15" hidden="false" customHeight="false" outlineLevel="0" collapsed="false">
      <c r="A45" s="0" t="s">
        <v>8</v>
      </c>
      <c r="B45" s="0" t="s">
        <v>115</v>
      </c>
      <c r="C45" s="0" t="s">
        <v>3921</v>
      </c>
    </row>
    <row r="46" customFormat="false" ht="15" hidden="false" customHeight="false" outlineLevel="0" collapsed="false">
      <c r="A46" s="0" t="s">
        <v>8</v>
      </c>
      <c r="B46" s="0" t="s">
        <v>115</v>
      </c>
      <c r="C46" s="0" t="s">
        <v>3922</v>
      </c>
    </row>
    <row r="47" customFormat="false" ht="15" hidden="false" customHeight="false" outlineLevel="0" collapsed="false">
      <c r="A47" s="0" t="s">
        <v>8</v>
      </c>
      <c r="B47" s="0" t="s">
        <v>118</v>
      </c>
      <c r="C47" s="0" t="s">
        <v>3920</v>
      </c>
      <c r="D47" s="0" t="n">
        <v>0.2605</v>
      </c>
    </row>
    <row r="48" customFormat="false" ht="15" hidden="false" customHeight="false" outlineLevel="0" collapsed="false">
      <c r="A48" s="0" t="s">
        <v>8</v>
      </c>
      <c r="B48" s="0" t="s">
        <v>118</v>
      </c>
      <c r="C48" s="0" t="s">
        <v>3921</v>
      </c>
    </row>
    <row r="49" customFormat="false" ht="15" hidden="false" customHeight="false" outlineLevel="0" collapsed="false">
      <c r="A49" s="0" t="s">
        <v>8</v>
      </c>
      <c r="B49" s="0" t="s">
        <v>118</v>
      </c>
      <c r="C49" s="0" t="s">
        <v>3922</v>
      </c>
    </row>
    <row r="50" customFormat="false" ht="15" hidden="false" customHeight="false" outlineLevel="0" collapsed="false">
      <c r="A50" s="0" t="s">
        <v>8</v>
      </c>
      <c r="B50" s="0" t="s">
        <v>122</v>
      </c>
      <c r="C50" s="0" t="s">
        <v>3920</v>
      </c>
      <c r="D50" s="0" t="n">
        <v>0.4406</v>
      </c>
    </row>
    <row r="51" customFormat="false" ht="15" hidden="false" customHeight="false" outlineLevel="0" collapsed="false">
      <c r="A51" s="0" t="s">
        <v>8</v>
      </c>
      <c r="B51" s="0" t="s">
        <v>122</v>
      </c>
      <c r="C51" s="0" t="s">
        <v>3921</v>
      </c>
    </row>
    <row r="52" customFormat="false" ht="15" hidden="false" customHeight="false" outlineLevel="0" collapsed="false">
      <c r="A52" s="0" t="s">
        <v>8</v>
      </c>
      <c r="B52" s="0" t="s">
        <v>122</v>
      </c>
      <c r="C52" s="0" t="s">
        <v>3922</v>
      </c>
    </row>
    <row r="53" customFormat="false" ht="15" hidden="false" customHeight="false" outlineLevel="0" collapsed="false">
      <c r="A53" s="0" t="s">
        <v>8</v>
      </c>
      <c r="B53" s="0" t="s">
        <v>125</v>
      </c>
      <c r="C53" s="0" t="s">
        <v>3920</v>
      </c>
      <c r="D53" s="0" t="n">
        <v>1.3653</v>
      </c>
    </row>
    <row r="54" customFormat="false" ht="15" hidden="false" customHeight="false" outlineLevel="0" collapsed="false">
      <c r="A54" s="0" t="s">
        <v>8</v>
      </c>
      <c r="B54" s="0" t="s">
        <v>125</v>
      </c>
      <c r="C54" s="0" t="s">
        <v>3921</v>
      </c>
    </row>
    <row r="55" customFormat="false" ht="15" hidden="false" customHeight="false" outlineLevel="0" collapsed="false">
      <c r="A55" s="0" t="s">
        <v>8</v>
      </c>
      <c r="B55" s="0" t="s">
        <v>125</v>
      </c>
      <c r="C55" s="0" t="s">
        <v>3922</v>
      </c>
    </row>
    <row r="56" customFormat="false" ht="15" hidden="false" customHeight="false" outlineLevel="0" collapsed="false">
      <c r="A56" s="0" t="s">
        <v>8</v>
      </c>
      <c r="B56" s="0" t="s">
        <v>128</v>
      </c>
      <c r="C56" s="0" t="s">
        <v>3920</v>
      </c>
      <c r="D56" s="0" t="n">
        <v>0.2295</v>
      </c>
    </row>
    <row r="57" customFormat="false" ht="15" hidden="false" customHeight="false" outlineLevel="0" collapsed="false">
      <c r="A57" s="0" t="s">
        <v>8</v>
      </c>
      <c r="B57" s="0" t="s">
        <v>128</v>
      </c>
      <c r="C57" s="0" t="s">
        <v>3921</v>
      </c>
    </row>
    <row r="58" customFormat="false" ht="15" hidden="false" customHeight="false" outlineLevel="0" collapsed="false">
      <c r="A58" s="0" t="s">
        <v>8</v>
      </c>
      <c r="B58" s="0" t="s">
        <v>128</v>
      </c>
      <c r="C58" s="0" t="s">
        <v>3922</v>
      </c>
    </row>
    <row r="59" customFormat="false" ht="15" hidden="false" customHeight="false" outlineLevel="0" collapsed="false">
      <c r="A59" s="0" t="s">
        <v>8</v>
      </c>
      <c r="B59" s="0" t="s">
        <v>131</v>
      </c>
      <c r="C59" s="0" t="s">
        <v>3920</v>
      </c>
      <c r="D59" s="0" t="n">
        <v>0.9545</v>
      </c>
    </row>
    <row r="60" customFormat="false" ht="15" hidden="false" customHeight="false" outlineLevel="0" collapsed="false">
      <c r="A60" s="0" t="s">
        <v>8</v>
      </c>
      <c r="B60" s="0" t="s">
        <v>131</v>
      </c>
      <c r="C60" s="0" t="s">
        <v>3921</v>
      </c>
    </row>
    <row r="61" customFormat="false" ht="15" hidden="false" customHeight="false" outlineLevel="0" collapsed="false">
      <c r="A61" s="0" t="s">
        <v>8</v>
      </c>
      <c r="B61" s="0" t="s">
        <v>131</v>
      </c>
      <c r="C61" s="0" t="s">
        <v>3922</v>
      </c>
    </row>
    <row r="62" customFormat="false" ht="15" hidden="false" customHeight="false" outlineLevel="0" collapsed="false">
      <c r="A62" s="0" t="s">
        <v>8</v>
      </c>
      <c r="B62" s="0" t="s">
        <v>134</v>
      </c>
      <c r="C62" s="0" t="s">
        <v>3920</v>
      </c>
      <c r="D62" s="0" t="n">
        <v>0</v>
      </c>
    </row>
    <row r="63" customFormat="false" ht="15" hidden="false" customHeight="false" outlineLevel="0" collapsed="false">
      <c r="A63" s="0" t="s">
        <v>8</v>
      </c>
      <c r="B63" s="0" t="s">
        <v>134</v>
      </c>
      <c r="C63" s="0" t="s">
        <v>3921</v>
      </c>
    </row>
    <row r="64" customFormat="false" ht="15" hidden="false" customHeight="false" outlineLevel="0" collapsed="false">
      <c r="A64" s="0" t="s">
        <v>8</v>
      </c>
      <c r="B64" s="0" t="s">
        <v>134</v>
      </c>
      <c r="C64" s="0" t="s">
        <v>3922</v>
      </c>
    </row>
    <row r="65" customFormat="false" ht="15" hidden="false" customHeight="false" outlineLevel="0" collapsed="false">
      <c r="A65" s="0" t="s">
        <v>8</v>
      </c>
      <c r="B65" s="0" t="s">
        <v>138</v>
      </c>
      <c r="C65" s="0" t="s">
        <v>3920</v>
      </c>
      <c r="D65" s="0" t="n">
        <v>0.12</v>
      </c>
    </row>
    <row r="66" customFormat="false" ht="15" hidden="false" customHeight="false" outlineLevel="0" collapsed="false">
      <c r="A66" s="0" t="s">
        <v>8</v>
      </c>
      <c r="B66" s="0" t="s">
        <v>138</v>
      </c>
      <c r="C66" s="0" t="s">
        <v>3921</v>
      </c>
    </row>
    <row r="67" customFormat="false" ht="15" hidden="false" customHeight="false" outlineLevel="0" collapsed="false">
      <c r="A67" s="0" t="s">
        <v>8</v>
      </c>
      <c r="B67" s="0" t="s">
        <v>138</v>
      </c>
      <c r="C67" s="0" t="s">
        <v>3922</v>
      </c>
    </row>
    <row r="68" customFormat="false" ht="15" hidden="false" customHeight="false" outlineLevel="0" collapsed="false">
      <c r="A68" s="0" t="s">
        <v>8</v>
      </c>
      <c r="B68" s="0" t="s">
        <v>141</v>
      </c>
      <c r="C68" s="0" t="s">
        <v>3920</v>
      </c>
      <c r="D68" s="0" t="n">
        <v>0.3017</v>
      </c>
    </row>
    <row r="69" customFormat="false" ht="15" hidden="false" customHeight="false" outlineLevel="0" collapsed="false">
      <c r="A69" s="0" t="s">
        <v>8</v>
      </c>
      <c r="B69" s="0" t="s">
        <v>141</v>
      </c>
      <c r="C69" s="0" t="s">
        <v>3921</v>
      </c>
    </row>
    <row r="70" customFormat="false" ht="15" hidden="false" customHeight="false" outlineLevel="0" collapsed="false">
      <c r="A70" s="0" t="s">
        <v>8</v>
      </c>
      <c r="B70" s="0" t="s">
        <v>141</v>
      </c>
      <c r="C70" s="0" t="s">
        <v>3922</v>
      </c>
    </row>
    <row r="71" customFormat="false" ht="15" hidden="false" customHeight="false" outlineLevel="0" collapsed="false">
      <c r="A71" s="0" t="s">
        <v>8</v>
      </c>
      <c r="B71" s="0" t="s">
        <v>144</v>
      </c>
      <c r="C71" s="0" t="s">
        <v>3920</v>
      </c>
      <c r="D71" s="0" t="n">
        <v>0.0845</v>
      </c>
    </row>
    <row r="72" customFormat="false" ht="15" hidden="false" customHeight="false" outlineLevel="0" collapsed="false">
      <c r="A72" s="0" t="s">
        <v>8</v>
      </c>
      <c r="B72" s="0" t="s">
        <v>144</v>
      </c>
      <c r="C72" s="0" t="s">
        <v>3921</v>
      </c>
    </row>
    <row r="73" customFormat="false" ht="15" hidden="false" customHeight="false" outlineLevel="0" collapsed="false">
      <c r="A73" s="0" t="s">
        <v>8</v>
      </c>
      <c r="B73" s="0" t="s">
        <v>144</v>
      </c>
      <c r="C73" s="0" t="s">
        <v>3922</v>
      </c>
    </row>
    <row r="74" customFormat="false" ht="15" hidden="false" customHeight="false" outlineLevel="0" collapsed="false">
      <c r="A74" s="0" t="s">
        <v>8</v>
      </c>
      <c r="B74" s="0" t="s">
        <v>147</v>
      </c>
      <c r="C74" s="0" t="s">
        <v>3920</v>
      </c>
      <c r="D74" s="0" t="n">
        <v>0.3584</v>
      </c>
    </row>
    <row r="75" customFormat="false" ht="15" hidden="false" customHeight="false" outlineLevel="0" collapsed="false">
      <c r="A75" s="0" t="s">
        <v>8</v>
      </c>
      <c r="B75" s="0" t="s">
        <v>147</v>
      </c>
      <c r="C75" s="0" t="s">
        <v>3921</v>
      </c>
    </row>
    <row r="76" customFormat="false" ht="15" hidden="false" customHeight="false" outlineLevel="0" collapsed="false">
      <c r="A76" s="0" t="s">
        <v>8</v>
      </c>
      <c r="B76" s="0" t="s">
        <v>147</v>
      </c>
      <c r="C76" s="0" t="s">
        <v>3922</v>
      </c>
    </row>
    <row r="77" customFormat="false" ht="15" hidden="false" customHeight="false" outlineLevel="0" collapsed="false">
      <c r="A77" s="0" t="s">
        <v>8</v>
      </c>
      <c r="B77" s="0" t="s">
        <v>150</v>
      </c>
      <c r="C77" s="0" t="s">
        <v>3920</v>
      </c>
      <c r="D77" s="0" t="n">
        <v>0.1643</v>
      </c>
    </row>
    <row r="78" customFormat="false" ht="15" hidden="false" customHeight="false" outlineLevel="0" collapsed="false">
      <c r="A78" s="0" t="s">
        <v>8</v>
      </c>
      <c r="B78" s="0" t="s">
        <v>150</v>
      </c>
      <c r="C78" s="0" t="s">
        <v>3921</v>
      </c>
    </row>
    <row r="79" customFormat="false" ht="15" hidden="false" customHeight="false" outlineLevel="0" collapsed="false">
      <c r="A79" s="0" t="s">
        <v>8</v>
      </c>
      <c r="B79" s="0" t="s">
        <v>150</v>
      </c>
      <c r="C79" s="0" t="s">
        <v>3922</v>
      </c>
    </row>
    <row r="80" customFormat="false" ht="15" hidden="false" customHeight="false" outlineLevel="0" collapsed="false">
      <c r="A80" s="0" t="s">
        <v>8</v>
      </c>
      <c r="B80" s="0" t="s">
        <v>154</v>
      </c>
      <c r="C80" s="0" t="s">
        <v>3920</v>
      </c>
      <c r="D80" s="0" t="n">
        <v>0.1537</v>
      </c>
    </row>
    <row r="81" customFormat="false" ht="15" hidden="false" customHeight="false" outlineLevel="0" collapsed="false">
      <c r="A81" s="0" t="s">
        <v>8</v>
      </c>
      <c r="B81" s="0" t="s">
        <v>154</v>
      </c>
      <c r="C81" s="0" t="s">
        <v>3921</v>
      </c>
    </row>
    <row r="82" customFormat="false" ht="15" hidden="false" customHeight="false" outlineLevel="0" collapsed="false">
      <c r="A82" s="0" t="s">
        <v>8</v>
      </c>
      <c r="B82" s="0" t="s">
        <v>154</v>
      </c>
      <c r="C82" s="0" t="s">
        <v>3922</v>
      </c>
    </row>
    <row r="83" customFormat="false" ht="15" hidden="false" customHeight="false" outlineLevel="0" collapsed="false">
      <c r="A83" s="0" t="s">
        <v>8</v>
      </c>
      <c r="B83" s="0" t="s">
        <v>157</v>
      </c>
      <c r="C83" s="0" t="s">
        <v>3920</v>
      </c>
      <c r="D83" s="0" t="n">
        <v>0.7426</v>
      </c>
    </row>
    <row r="84" customFormat="false" ht="15" hidden="false" customHeight="false" outlineLevel="0" collapsed="false">
      <c r="A84" s="0" t="s">
        <v>8</v>
      </c>
      <c r="B84" s="0" t="s">
        <v>157</v>
      </c>
      <c r="C84" s="0" t="s">
        <v>3921</v>
      </c>
    </row>
    <row r="85" customFormat="false" ht="15" hidden="false" customHeight="false" outlineLevel="0" collapsed="false">
      <c r="A85" s="0" t="s">
        <v>8</v>
      </c>
      <c r="B85" s="0" t="s">
        <v>157</v>
      </c>
      <c r="C85" s="0" t="s">
        <v>3922</v>
      </c>
    </row>
    <row r="86" customFormat="false" ht="15" hidden="false" customHeight="false" outlineLevel="0" collapsed="false">
      <c r="A86" s="0" t="s">
        <v>8</v>
      </c>
      <c r="B86" s="0" t="s">
        <v>160</v>
      </c>
      <c r="C86" s="0" t="s">
        <v>3920</v>
      </c>
      <c r="D86" s="0" t="n">
        <v>0.1083</v>
      </c>
    </row>
    <row r="87" customFormat="false" ht="15" hidden="false" customHeight="false" outlineLevel="0" collapsed="false">
      <c r="A87" s="0" t="s">
        <v>8</v>
      </c>
      <c r="B87" s="0" t="s">
        <v>160</v>
      </c>
      <c r="C87" s="0" t="s">
        <v>3921</v>
      </c>
    </row>
    <row r="88" customFormat="false" ht="15" hidden="false" customHeight="false" outlineLevel="0" collapsed="false">
      <c r="A88" s="0" t="s">
        <v>8</v>
      </c>
      <c r="B88" s="0" t="s">
        <v>160</v>
      </c>
      <c r="C88" s="0" t="s">
        <v>3922</v>
      </c>
    </row>
    <row r="89" customFormat="false" ht="15" hidden="false" customHeight="false" outlineLevel="0" collapsed="false">
      <c r="A89" s="0" t="s">
        <v>8</v>
      </c>
      <c r="B89" s="0" t="s">
        <v>163</v>
      </c>
      <c r="C89" s="0" t="s">
        <v>3920</v>
      </c>
      <c r="D89" s="0" t="n">
        <v>0.3763</v>
      </c>
    </row>
    <row r="90" customFormat="false" ht="15" hidden="false" customHeight="false" outlineLevel="0" collapsed="false">
      <c r="A90" s="0" t="s">
        <v>8</v>
      </c>
      <c r="B90" s="0" t="s">
        <v>163</v>
      </c>
      <c r="C90" s="0" t="s">
        <v>3921</v>
      </c>
    </row>
    <row r="91" customFormat="false" ht="15" hidden="false" customHeight="false" outlineLevel="0" collapsed="false">
      <c r="A91" s="0" t="s">
        <v>8</v>
      </c>
      <c r="B91" s="0" t="s">
        <v>163</v>
      </c>
      <c r="C91" s="0" t="s">
        <v>3922</v>
      </c>
    </row>
    <row r="92" customFormat="false" ht="15" hidden="false" customHeight="false" outlineLevel="0" collapsed="false">
      <c r="A92" s="0" t="s">
        <v>8</v>
      </c>
      <c r="B92" s="0" t="s">
        <v>166</v>
      </c>
      <c r="C92" s="0" t="s">
        <v>3920</v>
      </c>
      <c r="D92" s="0" t="n">
        <v>0.3136</v>
      </c>
    </row>
    <row r="93" customFormat="false" ht="15" hidden="false" customHeight="false" outlineLevel="0" collapsed="false">
      <c r="A93" s="0" t="s">
        <v>8</v>
      </c>
      <c r="B93" s="0" t="s">
        <v>166</v>
      </c>
      <c r="C93" s="0" t="s">
        <v>3921</v>
      </c>
    </row>
    <row r="94" customFormat="false" ht="15" hidden="false" customHeight="false" outlineLevel="0" collapsed="false">
      <c r="A94" s="0" t="s">
        <v>8</v>
      </c>
      <c r="B94" s="0" t="s">
        <v>166</v>
      </c>
      <c r="C94" s="0" t="s">
        <v>3922</v>
      </c>
    </row>
    <row r="95" customFormat="false" ht="15" hidden="false" customHeight="false" outlineLevel="0" collapsed="false">
      <c r="A95" s="0" t="s">
        <v>8</v>
      </c>
      <c r="B95" s="0" t="s">
        <v>170</v>
      </c>
      <c r="C95" s="0" t="s">
        <v>3920</v>
      </c>
      <c r="D95" s="0" t="n">
        <v>0.8048</v>
      </c>
    </row>
    <row r="96" customFormat="false" ht="15" hidden="false" customHeight="false" outlineLevel="0" collapsed="false">
      <c r="A96" s="0" t="s">
        <v>8</v>
      </c>
      <c r="B96" s="0" t="s">
        <v>170</v>
      </c>
      <c r="C96" s="0" t="s">
        <v>3921</v>
      </c>
    </row>
    <row r="97" customFormat="false" ht="15" hidden="false" customHeight="false" outlineLevel="0" collapsed="false">
      <c r="A97" s="0" t="s">
        <v>8</v>
      </c>
      <c r="B97" s="0" t="s">
        <v>170</v>
      </c>
      <c r="C97" s="0" t="s">
        <v>3922</v>
      </c>
    </row>
    <row r="98" customFormat="false" ht="15" hidden="false" customHeight="false" outlineLevel="0" collapsed="false">
      <c r="A98" s="0" t="s">
        <v>8</v>
      </c>
      <c r="B98" s="0" t="s">
        <v>173</v>
      </c>
      <c r="C98" s="0" t="s">
        <v>3920</v>
      </c>
      <c r="D98" s="0" t="n">
        <v>1.7589</v>
      </c>
    </row>
    <row r="99" customFormat="false" ht="15" hidden="false" customHeight="false" outlineLevel="0" collapsed="false">
      <c r="A99" s="0" t="s">
        <v>8</v>
      </c>
      <c r="B99" s="0" t="s">
        <v>173</v>
      </c>
      <c r="C99" s="0" t="s">
        <v>3921</v>
      </c>
    </row>
    <row r="100" customFormat="false" ht="15" hidden="false" customHeight="false" outlineLevel="0" collapsed="false">
      <c r="A100" s="0" t="s">
        <v>8</v>
      </c>
      <c r="B100" s="0" t="s">
        <v>173</v>
      </c>
      <c r="C100" s="0" t="s">
        <v>3922</v>
      </c>
    </row>
    <row r="101" customFormat="false" ht="15" hidden="false" customHeight="false" outlineLevel="0" collapsed="false">
      <c r="A101" s="0" t="s">
        <v>8</v>
      </c>
      <c r="B101" s="0" t="s">
        <v>176</v>
      </c>
      <c r="C101" s="0" t="s">
        <v>3920</v>
      </c>
      <c r="D101" s="0" t="n">
        <v>0.2196</v>
      </c>
    </row>
    <row r="102" customFormat="false" ht="15" hidden="false" customHeight="false" outlineLevel="0" collapsed="false">
      <c r="A102" s="0" t="s">
        <v>8</v>
      </c>
      <c r="B102" s="0" t="s">
        <v>176</v>
      </c>
      <c r="C102" s="0" t="s">
        <v>3921</v>
      </c>
    </row>
    <row r="103" customFormat="false" ht="15" hidden="false" customHeight="false" outlineLevel="0" collapsed="false">
      <c r="A103" s="0" t="s">
        <v>8</v>
      </c>
      <c r="B103" s="0" t="s">
        <v>176</v>
      </c>
      <c r="C103" s="0" t="s">
        <v>3922</v>
      </c>
    </row>
    <row r="104" customFormat="false" ht="15" hidden="false" customHeight="false" outlineLevel="0" collapsed="false">
      <c r="A104" s="0" t="s">
        <v>8</v>
      </c>
      <c r="B104" s="0" t="s">
        <v>179</v>
      </c>
      <c r="C104" s="0" t="s">
        <v>3920</v>
      </c>
      <c r="D104" s="0" t="n">
        <v>0.9542</v>
      </c>
    </row>
    <row r="105" customFormat="false" ht="15" hidden="false" customHeight="false" outlineLevel="0" collapsed="false">
      <c r="A105" s="0" t="s">
        <v>8</v>
      </c>
      <c r="B105" s="0" t="s">
        <v>179</v>
      </c>
      <c r="C105" s="0" t="s">
        <v>3921</v>
      </c>
    </row>
    <row r="106" customFormat="false" ht="15" hidden="false" customHeight="false" outlineLevel="0" collapsed="false">
      <c r="A106" s="0" t="s">
        <v>8</v>
      </c>
      <c r="B106" s="0" t="s">
        <v>179</v>
      </c>
      <c r="C106" s="0" t="s">
        <v>3922</v>
      </c>
    </row>
    <row r="107" customFormat="false" ht="15" hidden="false" customHeight="false" outlineLevel="0" collapsed="false">
      <c r="A107" s="0" t="s">
        <v>8</v>
      </c>
      <c r="B107" s="0" t="s">
        <v>182</v>
      </c>
      <c r="C107" s="0" t="s">
        <v>3920</v>
      </c>
      <c r="D107" s="0" t="n">
        <v>0.2939</v>
      </c>
    </row>
    <row r="108" customFormat="false" ht="15" hidden="false" customHeight="false" outlineLevel="0" collapsed="false">
      <c r="A108" s="0" t="s">
        <v>8</v>
      </c>
      <c r="B108" s="0" t="s">
        <v>182</v>
      </c>
      <c r="C108" s="0" t="s">
        <v>3921</v>
      </c>
    </row>
    <row r="109" customFormat="false" ht="15" hidden="false" customHeight="false" outlineLevel="0" collapsed="false">
      <c r="A109" s="0" t="s">
        <v>8</v>
      </c>
      <c r="B109" s="0" t="s">
        <v>182</v>
      </c>
      <c r="C109" s="0" t="s">
        <v>3922</v>
      </c>
    </row>
    <row r="110" customFormat="false" ht="15" hidden="false" customHeight="false" outlineLevel="0" collapsed="false">
      <c r="A110" s="0" t="s">
        <v>8</v>
      </c>
      <c r="B110" s="0" t="s">
        <v>186</v>
      </c>
      <c r="C110" s="0" t="s">
        <v>3920</v>
      </c>
      <c r="D110" s="0" t="n">
        <v>0.7678</v>
      </c>
    </row>
    <row r="111" customFormat="false" ht="15" hidden="false" customHeight="false" outlineLevel="0" collapsed="false">
      <c r="A111" s="0" t="s">
        <v>8</v>
      </c>
      <c r="B111" s="0" t="s">
        <v>186</v>
      </c>
      <c r="C111" s="0" t="s">
        <v>3921</v>
      </c>
    </row>
    <row r="112" customFormat="false" ht="15" hidden="false" customHeight="false" outlineLevel="0" collapsed="false">
      <c r="A112" s="0" t="s">
        <v>8</v>
      </c>
      <c r="B112" s="0" t="s">
        <v>186</v>
      </c>
      <c r="C112" s="0" t="s">
        <v>3922</v>
      </c>
    </row>
    <row r="113" customFormat="false" ht="15" hidden="false" customHeight="false" outlineLevel="0" collapsed="false">
      <c r="A113" s="0" t="s">
        <v>8</v>
      </c>
      <c r="B113" s="0" t="s">
        <v>189</v>
      </c>
      <c r="C113" s="0" t="s">
        <v>3920</v>
      </c>
      <c r="D113" s="0" t="n">
        <v>1.7426</v>
      </c>
    </row>
    <row r="114" customFormat="false" ht="15" hidden="false" customHeight="false" outlineLevel="0" collapsed="false">
      <c r="A114" s="0" t="s">
        <v>8</v>
      </c>
      <c r="B114" s="0" t="s">
        <v>189</v>
      </c>
      <c r="C114" s="0" t="s">
        <v>3921</v>
      </c>
    </row>
    <row r="115" customFormat="false" ht="15" hidden="false" customHeight="false" outlineLevel="0" collapsed="false">
      <c r="A115" s="0" t="s">
        <v>8</v>
      </c>
      <c r="B115" s="0" t="s">
        <v>189</v>
      </c>
      <c r="C115" s="0" t="s">
        <v>3922</v>
      </c>
    </row>
    <row r="116" customFormat="false" ht="15" hidden="false" customHeight="false" outlineLevel="0" collapsed="false">
      <c r="A116" s="0" t="s">
        <v>8</v>
      </c>
      <c r="B116" s="0" t="s">
        <v>192</v>
      </c>
      <c r="C116" s="0" t="s">
        <v>3920</v>
      </c>
      <c r="D116" s="0" t="n">
        <v>0.1678</v>
      </c>
    </row>
    <row r="117" customFormat="false" ht="15" hidden="false" customHeight="false" outlineLevel="0" collapsed="false">
      <c r="A117" s="0" t="s">
        <v>8</v>
      </c>
      <c r="B117" s="0" t="s">
        <v>192</v>
      </c>
      <c r="C117" s="0" t="s">
        <v>3921</v>
      </c>
    </row>
    <row r="118" customFormat="false" ht="15" hidden="false" customHeight="false" outlineLevel="0" collapsed="false">
      <c r="A118" s="0" t="s">
        <v>8</v>
      </c>
      <c r="B118" s="0" t="s">
        <v>192</v>
      </c>
      <c r="C118" s="0" t="s">
        <v>3922</v>
      </c>
    </row>
    <row r="119" customFormat="false" ht="15" hidden="false" customHeight="false" outlineLevel="0" collapsed="false">
      <c r="A119" s="0" t="s">
        <v>8</v>
      </c>
      <c r="B119" s="0" t="s">
        <v>195</v>
      </c>
      <c r="C119" s="0" t="s">
        <v>3920</v>
      </c>
      <c r="D119" s="0" t="n">
        <v>0.9554</v>
      </c>
    </row>
    <row r="120" customFormat="false" ht="15" hidden="false" customHeight="false" outlineLevel="0" collapsed="false">
      <c r="A120" s="0" t="s">
        <v>8</v>
      </c>
      <c r="B120" s="0" t="s">
        <v>195</v>
      </c>
      <c r="C120" s="0" t="s">
        <v>3921</v>
      </c>
    </row>
    <row r="121" customFormat="false" ht="15" hidden="false" customHeight="false" outlineLevel="0" collapsed="false">
      <c r="A121" s="0" t="s">
        <v>8</v>
      </c>
      <c r="B121" s="0" t="s">
        <v>195</v>
      </c>
      <c r="C121" s="0" t="s">
        <v>3922</v>
      </c>
    </row>
    <row r="122" customFormat="false" ht="15" hidden="false" customHeight="false" outlineLevel="0" collapsed="false">
      <c r="A122" s="0" t="s">
        <v>8</v>
      </c>
      <c r="B122" s="0" t="s">
        <v>198</v>
      </c>
      <c r="C122" s="0" t="s">
        <v>3920</v>
      </c>
      <c r="D122" s="0" t="n">
        <v>0.0197</v>
      </c>
    </row>
    <row r="123" customFormat="false" ht="15" hidden="false" customHeight="false" outlineLevel="0" collapsed="false">
      <c r="A123" s="0" t="s">
        <v>8</v>
      </c>
      <c r="B123" s="0" t="s">
        <v>198</v>
      </c>
      <c r="C123" s="0" t="s">
        <v>3921</v>
      </c>
    </row>
    <row r="124" customFormat="false" ht="15" hidden="false" customHeight="false" outlineLevel="0" collapsed="false">
      <c r="A124" s="0" t="s">
        <v>8</v>
      </c>
      <c r="B124" s="0" t="s">
        <v>198</v>
      </c>
      <c r="C124" s="0" t="s">
        <v>3922</v>
      </c>
    </row>
    <row r="125" customFormat="false" ht="15" hidden="false" customHeight="false" outlineLevel="0" collapsed="false">
      <c r="A125" s="0" t="s">
        <v>8</v>
      </c>
      <c r="B125" s="0" t="s">
        <v>202</v>
      </c>
      <c r="C125" s="0" t="s">
        <v>3920</v>
      </c>
      <c r="D125" s="0" t="n">
        <v>0.037</v>
      </c>
    </row>
    <row r="126" customFormat="false" ht="15" hidden="false" customHeight="false" outlineLevel="0" collapsed="false">
      <c r="A126" s="0" t="s">
        <v>8</v>
      </c>
      <c r="B126" s="0" t="s">
        <v>202</v>
      </c>
      <c r="C126" s="0" t="s">
        <v>3921</v>
      </c>
    </row>
    <row r="127" customFormat="false" ht="15" hidden="false" customHeight="false" outlineLevel="0" collapsed="false">
      <c r="A127" s="0" t="s">
        <v>8</v>
      </c>
      <c r="B127" s="0" t="s">
        <v>202</v>
      </c>
      <c r="C127" s="0" t="s">
        <v>3922</v>
      </c>
    </row>
    <row r="128" customFormat="false" ht="15" hidden="false" customHeight="false" outlineLevel="0" collapsed="false">
      <c r="A128" s="0" t="s">
        <v>8</v>
      </c>
      <c r="B128" s="0" t="s">
        <v>205</v>
      </c>
      <c r="C128" s="0" t="s">
        <v>3920</v>
      </c>
      <c r="D128" s="0" t="n">
        <v>0.0163</v>
      </c>
    </row>
    <row r="129" customFormat="false" ht="15" hidden="false" customHeight="false" outlineLevel="0" collapsed="false">
      <c r="A129" s="0" t="s">
        <v>8</v>
      </c>
      <c r="B129" s="0" t="s">
        <v>205</v>
      </c>
      <c r="C129" s="0" t="s">
        <v>3921</v>
      </c>
    </row>
    <row r="130" customFormat="false" ht="15" hidden="false" customHeight="false" outlineLevel="0" collapsed="false">
      <c r="A130" s="0" t="s">
        <v>8</v>
      </c>
      <c r="B130" s="0" t="s">
        <v>205</v>
      </c>
      <c r="C130" s="0" t="s">
        <v>3922</v>
      </c>
    </row>
    <row r="131" customFormat="false" ht="15" hidden="false" customHeight="false" outlineLevel="0" collapsed="false">
      <c r="A131" s="0" t="s">
        <v>8</v>
      </c>
      <c r="B131" s="0" t="s">
        <v>208</v>
      </c>
      <c r="C131" s="0" t="s">
        <v>3920</v>
      </c>
      <c r="D131" s="0" t="n">
        <v>0.0518</v>
      </c>
    </row>
    <row r="132" customFormat="false" ht="15" hidden="false" customHeight="false" outlineLevel="0" collapsed="false">
      <c r="A132" s="0" t="s">
        <v>8</v>
      </c>
      <c r="B132" s="0" t="s">
        <v>208</v>
      </c>
      <c r="C132" s="0" t="s">
        <v>3921</v>
      </c>
    </row>
    <row r="133" customFormat="false" ht="15" hidden="false" customHeight="false" outlineLevel="0" collapsed="false">
      <c r="A133" s="0" t="s">
        <v>8</v>
      </c>
      <c r="B133" s="0" t="s">
        <v>208</v>
      </c>
      <c r="C133" s="0" t="s">
        <v>3922</v>
      </c>
    </row>
    <row r="134" customFormat="false" ht="15" hidden="false" customHeight="false" outlineLevel="0" collapsed="false">
      <c r="A134" s="0" t="s">
        <v>8</v>
      </c>
      <c r="B134" s="0" t="s">
        <v>211</v>
      </c>
      <c r="C134" s="0" t="s">
        <v>3920</v>
      </c>
      <c r="D134" s="0" t="n">
        <v>-0.0012</v>
      </c>
    </row>
    <row r="135" customFormat="false" ht="15" hidden="false" customHeight="false" outlineLevel="0" collapsed="false">
      <c r="A135" s="0" t="s">
        <v>8</v>
      </c>
      <c r="B135" s="0" t="s">
        <v>211</v>
      </c>
      <c r="C135" s="0" t="s">
        <v>3921</v>
      </c>
    </row>
    <row r="136" customFormat="false" ht="15" hidden="false" customHeight="false" outlineLevel="0" collapsed="false">
      <c r="A136" s="0" t="s">
        <v>8</v>
      </c>
      <c r="B136" s="0" t="s">
        <v>211</v>
      </c>
      <c r="C136" s="0" t="s">
        <v>3922</v>
      </c>
    </row>
    <row r="137" customFormat="false" ht="15" hidden="false" customHeight="false" outlineLevel="0" collapsed="false">
      <c r="A137" s="0" t="s">
        <v>8</v>
      </c>
      <c r="B137" s="0" t="s">
        <v>214</v>
      </c>
      <c r="C137" s="0" t="s">
        <v>3920</v>
      </c>
      <c r="D137" s="0" t="n">
        <v>0.8438</v>
      </c>
    </row>
    <row r="138" customFormat="false" ht="15" hidden="false" customHeight="false" outlineLevel="0" collapsed="false">
      <c r="A138" s="0" t="s">
        <v>8</v>
      </c>
      <c r="B138" s="0" t="s">
        <v>214</v>
      </c>
      <c r="C138" s="0" t="s">
        <v>3921</v>
      </c>
    </row>
    <row r="139" customFormat="false" ht="15" hidden="false" customHeight="false" outlineLevel="0" collapsed="false">
      <c r="A139" s="0" t="s">
        <v>8</v>
      </c>
      <c r="B139" s="0" t="s">
        <v>214</v>
      </c>
      <c r="C139" s="0" t="s">
        <v>3922</v>
      </c>
    </row>
    <row r="140" customFormat="false" ht="15" hidden="false" customHeight="false" outlineLevel="0" collapsed="false">
      <c r="A140" s="0" t="s">
        <v>8</v>
      </c>
      <c r="B140" s="0" t="s">
        <v>218</v>
      </c>
      <c r="C140" s="0" t="s">
        <v>3920</v>
      </c>
      <c r="D140" s="0" t="n">
        <v>5.2888</v>
      </c>
    </row>
    <row r="141" customFormat="false" ht="15" hidden="false" customHeight="false" outlineLevel="0" collapsed="false">
      <c r="A141" s="0" t="s">
        <v>8</v>
      </c>
      <c r="B141" s="0" t="s">
        <v>218</v>
      </c>
      <c r="C141" s="0" t="s">
        <v>3921</v>
      </c>
    </row>
    <row r="142" customFormat="false" ht="15" hidden="false" customHeight="false" outlineLevel="0" collapsed="false">
      <c r="A142" s="0" t="s">
        <v>8</v>
      </c>
      <c r="B142" s="0" t="s">
        <v>218</v>
      </c>
      <c r="C142" s="0" t="s">
        <v>3922</v>
      </c>
    </row>
    <row r="143" customFormat="false" ht="15" hidden="false" customHeight="false" outlineLevel="0" collapsed="false">
      <c r="A143" s="0" t="s">
        <v>8</v>
      </c>
      <c r="B143" s="0" t="s">
        <v>221</v>
      </c>
      <c r="C143" s="0" t="s">
        <v>3920</v>
      </c>
      <c r="D143" s="0" t="n">
        <v>21.9544</v>
      </c>
    </row>
    <row r="144" customFormat="false" ht="15" hidden="false" customHeight="false" outlineLevel="0" collapsed="false">
      <c r="A144" s="0" t="s">
        <v>8</v>
      </c>
      <c r="B144" s="0" t="s">
        <v>221</v>
      </c>
      <c r="C144" s="0" t="s">
        <v>3921</v>
      </c>
    </row>
    <row r="145" customFormat="false" ht="15" hidden="false" customHeight="false" outlineLevel="0" collapsed="false">
      <c r="A145" s="0" t="s">
        <v>8</v>
      </c>
      <c r="B145" s="0" t="s">
        <v>221</v>
      </c>
      <c r="C145" s="0" t="s">
        <v>3922</v>
      </c>
    </row>
    <row r="146" customFormat="false" ht="15" hidden="false" customHeight="false" outlineLevel="0" collapsed="false">
      <c r="A146" s="0" t="s">
        <v>8</v>
      </c>
      <c r="B146" s="0" t="s">
        <v>224</v>
      </c>
      <c r="C146" s="0" t="s">
        <v>3920</v>
      </c>
      <c r="D146" s="0" t="n">
        <v>8.5922</v>
      </c>
    </row>
    <row r="147" customFormat="false" ht="15" hidden="false" customHeight="false" outlineLevel="0" collapsed="false">
      <c r="A147" s="0" t="s">
        <v>8</v>
      </c>
      <c r="B147" s="0" t="s">
        <v>224</v>
      </c>
      <c r="C147" s="0" t="s">
        <v>3921</v>
      </c>
    </row>
    <row r="148" customFormat="false" ht="15" hidden="false" customHeight="false" outlineLevel="0" collapsed="false">
      <c r="A148" s="0" t="s">
        <v>8</v>
      </c>
      <c r="B148" s="0" t="s">
        <v>224</v>
      </c>
      <c r="C148" s="0" t="s">
        <v>3922</v>
      </c>
    </row>
    <row r="149" customFormat="false" ht="15" hidden="false" customHeight="false" outlineLevel="0" collapsed="false">
      <c r="A149" s="0" t="s">
        <v>8</v>
      </c>
      <c r="B149" s="0" t="s">
        <v>227</v>
      </c>
      <c r="C149" s="0" t="s">
        <v>3920</v>
      </c>
      <c r="D149" s="0" t="n">
        <v>15.9466</v>
      </c>
    </row>
    <row r="150" customFormat="false" ht="15" hidden="false" customHeight="false" outlineLevel="0" collapsed="false">
      <c r="A150" s="0" t="s">
        <v>8</v>
      </c>
      <c r="B150" s="0" t="s">
        <v>227</v>
      </c>
      <c r="C150" s="0" t="s">
        <v>3921</v>
      </c>
    </row>
    <row r="151" customFormat="false" ht="15" hidden="false" customHeight="false" outlineLevel="0" collapsed="false">
      <c r="A151" s="0" t="s">
        <v>8</v>
      </c>
      <c r="B151" s="0" t="s">
        <v>227</v>
      </c>
      <c r="C151" s="0" t="s">
        <v>3922</v>
      </c>
    </row>
    <row r="152" customFormat="false" ht="15" hidden="false" customHeight="false" outlineLevel="0" collapsed="false">
      <c r="A152" s="0" t="s">
        <v>8</v>
      </c>
      <c r="B152" s="0" t="s">
        <v>230</v>
      </c>
      <c r="C152" s="0" t="s">
        <v>3920</v>
      </c>
      <c r="D152" s="0" t="n">
        <v>0.1514</v>
      </c>
    </row>
    <row r="153" customFormat="false" ht="15" hidden="false" customHeight="false" outlineLevel="0" collapsed="false">
      <c r="A153" s="0" t="s">
        <v>8</v>
      </c>
      <c r="B153" s="0" t="s">
        <v>230</v>
      </c>
      <c r="C153" s="0" t="s">
        <v>3921</v>
      </c>
    </row>
    <row r="154" customFormat="false" ht="15" hidden="false" customHeight="false" outlineLevel="0" collapsed="false">
      <c r="A154" s="0" t="s">
        <v>8</v>
      </c>
      <c r="B154" s="0" t="s">
        <v>230</v>
      </c>
      <c r="C154" s="0" t="s">
        <v>3922</v>
      </c>
    </row>
    <row r="155" customFormat="false" ht="15" hidden="false" customHeight="false" outlineLevel="0" collapsed="false">
      <c r="A155" s="0" t="s">
        <v>8</v>
      </c>
      <c r="B155" s="0" t="s">
        <v>234</v>
      </c>
      <c r="C155" s="0" t="s">
        <v>3920</v>
      </c>
      <c r="D155" s="0" t="n">
        <v>1.012</v>
      </c>
    </row>
    <row r="156" customFormat="false" ht="15" hidden="false" customHeight="false" outlineLevel="0" collapsed="false">
      <c r="A156" s="0" t="s">
        <v>8</v>
      </c>
      <c r="B156" s="0" t="s">
        <v>234</v>
      </c>
      <c r="C156" s="0" t="s">
        <v>3921</v>
      </c>
    </row>
    <row r="157" customFormat="false" ht="15" hidden="false" customHeight="false" outlineLevel="0" collapsed="false">
      <c r="A157" s="0" t="s">
        <v>8</v>
      </c>
      <c r="B157" s="0" t="s">
        <v>234</v>
      </c>
      <c r="C157" s="0" t="s">
        <v>3922</v>
      </c>
    </row>
    <row r="158" customFormat="false" ht="15" hidden="false" customHeight="false" outlineLevel="0" collapsed="false">
      <c r="A158" s="0" t="s">
        <v>8</v>
      </c>
      <c r="B158" s="0" t="s">
        <v>237</v>
      </c>
      <c r="C158" s="0" t="s">
        <v>3920</v>
      </c>
      <c r="D158" s="0" t="n">
        <v>3.8748</v>
      </c>
    </row>
    <row r="159" customFormat="false" ht="15" hidden="false" customHeight="false" outlineLevel="0" collapsed="false">
      <c r="A159" s="0" t="s">
        <v>8</v>
      </c>
      <c r="B159" s="0" t="s">
        <v>237</v>
      </c>
      <c r="C159" s="0" t="s">
        <v>3921</v>
      </c>
    </row>
    <row r="160" customFormat="false" ht="15" hidden="false" customHeight="false" outlineLevel="0" collapsed="false">
      <c r="A160" s="0" t="s">
        <v>8</v>
      </c>
      <c r="B160" s="0" t="s">
        <v>237</v>
      </c>
      <c r="C160" s="0" t="s">
        <v>3922</v>
      </c>
    </row>
    <row r="161" customFormat="false" ht="15" hidden="false" customHeight="false" outlineLevel="0" collapsed="false">
      <c r="A161" s="0" t="s">
        <v>8</v>
      </c>
      <c r="B161" s="0" t="s">
        <v>240</v>
      </c>
      <c r="C161" s="0" t="s">
        <v>3920</v>
      </c>
      <c r="D161" s="0" t="n">
        <v>1.4419</v>
      </c>
    </row>
    <row r="162" customFormat="false" ht="15" hidden="false" customHeight="false" outlineLevel="0" collapsed="false">
      <c r="A162" s="0" t="s">
        <v>8</v>
      </c>
      <c r="B162" s="0" t="s">
        <v>240</v>
      </c>
      <c r="C162" s="0" t="s">
        <v>3921</v>
      </c>
    </row>
    <row r="163" customFormat="false" ht="15" hidden="false" customHeight="false" outlineLevel="0" collapsed="false">
      <c r="A163" s="0" t="s">
        <v>8</v>
      </c>
      <c r="B163" s="0" t="s">
        <v>240</v>
      </c>
      <c r="C163" s="0" t="s">
        <v>3922</v>
      </c>
    </row>
    <row r="164" customFormat="false" ht="15" hidden="false" customHeight="false" outlineLevel="0" collapsed="false">
      <c r="A164" s="0" t="s">
        <v>8</v>
      </c>
      <c r="B164" s="0" t="s">
        <v>243</v>
      </c>
      <c r="C164" s="0" t="s">
        <v>3920</v>
      </c>
      <c r="D164" s="0" t="n">
        <v>2.0857</v>
      </c>
    </row>
    <row r="165" customFormat="false" ht="15" hidden="false" customHeight="false" outlineLevel="0" collapsed="false">
      <c r="A165" s="0" t="s">
        <v>8</v>
      </c>
      <c r="B165" s="0" t="s">
        <v>243</v>
      </c>
      <c r="C165" s="0" t="s">
        <v>3921</v>
      </c>
    </row>
    <row r="166" customFormat="false" ht="15" hidden="false" customHeight="false" outlineLevel="0" collapsed="false">
      <c r="A166" s="0" t="s">
        <v>8</v>
      </c>
      <c r="B166" s="0" t="s">
        <v>243</v>
      </c>
      <c r="C166" s="0" t="s">
        <v>3922</v>
      </c>
    </row>
    <row r="167" customFormat="false" ht="15" hidden="false" customHeight="false" outlineLevel="0" collapsed="false">
      <c r="A167" s="0" t="s">
        <v>8</v>
      </c>
      <c r="B167" s="0" t="s">
        <v>246</v>
      </c>
      <c r="C167" s="0" t="s">
        <v>3920</v>
      </c>
      <c r="D167" s="0" t="n">
        <v>0.3232</v>
      </c>
    </row>
    <row r="168" customFormat="false" ht="15" hidden="false" customHeight="false" outlineLevel="0" collapsed="false">
      <c r="A168" s="0" t="s">
        <v>8</v>
      </c>
      <c r="B168" s="0" t="s">
        <v>246</v>
      </c>
      <c r="C168" s="0" t="s">
        <v>3921</v>
      </c>
    </row>
    <row r="169" customFormat="false" ht="15" hidden="false" customHeight="false" outlineLevel="0" collapsed="false">
      <c r="A169" s="0" t="s">
        <v>8</v>
      </c>
      <c r="B169" s="0" t="s">
        <v>246</v>
      </c>
      <c r="C169" s="0" t="s">
        <v>3922</v>
      </c>
    </row>
    <row r="170" customFormat="false" ht="15" hidden="false" customHeight="false" outlineLevel="0" collapsed="false">
      <c r="A170" s="0" t="s">
        <v>8</v>
      </c>
      <c r="B170" s="0" t="s">
        <v>250</v>
      </c>
      <c r="C170" s="0" t="s">
        <v>3920</v>
      </c>
      <c r="D170" s="0" t="n">
        <v>0.663</v>
      </c>
    </row>
    <row r="171" customFormat="false" ht="15" hidden="false" customHeight="false" outlineLevel="0" collapsed="false">
      <c r="A171" s="0" t="s">
        <v>8</v>
      </c>
      <c r="B171" s="0" t="s">
        <v>250</v>
      </c>
      <c r="C171" s="0" t="s">
        <v>3921</v>
      </c>
    </row>
    <row r="172" customFormat="false" ht="15" hidden="false" customHeight="false" outlineLevel="0" collapsed="false">
      <c r="A172" s="0" t="s">
        <v>8</v>
      </c>
      <c r="B172" s="0" t="s">
        <v>250</v>
      </c>
      <c r="C172" s="0" t="s">
        <v>3922</v>
      </c>
    </row>
    <row r="173" customFormat="false" ht="15" hidden="false" customHeight="false" outlineLevel="0" collapsed="false">
      <c r="A173" s="0" t="s">
        <v>8</v>
      </c>
      <c r="B173" s="0" t="s">
        <v>253</v>
      </c>
      <c r="C173" s="0" t="s">
        <v>3920</v>
      </c>
      <c r="D173" s="0" t="n">
        <v>1.336</v>
      </c>
    </row>
    <row r="174" customFormat="false" ht="15" hidden="false" customHeight="false" outlineLevel="0" collapsed="false">
      <c r="A174" s="0" t="s">
        <v>8</v>
      </c>
      <c r="B174" s="0" t="s">
        <v>253</v>
      </c>
      <c r="C174" s="0" t="s">
        <v>3921</v>
      </c>
    </row>
    <row r="175" customFormat="false" ht="15" hidden="false" customHeight="false" outlineLevel="0" collapsed="false">
      <c r="A175" s="0" t="s">
        <v>8</v>
      </c>
      <c r="B175" s="0" t="s">
        <v>253</v>
      </c>
      <c r="C175" s="0" t="s">
        <v>3922</v>
      </c>
    </row>
    <row r="176" customFormat="false" ht="15" hidden="false" customHeight="false" outlineLevel="0" collapsed="false">
      <c r="A176" s="0" t="s">
        <v>8</v>
      </c>
      <c r="B176" s="0" t="s">
        <v>256</v>
      </c>
      <c r="C176" s="0" t="s">
        <v>3920</v>
      </c>
      <c r="D176" s="0" t="n">
        <v>0.5145</v>
      </c>
    </row>
    <row r="177" customFormat="false" ht="15" hidden="false" customHeight="false" outlineLevel="0" collapsed="false">
      <c r="A177" s="0" t="s">
        <v>8</v>
      </c>
      <c r="B177" s="0" t="s">
        <v>256</v>
      </c>
      <c r="C177" s="0" t="s">
        <v>3921</v>
      </c>
    </row>
    <row r="178" customFormat="false" ht="15" hidden="false" customHeight="false" outlineLevel="0" collapsed="false">
      <c r="A178" s="0" t="s">
        <v>8</v>
      </c>
      <c r="B178" s="0" t="s">
        <v>256</v>
      </c>
      <c r="C178" s="0" t="s">
        <v>3922</v>
      </c>
    </row>
    <row r="179" customFormat="false" ht="15" hidden="false" customHeight="false" outlineLevel="0" collapsed="false">
      <c r="A179" s="0" t="s">
        <v>8</v>
      </c>
      <c r="B179" s="0" t="s">
        <v>259</v>
      </c>
      <c r="C179" s="0" t="s">
        <v>3920</v>
      </c>
      <c r="D179" s="0" t="n">
        <v>1.8517</v>
      </c>
    </row>
    <row r="180" customFormat="false" ht="15" hidden="false" customHeight="false" outlineLevel="0" collapsed="false">
      <c r="A180" s="0" t="s">
        <v>8</v>
      </c>
      <c r="B180" s="0" t="s">
        <v>259</v>
      </c>
      <c r="C180" s="0" t="s">
        <v>3921</v>
      </c>
    </row>
    <row r="181" customFormat="false" ht="15" hidden="false" customHeight="false" outlineLevel="0" collapsed="false">
      <c r="A181" s="0" t="s">
        <v>8</v>
      </c>
      <c r="B181" s="0" t="s">
        <v>259</v>
      </c>
      <c r="C181" s="0" t="s">
        <v>3922</v>
      </c>
    </row>
    <row r="182" customFormat="false" ht="15" hidden="false" customHeight="false" outlineLevel="0" collapsed="false">
      <c r="A182" s="0" t="s">
        <v>8</v>
      </c>
      <c r="B182" s="0" t="s">
        <v>262</v>
      </c>
      <c r="C182" s="0" t="s">
        <v>3920</v>
      </c>
      <c r="D182" s="0" t="n">
        <v>0.0178</v>
      </c>
    </row>
    <row r="183" customFormat="false" ht="15" hidden="false" customHeight="false" outlineLevel="0" collapsed="false">
      <c r="A183" s="0" t="s">
        <v>8</v>
      </c>
      <c r="B183" s="0" t="s">
        <v>262</v>
      </c>
      <c r="C183" s="0" t="s">
        <v>3921</v>
      </c>
    </row>
    <row r="184" customFormat="false" ht="15" hidden="false" customHeight="false" outlineLevel="0" collapsed="false">
      <c r="A184" s="0" t="s">
        <v>8</v>
      </c>
      <c r="B184" s="0" t="s">
        <v>262</v>
      </c>
      <c r="C184" s="0" t="s">
        <v>3922</v>
      </c>
    </row>
    <row r="185" customFormat="false" ht="15" hidden="false" customHeight="false" outlineLevel="0" collapsed="false">
      <c r="A185" s="0" t="s">
        <v>8</v>
      </c>
      <c r="B185" s="0" t="s">
        <v>266</v>
      </c>
      <c r="C185" s="0" t="s">
        <v>3920</v>
      </c>
      <c r="D185" s="0" t="n">
        <v>0.0997</v>
      </c>
    </row>
    <row r="186" customFormat="false" ht="15" hidden="false" customHeight="false" outlineLevel="0" collapsed="false">
      <c r="A186" s="0" t="s">
        <v>8</v>
      </c>
      <c r="B186" s="0" t="s">
        <v>266</v>
      </c>
      <c r="C186" s="0" t="s">
        <v>3921</v>
      </c>
    </row>
    <row r="187" customFormat="false" ht="15" hidden="false" customHeight="false" outlineLevel="0" collapsed="false">
      <c r="A187" s="0" t="s">
        <v>8</v>
      </c>
      <c r="B187" s="0" t="s">
        <v>266</v>
      </c>
      <c r="C187" s="0" t="s">
        <v>3922</v>
      </c>
    </row>
    <row r="188" customFormat="false" ht="15" hidden="false" customHeight="false" outlineLevel="0" collapsed="false">
      <c r="A188" s="0" t="s">
        <v>8</v>
      </c>
      <c r="B188" s="0" t="s">
        <v>269</v>
      </c>
      <c r="C188" s="0" t="s">
        <v>3920</v>
      </c>
      <c r="D188" s="0" t="n">
        <v>0.1928</v>
      </c>
    </row>
    <row r="189" customFormat="false" ht="15" hidden="false" customHeight="false" outlineLevel="0" collapsed="false">
      <c r="A189" s="0" t="s">
        <v>8</v>
      </c>
      <c r="B189" s="0" t="s">
        <v>269</v>
      </c>
      <c r="C189" s="0" t="s">
        <v>3921</v>
      </c>
    </row>
    <row r="190" customFormat="false" ht="15" hidden="false" customHeight="false" outlineLevel="0" collapsed="false">
      <c r="A190" s="0" t="s">
        <v>8</v>
      </c>
      <c r="B190" s="0" t="s">
        <v>269</v>
      </c>
      <c r="C190" s="0" t="s">
        <v>3922</v>
      </c>
    </row>
    <row r="191" customFormat="false" ht="15" hidden="false" customHeight="false" outlineLevel="0" collapsed="false">
      <c r="A191" s="0" t="s">
        <v>8</v>
      </c>
      <c r="B191" s="0" t="s">
        <v>272</v>
      </c>
      <c r="C191" s="0" t="s">
        <v>3920</v>
      </c>
      <c r="D191" s="0" t="n">
        <v>0.0417</v>
      </c>
    </row>
    <row r="192" customFormat="false" ht="15" hidden="false" customHeight="false" outlineLevel="0" collapsed="false">
      <c r="A192" s="0" t="s">
        <v>8</v>
      </c>
      <c r="B192" s="0" t="s">
        <v>272</v>
      </c>
      <c r="C192" s="0" t="s">
        <v>3921</v>
      </c>
    </row>
    <row r="193" customFormat="false" ht="15" hidden="false" customHeight="false" outlineLevel="0" collapsed="false">
      <c r="A193" s="0" t="s">
        <v>8</v>
      </c>
      <c r="B193" s="0" t="s">
        <v>272</v>
      </c>
      <c r="C193" s="0" t="s">
        <v>3922</v>
      </c>
    </row>
    <row r="194" customFormat="false" ht="15" hidden="false" customHeight="false" outlineLevel="0" collapsed="false">
      <c r="A194" s="0" t="s">
        <v>8</v>
      </c>
      <c r="B194" s="0" t="s">
        <v>275</v>
      </c>
      <c r="C194" s="0" t="s">
        <v>3920</v>
      </c>
      <c r="D194" s="0" t="n">
        <v>0.0461</v>
      </c>
    </row>
    <row r="195" customFormat="false" ht="15" hidden="false" customHeight="false" outlineLevel="0" collapsed="false">
      <c r="A195" s="0" t="s">
        <v>8</v>
      </c>
      <c r="B195" s="0" t="s">
        <v>275</v>
      </c>
      <c r="C195" s="0" t="s">
        <v>3921</v>
      </c>
    </row>
    <row r="196" customFormat="false" ht="15" hidden="false" customHeight="false" outlineLevel="0" collapsed="false">
      <c r="A196" s="0" t="s">
        <v>8</v>
      </c>
      <c r="B196" s="0" t="s">
        <v>275</v>
      </c>
      <c r="C196" s="0" t="s">
        <v>3922</v>
      </c>
    </row>
    <row r="197" customFormat="false" ht="15" hidden="false" customHeight="false" outlineLevel="0" collapsed="false">
      <c r="A197" s="0" t="s">
        <v>8</v>
      </c>
      <c r="B197" s="0" t="s">
        <v>278</v>
      </c>
      <c r="C197" s="0" t="s">
        <v>3920</v>
      </c>
      <c r="D197" s="0" t="n">
        <v>0.0569</v>
      </c>
    </row>
    <row r="198" customFormat="false" ht="15" hidden="false" customHeight="false" outlineLevel="0" collapsed="false">
      <c r="A198" s="0" t="s">
        <v>8</v>
      </c>
      <c r="B198" s="0" t="s">
        <v>278</v>
      </c>
      <c r="C198" s="0" t="s">
        <v>3921</v>
      </c>
    </row>
    <row r="199" customFormat="false" ht="15" hidden="false" customHeight="false" outlineLevel="0" collapsed="false">
      <c r="A199" s="0" t="s">
        <v>8</v>
      </c>
      <c r="B199" s="0" t="s">
        <v>278</v>
      </c>
      <c r="C199" s="0" t="s">
        <v>3922</v>
      </c>
    </row>
    <row r="200" customFormat="false" ht="15" hidden="false" customHeight="false" outlineLevel="0" collapsed="false">
      <c r="A200" s="0" t="s">
        <v>8</v>
      </c>
      <c r="B200" s="0" t="s">
        <v>282</v>
      </c>
      <c r="C200" s="0" t="s">
        <v>3920</v>
      </c>
      <c r="D200" s="0" t="n">
        <v>0.2633</v>
      </c>
    </row>
    <row r="201" customFormat="false" ht="15" hidden="false" customHeight="false" outlineLevel="0" collapsed="false">
      <c r="A201" s="0" t="s">
        <v>8</v>
      </c>
      <c r="B201" s="0" t="s">
        <v>282</v>
      </c>
      <c r="C201" s="0" t="s">
        <v>3921</v>
      </c>
    </row>
    <row r="202" customFormat="false" ht="15" hidden="false" customHeight="false" outlineLevel="0" collapsed="false">
      <c r="A202" s="0" t="s">
        <v>8</v>
      </c>
      <c r="B202" s="0" t="s">
        <v>282</v>
      </c>
      <c r="C202" s="0" t="s">
        <v>3922</v>
      </c>
    </row>
    <row r="203" customFormat="false" ht="15" hidden="false" customHeight="false" outlineLevel="0" collapsed="false">
      <c r="A203" s="0" t="s">
        <v>8</v>
      </c>
      <c r="B203" s="0" t="s">
        <v>285</v>
      </c>
      <c r="C203" s="0" t="s">
        <v>3920</v>
      </c>
      <c r="D203" s="0" t="n">
        <v>0.3832</v>
      </c>
    </row>
    <row r="204" customFormat="false" ht="15" hidden="false" customHeight="false" outlineLevel="0" collapsed="false">
      <c r="A204" s="0" t="s">
        <v>8</v>
      </c>
      <c r="B204" s="0" t="s">
        <v>285</v>
      </c>
      <c r="C204" s="0" t="s">
        <v>3921</v>
      </c>
    </row>
    <row r="205" customFormat="false" ht="15" hidden="false" customHeight="false" outlineLevel="0" collapsed="false">
      <c r="A205" s="0" t="s">
        <v>8</v>
      </c>
      <c r="B205" s="0" t="s">
        <v>285</v>
      </c>
      <c r="C205" s="0" t="s">
        <v>3922</v>
      </c>
    </row>
    <row r="206" customFormat="false" ht="15" hidden="false" customHeight="false" outlineLevel="0" collapsed="false">
      <c r="A206" s="0" t="s">
        <v>8</v>
      </c>
      <c r="B206" s="0" t="s">
        <v>288</v>
      </c>
      <c r="C206" s="0" t="s">
        <v>3920</v>
      </c>
      <c r="D206" s="0" t="n">
        <v>0.1221</v>
      </c>
    </row>
    <row r="207" customFormat="false" ht="15" hidden="false" customHeight="false" outlineLevel="0" collapsed="false">
      <c r="A207" s="0" t="s">
        <v>8</v>
      </c>
      <c r="B207" s="0" t="s">
        <v>288</v>
      </c>
      <c r="C207" s="0" t="s">
        <v>3921</v>
      </c>
    </row>
    <row r="208" customFormat="false" ht="15" hidden="false" customHeight="false" outlineLevel="0" collapsed="false">
      <c r="A208" s="0" t="s">
        <v>8</v>
      </c>
      <c r="B208" s="0" t="s">
        <v>288</v>
      </c>
      <c r="C208" s="0" t="s">
        <v>3922</v>
      </c>
    </row>
    <row r="209" customFormat="false" ht="15" hidden="false" customHeight="false" outlineLevel="0" collapsed="false">
      <c r="A209" s="0" t="s">
        <v>8</v>
      </c>
      <c r="B209" s="0" t="s">
        <v>291</v>
      </c>
      <c r="C209" s="0" t="s">
        <v>3920</v>
      </c>
      <c r="D209" s="0" t="n">
        <v>0.5327</v>
      </c>
    </row>
    <row r="210" customFormat="false" ht="15" hidden="false" customHeight="false" outlineLevel="0" collapsed="false">
      <c r="A210" s="0" t="s">
        <v>8</v>
      </c>
      <c r="B210" s="0" t="s">
        <v>291</v>
      </c>
      <c r="C210" s="0" t="s">
        <v>3921</v>
      </c>
    </row>
    <row r="211" customFormat="false" ht="15" hidden="false" customHeight="false" outlineLevel="0" collapsed="false">
      <c r="A211" s="0" t="s">
        <v>8</v>
      </c>
      <c r="B211" s="0" t="s">
        <v>291</v>
      </c>
      <c r="C211" s="0" t="s">
        <v>3922</v>
      </c>
    </row>
    <row r="212" customFormat="false" ht="15" hidden="false" customHeight="false" outlineLevel="0" collapsed="false">
      <c r="A212" s="0" t="s">
        <v>8</v>
      </c>
      <c r="B212" s="0" t="s">
        <v>294</v>
      </c>
      <c r="C212" s="0" t="s">
        <v>3920</v>
      </c>
      <c r="D212" s="0" t="n">
        <v>0.0102</v>
      </c>
    </row>
    <row r="213" customFormat="false" ht="15" hidden="false" customHeight="false" outlineLevel="0" collapsed="false">
      <c r="A213" s="0" t="s">
        <v>8</v>
      </c>
      <c r="B213" s="0" t="s">
        <v>294</v>
      </c>
      <c r="C213" s="0" t="s">
        <v>3921</v>
      </c>
    </row>
    <row r="214" customFormat="false" ht="15" hidden="false" customHeight="false" outlineLevel="0" collapsed="false">
      <c r="A214" s="0" t="s">
        <v>8</v>
      </c>
      <c r="B214" s="0" t="s">
        <v>294</v>
      </c>
      <c r="C214" s="0" t="s">
        <v>3922</v>
      </c>
    </row>
    <row r="215" customFormat="false" ht="15" hidden="false" customHeight="false" outlineLevel="0" collapsed="false">
      <c r="A215" s="0" t="s">
        <v>8</v>
      </c>
      <c r="B215" s="0" t="s">
        <v>298</v>
      </c>
      <c r="C215" s="0" t="s">
        <v>3920</v>
      </c>
      <c r="D215" s="0" t="n">
        <v>0.055</v>
      </c>
    </row>
    <row r="216" customFormat="false" ht="15" hidden="false" customHeight="false" outlineLevel="0" collapsed="false">
      <c r="A216" s="0" t="s">
        <v>8</v>
      </c>
      <c r="B216" s="0" t="s">
        <v>298</v>
      </c>
      <c r="C216" s="0" t="s">
        <v>3921</v>
      </c>
    </row>
    <row r="217" customFormat="false" ht="15" hidden="false" customHeight="false" outlineLevel="0" collapsed="false">
      <c r="A217" s="0" t="s">
        <v>8</v>
      </c>
      <c r="B217" s="0" t="s">
        <v>298</v>
      </c>
      <c r="C217" s="0" t="s">
        <v>3922</v>
      </c>
    </row>
    <row r="218" customFormat="false" ht="15" hidden="false" customHeight="false" outlineLevel="0" collapsed="false">
      <c r="A218" s="0" t="s">
        <v>8</v>
      </c>
      <c r="B218" s="0" t="s">
        <v>301</v>
      </c>
      <c r="C218" s="0" t="s">
        <v>3920</v>
      </c>
      <c r="D218" s="0" t="n">
        <v>0.2358</v>
      </c>
    </row>
    <row r="219" customFormat="false" ht="15" hidden="false" customHeight="false" outlineLevel="0" collapsed="false">
      <c r="A219" s="0" t="s">
        <v>8</v>
      </c>
      <c r="B219" s="0" t="s">
        <v>301</v>
      </c>
      <c r="C219" s="0" t="s">
        <v>3921</v>
      </c>
    </row>
    <row r="220" customFormat="false" ht="15" hidden="false" customHeight="false" outlineLevel="0" collapsed="false">
      <c r="A220" s="0" t="s">
        <v>8</v>
      </c>
      <c r="B220" s="0" t="s">
        <v>301</v>
      </c>
      <c r="C220" s="0" t="s">
        <v>3922</v>
      </c>
    </row>
    <row r="221" customFormat="false" ht="15" hidden="false" customHeight="false" outlineLevel="0" collapsed="false">
      <c r="A221" s="0" t="s">
        <v>8</v>
      </c>
      <c r="B221" s="0" t="s">
        <v>304</v>
      </c>
      <c r="C221" s="0" t="s">
        <v>3920</v>
      </c>
      <c r="D221" s="0" t="n">
        <v>0.0422</v>
      </c>
    </row>
    <row r="222" customFormat="false" ht="15" hidden="false" customHeight="false" outlineLevel="0" collapsed="false">
      <c r="A222" s="0" t="s">
        <v>8</v>
      </c>
      <c r="B222" s="0" t="s">
        <v>304</v>
      </c>
      <c r="C222" s="0" t="s">
        <v>3921</v>
      </c>
    </row>
    <row r="223" customFormat="false" ht="15" hidden="false" customHeight="false" outlineLevel="0" collapsed="false">
      <c r="A223" s="0" t="s">
        <v>8</v>
      </c>
      <c r="B223" s="0" t="s">
        <v>304</v>
      </c>
      <c r="C223" s="0" t="s">
        <v>3922</v>
      </c>
    </row>
    <row r="224" customFormat="false" ht="15" hidden="false" customHeight="false" outlineLevel="0" collapsed="false">
      <c r="A224" s="0" t="s">
        <v>8</v>
      </c>
      <c r="B224" s="0" t="s">
        <v>307</v>
      </c>
      <c r="C224" s="0" t="s">
        <v>3920</v>
      </c>
      <c r="D224" s="0" t="n">
        <v>1.5885</v>
      </c>
    </row>
    <row r="225" customFormat="false" ht="15" hidden="false" customHeight="false" outlineLevel="0" collapsed="false">
      <c r="A225" s="0" t="s">
        <v>8</v>
      </c>
      <c r="B225" s="0" t="s">
        <v>307</v>
      </c>
      <c r="C225" s="0" t="s">
        <v>3921</v>
      </c>
    </row>
    <row r="226" customFormat="false" ht="15" hidden="false" customHeight="false" outlineLevel="0" collapsed="false">
      <c r="A226" s="0" t="s">
        <v>8</v>
      </c>
      <c r="B226" s="0" t="s">
        <v>307</v>
      </c>
      <c r="C226" s="0" t="s">
        <v>3922</v>
      </c>
    </row>
    <row r="227" customFormat="false" ht="15" hidden="false" customHeight="false" outlineLevel="0" collapsed="false">
      <c r="A227" s="0" t="s">
        <v>8</v>
      </c>
      <c r="B227" s="0" t="s">
        <v>310</v>
      </c>
      <c r="C227" s="0" t="s">
        <v>3920</v>
      </c>
      <c r="D227" s="0" t="n">
        <v>1.4365</v>
      </c>
    </row>
    <row r="228" customFormat="false" ht="15" hidden="false" customHeight="false" outlineLevel="0" collapsed="false">
      <c r="A228" s="0" t="s">
        <v>8</v>
      </c>
      <c r="B228" s="0" t="s">
        <v>310</v>
      </c>
      <c r="C228" s="0" t="s">
        <v>3921</v>
      </c>
    </row>
    <row r="229" customFormat="false" ht="15" hidden="false" customHeight="false" outlineLevel="0" collapsed="false">
      <c r="A229" s="0" t="s">
        <v>8</v>
      </c>
      <c r="B229" s="0" t="s">
        <v>310</v>
      </c>
      <c r="C229" s="0" t="s">
        <v>3922</v>
      </c>
    </row>
    <row r="230" customFormat="false" ht="15" hidden="false" customHeight="false" outlineLevel="0" collapsed="false">
      <c r="A230" s="0" t="s">
        <v>8</v>
      </c>
      <c r="B230" s="0" t="s">
        <v>314</v>
      </c>
      <c r="C230" s="0" t="s">
        <v>3920</v>
      </c>
      <c r="D230" s="0" t="n">
        <v>7.8796</v>
      </c>
    </row>
    <row r="231" customFormat="false" ht="15" hidden="false" customHeight="false" outlineLevel="0" collapsed="false">
      <c r="A231" s="0" t="s">
        <v>8</v>
      </c>
      <c r="B231" s="0" t="s">
        <v>314</v>
      </c>
      <c r="C231" s="0" t="s">
        <v>3921</v>
      </c>
    </row>
    <row r="232" customFormat="false" ht="15" hidden="false" customHeight="false" outlineLevel="0" collapsed="false">
      <c r="A232" s="0" t="s">
        <v>8</v>
      </c>
      <c r="B232" s="0" t="s">
        <v>314</v>
      </c>
      <c r="C232" s="0" t="s">
        <v>3922</v>
      </c>
    </row>
    <row r="233" customFormat="false" ht="15" hidden="false" customHeight="false" outlineLevel="0" collapsed="false">
      <c r="A233" s="0" t="s">
        <v>8</v>
      </c>
      <c r="B233" s="0" t="s">
        <v>317</v>
      </c>
      <c r="C233" s="0" t="s">
        <v>3920</v>
      </c>
      <c r="D233" s="0" t="n">
        <v>29.5801</v>
      </c>
    </row>
    <row r="234" customFormat="false" ht="15" hidden="false" customHeight="false" outlineLevel="0" collapsed="false">
      <c r="A234" s="0" t="s">
        <v>8</v>
      </c>
      <c r="B234" s="0" t="s">
        <v>317</v>
      </c>
      <c r="C234" s="0" t="s">
        <v>3921</v>
      </c>
    </row>
    <row r="235" customFormat="false" ht="15" hidden="false" customHeight="false" outlineLevel="0" collapsed="false">
      <c r="A235" s="0" t="s">
        <v>8</v>
      </c>
      <c r="B235" s="0" t="s">
        <v>317</v>
      </c>
      <c r="C235" s="0" t="s">
        <v>3922</v>
      </c>
    </row>
    <row r="236" customFormat="false" ht="15" hidden="false" customHeight="false" outlineLevel="0" collapsed="false">
      <c r="A236" s="0" t="s">
        <v>8</v>
      </c>
      <c r="B236" s="0" t="s">
        <v>320</v>
      </c>
      <c r="C236" s="0" t="s">
        <v>3920</v>
      </c>
      <c r="D236" s="0" t="n">
        <v>12.3555</v>
      </c>
    </row>
    <row r="237" customFormat="false" ht="15" hidden="false" customHeight="false" outlineLevel="0" collapsed="false">
      <c r="A237" s="0" t="s">
        <v>8</v>
      </c>
      <c r="B237" s="0" t="s">
        <v>320</v>
      </c>
      <c r="C237" s="0" t="s">
        <v>3921</v>
      </c>
    </row>
    <row r="238" customFormat="false" ht="15" hidden="false" customHeight="false" outlineLevel="0" collapsed="false">
      <c r="A238" s="0" t="s">
        <v>8</v>
      </c>
      <c r="B238" s="0" t="s">
        <v>320</v>
      </c>
      <c r="C238" s="0" t="s">
        <v>3922</v>
      </c>
    </row>
    <row r="239" customFormat="false" ht="15" hidden="false" customHeight="false" outlineLevel="0" collapsed="false">
      <c r="A239" s="0" t="s">
        <v>8</v>
      </c>
      <c r="B239" s="0" t="s">
        <v>323</v>
      </c>
      <c r="C239" s="0" t="s">
        <v>3920</v>
      </c>
      <c r="D239" s="0" t="n">
        <v>23.5785</v>
      </c>
    </row>
    <row r="240" customFormat="false" ht="15" hidden="false" customHeight="false" outlineLevel="0" collapsed="false">
      <c r="A240" s="0" t="s">
        <v>8</v>
      </c>
      <c r="B240" s="0" t="s">
        <v>323</v>
      </c>
      <c r="C240" s="0" t="s">
        <v>3921</v>
      </c>
    </row>
    <row r="241" customFormat="false" ht="15" hidden="false" customHeight="false" outlineLevel="0" collapsed="false">
      <c r="A241" s="0" t="s">
        <v>8</v>
      </c>
      <c r="B241" s="0" t="s">
        <v>323</v>
      </c>
      <c r="C241" s="0" t="s">
        <v>3922</v>
      </c>
    </row>
    <row r="242" customFormat="false" ht="15" hidden="false" customHeight="false" outlineLevel="0" collapsed="false">
      <c r="A242" s="0" t="s">
        <v>8</v>
      </c>
      <c r="B242" s="0" t="s">
        <v>326</v>
      </c>
      <c r="C242" s="0" t="s">
        <v>3920</v>
      </c>
      <c r="D242" s="0" t="n">
        <v>0.9742</v>
      </c>
    </row>
    <row r="243" customFormat="false" ht="15" hidden="false" customHeight="false" outlineLevel="0" collapsed="false">
      <c r="A243" s="0" t="s">
        <v>8</v>
      </c>
      <c r="B243" s="0" t="s">
        <v>326</v>
      </c>
      <c r="C243" s="0" t="s">
        <v>3921</v>
      </c>
    </row>
    <row r="244" customFormat="false" ht="15" hidden="false" customHeight="false" outlineLevel="0" collapsed="false">
      <c r="A244" s="0" t="s">
        <v>8</v>
      </c>
      <c r="B244" s="0" t="s">
        <v>326</v>
      </c>
      <c r="C244" s="0" t="s">
        <v>3922</v>
      </c>
    </row>
    <row r="245" customFormat="false" ht="15" hidden="false" customHeight="false" outlineLevel="0" collapsed="false">
      <c r="A245" s="0" t="s">
        <v>8</v>
      </c>
      <c r="B245" s="0" t="s">
        <v>330</v>
      </c>
      <c r="C245" s="0" t="s">
        <v>3920</v>
      </c>
      <c r="D245" s="0" t="n">
        <v>6.2098</v>
      </c>
    </row>
    <row r="246" customFormat="false" ht="15" hidden="false" customHeight="false" outlineLevel="0" collapsed="false">
      <c r="A246" s="0" t="s">
        <v>8</v>
      </c>
      <c r="B246" s="0" t="s">
        <v>330</v>
      </c>
      <c r="C246" s="0" t="s">
        <v>3921</v>
      </c>
    </row>
    <row r="247" customFormat="false" ht="15" hidden="false" customHeight="false" outlineLevel="0" collapsed="false">
      <c r="A247" s="0" t="s">
        <v>8</v>
      </c>
      <c r="B247" s="0" t="s">
        <v>330</v>
      </c>
      <c r="C247" s="0" t="s">
        <v>3922</v>
      </c>
    </row>
    <row r="248" customFormat="false" ht="15" hidden="false" customHeight="false" outlineLevel="0" collapsed="false">
      <c r="A248" s="0" t="s">
        <v>8</v>
      </c>
      <c r="B248" s="0" t="s">
        <v>333</v>
      </c>
      <c r="C248" s="0" t="s">
        <v>3920</v>
      </c>
      <c r="D248" s="0" t="n">
        <v>24.6557</v>
      </c>
    </row>
    <row r="249" customFormat="false" ht="15" hidden="false" customHeight="false" outlineLevel="0" collapsed="false">
      <c r="A249" s="0" t="s">
        <v>8</v>
      </c>
      <c r="B249" s="0" t="s">
        <v>333</v>
      </c>
      <c r="C249" s="0" t="s">
        <v>3921</v>
      </c>
    </row>
    <row r="250" customFormat="false" ht="15" hidden="false" customHeight="false" outlineLevel="0" collapsed="false">
      <c r="A250" s="0" t="s">
        <v>8</v>
      </c>
      <c r="B250" s="0" t="s">
        <v>333</v>
      </c>
      <c r="C250" s="0" t="s">
        <v>3922</v>
      </c>
    </row>
    <row r="251" customFormat="false" ht="15" hidden="false" customHeight="false" outlineLevel="0" collapsed="false">
      <c r="A251" s="0" t="s">
        <v>8</v>
      </c>
      <c r="B251" s="0" t="s">
        <v>336</v>
      </c>
      <c r="C251" s="0" t="s">
        <v>3920</v>
      </c>
      <c r="D251" s="0" t="n">
        <v>10.3016</v>
      </c>
    </row>
    <row r="252" customFormat="false" ht="15" hidden="false" customHeight="false" outlineLevel="0" collapsed="false">
      <c r="A252" s="0" t="s">
        <v>8</v>
      </c>
      <c r="B252" s="0" t="s">
        <v>336</v>
      </c>
      <c r="C252" s="0" t="s">
        <v>3921</v>
      </c>
    </row>
    <row r="253" customFormat="false" ht="15" hidden="false" customHeight="false" outlineLevel="0" collapsed="false">
      <c r="A253" s="0" t="s">
        <v>8</v>
      </c>
      <c r="B253" s="0" t="s">
        <v>336</v>
      </c>
      <c r="C253" s="0" t="s">
        <v>3922</v>
      </c>
    </row>
    <row r="254" customFormat="false" ht="15" hidden="false" customHeight="false" outlineLevel="0" collapsed="false">
      <c r="A254" s="0" t="s">
        <v>8</v>
      </c>
      <c r="B254" s="0" t="s">
        <v>339</v>
      </c>
      <c r="C254" s="0" t="s">
        <v>3920</v>
      </c>
      <c r="D254" s="0" t="n">
        <v>17.5197</v>
      </c>
    </row>
    <row r="255" customFormat="false" ht="15" hidden="false" customHeight="false" outlineLevel="0" collapsed="false">
      <c r="A255" s="0" t="s">
        <v>8</v>
      </c>
      <c r="B255" s="0" t="s">
        <v>339</v>
      </c>
      <c r="C255" s="0" t="s">
        <v>3921</v>
      </c>
    </row>
    <row r="256" customFormat="false" ht="15" hidden="false" customHeight="false" outlineLevel="0" collapsed="false">
      <c r="A256" s="0" t="s">
        <v>8</v>
      </c>
      <c r="B256" s="0" t="s">
        <v>339</v>
      </c>
      <c r="C256" s="0" t="s">
        <v>3922</v>
      </c>
    </row>
    <row r="257" customFormat="false" ht="15" hidden="false" customHeight="false" outlineLevel="0" collapsed="false">
      <c r="A257" s="0" t="s">
        <v>8</v>
      </c>
      <c r="B257" s="0" t="s">
        <v>342</v>
      </c>
      <c r="C257" s="0" t="s">
        <v>3920</v>
      </c>
      <c r="D257" s="0" t="n">
        <v>-0.6825</v>
      </c>
    </row>
    <row r="258" customFormat="false" ht="15" hidden="false" customHeight="false" outlineLevel="0" collapsed="false">
      <c r="A258" s="0" t="s">
        <v>8</v>
      </c>
      <c r="B258" s="0" t="s">
        <v>342</v>
      </c>
      <c r="C258" s="0" t="s">
        <v>3921</v>
      </c>
    </row>
    <row r="259" customFormat="false" ht="15" hidden="false" customHeight="false" outlineLevel="0" collapsed="false">
      <c r="A259" s="0" t="s">
        <v>8</v>
      </c>
      <c r="B259" s="0" t="s">
        <v>342</v>
      </c>
      <c r="C259" s="0" t="s">
        <v>3922</v>
      </c>
    </row>
    <row r="260" customFormat="false" ht="15" hidden="false" customHeight="false" outlineLevel="0" collapsed="false">
      <c r="A260" s="0" t="s">
        <v>8</v>
      </c>
      <c r="B260" s="0" t="s">
        <v>346</v>
      </c>
      <c r="C260" s="0" t="s">
        <v>3920</v>
      </c>
      <c r="D260" s="0" t="n">
        <v>-6.4802</v>
      </c>
    </row>
    <row r="261" customFormat="false" ht="15" hidden="false" customHeight="false" outlineLevel="0" collapsed="false">
      <c r="A261" s="0" t="s">
        <v>8</v>
      </c>
      <c r="B261" s="0" t="s">
        <v>346</v>
      </c>
      <c r="C261" s="0" t="s">
        <v>3921</v>
      </c>
    </row>
    <row r="262" customFormat="false" ht="15" hidden="false" customHeight="false" outlineLevel="0" collapsed="false">
      <c r="A262" s="0" t="s">
        <v>8</v>
      </c>
      <c r="B262" s="0" t="s">
        <v>346</v>
      </c>
      <c r="C262" s="0" t="s">
        <v>3922</v>
      </c>
    </row>
    <row r="263" customFormat="false" ht="15" hidden="false" customHeight="false" outlineLevel="0" collapsed="false">
      <c r="A263" s="0" t="s">
        <v>8</v>
      </c>
      <c r="B263" s="0" t="s">
        <v>349</v>
      </c>
      <c r="C263" s="0" t="s">
        <v>3920</v>
      </c>
      <c r="D263" s="0" t="n">
        <v>-22.4492</v>
      </c>
    </row>
    <row r="264" customFormat="false" ht="15" hidden="false" customHeight="false" outlineLevel="0" collapsed="false">
      <c r="A264" s="0" t="s">
        <v>8</v>
      </c>
      <c r="B264" s="0" t="s">
        <v>349</v>
      </c>
      <c r="C264" s="0" t="s">
        <v>3921</v>
      </c>
    </row>
    <row r="265" customFormat="false" ht="15" hidden="false" customHeight="false" outlineLevel="0" collapsed="false">
      <c r="A265" s="0" t="s">
        <v>8</v>
      </c>
      <c r="B265" s="0" t="s">
        <v>349</v>
      </c>
      <c r="C265" s="0" t="s">
        <v>3922</v>
      </c>
    </row>
    <row r="266" customFormat="false" ht="15" hidden="false" customHeight="false" outlineLevel="0" collapsed="false">
      <c r="A266" s="0" t="s">
        <v>8</v>
      </c>
      <c r="B266" s="0" t="s">
        <v>352</v>
      </c>
      <c r="C266" s="0" t="s">
        <v>3920</v>
      </c>
      <c r="D266" s="0" t="n">
        <v>-9.9468</v>
      </c>
    </row>
    <row r="267" customFormat="false" ht="15" hidden="false" customHeight="false" outlineLevel="0" collapsed="false">
      <c r="A267" s="0" t="s">
        <v>8</v>
      </c>
      <c r="B267" s="0" t="s">
        <v>352</v>
      </c>
      <c r="C267" s="0" t="s">
        <v>3921</v>
      </c>
    </row>
    <row r="268" customFormat="false" ht="15" hidden="false" customHeight="false" outlineLevel="0" collapsed="false">
      <c r="A268" s="0" t="s">
        <v>8</v>
      </c>
      <c r="B268" s="0" t="s">
        <v>352</v>
      </c>
      <c r="C268" s="0" t="s">
        <v>3922</v>
      </c>
    </row>
    <row r="269" customFormat="false" ht="15" hidden="false" customHeight="false" outlineLevel="0" collapsed="false">
      <c r="A269" s="0" t="s">
        <v>8</v>
      </c>
      <c r="B269" s="0" t="s">
        <v>355</v>
      </c>
      <c r="C269" s="0" t="s">
        <v>3920</v>
      </c>
      <c r="D269" s="0" t="n">
        <v>-13.2715</v>
      </c>
    </row>
    <row r="270" customFormat="false" ht="15" hidden="false" customHeight="false" outlineLevel="0" collapsed="false">
      <c r="A270" s="0" t="s">
        <v>8</v>
      </c>
      <c r="B270" s="0" t="s">
        <v>355</v>
      </c>
      <c r="C270" s="0" t="s">
        <v>3921</v>
      </c>
    </row>
    <row r="271" customFormat="false" ht="15" hidden="false" customHeight="false" outlineLevel="0" collapsed="false">
      <c r="A271" s="0" t="s">
        <v>8</v>
      </c>
      <c r="B271" s="0" t="s">
        <v>355</v>
      </c>
      <c r="C271" s="0" t="s">
        <v>3922</v>
      </c>
    </row>
    <row r="272" customFormat="false" ht="15" hidden="false" customHeight="false" outlineLevel="0" collapsed="false">
      <c r="A272" s="0" t="s">
        <v>8</v>
      </c>
      <c r="B272" s="0" t="s">
        <v>358</v>
      </c>
      <c r="C272" s="0" t="s">
        <v>3920</v>
      </c>
      <c r="D272" s="0" t="n">
        <v>0.3292</v>
      </c>
    </row>
    <row r="273" customFormat="false" ht="15" hidden="false" customHeight="false" outlineLevel="0" collapsed="false">
      <c r="A273" s="0" t="s">
        <v>8</v>
      </c>
      <c r="B273" s="0" t="s">
        <v>358</v>
      </c>
      <c r="C273" s="0" t="s">
        <v>3921</v>
      </c>
    </row>
    <row r="274" customFormat="false" ht="15" hidden="false" customHeight="false" outlineLevel="0" collapsed="false">
      <c r="A274" s="0" t="s">
        <v>8</v>
      </c>
      <c r="B274" s="0" t="s">
        <v>358</v>
      </c>
      <c r="C274" s="0" t="s">
        <v>3922</v>
      </c>
    </row>
    <row r="275" customFormat="false" ht="15" hidden="false" customHeight="false" outlineLevel="0" collapsed="false">
      <c r="A275" s="0" t="s">
        <v>8</v>
      </c>
      <c r="B275" s="0" t="s">
        <v>362</v>
      </c>
      <c r="C275" s="0" t="s">
        <v>3920</v>
      </c>
      <c r="D275" s="0" t="n">
        <v>-7.8496</v>
      </c>
    </row>
    <row r="276" customFormat="false" ht="15" hidden="false" customHeight="false" outlineLevel="0" collapsed="false">
      <c r="A276" s="0" t="s">
        <v>8</v>
      </c>
      <c r="B276" s="0" t="s">
        <v>362</v>
      </c>
      <c r="C276" s="0" t="s">
        <v>3921</v>
      </c>
    </row>
    <row r="277" customFormat="false" ht="15" hidden="false" customHeight="false" outlineLevel="0" collapsed="false">
      <c r="A277" s="0" t="s">
        <v>8</v>
      </c>
      <c r="B277" s="0" t="s">
        <v>362</v>
      </c>
      <c r="C277" s="0" t="s">
        <v>3922</v>
      </c>
    </row>
    <row r="278" customFormat="false" ht="15" hidden="false" customHeight="false" outlineLevel="0" collapsed="false">
      <c r="A278" s="0" t="s">
        <v>8</v>
      </c>
      <c r="B278" s="0" t="s">
        <v>365</v>
      </c>
      <c r="C278" s="0" t="s">
        <v>3920</v>
      </c>
      <c r="D278" s="0" t="n">
        <v>-0.4856</v>
      </c>
    </row>
    <row r="279" customFormat="false" ht="15" hidden="false" customHeight="false" outlineLevel="0" collapsed="false">
      <c r="A279" s="0" t="s">
        <v>8</v>
      </c>
      <c r="B279" s="0" t="s">
        <v>365</v>
      </c>
      <c r="C279" s="0" t="s">
        <v>3921</v>
      </c>
    </row>
    <row r="280" customFormat="false" ht="15" hidden="false" customHeight="false" outlineLevel="0" collapsed="false">
      <c r="A280" s="0" t="s">
        <v>8</v>
      </c>
      <c r="B280" s="0" t="s">
        <v>365</v>
      </c>
      <c r="C280" s="0" t="s">
        <v>3922</v>
      </c>
    </row>
    <row r="281" customFormat="false" ht="15" hidden="false" customHeight="false" outlineLevel="0" collapsed="false">
      <c r="A281" s="0" t="s">
        <v>8</v>
      </c>
      <c r="B281" s="0" t="s">
        <v>368</v>
      </c>
      <c r="C281" s="0" t="s">
        <v>3920</v>
      </c>
      <c r="D281" s="0" t="n">
        <v>-1.3878</v>
      </c>
    </row>
    <row r="282" customFormat="false" ht="15" hidden="false" customHeight="false" outlineLevel="0" collapsed="false">
      <c r="A282" s="0" t="s">
        <v>8</v>
      </c>
      <c r="B282" s="0" t="s">
        <v>368</v>
      </c>
      <c r="C282" s="0" t="s">
        <v>3921</v>
      </c>
    </row>
    <row r="283" customFormat="false" ht="15" hidden="false" customHeight="false" outlineLevel="0" collapsed="false">
      <c r="A283" s="0" t="s">
        <v>8</v>
      </c>
      <c r="B283" s="0" t="s">
        <v>368</v>
      </c>
      <c r="C283" s="0" t="s">
        <v>3922</v>
      </c>
    </row>
    <row r="284" customFormat="false" ht="15" hidden="false" customHeight="false" outlineLevel="0" collapsed="false">
      <c r="A284" s="0" t="s">
        <v>8</v>
      </c>
      <c r="B284" s="0" t="s">
        <v>371</v>
      </c>
      <c r="C284" s="0" t="s">
        <v>3920</v>
      </c>
      <c r="D284" s="0" t="n">
        <v>-5.5637</v>
      </c>
    </row>
    <row r="285" customFormat="false" ht="15" hidden="false" customHeight="false" outlineLevel="0" collapsed="false">
      <c r="A285" s="0" t="s">
        <v>8</v>
      </c>
      <c r="B285" s="0" t="s">
        <v>371</v>
      </c>
      <c r="C285" s="0" t="s">
        <v>3921</v>
      </c>
    </row>
    <row r="286" customFormat="false" ht="15" hidden="false" customHeight="false" outlineLevel="0" collapsed="false">
      <c r="A286" s="0" t="s">
        <v>8</v>
      </c>
      <c r="B286" s="0" t="s">
        <v>371</v>
      </c>
      <c r="C286" s="0" t="s">
        <v>3922</v>
      </c>
    </row>
    <row r="287" customFormat="false" ht="15" hidden="false" customHeight="false" outlineLevel="0" collapsed="false">
      <c r="A287" s="0" t="s">
        <v>8</v>
      </c>
      <c r="B287" s="0" t="s">
        <v>374</v>
      </c>
      <c r="C287" s="0" t="s">
        <v>3920</v>
      </c>
      <c r="D287" s="0" t="n">
        <v>2.1893</v>
      </c>
    </row>
    <row r="288" customFormat="false" ht="15" hidden="false" customHeight="false" outlineLevel="0" collapsed="false">
      <c r="A288" s="0" t="s">
        <v>8</v>
      </c>
      <c r="B288" s="0" t="s">
        <v>374</v>
      </c>
      <c r="C288" s="0" t="s">
        <v>3921</v>
      </c>
    </row>
    <row r="289" customFormat="false" ht="15" hidden="false" customHeight="false" outlineLevel="0" collapsed="false">
      <c r="A289" s="0" t="s">
        <v>8</v>
      </c>
      <c r="B289" s="0" t="s">
        <v>374</v>
      </c>
      <c r="C289" s="0" t="s">
        <v>3922</v>
      </c>
    </row>
    <row r="290" customFormat="false" ht="15" hidden="false" customHeight="false" outlineLevel="0" collapsed="false">
      <c r="A290" s="0" t="s">
        <v>8</v>
      </c>
      <c r="B290" s="0" t="s">
        <v>378</v>
      </c>
      <c r="C290" s="0" t="s">
        <v>3920</v>
      </c>
      <c r="D290" s="0" t="n">
        <v>12.4917</v>
      </c>
    </row>
    <row r="291" customFormat="false" ht="15" hidden="false" customHeight="false" outlineLevel="0" collapsed="false">
      <c r="A291" s="0" t="s">
        <v>8</v>
      </c>
      <c r="B291" s="0" t="s">
        <v>378</v>
      </c>
      <c r="C291" s="0" t="s">
        <v>3921</v>
      </c>
    </row>
    <row r="292" customFormat="false" ht="15" hidden="false" customHeight="false" outlineLevel="0" collapsed="false">
      <c r="A292" s="0" t="s">
        <v>8</v>
      </c>
      <c r="B292" s="0" t="s">
        <v>378</v>
      </c>
      <c r="C292" s="0" t="s">
        <v>3922</v>
      </c>
    </row>
    <row r="293" customFormat="false" ht="15" hidden="false" customHeight="false" outlineLevel="0" collapsed="false">
      <c r="A293" s="0" t="s">
        <v>8</v>
      </c>
      <c r="B293" s="0" t="s">
        <v>381</v>
      </c>
      <c r="C293" s="0" t="s">
        <v>3920</v>
      </c>
      <c r="D293" s="0" t="n">
        <v>22.6816</v>
      </c>
    </row>
    <row r="294" customFormat="false" ht="15" hidden="false" customHeight="false" outlineLevel="0" collapsed="false">
      <c r="A294" s="0" t="s">
        <v>8</v>
      </c>
      <c r="B294" s="0" t="s">
        <v>381</v>
      </c>
      <c r="C294" s="0" t="s">
        <v>3921</v>
      </c>
    </row>
    <row r="295" customFormat="false" ht="15" hidden="false" customHeight="false" outlineLevel="0" collapsed="false">
      <c r="A295" s="0" t="s">
        <v>8</v>
      </c>
      <c r="B295" s="0" t="s">
        <v>381</v>
      </c>
      <c r="C295" s="0" t="s">
        <v>3922</v>
      </c>
    </row>
    <row r="296" customFormat="false" ht="15" hidden="false" customHeight="false" outlineLevel="0" collapsed="false">
      <c r="A296" s="0" t="s">
        <v>8</v>
      </c>
      <c r="B296" s="0" t="s">
        <v>384</v>
      </c>
      <c r="C296" s="0" t="s">
        <v>3920</v>
      </c>
      <c r="D296" s="0" t="n">
        <v>9.3207</v>
      </c>
    </row>
    <row r="297" customFormat="false" ht="15" hidden="false" customHeight="false" outlineLevel="0" collapsed="false">
      <c r="A297" s="0" t="s">
        <v>8</v>
      </c>
      <c r="B297" s="0" t="s">
        <v>384</v>
      </c>
      <c r="C297" s="0" t="s">
        <v>3921</v>
      </c>
    </row>
    <row r="298" customFormat="false" ht="15" hidden="false" customHeight="false" outlineLevel="0" collapsed="false">
      <c r="A298" s="0" t="s">
        <v>8</v>
      </c>
      <c r="B298" s="0" t="s">
        <v>384</v>
      </c>
      <c r="C298" s="0" t="s">
        <v>3922</v>
      </c>
    </row>
    <row r="299" customFormat="false" ht="15" hidden="false" customHeight="false" outlineLevel="0" collapsed="false">
      <c r="A299" s="0" t="s">
        <v>8</v>
      </c>
      <c r="B299" s="0" t="s">
        <v>387</v>
      </c>
      <c r="C299" s="0" t="s">
        <v>3920</v>
      </c>
      <c r="D299" s="0" t="n">
        <v>25.5197</v>
      </c>
    </row>
    <row r="300" customFormat="false" ht="15" hidden="false" customHeight="false" outlineLevel="0" collapsed="false">
      <c r="A300" s="0" t="s">
        <v>8</v>
      </c>
      <c r="B300" s="0" t="s">
        <v>387</v>
      </c>
      <c r="C300" s="0" t="s">
        <v>3921</v>
      </c>
    </row>
    <row r="301" customFormat="false" ht="15" hidden="false" customHeight="false" outlineLevel="0" collapsed="false">
      <c r="A301" s="0" t="s">
        <v>8</v>
      </c>
      <c r="B301" s="0" t="s">
        <v>387</v>
      </c>
      <c r="C301" s="0" t="s">
        <v>3922</v>
      </c>
    </row>
    <row r="302" customFormat="false" ht="15" hidden="false" customHeight="false" outlineLevel="0" collapsed="false">
      <c r="A302" s="0" t="s">
        <v>8</v>
      </c>
      <c r="B302" s="0" t="s">
        <v>390</v>
      </c>
      <c r="C302" s="0" t="s">
        <v>3920</v>
      </c>
      <c r="D302" s="0" t="n">
        <v>54.6</v>
      </c>
    </row>
    <row r="303" customFormat="false" ht="15" hidden="false" customHeight="false" outlineLevel="0" collapsed="false">
      <c r="A303" s="0" t="s">
        <v>8</v>
      </c>
      <c r="B303" s="0" t="s">
        <v>390</v>
      </c>
      <c r="C303" s="0" t="s">
        <v>3921</v>
      </c>
    </row>
    <row r="304" customFormat="false" ht="15" hidden="false" customHeight="false" outlineLevel="0" collapsed="false">
      <c r="A304" s="0" t="s">
        <v>8</v>
      </c>
      <c r="B304" s="0" t="s">
        <v>390</v>
      </c>
      <c r="C304" s="0" t="s">
        <v>3922</v>
      </c>
    </row>
    <row r="305" customFormat="false" ht="15" hidden="false" customHeight="false" outlineLevel="0" collapsed="false">
      <c r="A305" s="0" t="s">
        <v>8</v>
      </c>
      <c r="B305" s="0" t="s">
        <v>395</v>
      </c>
      <c r="C305" s="0" t="s">
        <v>3920</v>
      </c>
      <c r="D305" s="0" t="n">
        <v>64.6</v>
      </c>
    </row>
    <row r="306" customFormat="false" ht="15" hidden="false" customHeight="false" outlineLevel="0" collapsed="false">
      <c r="A306" s="0" t="s">
        <v>8</v>
      </c>
      <c r="B306" s="0" t="s">
        <v>395</v>
      </c>
      <c r="C306" s="0" t="s">
        <v>3921</v>
      </c>
    </row>
    <row r="307" customFormat="false" ht="15" hidden="false" customHeight="false" outlineLevel="0" collapsed="false">
      <c r="A307" s="0" t="s">
        <v>8</v>
      </c>
      <c r="B307" s="0" t="s">
        <v>395</v>
      </c>
      <c r="C307" s="0" t="s">
        <v>3922</v>
      </c>
    </row>
    <row r="308" customFormat="false" ht="15" hidden="false" customHeight="false" outlineLevel="0" collapsed="false">
      <c r="A308" s="0" t="s">
        <v>8</v>
      </c>
      <c r="B308" s="0" t="s">
        <v>397</v>
      </c>
      <c r="C308" s="0" t="s">
        <v>3920</v>
      </c>
      <c r="D308" s="0" t="n">
        <v>56.3</v>
      </c>
    </row>
    <row r="309" customFormat="false" ht="15" hidden="false" customHeight="false" outlineLevel="0" collapsed="false">
      <c r="A309" s="0" t="s">
        <v>8</v>
      </c>
      <c r="B309" s="0" t="s">
        <v>397</v>
      </c>
      <c r="C309" s="0" t="s">
        <v>3921</v>
      </c>
    </row>
    <row r="310" customFormat="false" ht="15" hidden="false" customHeight="false" outlineLevel="0" collapsed="false">
      <c r="A310" s="0" t="s">
        <v>8</v>
      </c>
      <c r="B310" s="0" t="s">
        <v>397</v>
      </c>
      <c r="C310" s="0" t="s">
        <v>3922</v>
      </c>
    </row>
    <row r="311" customFormat="false" ht="15" hidden="false" customHeight="false" outlineLevel="0" collapsed="false">
      <c r="A311" s="0" t="s">
        <v>8</v>
      </c>
      <c r="B311" s="0" t="s">
        <v>399</v>
      </c>
      <c r="C311" s="0" t="s">
        <v>3920</v>
      </c>
      <c r="D311" s="0" t="n">
        <v>48.9</v>
      </c>
    </row>
    <row r="312" customFormat="false" ht="15" hidden="false" customHeight="false" outlineLevel="0" collapsed="false">
      <c r="A312" s="0" t="s">
        <v>8</v>
      </c>
      <c r="B312" s="0" t="s">
        <v>399</v>
      </c>
      <c r="C312" s="0" t="s">
        <v>3921</v>
      </c>
    </row>
    <row r="313" customFormat="false" ht="15" hidden="false" customHeight="false" outlineLevel="0" collapsed="false">
      <c r="A313" s="0" t="s">
        <v>8</v>
      </c>
      <c r="B313" s="0" t="s">
        <v>399</v>
      </c>
      <c r="C313" s="0" t="s">
        <v>3922</v>
      </c>
    </row>
    <row r="314" customFormat="false" ht="15" hidden="false" customHeight="false" outlineLevel="0" collapsed="false">
      <c r="A314" s="0" t="s">
        <v>8</v>
      </c>
      <c r="B314" s="0" t="s">
        <v>401</v>
      </c>
      <c r="C314" s="0" t="s">
        <v>3920</v>
      </c>
      <c r="D314" s="0" t="n">
        <v>50</v>
      </c>
    </row>
    <row r="315" customFormat="false" ht="15" hidden="false" customHeight="false" outlineLevel="0" collapsed="false">
      <c r="A315" s="0" t="s">
        <v>8</v>
      </c>
      <c r="B315" s="0" t="s">
        <v>401</v>
      </c>
      <c r="C315" s="0" t="s">
        <v>3921</v>
      </c>
    </row>
    <row r="316" customFormat="false" ht="15" hidden="false" customHeight="false" outlineLevel="0" collapsed="false">
      <c r="A316" s="0" t="s">
        <v>8</v>
      </c>
      <c r="B316" s="0" t="s">
        <v>401</v>
      </c>
      <c r="C316" s="0" t="s">
        <v>3922</v>
      </c>
    </row>
    <row r="317" customFormat="false" ht="15" hidden="false" customHeight="false" outlineLevel="0" collapsed="false">
      <c r="A317" s="0" t="s">
        <v>8</v>
      </c>
      <c r="B317" s="0" t="s">
        <v>403</v>
      </c>
      <c r="C317" s="0" t="s">
        <v>3920</v>
      </c>
      <c r="D317" s="0" t="n">
        <v>0.03</v>
      </c>
    </row>
    <row r="318" customFormat="false" ht="15" hidden="false" customHeight="false" outlineLevel="0" collapsed="false">
      <c r="A318" s="0" t="s">
        <v>8</v>
      </c>
      <c r="B318" s="0" t="s">
        <v>403</v>
      </c>
      <c r="C318" s="0" t="s">
        <v>3921</v>
      </c>
    </row>
    <row r="319" customFormat="false" ht="15" hidden="false" customHeight="false" outlineLevel="0" collapsed="false">
      <c r="A319" s="0" t="s">
        <v>8</v>
      </c>
      <c r="B319" s="0" t="s">
        <v>403</v>
      </c>
      <c r="C319" s="0" t="s">
        <v>3922</v>
      </c>
    </row>
    <row r="320" customFormat="false" ht="15" hidden="false" customHeight="false" outlineLevel="0" collapsed="false">
      <c r="A320" s="0" t="s">
        <v>8</v>
      </c>
      <c r="B320" s="0" t="s">
        <v>412</v>
      </c>
      <c r="C320" s="0" t="s">
        <v>3920</v>
      </c>
      <c r="D320" s="0" t="n">
        <v>1.059</v>
      </c>
    </row>
    <row r="321" customFormat="false" ht="15" hidden="false" customHeight="false" outlineLevel="0" collapsed="false">
      <c r="A321" s="0" t="s">
        <v>8</v>
      </c>
      <c r="B321" s="0" t="s">
        <v>412</v>
      </c>
      <c r="C321" s="0" t="s">
        <v>3921</v>
      </c>
    </row>
    <row r="322" customFormat="false" ht="15" hidden="false" customHeight="false" outlineLevel="0" collapsed="false">
      <c r="A322" s="0" t="s">
        <v>8</v>
      </c>
      <c r="B322" s="0" t="s">
        <v>412</v>
      </c>
      <c r="C322" s="0" t="s">
        <v>3922</v>
      </c>
    </row>
    <row r="323" customFormat="false" ht="15" hidden="false" customHeight="false" outlineLevel="0" collapsed="false">
      <c r="A323" s="0" t="s">
        <v>8</v>
      </c>
      <c r="B323" s="0" t="s">
        <v>415</v>
      </c>
      <c r="C323" s="0" t="s">
        <v>3920</v>
      </c>
      <c r="D323" s="0" t="n">
        <v>1.945</v>
      </c>
    </row>
    <row r="324" customFormat="false" ht="15" hidden="false" customHeight="false" outlineLevel="0" collapsed="false">
      <c r="A324" s="0" t="s">
        <v>8</v>
      </c>
      <c r="B324" s="0" t="s">
        <v>415</v>
      </c>
      <c r="C324" s="0" t="s">
        <v>3921</v>
      </c>
    </row>
    <row r="325" customFormat="false" ht="15" hidden="false" customHeight="false" outlineLevel="0" collapsed="false">
      <c r="A325" s="0" t="s">
        <v>8</v>
      </c>
      <c r="B325" s="0" t="s">
        <v>415</v>
      </c>
      <c r="C325" s="0" t="s">
        <v>3922</v>
      </c>
    </row>
    <row r="326" customFormat="false" ht="15" hidden="false" customHeight="false" outlineLevel="0" collapsed="false">
      <c r="A326" s="0" t="s">
        <v>8</v>
      </c>
      <c r="B326" s="0" t="s">
        <v>418</v>
      </c>
      <c r="C326" s="0" t="s">
        <v>3920</v>
      </c>
      <c r="D326" s="0" t="n">
        <v>3.273</v>
      </c>
    </row>
    <row r="327" customFormat="false" ht="15" hidden="false" customHeight="false" outlineLevel="0" collapsed="false">
      <c r="A327" s="0" t="s">
        <v>8</v>
      </c>
      <c r="B327" s="0" t="s">
        <v>418</v>
      </c>
      <c r="C327" s="0" t="s">
        <v>3921</v>
      </c>
    </row>
    <row r="328" customFormat="false" ht="15" hidden="false" customHeight="false" outlineLevel="0" collapsed="false">
      <c r="A328" s="0" t="s">
        <v>8</v>
      </c>
      <c r="B328" s="0" t="s">
        <v>418</v>
      </c>
      <c r="C328" s="0" t="s">
        <v>3922</v>
      </c>
    </row>
    <row r="329" customFormat="false" ht="15" hidden="false" customHeight="false" outlineLevel="0" collapsed="false">
      <c r="A329" s="0" t="s">
        <v>8</v>
      </c>
      <c r="B329" s="0" t="s">
        <v>421</v>
      </c>
      <c r="C329" s="0" t="s">
        <v>3920</v>
      </c>
      <c r="D329" s="0" t="n">
        <v>89.431</v>
      </c>
    </row>
    <row r="330" customFormat="false" ht="15" hidden="false" customHeight="false" outlineLevel="0" collapsed="false">
      <c r="A330" s="0" t="s">
        <v>8</v>
      </c>
      <c r="B330" s="0" t="s">
        <v>421</v>
      </c>
      <c r="C330" s="0" t="s">
        <v>3921</v>
      </c>
    </row>
    <row r="331" customFormat="false" ht="15" hidden="false" customHeight="false" outlineLevel="0" collapsed="false">
      <c r="A331" s="0" t="s">
        <v>8</v>
      </c>
      <c r="B331" s="0" t="s">
        <v>421</v>
      </c>
      <c r="C331" s="0" t="s">
        <v>3922</v>
      </c>
    </row>
    <row r="332" customFormat="false" ht="15" hidden="false" customHeight="false" outlineLevel="0" collapsed="false">
      <c r="A332" s="0" t="s">
        <v>8</v>
      </c>
      <c r="B332" s="0" t="s">
        <v>428</v>
      </c>
      <c r="C332" s="0" t="s">
        <v>3920</v>
      </c>
      <c r="D332" s="0" t="n">
        <v>657</v>
      </c>
    </row>
    <row r="333" customFormat="false" ht="15" hidden="false" customHeight="false" outlineLevel="0" collapsed="false">
      <c r="A333" s="0" t="s">
        <v>8</v>
      </c>
      <c r="B333" s="0" t="s">
        <v>428</v>
      </c>
      <c r="C333" s="0" t="s">
        <v>3921</v>
      </c>
    </row>
    <row r="334" customFormat="false" ht="15" hidden="false" customHeight="false" outlineLevel="0" collapsed="false">
      <c r="A334" s="0" t="s">
        <v>8</v>
      </c>
      <c r="B334" s="0" t="s">
        <v>428</v>
      </c>
      <c r="C334" s="0" t="s">
        <v>3922</v>
      </c>
    </row>
    <row r="335" customFormat="false" ht="15" hidden="false" customHeight="false" outlineLevel="0" collapsed="false">
      <c r="A335" s="0" t="s">
        <v>8</v>
      </c>
      <c r="B335" s="0" t="s">
        <v>435</v>
      </c>
      <c r="C335" s="0" t="s">
        <v>3920</v>
      </c>
      <c r="D335" s="0" t="n">
        <v>1.9038</v>
      </c>
    </row>
    <row r="336" customFormat="false" ht="15" hidden="false" customHeight="false" outlineLevel="0" collapsed="false">
      <c r="A336" s="0" t="s">
        <v>8</v>
      </c>
      <c r="B336" s="0" t="s">
        <v>435</v>
      </c>
      <c r="C336" s="0" t="s">
        <v>3921</v>
      </c>
    </row>
    <row r="337" customFormat="false" ht="15" hidden="false" customHeight="false" outlineLevel="0" collapsed="false">
      <c r="A337" s="0" t="s">
        <v>8</v>
      </c>
      <c r="B337" s="0" t="s">
        <v>435</v>
      </c>
      <c r="C337" s="0" t="s">
        <v>3922</v>
      </c>
    </row>
    <row r="338" customFormat="false" ht="15" hidden="false" customHeight="false" outlineLevel="0" collapsed="false">
      <c r="A338" s="0" t="s">
        <v>8</v>
      </c>
      <c r="B338" s="0" t="s">
        <v>444</v>
      </c>
      <c r="C338" s="0" t="s">
        <v>3920</v>
      </c>
      <c r="D338" s="0" t="n">
        <v>0.4848</v>
      </c>
    </row>
    <row r="339" customFormat="false" ht="15" hidden="false" customHeight="false" outlineLevel="0" collapsed="false">
      <c r="A339" s="0" t="s">
        <v>8</v>
      </c>
      <c r="B339" s="0" t="s">
        <v>444</v>
      </c>
      <c r="C339" s="0" t="s">
        <v>3921</v>
      </c>
    </row>
    <row r="340" customFormat="false" ht="15" hidden="false" customHeight="false" outlineLevel="0" collapsed="false">
      <c r="A340" s="0" t="s">
        <v>8</v>
      </c>
      <c r="B340" s="0" t="s">
        <v>444</v>
      </c>
      <c r="C340" s="0" t="s">
        <v>3922</v>
      </c>
    </row>
    <row r="341" customFormat="false" ht="15" hidden="false" customHeight="false" outlineLevel="0" collapsed="false">
      <c r="A341" s="0" t="s">
        <v>8</v>
      </c>
      <c r="B341" s="0" t="s">
        <v>447</v>
      </c>
      <c r="C341" s="0" t="s">
        <v>3920</v>
      </c>
      <c r="D341" s="0" t="n">
        <v>1.6569</v>
      </c>
    </row>
    <row r="342" customFormat="false" ht="15" hidden="false" customHeight="false" outlineLevel="0" collapsed="false">
      <c r="A342" s="0" t="s">
        <v>8</v>
      </c>
      <c r="B342" s="0" t="s">
        <v>447</v>
      </c>
      <c r="C342" s="0" t="s">
        <v>3921</v>
      </c>
    </row>
    <row r="343" customFormat="false" ht="15" hidden="false" customHeight="false" outlineLevel="0" collapsed="false">
      <c r="A343" s="0" t="s">
        <v>8</v>
      </c>
      <c r="B343" s="0" t="s">
        <v>447</v>
      </c>
      <c r="C343" s="0" t="s">
        <v>3922</v>
      </c>
    </row>
    <row r="344" customFormat="false" ht="15" hidden="false" customHeight="false" outlineLevel="0" collapsed="false">
      <c r="A344" s="0" t="s">
        <v>8</v>
      </c>
      <c r="B344" s="0" t="s">
        <v>451</v>
      </c>
      <c r="C344" s="0" t="s">
        <v>3920</v>
      </c>
      <c r="D344" s="0" t="n">
        <v>0.4749</v>
      </c>
    </row>
    <row r="345" customFormat="false" ht="15" hidden="false" customHeight="false" outlineLevel="0" collapsed="false">
      <c r="A345" s="0" t="s">
        <v>8</v>
      </c>
      <c r="B345" s="0" t="s">
        <v>451</v>
      </c>
      <c r="C345" s="0" t="s">
        <v>3921</v>
      </c>
    </row>
    <row r="346" customFormat="false" ht="15" hidden="false" customHeight="false" outlineLevel="0" collapsed="false">
      <c r="A346" s="0" t="s">
        <v>8</v>
      </c>
      <c r="B346" s="0" t="s">
        <v>451</v>
      </c>
      <c r="C346" s="0" t="s">
        <v>3922</v>
      </c>
    </row>
    <row r="347" customFormat="false" ht="15" hidden="false" customHeight="false" outlineLevel="0" collapsed="false">
      <c r="A347" s="0" t="s">
        <v>8</v>
      </c>
      <c r="B347" s="0" t="s">
        <v>454</v>
      </c>
      <c r="C347" s="0" t="s">
        <v>3920</v>
      </c>
      <c r="D347" s="0" t="n">
        <v>3.6572</v>
      </c>
    </row>
    <row r="348" customFormat="false" ht="15" hidden="false" customHeight="false" outlineLevel="0" collapsed="false">
      <c r="A348" s="0" t="s">
        <v>8</v>
      </c>
      <c r="B348" s="0" t="s">
        <v>454</v>
      </c>
      <c r="C348" s="0" t="s">
        <v>3921</v>
      </c>
    </row>
    <row r="349" customFormat="false" ht="15" hidden="false" customHeight="false" outlineLevel="0" collapsed="false">
      <c r="A349" s="0" t="s">
        <v>8</v>
      </c>
      <c r="B349" s="0" t="s">
        <v>454</v>
      </c>
      <c r="C349" s="0" t="s">
        <v>3922</v>
      </c>
    </row>
    <row r="350" customFormat="false" ht="15" hidden="false" customHeight="false" outlineLevel="0" collapsed="false">
      <c r="A350" s="0" t="s">
        <v>8</v>
      </c>
      <c r="B350" s="0" t="s">
        <v>458</v>
      </c>
      <c r="C350" s="0" t="s">
        <v>3920</v>
      </c>
      <c r="D350" s="0" t="n">
        <v>2.145</v>
      </c>
    </row>
    <row r="351" customFormat="false" ht="15" hidden="false" customHeight="false" outlineLevel="0" collapsed="false">
      <c r="A351" s="0" t="s">
        <v>8</v>
      </c>
      <c r="B351" s="0" t="s">
        <v>458</v>
      </c>
      <c r="C351" s="0" t="s">
        <v>3921</v>
      </c>
    </row>
    <row r="352" customFormat="false" ht="15" hidden="false" customHeight="false" outlineLevel="0" collapsed="false">
      <c r="A352" s="0" t="s">
        <v>8</v>
      </c>
      <c r="B352" s="0" t="s">
        <v>458</v>
      </c>
      <c r="C352" s="0" t="s">
        <v>3922</v>
      </c>
    </row>
    <row r="353" customFormat="false" ht="15" hidden="false" customHeight="false" outlineLevel="0" collapsed="false">
      <c r="A353" s="0" t="s">
        <v>8</v>
      </c>
      <c r="B353" s="0" t="s">
        <v>461</v>
      </c>
      <c r="C353" s="0" t="s">
        <v>3920</v>
      </c>
      <c r="D353" s="0" t="n">
        <v>0.0254</v>
      </c>
    </row>
    <row r="354" customFormat="false" ht="15" hidden="false" customHeight="false" outlineLevel="0" collapsed="false">
      <c r="A354" s="0" t="s">
        <v>8</v>
      </c>
      <c r="B354" s="0" t="s">
        <v>461</v>
      </c>
      <c r="C354" s="0" t="s">
        <v>3921</v>
      </c>
    </row>
    <row r="355" customFormat="false" ht="15" hidden="false" customHeight="false" outlineLevel="0" collapsed="false">
      <c r="A355" s="0" t="s">
        <v>8</v>
      </c>
      <c r="B355" s="0" t="s">
        <v>461</v>
      </c>
      <c r="C355" s="0" t="s">
        <v>3922</v>
      </c>
    </row>
    <row r="356" customFormat="false" ht="15" hidden="false" customHeight="false" outlineLevel="0" collapsed="false">
      <c r="A356" s="0" t="s">
        <v>8</v>
      </c>
      <c r="B356" s="0" t="s">
        <v>465</v>
      </c>
      <c r="C356" s="0" t="s">
        <v>3920</v>
      </c>
      <c r="D356" s="0" t="n">
        <v>0.0194</v>
      </c>
    </row>
    <row r="357" customFormat="false" ht="15" hidden="false" customHeight="false" outlineLevel="0" collapsed="false">
      <c r="A357" s="0" t="s">
        <v>8</v>
      </c>
      <c r="B357" s="0" t="s">
        <v>465</v>
      </c>
      <c r="C357" s="0" t="s">
        <v>3921</v>
      </c>
    </row>
    <row r="358" customFormat="false" ht="15" hidden="false" customHeight="false" outlineLevel="0" collapsed="false">
      <c r="A358" s="0" t="s">
        <v>8</v>
      </c>
      <c r="B358" s="0" t="s">
        <v>465</v>
      </c>
      <c r="C358" s="0" t="s">
        <v>3922</v>
      </c>
    </row>
    <row r="359" customFormat="false" ht="15" hidden="false" customHeight="false" outlineLevel="0" collapsed="false">
      <c r="A359" s="0" t="s">
        <v>8</v>
      </c>
      <c r="B359" s="0" t="s">
        <v>468</v>
      </c>
      <c r="C359" s="0" t="s">
        <v>3920</v>
      </c>
      <c r="D359" s="0" t="n">
        <v>7.2433</v>
      </c>
    </row>
    <row r="360" customFormat="false" ht="15" hidden="false" customHeight="false" outlineLevel="0" collapsed="false">
      <c r="A360" s="0" t="s">
        <v>8</v>
      </c>
      <c r="B360" s="0" t="s">
        <v>468</v>
      </c>
      <c r="C360" s="0" t="s">
        <v>3921</v>
      </c>
    </row>
    <row r="361" customFormat="false" ht="15" hidden="false" customHeight="false" outlineLevel="0" collapsed="false">
      <c r="A361" s="0" t="s">
        <v>8</v>
      </c>
      <c r="B361" s="0" t="s">
        <v>468</v>
      </c>
      <c r="C361" s="0" t="s">
        <v>3922</v>
      </c>
    </row>
    <row r="362" customFormat="false" ht="15" hidden="false" customHeight="false" outlineLevel="0" collapsed="false">
      <c r="A362" s="0" t="s">
        <v>8</v>
      </c>
      <c r="B362" s="0" t="s">
        <v>471</v>
      </c>
      <c r="C362" s="0" t="s">
        <v>3920</v>
      </c>
      <c r="D362" s="0" t="n">
        <v>5.3396</v>
      </c>
    </row>
    <row r="363" customFormat="false" ht="15" hidden="false" customHeight="false" outlineLevel="0" collapsed="false">
      <c r="A363" s="0" t="s">
        <v>8</v>
      </c>
      <c r="B363" s="0" t="s">
        <v>471</v>
      </c>
      <c r="C363" s="0" t="s">
        <v>3921</v>
      </c>
    </row>
    <row r="364" customFormat="false" ht="15" hidden="false" customHeight="false" outlineLevel="0" collapsed="false">
      <c r="A364" s="0" t="s">
        <v>8</v>
      </c>
      <c r="B364" s="0" t="s">
        <v>471</v>
      </c>
      <c r="C364" s="0" t="s">
        <v>3922</v>
      </c>
    </row>
    <row r="365" customFormat="false" ht="15" hidden="false" customHeight="false" outlineLevel="0" collapsed="false">
      <c r="A365" s="0" t="s">
        <v>8</v>
      </c>
      <c r="B365" s="0" t="s">
        <v>475</v>
      </c>
      <c r="C365" s="0" t="s">
        <v>3920</v>
      </c>
      <c r="D365" s="0" t="n">
        <v>1.9038</v>
      </c>
    </row>
    <row r="366" customFormat="false" ht="15" hidden="false" customHeight="false" outlineLevel="0" collapsed="false">
      <c r="A366" s="0" t="s">
        <v>8</v>
      </c>
      <c r="B366" s="0" t="s">
        <v>475</v>
      </c>
      <c r="C366" s="0" t="s">
        <v>3921</v>
      </c>
    </row>
    <row r="367" customFormat="false" ht="15" hidden="false" customHeight="false" outlineLevel="0" collapsed="false">
      <c r="A367" s="0" t="s">
        <v>8</v>
      </c>
      <c r="B367" s="0" t="s">
        <v>475</v>
      </c>
      <c r="C367" s="0" t="s">
        <v>3922</v>
      </c>
    </row>
    <row r="368" customFormat="false" ht="15" hidden="false" customHeight="false" outlineLevel="0" collapsed="false">
      <c r="A368" s="0" t="s">
        <v>8</v>
      </c>
      <c r="B368" s="0" t="s">
        <v>479</v>
      </c>
      <c r="C368" s="0" t="s">
        <v>3920</v>
      </c>
      <c r="D368" s="0" t="n">
        <v>4.2768</v>
      </c>
    </row>
    <row r="369" customFormat="false" ht="15" hidden="false" customHeight="false" outlineLevel="0" collapsed="false">
      <c r="A369" s="0" t="s">
        <v>8</v>
      </c>
      <c r="B369" s="0" t="s">
        <v>479</v>
      </c>
      <c r="C369" s="0" t="s">
        <v>3921</v>
      </c>
    </row>
    <row r="370" customFormat="false" ht="15" hidden="false" customHeight="false" outlineLevel="0" collapsed="false">
      <c r="A370" s="0" t="s">
        <v>8</v>
      </c>
      <c r="B370" s="0" t="s">
        <v>479</v>
      </c>
      <c r="C370" s="0" t="s">
        <v>3922</v>
      </c>
    </row>
    <row r="371" customFormat="false" ht="15" hidden="false" customHeight="false" outlineLevel="0" collapsed="false">
      <c r="A371" s="0" t="s">
        <v>8</v>
      </c>
      <c r="B371" s="0" t="s">
        <v>483</v>
      </c>
      <c r="C371" s="0" t="s">
        <v>3920</v>
      </c>
      <c r="D371" s="0" t="n">
        <v>2.9666</v>
      </c>
    </row>
    <row r="372" customFormat="false" ht="15" hidden="false" customHeight="false" outlineLevel="0" collapsed="false">
      <c r="A372" s="0" t="s">
        <v>8</v>
      </c>
      <c r="B372" s="0" t="s">
        <v>483</v>
      </c>
      <c r="C372" s="0" t="s">
        <v>3921</v>
      </c>
    </row>
    <row r="373" customFormat="false" ht="15" hidden="false" customHeight="false" outlineLevel="0" collapsed="false">
      <c r="A373" s="0" t="s">
        <v>8</v>
      </c>
      <c r="B373" s="0" t="s">
        <v>483</v>
      </c>
      <c r="C373" s="0" t="s">
        <v>3922</v>
      </c>
    </row>
    <row r="374" customFormat="false" ht="15" hidden="false" customHeight="false" outlineLevel="0" collapsed="false">
      <c r="A374" s="0" t="s">
        <v>8</v>
      </c>
      <c r="B374" s="0" t="s">
        <v>486</v>
      </c>
      <c r="C374" s="0" t="s">
        <v>3920</v>
      </c>
      <c r="D374" s="0" t="n">
        <v>41</v>
      </c>
    </row>
    <row r="375" customFormat="false" ht="15" hidden="false" customHeight="false" outlineLevel="0" collapsed="false">
      <c r="A375" s="0" t="s">
        <v>8</v>
      </c>
      <c r="B375" s="0" t="s">
        <v>486</v>
      </c>
      <c r="C375" s="0" t="s">
        <v>3921</v>
      </c>
    </row>
    <row r="376" customFormat="false" ht="15" hidden="false" customHeight="false" outlineLevel="0" collapsed="false">
      <c r="A376" s="0" t="s">
        <v>8</v>
      </c>
      <c r="B376" s="0" t="s">
        <v>486</v>
      </c>
      <c r="C376" s="0" t="s">
        <v>3922</v>
      </c>
    </row>
    <row r="377" customFormat="false" ht="15" hidden="false" customHeight="false" outlineLevel="0" collapsed="false">
      <c r="A377" s="0" t="s">
        <v>8</v>
      </c>
      <c r="B377" s="0" t="s">
        <v>489</v>
      </c>
      <c r="C377" s="0" t="s">
        <v>3920</v>
      </c>
      <c r="D377" s="0" t="n">
        <v>2.6066</v>
      </c>
    </row>
    <row r="378" customFormat="false" ht="15" hidden="false" customHeight="false" outlineLevel="0" collapsed="false">
      <c r="A378" s="0" t="s">
        <v>8</v>
      </c>
      <c r="B378" s="0" t="s">
        <v>489</v>
      </c>
      <c r="C378" s="0" t="s">
        <v>3921</v>
      </c>
    </row>
    <row r="379" customFormat="false" ht="15" hidden="false" customHeight="false" outlineLevel="0" collapsed="false">
      <c r="A379" s="0" t="s">
        <v>8</v>
      </c>
      <c r="B379" s="0" t="s">
        <v>489</v>
      </c>
      <c r="C379" s="0" t="s">
        <v>3922</v>
      </c>
    </row>
    <row r="380" customFormat="false" ht="15" hidden="false" customHeight="false" outlineLevel="0" collapsed="false">
      <c r="A380" s="0" t="s">
        <v>8</v>
      </c>
      <c r="B380" s="0" t="s">
        <v>493</v>
      </c>
      <c r="C380" s="0" t="s">
        <v>3920</v>
      </c>
      <c r="D380" s="0" t="n">
        <v>1.7426</v>
      </c>
    </row>
    <row r="381" customFormat="false" ht="15" hidden="false" customHeight="false" outlineLevel="0" collapsed="false">
      <c r="A381" s="0" t="s">
        <v>8</v>
      </c>
      <c r="B381" s="0" t="s">
        <v>493</v>
      </c>
      <c r="C381" s="0" t="s">
        <v>3921</v>
      </c>
    </row>
    <row r="382" customFormat="false" ht="15" hidden="false" customHeight="false" outlineLevel="0" collapsed="false">
      <c r="A382" s="0" t="s">
        <v>8</v>
      </c>
      <c r="B382" s="0" t="s">
        <v>493</v>
      </c>
      <c r="C382" s="0" t="s">
        <v>3922</v>
      </c>
    </row>
    <row r="383" customFormat="false" ht="15" hidden="false" customHeight="false" outlineLevel="0" collapsed="false">
      <c r="A383" s="0" t="s">
        <v>8</v>
      </c>
      <c r="B383" s="0" t="s">
        <v>496</v>
      </c>
      <c r="C383" s="0" t="s">
        <v>3920</v>
      </c>
      <c r="D383" s="0" t="n">
        <v>0.36</v>
      </c>
    </row>
    <row r="384" customFormat="false" ht="15" hidden="false" customHeight="false" outlineLevel="0" collapsed="false">
      <c r="A384" s="0" t="s">
        <v>8</v>
      </c>
      <c r="B384" s="0" t="s">
        <v>496</v>
      </c>
      <c r="C384" s="0" t="s">
        <v>3921</v>
      </c>
    </row>
    <row r="385" customFormat="false" ht="15" hidden="false" customHeight="false" outlineLevel="0" collapsed="false">
      <c r="A385" s="0" t="s">
        <v>8</v>
      </c>
      <c r="B385" s="0" t="s">
        <v>496</v>
      </c>
      <c r="C385" s="0" t="s">
        <v>3922</v>
      </c>
    </row>
    <row r="386" customFormat="false" ht="15" hidden="false" customHeight="false" outlineLevel="0" collapsed="false">
      <c r="A386" s="0" t="s">
        <v>8</v>
      </c>
      <c r="B386" s="0" t="s">
        <v>500</v>
      </c>
      <c r="C386" s="0" t="s">
        <v>3920</v>
      </c>
      <c r="D386" s="0" t="n">
        <v>0.0163</v>
      </c>
    </row>
    <row r="387" customFormat="false" ht="15" hidden="false" customHeight="false" outlineLevel="0" collapsed="false">
      <c r="A387" s="0" t="s">
        <v>8</v>
      </c>
      <c r="B387" s="0" t="s">
        <v>500</v>
      </c>
      <c r="C387" s="0" t="s">
        <v>3921</v>
      </c>
    </row>
    <row r="388" customFormat="false" ht="15" hidden="false" customHeight="false" outlineLevel="0" collapsed="false">
      <c r="A388" s="0" t="s">
        <v>8</v>
      </c>
      <c r="B388" s="0" t="s">
        <v>500</v>
      </c>
      <c r="C388" s="0" t="s">
        <v>3922</v>
      </c>
    </row>
    <row r="389" customFormat="false" ht="15" hidden="false" customHeight="false" outlineLevel="0" collapsed="false">
      <c r="A389" s="0" t="s">
        <v>8</v>
      </c>
      <c r="B389" s="0" t="s">
        <v>503</v>
      </c>
      <c r="C389" s="0" t="s">
        <v>3920</v>
      </c>
      <c r="D389" s="0" t="n">
        <v>0.36</v>
      </c>
    </row>
    <row r="390" customFormat="false" ht="15" hidden="false" customHeight="false" outlineLevel="0" collapsed="false">
      <c r="A390" s="0" t="s">
        <v>8</v>
      </c>
      <c r="B390" s="0" t="s">
        <v>503</v>
      </c>
      <c r="C390" s="0" t="s">
        <v>3921</v>
      </c>
    </row>
    <row r="391" customFormat="false" ht="15" hidden="false" customHeight="false" outlineLevel="0" collapsed="false">
      <c r="A391" s="0" t="s">
        <v>8</v>
      </c>
      <c r="B391" s="0" t="s">
        <v>503</v>
      </c>
      <c r="C391" s="0" t="s">
        <v>3922</v>
      </c>
    </row>
    <row r="392" customFormat="false" ht="15" hidden="false" customHeight="false" outlineLevel="0" collapsed="false">
      <c r="A392" s="0" t="s">
        <v>8</v>
      </c>
      <c r="B392" s="0" t="s">
        <v>507</v>
      </c>
      <c r="C392" s="0" t="s">
        <v>3920</v>
      </c>
      <c r="D392" s="0" t="n">
        <v>0.016</v>
      </c>
    </row>
    <row r="393" customFormat="false" ht="15" hidden="false" customHeight="false" outlineLevel="0" collapsed="false">
      <c r="A393" s="0" t="s">
        <v>8</v>
      </c>
      <c r="B393" s="0" t="s">
        <v>507</v>
      </c>
      <c r="C393" s="0" t="s">
        <v>3921</v>
      </c>
    </row>
    <row r="394" customFormat="false" ht="15" hidden="false" customHeight="false" outlineLevel="0" collapsed="false">
      <c r="A394" s="0" t="s">
        <v>8</v>
      </c>
      <c r="B394" s="0" t="s">
        <v>507</v>
      </c>
      <c r="C394" s="0" t="s">
        <v>3922</v>
      </c>
    </row>
    <row r="395" customFormat="false" ht="15" hidden="false" customHeight="false" outlineLevel="0" collapsed="false">
      <c r="A395" s="0" t="s">
        <v>8</v>
      </c>
      <c r="B395" s="0" t="s">
        <v>510</v>
      </c>
      <c r="C395" s="0" t="s">
        <v>3920</v>
      </c>
      <c r="D395" s="0" t="n">
        <v>0.867</v>
      </c>
    </row>
    <row r="396" customFormat="false" ht="15" hidden="false" customHeight="false" outlineLevel="0" collapsed="false">
      <c r="A396" s="0" t="s">
        <v>8</v>
      </c>
      <c r="B396" s="0" t="s">
        <v>510</v>
      </c>
      <c r="C396" s="0" t="s">
        <v>3921</v>
      </c>
    </row>
    <row r="397" customFormat="false" ht="15" hidden="false" customHeight="false" outlineLevel="0" collapsed="false">
      <c r="A397" s="0" t="s">
        <v>8</v>
      </c>
      <c r="B397" s="0" t="s">
        <v>510</v>
      </c>
      <c r="C397" s="0" t="s">
        <v>3922</v>
      </c>
    </row>
    <row r="398" customFormat="false" ht="15" hidden="false" customHeight="false" outlineLevel="0" collapsed="false">
      <c r="A398" s="0" t="s">
        <v>8</v>
      </c>
      <c r="B398" s="0" t="s">
        <v>514</v>
      </c>
      <c r="C398" s="0" t="s">
        <v>3920</v>
      </c>
      <c r="D398" s="0" t="n">
        <v>0.234</v>
      </c>
    </row>
    <row r="399" customFormat="false" ht="15" hidden="false" customHeight="false" outlineLevel="0" collapsed="false">
      <c r="A399" s="0" t="s">
        <v>8</v>
      </c>
      <c r="B399" s="0" t="s">
        <v>514</v>
      </c>
      <c r="C399" s="0" t="s">
        <v>3921</v>
      </c>
    </row>
    <row r="400" customFormat="false" ht="15" hidden="false" customHeight="false" outlineLevel="0" collapsed="false">
      <c r="A400" s="0" t="s">
        <v>8</v>
      </c>
      <c r="B400" s="0" t="s">
        <v>514</v>
      </c>
      <c r="C400" s="0" t="s">
        <v>3922</v>
      </c>
    </row>
    <row r="401" customFormat="false" ht="15" hidden="false" customHeight="false" outlineLevel="0" collapsed="false">
      <c r="A401" s="0" t="s">
        <v>8</v>
      </c>
      <c r="B401" s="0" t="s">
        <v>517</v>
      </c>
      <c r="C401" s="0" t="s">
        <v>3920</v>
      </c>
      <c r="D401" s="0" t="n">
        <v>1.717</v>
      </c>
    </row>
    <row r="402" customFormat="false" ht="15" hidden="false" customHeight="false" outlineLevel="0" collapsed="false">
      <c r="A402" s="0" t="s">
        <v>8</v>
      </c>
      <c r="B402" s="0" t="s">
        <v>517</v>
      </c>
      <c r="C402" s="0" t="s">
        <v>3921</v>
      </c>
    </row>
    <row r="403" customFormat="false" ht="15" hidden="false" customHeight="false" outlineLevel="0" collapsed="false">
      <c r="A403" s="0" t="s">
        <v>8</v>
      </c>
      <c r="B403" s="0" t="s">
        <v>517</v>
      </c>
      <c r="C403" s="0" t="s">
        <v>3922</v>
      </c>
    </row>
    <row r="404" customFormat="false" ht="15" hidden="false" customHeight="false" outlineLevel="0" collapsed="false">
      <c r="A404" s="0" t="s">
        <v>8</v>
      </c>
      <c r="B404" s="0" t="s">
        <v>521</v>
      </c>
      <c r="C404" s="0" t="s">
        <v>3920</v>
      </c>
      <c r="D404" s="0" t="n">
        <v>1.492</v>
      </c>
    </row>
    <row r="405" customFormat="false" ht="15" hidden="false" customHeight="false" outlineLevel="0" collapsed="false">
      <c r="A405" s="0" t="s">
        <v>8</v>
      </c>
      <c r="B405" s="0" t="s">
        <v>521</v>
      </c>
      <c r="C405" s="0" t="s">
        <v>3921</v>
      </c>
    </row>
    <row r="406" customFormat="false" ht="15" hidden="false" customHeight="false" outlineLevel="0" collapsed="false">
      <c r="A406" s="0" t="s">
        <v>8</v>
      </c>
      <c r="B406" s="0" t="s">
        <v>521</v>
      </c>
      <c r="C406" s="0" t="s">
        <v>3922</v>
      </c>
    </row>
    <row r="407" customFormat="false" ht="15" hidden="false" customHeight="false" outlineLevel="0" collapsed="false">
      <c r="A407" s="0" t="s">
        <v>8</v>
      </c>
      <c r="B407" s="0" t="s">
        <v>524</v>
      </c>
      <c r="C407" s="0" t="s">
        <v>3920</v>
      </c>
      <c r="D407" s="0" t="n">
        <v>0.023</v>
      </c>
    </row>
    <row r="408" customFormat="false" ht="15" hidden="false" customHeight="false" outlineLevel="0" collapsed="false">
      <c r="A408" s="0" t="s">
        <v>8</v>
      </c>
      <c r="B408" s="0" t="s">
        <v>524</v>
      </c>
      <c r="C408" s="0" t="s">
        <v>3921</v>
      </c>
    </row>
    <row r="409" customFormat="false" ht="15" hidden="false" customHeight="false" outlineLevel="0" collapsed="false">
      <c r="A409" s="0" t="s">
        <v>8</v>
      </c>
      <c r="B409" s="0" t="s">
        <v>524</v>
      </c>
      <c r="C409" s="0" t="s">
        <v>3922</v>
      </c>
    </row>
    <row r="410" customFormat="false" ht="15" hidden="false" customHeight="false" outlineLevel="0" collapsed="false">
      <c r="A410" s="0" t="s">
        <v>8</v>
      </c>
      <c r="B410" s="0" t="s">
        <v>528</v>
      </c>
      <c r="C410" s="0" t="s">
        <v>3920</v>
      </c>
      <c r="D410" s="0" t="n">
        <v>0.017</v>
      </c>
    </row>
    <row r="411" customFormat="false" ht="15" hidden="false" customHeight="false" outlineLevel="0" collapsed="false">
      <c r="A411" s="0" t="s">
        <v>8</v>
      </c>
      <c r="B411" s="0" t="s">
        <v>528</v>
      </c>
      <c r="C411" s="0" t="s">
        <v>3921</v>
      </c>
    </row>
    <row r="412" customFormat="false" ht="15" hidden="false" customHeight="false" outlineLevel="0" collapsed="false">
      <c r="A412" s="0" t="s">
        <v>8</v>
      </c>
      <c r="B412" s="0" t="s">
        <v>528</v>
      </c>
      <c r="C412" s="0" t="s">
        <v>3922</v>
      </c>
    </row>
    <row r="413" customFormat="false" ht="15" hidden="false" customHeight="false" outlineLevel="0" collapsed="false">
      <c r="A413" s="0" t="s">
        <v>8</v>
      </c>
      <c r="B413" s="0" t="s">
        <v>531</v>
      </c>
      <c r="C413" s="0" t="s">
        <v>3920</v>
      </c>
      <c r="D413" s="0" t="n">
        <v>3.3</v>
      </c>
    </row>
    <row r="414" customFormat="false" ht="15" hidden="false" customHeight="false" outlineLevel="0" collapsed="false">
      <c r="A414" s="0" t="s">
        <v>8</v>
      </c>
      <c r="B414" s="0" t="s">
        <v>531</v>
      </c>
      <c r="C414" s="0" t="s">
        <v>3921</v>
      </c>
    </row>
    <row r="415" customFormat="false" ht="15" hidden="false" customHeight="false" outlineLevel="0" collapsed="false">
      <c r="A415" s="0" t="s">
        <v>8</v>
      </c>
      <c r="B415" s="0" t="s">
        <v>531</v>
      </c>
      <c r="C415" s="0" t="s">
        <v>3922</v>
      </c>
    </row>
    <row r="416" customFormat="false" ht="15" hidden="false" customHeight="false" outlineLevel="0" collapsed="false">
      <c r="A416" s="0" t="s">
        <v>8</v>
      </c>
      <c r="B416" s="0" t="s">
        <v>535</v>
      </c>
      <c r="C416" s="0" t="s">
        <v>3920</v>
      </c>
      <c r="D416" s="0" t="n">
        <v>31.8044</v>
      </c>
    </row>
    <row r="417" customFormat="false" ht="15" hidden="false" customHeight="false" outlineLevel="0" collapsed="false">
      <c r="A417" s="0" t="s">
        <v>8</v>
      </c>
      <c r="B417" s="0" t="s">
        <v>535</v>
      </c>
      <c r="C417" s="0" t="s">
        <v>3921</v>
      </c>
    </row>
    <row r="418" customFormat="false" ht="15" hidden="false" customHeight="false" outlineLevel="0" collapsed="false">
      <c r="A418" s="0" t="s">
        <v>8</v>
      </c>
      <c r="B418" s="0" t="s">
        <v>535</v>
      </c>
      <c r="C418" s="0" t="s">
        <v>3922</v>
      </c>
    </row>
    <row r="419" customFormat="false" ht="15" hidden="false" customHeight="false" outlineLevel="0" collapsed="false">
      <c r="A419" s="0" t="s">
        <v>8</v>
      </c>
      <c r="B419" s="0" t="s">
        <v>538</v>
      </c>
      <c r="C419" s="0" t="s">
        <v>3920</v>
      </c>
      <c r="D419" s="0" t="n">
        <v>3.9087</v>
      </c>
    </row>
    <row r="420" customFormat="false" ht="15" hidden="false" customHeight="false" outlineLevel="0" collapsed="false">
      <c r="A420" s="0" t="s">
        <v>8</v>
      </c>
      <c r="B420" s="0" t="s">
        <v>538</v>
      </c>
      <c r="C420" s="0" t="s">
        <v>3921</v>
      </c>
    </row>
    <row r="421" customFormat="false" ht="15" hidden="false" customHeight="false" outlineLevel="0" collapsed="false">
      <c r="A421" s="0" t="s">
        <v>8</v>
      </c>
      <c r="B421" s="0" t="s">
        <v>538</v>
      </c>
      <c r="C421" s="0" t="s">
        <v>3922</v>
      </c>
    </row>
    <row r="422" customFormat="false" ht="15" hidden="false" customHeight="false" outlineLevel="0" collapsed="false">
      <c r="A422" s="0" t="s">
        <v>8</v>
      </c>
      <c r="B422" s="0" t="s">
        <v>541</v>
      </c>
      <c r="C422" s="0" t="s">
        <v>3920</v>
      </c>
      <c r="D422" s="0" t="n">
        <v>5.0536</v>
      </c>
    </row>
    <row r="423" customFormat="false" ht="15" hidden="false" customHeight="false" outlineLevel="0" collapsed="false">
      <c r="A423" s="0" t="s">
        <v>8</v>
      </c>
      <c r="B423" s="0" t="s">
        <v>541</v>
      </c>
      <c r="C423" s="0" t="s">
        <v>3921</v>
      </c>
    </row>
    <row r="424" customFormat="false" ht="15" hidden="false" customHeight="false" outlineLevel="0" collapsed="false">
      <c r="A424" s="0" t="s">
        <v>8</v>
      </c>
      <c r="B424" s="0" t="s">
        <v>541</v>
      </c>
      <c r="C424" s="0" t="s">
        <v>3922</v>
      </c>
    </row>
    <row r="425" customFormat="false" ht="15" hidden="false" customHeight="false" outlineLevel="0" collapsed="false">
      <c r="A425" s="0" t="s">
        <v>8</v>
      </c>
      <c r="B425" s="0" t="s">
        <v>544</v>
      </c>
      <c r="C425" s="0" t="s">
        <v>3920</v>
      </c>
      <c r="D425" s="0" t="n">
        <v>5.5827</v>
      </c>
    </row>
    <row r="426" customFormat="false" ht="15" hidden="false" customHeight="false" outlineLevel="0" collapsed="false">
      <c r="A426" s="0" t="s">
        <v>8</v>
      </c>
      <c r="B426" s="0" t="s">
        <v>544</v>
      </c>
      <c r="C426" s="0" t="s">
        <v>3921</v>
      </c>
    </row>
    <row r="427" customFormat="false" ht="15" hidden="false" customHeight="false" outlineLevel="0" collapsed="false">
      <c r="A427" s="0" t="s">
        <v>8</v>
      </c>
      <c r="B427" s="0" t="s">
        <v>544</v>
      </c>
      <c r="C427" s="0" t="s">
        <v>3922</v>
      </c>
    </row>
    <row r="428" customFormat="false" ht="15" hidden="false" customHeight="false" outlineLevel="0" collapsed="false">
      <c r="A428" s="0" t="s">
        <v>8</v>
      </c>
      <c r="B428" s="0" t="s">
        <v>547</v>
      </c>
      <c r="C428" s="0" t="s">
        <v>3920</v>
      </c>
      <c r="D428" s="0" t="n">
        <v>0.1484</v>
      </c>
    </row>
    <row r="429" customFormat="false" ht="15" hidden="false" customHeight="false" outlineLevel="0" collapsed="false">
      <c r="A429" s="0" t="s">
        <v>8</v>
      </c>
      <c r="B429" s="0" t="s">
        <v>547</v>
      </c>
      <c r="C429" s="0" t="s">
        <v>3921</v>
      </c>
    </row>
    <row r="430" customFormat="false" ht="15" hidden="false" customHeight="false" outlineLevel="0" collapsed="false">
      <c r="A430" s="0" t="s">
        <v>8</v>
      </c>
      <c r="B430" s="0" t="s">
        <v>547</v>
      </c>
      <c r="C430" s="0" t="s">
        <v>3922</v>
      </c>
    </row>
    <row r="431" customFormat="false" ht="15" hidden="false" customHeight="false" outlineLevel="0" collapsed="false">
      <c r="A431" s="0" t="s">
        <v>8</v>
      </c>
      <c r="B431" s="0" t="s">
        <v>550</v>
      </c>
      <c r="C431" s="0" t="s">
        <v>3920</v>
      </c>
      <c r="D431" s="0" t="n">
        <v>0.7431</v>
      </c>
    </row>
    <row r="432" customFormat="false" ht="15" hidden="false" customHeight="false" outlineLevel="0" collapsed="false">
      <c r="A432" s="0" t="s">
        <v>8</v>
      </c>
      <c r="B432" s="0" t="s">
        <v>550</v>
      </c>
      <c r="C432" s="0" t="s">
        <v>3921</v>
      </c>
    </row>
    <row r="433" customFormat="false" ht="15" hidden="false" customHeight="false" outlineLevel="0" collapsed="false">
      <c r="A433" s="0" t="s">
        <v>8</v>
      </c>
      <c r="B433" s="0" t="s">
        <v>550</v>
      </c>
      <c r="C433" s="0" t="s">
        <v>3922</v>
      </c>
    </row>
    <row r="434" customFormat="false" ht="15" hidden="false" customHeight="false" outlineLevel="0" collapsed="false">
      <c r="A434" s="0" t="s">
        <v>8</v>
      </c>
      <c r="B434" s="0" t="s">
        <v>554</v>
      </c>
      <c r="C434" s="0" t="s">
        <v>3920</v>
      </c>
      <c r="D434" s="0" t="n">
        <v>47.1817</v>
      </c>
    </row>
    <row r="435" customFormat="false" ht="15" hidden="false" customHeight="false" outlineLevel="0" collapsed="false">
      <c r="A435" s="0" t="s">
        <v>8</v>
      </c>
      <c r="B435" s="0" t="s">
        <v>554</v>
      </c>
      <c r="C435" s="0" t="s">
        <v>3921</v>
      </c>
    </row>
    <row r="436" customFormat="false" ht="15" hidden="false" customHeight="false" outlineLevel="0" collapsed="false">
      <c r="A436" s="0" t="s">
        <v>8</v>
      </c>
      <c r="B436" s="0" t="s">
        <v>554</v>
      </c>
      <c r="C436" s="0" t="s">
        <v>3922</v>
      </c>
    </row>
    <row r="437" customFormat="false" ht="15" hidden="false" customHeight="false" outlineLevel="0" collapsed="false">
      <c r="A437" s="0" t="s">
        <v>8</v>
      </c>
      <c r="B437" s="0" t="s">
        <v>558</v>
      </c>
      <c r="C437" s="0" t="s">
        <v>3920</v>
      </c>
      <c r="D437" s="0" t="n">
        <v>31.8197</v>
      </c>
    </row>
    <row r="438" customFormat="false" ht="15" hidden="false" customHeight="false" outlineLevel="0" collapsed="false">
      <c r="A438" s="0" t="s">
        <v>8</v>
      </c>
      <c r="B438" s="0" t="s">
        <v>558</v>
      </c>
      <c r="C438" s="0" t="s">
        <v>3921</v>
      </c>
    </row>
    <row r="439" customFormat="false" ht="15" hidden="false" customHeight="false" outlineLevel="0" collapsed="false">
      <c r="A439" s="0" t="s">
        <v>8</v>
      </c>
      <c r="B439" s="0" t="s">
        <v>558</v>
      </c>
      <c r="C439" s="0" t="s">
        <v>3922</v>
      </c>
    </row>
    <row r="440" customFormat="false" ht="15" hidden="false" customHeight="false" outlineLevel="0" collapsed="false">
      <c r="A440" s="0" t="s">
        <v>8</v>
      </c>
      <c r="B440" s="0" t="s">
        <v>561</v>
      </c>
      <c r="C440" s="0" t="s">
        <v>3920</v>
      </c>
      <c r="D440" s="0" t="n">
        <v>9.3736</v>
      </c>
    </row>
    <row r="441" customFormat="false" ht="15" hidden="false" customHeight="false" outlineLevel="0" collapsed="false">
      <c r="A441" s="0" t="s">
        <v>8</v>
      </c>
      <c r="B441" s="0" t="s">
        <v>561</v>
      </c>
      <c r="C441" s="0" t="s">
        <v>3921</v>
      </c>
    </row>
    <row r="442" customFormat="false" ht="15" hidden="false" customHeight="false" outlineLevel="0" collapsed="false">
      <c r="A442" s="0" t="s">
        <v>8</v>
      </c>
      <c r="B442" s="0" t="s">
        <v>561</v>
      </c>
      <c r="C442" s="0" t="s">
        <v>3922</v>
      </c>
    </row>
    <row r="443" customFormat="false" ht="15" hidden="false" customHeight="false" outlineLevel="0" collapsed="false">
      <c r="A443" s="0" t="s">
        <v>8</v>
      </c>
      <c r="B443" s="0" t="s">
        <v>565</v>
      </c>
      <c r="C443" s="0" t="s">
        <v>3920</v>
      </c>
      <c r="D443" s="0" t="n">
        <v>4.6886</v>
      </c>
    </row>
    <row r="444" customFormat="false" ht="15" hidden="false" customHeight="false" outlineLevel="0" collapsed="false">
      <c r="A444" s="0" t="s">
        <v>8</v>
      </c>
      <c r="B444" s="0" t="s">
        <v>565</v>
      </c>
      <c r="C444" s="0" t="s">
        <v>3921</v>
      </c>
    </row>
    <row r="445" customFormat="false" ht="15" hidden="false" customHeight="false" outlineLevel="0" collapsed="false">
      <c r="A445" s="0" t="s">
        <v>8</v>
      </c>
      <c r="B445" s="0" t="s">
        <v>565</v>
      </c>
      <c r="C445" s="0" t="s">
        <v>3922</v>
      </c>
    </row>
    <row r="446" customFormat="false" ht="15" hidden="false" customHeight="false" outlineLevel="0" collapsed="false">
      <c r="A446" s="0" t="s">
        <v>8</v>
      </c>
      <c r="B446" s="0" t="s">
        <v>568</v>
      </c>
      <c r="C446" s="0" t="s">
        <v>3920</v>
      </c>
      <c r="D446" s="0" t="n">
        <v>0.747</v>
      </c>
    </row>
    <row r="447" customFormat="false" ht="15" hidden="false" customHeight="false" outlineLevel="0" collapsed="false">
      <c r="A447" s="0" t="s">
        <v>8</v>
      </c>
      <c r="B447" s="0" t="s">
        <v>568</v>
      </c>
      <c r="C447" s="0" t="s">
        <v>3921</v>
      </c>
    </row>
    <row r="448" customFormat="false" ht="15" hidden="false" customHeight="false" outlineLevel="0" collapsed="false">
      <c r="A448" s="0" t="s">
        <v>8</v>
      </c>
      <c r="B448" s="0" t="s">
        <v>568</v>
      </c>
      <c r="C448" s="0" t="s">
        <v>3922</v>
      </c>
    </row>
    <row r="449" customFormat="false" ht="15" hidden="false" customHeight="false" outlineLevel="0" collapsed="false">
      <c r="A449" s="0" t="s">
        <v>8</v>
      </c>
      <c r="B449" s="0" t="s">
        <v>572</v>
      </c>
      <c r="C449" s="0" t="s">
        <v>3920</v>
      </c>
      <c r="D449" s="0" t="n">
        <v>4.623</v>
      </c>
    </row>
    <row r="450" customFormat="false" ht="15" hidden="false" customHeight="false" outlineLevel="0" collapsed="false">
      <c r="A450" s="0" t="s">
        <v>8</v>
      </c>
      <c r="B450" s="0" t="s">
        <v>572</v>
      </c>
      <c r="C450" s="0" t="s">
        <v>3921</v>
      </c>
    </row>
    <row r="451" customFormat="false" ht="15" hidden="false" customHeight="false" outlineLevel="0" collapsed="false">
      <c r="A451" s="0" t="s">
        <v>8</v>
      </c>
      <c r="B451" s="0" t="s">
        <v>572</v>
      </c>
      <c r="C451" s="0" t="s">
        <v>3922</v>
      </c>
    </row>
    <row r="452" customFormat="false" ht="15" hidden="false" customHeight="false" outlineLevel="0" collapsed="false">
      <c r="A452" s="0" t="s">
        <v>8</v>
      </c>
      <c r="B452" s="0" t="s">
        <v>575</v>
      </c>
      <c r="C452" s="0" t="s">
        <v>3920</v>
      </c>
      <c r="D452" s="0" t="n">
        <v>22.5915</v>
      </c>
    </row>
    <row r="453" customFormat="false" ht="15" hidden="false" customHeight="false" outlineLevel="0" collapsed="false">
      <c r="A453" s="0" t="s">
        <v>8</v>
      </c>
      <c r="B453" s="0" t="s">
        <v>575</v>
      </c>
      <c r="C453" s="0" t="s">
        <v>3921</v>
      </c>
    </row>
    <row r="454" customFormat="false" ht="15" hidden="false" customHeight="false" outlineLevel="0" collapsed="false">
      <c r="A454" s="0" t="s">
        <v>8</v>
      </c>
      <c r="B454" s="0" t="s">
        <v>575</v>
      </c>
      <c r="C454" s="0" t="s">
        <v>3922</v>
      </c>
    </row>
    <row r="455" customFormat="false" ht="15" hidden="false" customHeight="false" outlineLevel="0" collapsed="false">
      <c r="A455" s="0" t="s">
        <v>8</v>
      </c>
      <c r="B455" s="0" t="s">
        <v>579</v>
      </c>
      <c r="C455" s="0" t="s">
        <v>3920</v>
      </c>
      <c r="D455" s="0" t="n">
        <v>22.6922</v>
      </c>
    </row>
    <row r="456" customFormat="false" ht="15" hidden="false" customHeight="false" outlineLevel="0" collapsed="false">
      <c r="A456" s="0" t="s">
        <v>8</v>
      </c>
      <c r="B456" s="0" t="s">
        <v>579</v>
      </c>
      <c r="C456" s="0" t="s">
        <v>3921</v>
      </c>
    </row>
    <row r="457" customFormat="false" ht="15" hidden="false" customHeight="false" outlineLevel="0" collapsed="false">
      <c r="A457" s="0" t="s">
        <v>8</v>
      </c>
      <c r="B457" s="0" t="s">
        <v>579</v>
      </c>
      <c r="C457" s="0" t="s">
        <v>3922</v>
      </c>
    </row>
    <row r="458" customFormat="false" ht="15" hidden="false" customHeight="false" outlineLevel="0" collapsed="false">
      <c r="A458" s="0" t="s">
        <v>8</v>
      </c>
      <c r="B458" s="0" t="s">
        <v>582</v>
      </c>
      <c r="C458" s="0" t="s">
        <v>3920</v>
      </c>
      <c r="D458" s="0" t="n">
        <v>1.0859</v>
      </c>
    </row>
    <row r="459" customFormat="false" ht="15" hidden="false" customHeight="false" outlineLevel="0" collapsed="false">
      <c r="A459" s="0" t="s">
        <v>8</v>
      </c>
      <c r="B459" s="0" t="s">
        <v>582</v>
      </c>
      <c r="C459" s="0" t="s">
        <v>3921</v>
      </c>
    </row>
    <row r="460" customFormat="false" ht="15" hidden="false" customHeight="false" outlineLevel="0" collapsed="false">
      <c r="A460" s="0" t="s">
        <v>8</v>
      </c>
      <c r="B460" s="0" t="s">
        <v>582</v>
      </c>
      <c r="C460" s="0" t="s">
        <v>3922</v>
      </c>
    </row>
    <row r="461" customFormat="false" ht="15" hidden="false" customHeight="false" outlineLevel="0" collapsed="false">
      <c r="A461" s="0" t="s">
        <v>8</v>
      </c>
      <c r="B461" s="0" t="s">
        <v>586</v>
      </c>
      <c r="C461" s="0" t="s">
        <v>3920</v>
      </c>
      <c r="D461" s="0" t="n">
        <v>1.0534</v>
      </c>
    </row>
    <row r="462" customFormat="false" ht="15" hidden="false" customHeight="false" outlineLevel="0" collapsed="false">
      <c r="A462" s="0" t="s">
        <v>8</v>
      </c>
      <c r="B462" s="0" t="s">
        <v>586</v>
      </c>
      <c r="C462" s="0" t="s">
        <v>3921</v>
      </c>
    </row>
    <row r="463" customFormat="false" ht="15" hidden="false" customHeight="false" outlineLevel="0" collapsed="false">
      <c r="A463" s="0" t="s">
        <v>8</v>
      </c>
      <c r="B463" s="0" t="s">
        <v>586</v>
      </c>
      <c r="C463" s="0" t="s">
        <v>3922</v>
      </c>
    </row>
    <row r="464" customFormat="false" ht="15" hidden="false" customHeight="false" outlineLevel="0" collapsed="false">
      <c r="A464" s="0" t="s">
        <v>8</v>
      </c>
      <c r="B464" s="0" t="s">
        <v>590</v>
      </c>
      <c r="C464" s="0" t="s">
        <v>3920</v>
      </c>
      <c r="D464" s="0" t="n">
        <v>6.8945</v>
      </c>
    </row>
    <row r="465" customFormat="false" ht="15" hidden="false" customHeight="false" outlineLevel="0" collapsed="false">
      <c r="A465" s="0" t="s">
        <v>8</v>
      </c>
      <c r="B465" s="0" t="s">
        <v>590</v>
      </c>
      <c r="C465" s="0" t="s">
        <v>3921</v>
      </c>
    </row>
    <row r="466" customFormat="false" ht="15" hidden="false" customHeight="false" outlineLevel="0" collapsed="false">
      <c r="A466" s="0" t="s">
        <v>8</v>
      </c>
      <c r="B466" s="0" t="s">
        <v>590</v>
      </c>
      <c r="C466" s="0" t="s">
        <v>3922</v>
      </c>
    </row>
    <row r="467" customFormat="false" ht="15" hidden="false" customHeight="false" outlineLevel="0" collapsed="false">
      <c r="A467" s="0" t="s">
        <v>8</v>
      </c>
      <c r="B467" s="0" t="s">
        <v>594</v>
      </c>
      <c r="C467" s="0" t="s">
        <v>3920</v>
      </c>
      <c r="D467" s="0" t="n">
        <v>1.3725</v>
      </c>
    </row>
    <row r="468" customFormat="false" ht="15" hidden="false" customHeight="false" outlineLevel="0" collapsed="false">
      <c r="A468" s="0" t="s">
        <v>8</v>
      </c>
      <c r="B468" s="0" t="s">
        <v>594</v>
      </c>
      <c r="C468" s="0" t="s">
        <v>3921</v>
      </c>
    </row>
    <row r="469" customFormat="false" ht="15" hidden="false" customHeight="false" outlineLevel="0" collapsed="false">
      <c r="A469" s="0" t="s">
        <v>8</v>
      </c>
      <c r="B469" s="0" t="s">
        <v>594</v>
      </c>
      <c r="C469" s="0" t="s">
        <v>3922</v>
      </c>
    </row>
    <row r="470" customFormat="false" ht="15" hidden="false" customHeight="false" outlineLevel="0" collapsed="false">
      <c r="A470" s="0" t="s">
        <v>8</v>
      </c>
      <c r="B470" s="0" t="s">
        <v>597</v>
      </c>
      <c r="C470" s="0" t="s">
        <v>3920</v>
      </c>
      <c r="D470" s="0" t="n">
        <v>5.4514</v>
      </c>
    </row>
    <row r="471" customFormat="false" ht="15" hidden="false" customHeight="false" outlineLevel="0" collapsed="false">
      <c r="A471" s="0" t="s">
        <v>8</v>
      </c>
      <c r="B471" s="0" t="s">
        <v>597</v>
      </c>
      <c r="C471" s="0" t="s">
        <v>3921</v>
      </c>
    </row>
    <row r="472" customFormat="false" ht="15" hidden="false" customHeight="false" outlineLevel="0" collapsed="false">
      <c r="A472" s="0" t="s">
        <v>8</v>
      </c>
      <c r="B472" s="0" t="s">
        <v>597</v>
      </c>
      <c r="C472" s="0" t="s">
        <v>3922</v>
      </c>
    </row>
    <row r="473" customFormat="false" ht="15" hidden="false" customHeight="false" outlineLevel="0" collapsed="false">
      <c r="A473" s="0" t="s">
        <v>8</v>
      </c>
      <c r="B473" s="0" t="s">
        <v>601</v>
      </c>
      <c r="C473" s="0" t="s">
        <v>3920</v>
      </c>
      <c r="D473" s="0" t="n">
        <v>6.7127</v>
      </c>
    </row>
    <row r="474" customFormat="false" ht="15" hidden="false" customHeight="false" outlineLevel="0" collapsed="false">
      <c r="A474" s="0" t="s">
        <v>8</v>
      </c>
      <c r="B474" s="0" t="s">
        <v>601</v>
      </c>
      <c r="C474" s="0" t="s">
        <v>3921</v>
      </c>
    </row>
    <row r="475" customFormat="false" ht="15" hidden="false" customHeight="false" outlineLevel="0" collapsed="false">
      <c r="A475" s="0" t="s">
        <v>8</v>
      </c>
      <c r="B475" s="0" t="s">
        <v>601</v>
      </c>
      <c r="C475" s="0" t="s">
        <v>3922</v>
      </c>
    </row>
    <row r="476" customFormat="false" ht="15" hidden="false" customHeight="false" outlineLevel="0" collapsed="false">
      <c r="A476" s="0" t="s">
        <v>8</v>
      </c>
      <c r="B476" s="0" t="s">
        <v>604</v>
      </c>
      <c r="C476" s="0" t="s">
        <v>3920</v>
      </c>
      <c r="D476" s="0" t="n">
        <v>1.3216</v>
      </c>
    </row>
    <row r="477" customFormat="false" ht="15" hidden="false" customHeight="false" outlineLevel="0" collapsed="false">
      <c r="A477" s="0" t="s">
        <v>8</v>
      </c>
      <c r="B477" s="0" t="s">
        <v>604</v>
      </c>
      <c r="C477" s="0" t="s">
        <v>3921</v>
      </c>
    </row>
    <row r="478" customFormat="false" ht="15" hidden="false" customHeight="false" outlineLevel="0" collapsed="false">
      <c r="A478" s="0" t="s">
        <v>8</v>
      </c>
      <c r="B478" s="0" t="s">
        <v>604</v>
      </c>
      <c r="C478" s="0" t="s">
        <v>3922</v>
      </c>
    </row>
    <row r="479" customFormat="false" ht="15" hidden="false" customHeight="false" outlineLevel="0" collapsed="false">
      <c r="A479" s="0" t="s">
        <v>8</v>
      </c>
      <c r="B479" s="0" t="s">
        <v>608</v>
      </c>
      <c r="C479" s="0" t="s">
        <v>3920</v>
      </c>
      <c r="D479" s="0" t="n">
        <v>7.2735</v>
      </c>
    </row>
    <row r="480" customFormat="false" ht="15" hidden="false" customHeight="false" outlineLevel="0" collapsed="false">
      <c r="A480" s="0" t="s">
        <v>8</v>
      </c>
      <c r="B480" s="0" t="s">
        <v>608</v>
      </c>
      <c r="C480" s="0" t="s">
        <v>3921</v>
      </c>
    </row>
    <row r="481" customFormat="false" ht="15" hidden="false" customHeight="false" outlineLevel="0" collapsed="false">
      <c r="A481" s="0" t="s">
        <v>8</v>
      </c>
      <c r="B481" s="0" t="s">
        <v>608</v>
      </c>
      <c r="C481" s="0" t="s">
        <v>3922</v>
      </c>
    </row>
    <row r="482" customFormat="false" ht="15" hidden="false" customHeight="false" outlineLevel="0" collapsed="false">
      <c r="A482" s="0" t="s">
        <v>8</v>
      </c>
      <c r="B482" s="0" t="s">
        <v>612</v>
      </c>
      <c r="C482" s="0" t="s">
        <v>3920</v>
      </c>
      <c r="D482" s="0" t="n">
        <v>2.6947</v>
      </c>
    </row>
    <row r="483" customFormat="false" ht="15" hidden="false" customHeight="false" outlineLevel="0" collapsed="false">
      <c r="A483" s="0" t="s">
        <v>8</v>
      </c>
      <c r="B483" s="0" t="s">
        <v>612</v>
      </c>
      <c r="C483" s="0" t="s">
        <v>3921</v>
      </c>
    </row>
    <row r="484" customFormat="false" ht="15" hidden="false" customHeight="false" outlineLevel="0" collapsed="false">
      <c r="A484" s="0" t="s">
        <v>8</v>
      </c>
      <c r="B484" s="0" t="s">
        <v>612</v>
      </c>
      <c r="C484" s="0" t="s">
        <v>3922</v>
      </c>
    </row>
    <row r="485" customFormat="false" ht="15" hidden="false" customHeight="false" outlineLevel="0" collapsed="false">
      <c r="A485" s="0" t="s">
        <v>8</v>
      </c>
      <c r="B485" s="0" t="s">
        <v>615</v>
      </c>
      <c r="C485" s="0" t="s">
        <v>3920</v>
      </c>
      <c r="D485" s="0" t="n">
        <v>1094</v>
      </c>
    </row>
    <row r="486" customFormat="false" ht="15" hidden="false" customHeight="false" outlineLevel="0" collapsed="false">
      <c r="A486" s="0" t="s">
        <v>8</v>
      </c>
      <c r="B486" s="0" t="s">
        <v>615</v>
      </c>
      <c r="C486" s="0" t="s">
        <v>3921</v>
      </c>
    </row>
    <row r="487" customFormat="false" ht="15" hidden="false" customHeight="false" outlineLevel="0" collapsed="false">
      <c r="A487" s="0" t="s">
        <v>8</v>
      </c>
      <c r="B487" s="0" t="s">
        <v>615</v>
      </c>
      <c r="C487" s="0" t="s">
        <v>3922</v>
      </c>
    </row>
    <row r="488" customFormat="false" ht="15" hidden="false" customHeight="false" outlineLevel="0" collapsed="false">
      <c r="A488" s="0" t="s">
        <v>8</v>
      </c>
      <c r="B488" s="0" t="s">
        <v>620</v>
      </c>
      <c r="C488" s="0" t="s">
        <v>3920</v>
      </c>
      <c r="D488" s="0" t="n">
        <v>13.634</v>
      </c>
    </row>
    <row r="489" customFormat="false" ht="15" hidden="false" customHeight="false" outlineLevel="0" collapsed="false">
      <c r="A489" s="0" t="s">
        <v>8</v>
      </c>
      <c r="B489" s="0" t="s">
        <v>620</v>
      </c>
      <c r="C489" s="0" t="s">
        <v>3921</v>
      </c>
    </row>
    <row r="490" customFormat="false" ht="15" hidden="false" customHeight="false" outlineLevel="0" collapsed="false">
      <c r="A490" s="0" t="s">
        <v>8</v>
      </c>
      <c r="B490" s="0" t="s">
        <v>620</v>
      </c>
      <c r="C490" s="0" t="s">
        <v>3922</v>
      </c>
    </row>
    <row r="491" customFormat="false" ht="15" hidden="false" customHeight="false" outlineLevel="0" collapsed="false">
      <c r="A491" s="0" t="s">
        <v>8</v>
      </c>
      <c r="B491" s="0" t="s">
        <v>624</v>
      </c>
      <c r="C491" s="0" t="s">
        <v>3920</v>
      </c>
      <c r="D491" s="0" t="n">
        <v>0.01246</v>
      </c>
    </row>
    <row r="492" customFormat="false" ht="15" hidden="false" customHeight="false" outlineLevel="0" collapsed="false">
      <c r="A492" s="0" t="s">
        <v>8</v>
      </c>
      <c r="B492" s="0" t="s">
        <v>624</v>
      </c>
      <c r="C492" s="0" t="s">
        <v>3921</v>
      </c>
    </row>
    <row r="493" customFormat="false" ht="15" hidden="false" customHeight="false" outlineLevel="0" collapsed="false">
      <c r="A493" s="0" t="s">
        <v>8</v>
      </c>
      <c r="B493" s="0" t="s">
        <v>624</v>
      </c>
      <c r="C493" s="0" t="s">
        <v>3922</v>
      </c>
    </row>
    <row r="494" customFormat="false" ht="15" hidden="false" customHeight="false" outlineLevel="0" collapsed="false">
      <c r="A494" s="0" t="s">
        <v>8</v>
      </c>
      <c r="B494" s="0" t="s">
        <v>633</v>
      </c>
      <c r="C494" s="0" t="s">
        <v>3920</v>
      </c>
    </row>
    <row r="495" customFormat="false" ht="15" hidden="false" customHeight="false" outlineLevel="0" collapsed="false">
      <c r="A495" s="0" t="s">
        <v>8</v>
      </c>
      <c r="B495" s="0" t="s">
        <v>633</v>
      </c>
      <c r="C495" s="0" t="s">
        <v>3921</v>
      </c>
    </row>
    <row r="496" customFormat="false" ht="15" hidden="false" customHeight="false" outlineLevel="0" collapsed="false">
      <c r="A496" s="0" t="s">
        <v>8</v>
      </c>
      <c r="B496" s="0" t="s">
        <v>633</v>
      </c>
      <c r="C496" s="0" t="s">
        <v>3922</v>
      </c>
    </row>
    <row r="497" customFormat="false" ht="15" hidden="false" customHeight="false" outlineLevel="0" collapsed="false">
      <c r="A497" s="0" t="s">
        <v>8</v>
      </c>
      <c r="B497" s="0" t="s">
        <v>637</v>
      </c>
      <c r="C497" s="0" t="s">
        <v>3920</v>
      </c>
      <c r="D497" s="0" t="n">
        <v>83</v>
      </c>
    </row>
    <row r="498" customFormat="false" ht="15" hidden="false" customHeight="false" outlineLevel="0" collapsed="false">
      <c r="A498" s="0" t="s">
        <v>8</v>
      </c>
      <c r="B498" s="0" t="s">
        <v>637</v>
      </c>
      <c r="C498" s="0" t="s">
        <v>3921</v>
      </c>
    </row>
    <row r="499" customFormat="false" ht="15" hidden="false" customHeight="false" outlineLevel="0" collapsed="false">
      <c r="A499" s="0" t="s">
        <v>8</v>
      </c>
      <c r="B499" s="0" t="s">
        <v>637</v>
      </c>
      <c r="C499" s="0" t="s">
        <v>3922</v>
      </c>
    </row>
    <row r="500" customFormat="false" ht="15" hidden="false" customHeight="false" outlineLevel="0" collapsed="false">
      <c r="A500" s="0" t="s">
        <v>8</v>
      </c>
      <c r="B500" s="0" t="s">
        <v>643</v>
      </c>
      <c r="C500" s="0" t="s">
        <v>3920</v>
      </c>
    </row>
    <row r="501" customFormat="false" ht="15" hidden="false" customHeight="false" outlineLevel="0" collapsed="false">
      <c r="A501" s="0" t="s">
        <v>8</v>
      </c>
      <c r="B501" s="0" t="s">
        <v>643</v>
      </c>
      <c r="C501" s="0" t="s">
        <v>3921</v>
      </c>
    </row>
    <row r="502" customFormat="false" ht="15" hidden="false" customHeight="false" outlineLevel="0" collapsed="false">
      <c r="A502" s="0" t="s">
        <v>8</v>
      </c>
      <c r="B502" s="0" t="s">
        <v>643</v>
      </c>
      <c r="C502" s="0" t="s">
        <v>3922</v>
      </c>
    </row>
    <row r="503" customFormat="false" ht="15" hidden="false" customHeight="false" outlineLevel="0" collapsed="false">
      <c r="A503" s="0" t="s">
        <v>8</v>
      </c>
      <c r="B503" s="0" t="s">
        <v>647</v>
      </c>
      <c r="C503" s="0" t="s">
        <v>3920</v>
      </c>
      <c r="D503" s="0" t="n">
        <v>242000</v>
      </c>
    </row>
    <row r="504" customFormat="false" ht="15" hidden="false" customHeight="false" outlineLevel="0" collapsed="false">
      <c r="A504" s="0" t="s">
        <v>8</v>
      </c>
      <c r="B504" s="0" t="s">
        <v>647</v>
      </c>
      <c r="C504" s="0" t="s">
        <v>3921</v>
      </c>
      <c r="D504" s="0" t="n">
        <v>242000</v>
      </c>
    </row>
    <row r="505" customFormat="false" ht="15" hidden="false" customHeight="false" outlineLevel="0" collapsed="false">
      <c r="A505" s="0" t="s">
        <v>8</v>
      </c>
      <c r="B505" s="0" t="s">
        <v>647</v>
      </c>
      <c r="C505" s="0" t="s">
        <v>3922</v>
      </c>
    </row>
    <row r="506" customFormat="false" ht="15" hidden="false" customHeight="false" outlineLevel="0" collapsed="false">
      <c r="A506" s="0" t="s">
        <v>8</v>
      </c>
      <c r="B506" s="0" t="s">
        <v>651</v>
      </c>
      <c r="C506" s="0" t="s">
        <v>3920</v>
      </c>
      <c r="D506" s="0" t="n">
        <v>8.2518</v>
      </c>
    </row>
    <row r="507" customFormat="false" ht="15" hidden="false" customHeight="false" outlineLevel="0" collapsed="false">
      <c r="A507" s="0" t="s">
        <v>8</v>
      </c>
      <c r="B507" s="0" t="s">
        <v>651</v>
      </c>
      <c r="C507" s="0" t="s">
        <v>3921</v>
      </c>
    </row>
    <row r="508" customFormat="false" ht="15" hidden="false" customHeight="false" outlineLevel="0" collapsed="false">
      <c r="A508" s="0" t="s">
        <v>8</v>
      </c>
      <c r="B508" s="0" t="s">
        <v>651</v>
      </c>
      <c r="C508" s="0" t="s">
        <v>3922</v>
      </c>
    </row>
    <row r="509" customFormat="false" ht="15" hidden="false" customHeight="false" outlineLevel="0" collapsed="false">
      <c r="A509" s="0" t="s">
        <v>8</v>
      </c>
      <c r="B509" s="0" t="s">
        <v>660</v>
      </c>
      <c r="C509" s="0" t="s">
        <v>3920</v>
      </c>
      <c r="D509" s="0" t="n">
        <v>0.291</v>
      </c>
    </row>
    <row r="510" customFormat="false" ht="15" hidden="false" customHeight="false" outlineLevel="0" collapsed="false">
      <c r="A510" s="0" t="s">
        <v>8</v>
      </c>
      <c r="B510" s="0" t="s">
        <v>660</v>
      </c>
      <c r="C510" s="0" t="s">
        <v>3921</v>
      </c>
    </row>
    <row r="511" customFormat="false" ht="15" hidden="false" customHeight="false" outlineLevel="0" collapsed="false">
      <c r="A511" s="0" t="s">
        <v>8</v>
      </c>
      <c r="B511" s="0" t="s">
        <v>660</v>
      </c>
      <c r="C511" s="0" t="s">
        <v>3922</v>
      </c>
    </row>
    <row r="512" customFormat="false" ht="15" hidden="false" customHeight="false" outlineLevel="0" collapsed="false">
      <c r="A512" s="0" t="s">
        <v>8</v>
      </c>
      <c r="B512" s="0" t="s">
        <v>663</v>
      </c>
      <c r="C512" s="0" t="s">
        <v>3920</v>
      </c>
      <c r="D512" s="0" t="n">
        <v>0.5556</v>
      </c>
    </row>
    <row r="513" customFormat="false" ht="15" hidden="false" customHeight="false" outlineLevel="0" collapsed="false">
      <c r="A513" s="0" t="s">
        <v>8</v>
      </c>
      <c r="B513" s="0" t="s">
        <v>663</v>
      </c>
      <c r="C513" s="0" t="s">
        <v>3921</v>
      </c>
    </row>
    <row r="514" customFormat="false" ht="15" hidden="false" customHeight="false" outlineLevel="0" collapsed="false">
      <c r="A514" s="0" t="s">
        <v>8</v>
      </c>
      <c r="B514" s="0" t="s">
        <v>663</v>
      </c>
      <c r="C514" s="0" t="s">
        <v>3922</v>
      </c>
    </row>
    <row r="515" customFormat="false" ht="15" hidden="false" customHeight="false" outlineLevel="0" collapsed="false">
      <c r="A515" s="0" t="s">
        <v>8</v>
      </c>
      <c r="B515" s="0" t="s">
        <v>667</v>
      </c>
      <c r="C515" s="0" t="s">
        <v>3920</v>
      </c>
      <c r="D515" s="0" t="n">
        <v>0.1374</v>
      </c>
    </row>
    <row r="516" customFormat="false" ht="15" hidden="false" customHeight="false" outlineLevel="0" collapsed="false">
      <c r="A516" s="0" t="s">
        <v>8</v>
      </c>
      <c r="B516" s="0" t="s">
        <v>667</v>
      </c>
      <c r="C516" s="0" t="s">
        <v>3921</v>
      </c>
    </row>
    <row r="517" customFormat="false" ht="15" hidden="false" customHeight="false" outlineLevel="0" collapsed="false">
      <c r="A517" s="0" t="s">
        <v>8</v>
      </c>
      <c r="B517" s="0" t="s">
        <v>667</v>
      </c>
      <c r="C517" s="0" t="s">
        <v>3922</v>
      </c>
    </row>
    <row r="518" customFormat="false" ht="15" hidden="false" customHeight="false" outlineLevel="0" collapsed="false">
      <c r="A518" s="0" t="s">
        <v>8</v>
      </c>
      <c r="B518" s="0" t="s">
        <v>670</v>
      </c>
      <c r="C518" s="0" t="s">
        <v>3920</v>
      </c>
      <c r="D518" s="0" t="n">
        <v>0.6704</v>
      </c>
    </row>
    <row r="519" customFormat="false" ht="15" hidden="false" customHeight="false" outlineLevel="0" collapsed="false">
      <c r="A519" s="0" t="s">
        <v>8</v>
      </c>
      <c r="B519" s="0" t="s">
        <v>670</v>
      </c>
      <c r="C519" s="0" t="s">
        <v>3921</v>
      </c>
    </row>
    <row r="520" customFormat="false" ht="15" hidden="false" customHeight="false" outlineLevel="0" collapsed="false">
      <c r="A520" s="0" t="s">
        <v>8</v>
      </c>
      <c r="B520" s="0" t="s">
        <v>670</v>
      </c>
      <c r="C520" s="0" t="s">
        <v>3922</v>
      </c>
    </row>
    <row r="521" customFormat="false" ht="15" hidden="false" customHeight="false" outlineLevel="0" collapsed="false">
      <c r="A521" s="0" t="s">
        <v>8</v>
      </c>
      <c r="B521" s="0" t="s">
        <v>674</v>
      </c>
      <c r="C521" s="0" t="s">
        <v>3920</v>
      </c>
      <c r="D521" s="0" t="n">
        <v>1.4755</v>
      </c>
    </row>
    <row r="522" customFormat="false" ht="15" hidden="false" customHeight="false" outlineLevel="0" collapsed="false">
      <c r="A522" s="0" t="s">
        <v>8</v>
      </c>
      <c r="B522" s="0" t="s">
        <v>674</v>
      </c>
      <c r="C522" s="0" t="s">
        <v>3921</v>
      </c>
    </row>
    <row r="523" customFormat="false" ht="15" hidden="false" customHeight="false" outlineLevel="0" collapsed="false">
      <c r="A523" s="0" t="s">
        <v>8</v>
      </c>
      <c r="B523" s="0" t="s">
        <v>674</v>
      </c>
      <c r="C523" s="0" t="s">
        <v>3922</v>
      </c>
    </row>
    <row r="524" customFormat="false" ht="15" hidden="false" customHeight="false" outlineLevel="0" collapsed="false">
      <c r="A524" s="0" t="s">
        <v>8</v>
      </c>
      <c r="B524" s="0" t="s">
        <v>677</v>
      </c>
      <c r="C524" s="0" t="s">
        <v>3920</v>
      </c>
      <c r="D524" s="0" t="n">
        <v>0.0612</v>
      </c>
    </row>
    <row r="525" customFormat="false" ht="15" hidden="false" customHeight="false" outlineLevel="0" collapsed="false">
      <c r="A525" s="0" t="s">
        <v>8</v>
      </c>
      <c r="B525" s="0" t="s">
        <v>677</v>
      </c>
      <c r="C525" s="0" t="s">
        <v>3921</v>
      </c>
    </row>
    <row r="526" customFormat="false" ht="15" hidden="false" customHeight="false" outlineLevel="0" collapsed="false">
      <c r="A526" s="0" t="s">
        <v>8</v>
      </c>
      <c r="B526" s="0" t="s">
        <v>677</v>
      </c>
      <c r="C526" s="0" t="s">
        <v>3922</v>
      </c>
    </row>
    <row r="527" customFormat="false" ht="15" hidden="false" customHeight="false" outlineLevel="0" collapsed="false">
      <c r="A527" s="0" t="s">
        <v>8</v>
      </c>
      <c r="B527" s="0" t="s">
        <v>681</v>
      </c>
      <c r="C527" s="0" t="s">
        <v>3920</v>
      </c>
      <c r="D527" s="0" t="n">
        <v>0.0048</v>
      </c>
    </row>
    <row r="528" customFormat="false" ht="15" hidden="false" customHeight="false" outlineLevel="0" collapsed="false">
      <c r="A528" s="0" t="s">
        <v>8</v>
      </c>
      <c r="B528" s="0" t="s">
        <v>681</v>
      </c>
      <c r="C528" s="0" t="s">
        <v>3921</v>
      </c>
    </row>
    <row r="529" customFormat="false" ht="15" hidden="false" customHeight="false" outlineLevel="0" collapsed="false">
      <c r="A529" s="0" t="s">
        <v>8</v>
      </c>
      <c r="B529" s="0" t="s">
        <v>681</v>
      </c>
      <c r="C529" s="0" t="s">
        <v>3922</v>
      </c>
    </row>
    <row r="530" customFormat="false" ht="15" hidden="false" customHeight="false" outlineLevel="0" collapsed="false">
      <c r="A530" s="0" t="s">
        <v>8</v>
      </c>
      <c r="B530" s="0" t="s">
        <v>684</v>
      </c>
      <c r="C530" s="0" t="s">
        <v>3920</v>
      </c>
      <c r="D530" s="0" t="n">
        <v>9.5389</v>
      </c>
    </row>
    <row r="531" customFormat="false" ht="15" hidden="false" customHeight="false" outlineLevel="0" collapsed="false">
      <c r="A531" s="0" t="s">
        <v>8</v>
      </c>
      <c r="B531" s="0" t="s">
        <v>684</v>
      </c>
      <c r="C531" s="0" t="s">
        <v>3921</v>
      </c>
    </row>
    <row r="532" customFormat="false" ht="15" hidden="false" customHeight="false" outlineLevel="0" collapsed="false">
      <c r="A532" s="0" t="s">
        <v>8</v>
      </c>
      <c r="B532" s="0" t="s">
        <v>684</v>
      </c>
      <c r="C532" s="0" t="s">
        <v>3922</v>
      </c>
    </row>
    <row r="533" customFormat="false" ht="15" hidden="false" customHeight="false" outlineLevel="0" collapsed="false">
      <c r="A533" s="0" t="s">
        <v>8</v>
      </c>
      <c r="B533" s="0" t="s">
        <v>687</v>
      </c>
      <c r="C533" s="0" t="s">
        <v>3920</v>
      </c>
      <c r="D533" s="0" t="n">
        <v>1.2872</v>
      </c>
    </row>
    <row r="534" customFormat="false" ht="15" hidden="false" customHeight="false" outlineLevel="0" collapsed="false">
      <c r="A534" s="0" t="s">
        <v>8</v>
      </c>
      <c r="B534" s="0" t="s">
        <v>687</v>
      </c>
      <c r="C534" s="0" t="s">
        <v>3921</v>
      </c>
    </row>
    <row r="535" customFormat="false" ht="15" hidden="false" customHeight="false" outlineLevel="0" collapsed="false">
      <c r="A535" s="0" t="s">
        <v>8</v>
      </c>
      <c r="B535" s="0" t="s">
        <v>687</v>
      </c>
      <c r="C535" s="0" t="s">
        <v>3922</v>
      </c>
    </row>
    <row r="536" customFormat="false" ht="15" hidden="false" customHeight="false" outlineLevel="0" collapsed="false">
      <c r="A536" s="0" t="s">
        <v>8</v>
      </c>
      <c r="B536" s="0" t="s">
        <v>691</v>
      </c>
      <c r="C536" s="0" t="s">
        <v>3920</v>
      </c>
      <c r="D536" s="0" t="n">
        <v>8.2518</v>
      </c>
    </row>
    <row r="537" customFormat="false" ht="15" hidden="false" customHeight="false" outlineLevel="0" collapsed="false">
      <c r="A537" s="0" t="s">
        <v>8</v>
      </c>
      <c r="B537" s="0" t="s">
        <v>691</v>
      </c>
      <c r="C537" s="0" t="s">
        <v>3921</v>
      </c>
    </row>
    <row r="538" customFormat="false" ht="15" hidden="false" customHeight="false" outlineLevel="0" collapsed="false">
      <c r="A538" s="0" t="s">
        <v>8</v>
      </c>
      <c r="B538" s="0" t="s">
        <v>691</v>
      </c>
      <c r="C538" s="0" t="s">
        <v>3922</v>
      </c>
    </row>
    <row r="539" customFormat="false" ht="15" hidden="false" customHeight="false" outlineLevel="0" collapsed="false">
      <c r="A539" s="0" t="s">
        <v>8</v>
      </c>
      <c r="B539" s="0" t="s">
        <v>694</v>
      </c>
      <c r="C539" s="0" t="s">
        <v>3920</v>
      </c>
      <c r="D539" s="0" t="n">
        <v>0.6704</v>
      </c>
    </row>
    <row r="540" customFormat="false" ht="15" hidden="false" customHeight="false" outlineLevel="0" collapsed="false">
      <c r="A540" s="0" t="s">
        <v>8</v>
      </c>
      <c r="B540" s="0" t="s">
        <v>694</v>
      </c>
      <c r="C540" s="0" t="s">
        <v>3921</v>
      </c>
    </row>
    <row r="541" customFormat="false" ht="15" hidden="false" customHeight="false" outlineLevel="0" collapsed="false">
      <c r="A541" s="0" t="s">
        <v>8</v>
      </c>
      <c r="B541" s="0" t="s">
        <v>694</v>
      </c>
      <c r="C541" s="0" t="s">
        <v>3922</v>
      </c>
    </row>
    <row r="542" customFormat="false" ht="15" hidden="false" customHeight="false" outlineLevel="0" collapsed="false">
      <c r="A542" s="0" t="s">
        <v>8</v>
      </c>
      <c r="B542" s="0" t="s">
        <v>704</v>
      </c>
      <c r="C542" s="0" t="s">
        <v>3920</v>
      </c>
      <c r="D542" s="0" t="n">
        <v>1.3</v>
      </c>
    </row>
    <row r="543" customFormat="false" ht="15" hidden="false" customHeight="false" outlineLevel="0" collapsed="false">
      <c r="A543" s="0" t="s">
        <v>8</v>
      </c>
      <c r="B543" s="0" t="s">
        <v>704</v>
      </c>
      <c r="C543" s="0" t="s">
        <v>3921</v>
      </c>
    </row>
    <row r="544" customFormat="false" ht="15" hidden="false" customHeight="false" outlineLevel="0" collapsed="false">
      <c r="A544" s="0" t="s">
        <v>8</v>
      </c>
      <c r="B544" s="0" t="s">
        <v>704</v>
      </c>
      <c r="C544" s="0" t="s">
        <v>3922</v>
      </c>
    </row>
    <row r="545" customFormat="false" ht="15" hidden="false" customHeight="false" outlineLevel="0" collapsed="false">
      <c r="A545" s="0" t="s">
        <v>8</v>
      </c>
      <c r="B545" s="0" t="s">
        <v>713</v>
      </c>
      <c r="C545" s="0" t="s">
        <v>3920</v>
      </c>
      <c r="D545" s="0" t="n">
        <v>7.0228</v>
      </c>
    </row>
    <row r="546" customFormat="false" ht="15" hidden="false" customHeight="false" outlineLevel="0" collapsed="false">
      <c r="A546" s="0" t="s">
        <v>8</v>
      </c>
      <c r="B546" s="0" t="s">
        <v>713</v>
      </c>
      <c r="C546" s="0" t="s">
        <v>3921</v>
      </c>
    </row>
    <row r="547" customFormat="false" ht="15" hidden="false" customHeight="false" outlineLevel="0" collapsed="false">
      <c r="A547" s="0" t="s">
        <v>8</v>
      </c>
      <c r="B547" s="0" t="s">
        <v>713</v>
      </c>
      <c r="C547" s="0" t="s">
        <v>3922</v>
      </c>
    </row>
    <row r="548" customFormat="false" ht="15" hidden="false" customHeight="false" outlineLevel="0" collapsed="false">
      <c r="A548" s="0" t="s">
        <v>8</v>
      </c>
      <c r="B548" s="0" t="s">
        <v>716</v>
      </c>
      <c r="C548" s="0" t="s">
        <v>3920</v>
      </c>
      <c r="D548" s="0" t="n">
        <v>0.9545</v>
      </c>
    </row>
    <row r="549" customFormat="false" ht="15" hidden="false" customHeight="false" outlineLevel="0" collapsed="false">
      <c r="A549" s="0" t="s">
        <v>8</v>
      </c>
      <c r="B549" s="0" t="s">
        <v>716</v>
      </c>
      <c r="C549" s="0" t="s">
        <v>3921</v>
      </c>
    </row>
    <row r="550" customFormat="false" ht="15" hidden="false" customHeight="false" outlineLevel="0" collapsed="false">
      <c r="A550" s="0" t="s">
        <v>8</v>
      </c>
      <c r="B550" s="0" t="s">
        <v>716</v>
      </c>
      <c r="C550" s="0" t="s">
        <v>3922</v>
      </c>
    </row>
    <row r="551" customFormat="false" ht="15" hidden="false" customHeight="false" outlineLevel="0" collapsed="false">
      <c r="A551" s="0" t="s">
        <v>8</v>
      </c>
      <c r="B551" s="0" t="s">
        <v>720</v>
      </c>
      <c r="C551" s="0" t="s">
        <v>3920</v>
      </c>
      <c r="D551" s="0" t="n">
        <v>2.5161</v>
      </c>
    </row>
    <row r="552" customFormat="false" ht="15" hidden="false" customHeight="false" outlineLevel="0" collapsed="false">
      <c r="A552" s="0" t="s">
        <v>8</v>
      </c>
      <c r="B552" s="0" t="s">
        <v>720</v>
      </c>
      <c r="C552" s="0" t="s">
        <v>3921</v>
      </c>
    </row>
    <row r="553" customFormat="false" ht="15" hidden="false" customHeight="false" outlineLevel="0" collapsed="false">
      <c r="A553" s="0" t="s">
        <v>8</v>
      </c>
      <c r="B553" s="0" t="s">
        <v>720</v>
      </c>
      <c r="C553" s="0" t="s">
        <v>3922</v>
      </c>
    </row>
    <row r="554" customFormat="false" ht="15" hidden="false" customHeight="false" outlineLevel="0" collapsed="false">
      <c r="A554" s="0" t="s">
        <v>8</v>
      </c>
      <c r="B554" s="0" t="s">
        <v>723</v>
      </c>
      <c r="C554" s="0" t="s">
        <v>3920</v>
      </c>
      <c r="D554" s="0" t="n">
        <v>26.4</v>
      </c>
    </row>
    <row r="555" customFormat="false" ht="15" hidden="false" customHeight="false" outlineLevel="0" collapsed="false">
      <c r="A555" s="0" t="s">
        <v>8</v>
      </c>
      <c r="B555" s="0" t="s">
        <v>723</v>
      </c>
      <c r="C555" s="0" t="s">
        <v>3921</v>
      </c>
    </row>
    <row r="556" customFormat="false" ht="15" hidden="false" customHeight="false" outlineLevel="0" collapsed="false">
      <c r="A556" s="0" t="s">
        <v>8</v>
      </c>
      <c r="B556" s="0" t="s">
        <v>723</v>
      </c>
      <c r="C556" s="0" t="s">
        <v>3922</v>
      </c>
    </row>
    <row r="557" customFormat="false" ht="15" hidden="false" customHeight="false" outlineLevel="0" collapsed="false">
      <c r="A557" s="0" t="s">
        <v>8</v>
      </c>
      <c r="B557" s="0" t="s">
        <v>726</v>
      </c>
      <c r="C557" s="0" t="s">
        <v>3920</v>
      </c>
      <c r="D557" s="0" t="n">
        <v>2.0287</v>
      </c>
    </row>
    <row r="558" customFormat="false" ht="15" hidden="false" customHeight="false" outlineLevel="0" collapsed="false">
      <c r="A558" s="0" t="s">
        <v>8</v>
      </c>
      <c r="B558" s="0" t="s">
        <v>726</v>
      </c>
      <c r="C558" s="0" t="s">
        <v>3921</v>
      </c>
    </row>
    <row r="559" customFormat="false" ht="15" hidden="false" customHeight="false" outlineLevel="0" collapsed="false">
      <c r="A559" s="0" t="s">
        <v>8</v>
      </c>
      <c r="B559" s="0" t="s">
        <v>726</v>
      </c>
      <c r="C559" s="0" t="s">
        <v>3922</v>
      </c>
    </row>
    <row r="560" customFormat="false" ht="15" hidden="false" customHeight="false" outlineLevel="0" collapsed="false">
      <c r="A560" s="0" t="s">
        <v>8</v>
      </c>
      <c r="B560" s="0" t="s">
        <v>729</v>
      </c>
      <c r="C560" s="0" t="s">
        <v>3920</v>
      </c>
      <c r="D560" s="0" t="n">
        <v>-0.0012</v>
      </c>
    </row>
    <row r="561" customFormat="false" ht="15" hidden="false" customHeight="false" outlineLevel="0" collapsed="false">
      <c r="A561" s="0" t="s">
        <v>8</v>
      </c>
      <c r="B561" s="0" t="s">
        <v>729</v>
      </c>
      <c r="C561" s="0" t="s">
        <v>3921</v>
      </c>
    </row>
    <row r="562" customFormat="false" ht="15" hidden="false" customHeight="false" outlineLevel="0" collapsed="false">
      <c r="A562" s="0" t="s">
        <v>8</v>
      </c>
      <c r="B562" s="0" t="s">
        <v>729</v>
      </c>
      <c r="C562" s="0" t="s">
        <v>3922</v>
      </c>
    </row>
    <row r="563" customFormat="false" ht="15" hidden="false" customHeight="false" outlineLevel="0" collapsed="false">
      <c r="A563" s="0" t="s">
        <v>8</v>
      </c>
      <c r="B563" s="0" t="s">
        <v>732</v>
      </c>
      <c r="C563" s="0" t="s">
        <v>3920</v>
      </c>
      <c r="D563" s="0" t="n">
        <v>0.198</v>
      </c>
    </row>
    <row r="564" customFormat="false" ht="15" hidden="false" customHeight="false" outlineLevel="0" collapsed="false">
      <c r="A564" s="0" t="s">
        <v>8</v>
      </c>
      <c r="B564" s="0" t="s">
        <v>732</v>
      </c>
      <c r="C564" s="0" t="s">
        <v>3921</v>
      </c>
    </row>
    <row r="565" customFormat="false" ht="15" hidden="false" customHeight="false" outlineLevel="0" collapsed="false">
      <c r="A565" s="0" t="s">
        <v>8</v>
      </c>
      <c r="B565" s="0" t="s">
        <v>732</v>
      </c>
      <c r="C565" s="0" t="s">
        <v>3922</v>
      </c>
    </row>
    <row r="566" customFormat="false" ht="15" hidden="false" customHeight="false" outlineLevel="0" collapsed="false">
      <c r="A566" s="0" t="s">
        <v>8</v>
      </c>
      <c r="B566" s="0" t="s">
        <v>735</v>
      </c>
      <c r="C566" s="0" t="s">
        <v>3920</v>
      </c>
      <c r="D566" s="0" t="n">
        <v>0.0888</v>
      </c>
    </row>
    <row r="567" customFormat="false" ht="15" hidden="false" customHeight="false" outlineLevel="0" collapsed="false">
      <c r="A567" s="0" t="s">
        <v>8</v>
      </c>
      <c r="B567" s="0" t="s">
        <v>735</v>
      </c>
      <c r="C567" s="0" t="s">
        <v>3921</v>
      </c>
    </row>
    <row r="568" customFormat="false" ht="15" hidden="false" customHeight="false" outlineLevel="0" collapsed="false">
      <c r="A568" s="0" t="s">
        <v>8</v>
      </c>
      <c r="B568" s="0" t="s">
        <v>735</v>
      </c>
      <c r="C568" s="0" t="s">
        <v>3922</v>
      </c>
    </row>
    <row r="569" customFormat="false" ht="15" hidden="false" customHeight="false" outlineLevel="0" collapsed="false">
      <c r="A569" s="0" t="s">
        <v>8</v>
      </c>
      <c r="B569" s="0" t="s">
        <v>738</v>
      </c>
      <c r="C569" s="0" t="s">
        <v>3920</v>
      </c>
      <c r="D569" s="0" t="n">
        <v>0.2837</v>
      </c>
    </row>
    <row r="570" customFormat="false" ht="15" hidden="false" customHeight="false" outlineLevel="0" collapsed="false">
      <c r="A570" s="0" t="s">
        <v>8</v>
      </c>
      <c r="B570" s="0" t="s">
        <v>738</v>
      </c>
      <c r="C570" s="0" t="s">
        <v>3921</v>
      </c>
    </row>
    <row r="571" customFormat="false" ht="15" hidden="false" customHeight="false" outlineLevel="0" collapsed="false">
      <c r="A571" s="0" t="s">
        <v>8</v>
      </c>
      <c r="B571" s="0" t="s">
        <v>738</v>
      </c>
      <c r="C571" s="0" t="s">
        <v>3922</v>
      </c>
    </row>
    <row r="572" customFormat="false" ht="15" hidden="false" customHeight="false" outlineLevel="0" collapsed="false">
      <c r="A572" s="0" t="s">
        <v>8</v>
      </c>
      <c r="B572" s="0" t="s">
        <v>741</v>
      </c>
      <c r="C572" s="0" t="s">
        <v>3920</v>
      </c>
      <c r="D572" s="0" t="n">
        <v>0.8634</v>
      </c>
    </row>
    <row r="573" customFormat="false" ht="15" hidden="false" customHeight="false" outlineLevel="0" collapsed="false">
      <c r="A573" s="0" t="s">
        <v>8</v>
      </c>
      <c r="B573" s="0" t="s">
        <v>741</v>
      </c>
      <c r="C573" s="0" t="s">
        <v>3921</v>
      </c>
    </row>
    <row r="574" customFormat="false" ht="15" hidden="false" customHeight="false" outlineLevel="0" collapsed="false">
      <c r="A574" s="0" t="s">
        <v>8</v>
      </c>
      <c r="B574" s="0" t="s">
        <v>741</v>
      </c>
      <c r="C574" s="0" t="s">
        <v>3922</v>
      </c>
    </row>
    <row r="575" customFormat="false" ht="15" hidden="false" customHeight="false" outlineLevel="0" collapsed="false">
      <c r="A575" s="0" t="s">
        <v>8</v>
      </c>
      <c r="B575" s="0" t="s">
        <v>744</v>
      </c>
      <c r="C575" s="0" t="s">
        <v>3920</v>
      </c>
      <c r="D575" s="0" t="n">
        <v>0.0058</v>
      </c>
    </row>
    <row r="576" customFormat="false" ht="15" hidden="false" customHeight="false" outlineLevel="0" collapsed="false">
      <c r="A576" s="0" t="s">
        <v>8</v>
      </c>
      <c r="B576" s="0" t="s">
        <v>744</v>
      </c>
      <c r="C576" s="0" t="s">
        <v>3921</v>
      </c>
    </row>
    <row r="577" customFormat="false" ht="15" hidden="false" customHeight="false" outlineLevel="0" collapsed="false">
      <c r="A577" s="0" t="s">
        <v>8</v>
      </c>
      <c r="B577" s="0" t="s">
        <v>744</v>
      </c>
      <c r="C577" s="0" t="s">
        <v>3922</v>
      </c>
    </row>
    <row r="578" customFormat="false" ht="15" hidden="false" customHeight="false" outlineLevel="0" collapsed="false">
      <c r="A578" s="0" t="s">
        <v>8</v>
      </c>
      <c r="B578" s="0" t="s">
        <v>747</v>
      </c>
      <c r="C578" s="0" t="s">
        <v>3920</v>
      </c>
      <c r="D578" s="0" t="n">
        <v>0.0032</v>
      </c>
    </row>
    <row r="579" customFormat="false" ht="15" hidden="false" customHeight="false" outlineLevel="0" collapsed="false">
      <c r="A579" s="0" t="s">
        <v>8</v>
      </c>
      <c r="B579" s="0" t="s">
        <v>747</v>
      </c>
      <c r="C579" s="0" t="s">
        <v>3921</v>
      </c>
    </row>
    <row r="580" customFormat="false" ht="15" hidden="false" customHeight="false" outlineLevel="0" collapsed="false">
      <c r="A580" s="0" t="s">
        <v>8</v>
      </c>
      <c r="B580" s="0" t="s">
        <v>747</v>
      </c>
      <c r="C580" s="0" t="s">
        <v>3922</v>
      </c>
    </row>
    <row r="581" customFormat="false" ht="15" hidden="false" customHeight="false" outlineLevel="0" collapsed="false">
      <c r="A581" s="0" t="s">
        <v>8</v>
      </c>
      <c r="B581" s="0" t="s">
        <v>750</v>
      </c>
      <c r="C581" s="0" t="s">
        <v>3920</v>
      </c>
      <c r="D581" s="0" t="n">
        <v>0.4874</v>
      </c>
    </row>
    <row r="582" customFormat="false" ht="15" hidden="false" customHeight="false" outlineLevel="0" collapsed="false">
      <c r="A582" s="0" t="s">
        <v>8</v>
      </c>
      <c r="B582" s="0" t="s">
        <v>750</v>
      </c>
      <c r="C582" s="0" t="s">
        <v>3921</v>
      </c>
    </row>
    <row r="583" customFormat="false" ht="15" hidden="false" customHeight="false" outlineLevel="0" collapsed="false">
      <c r="A583" s="0" t="s">
        <v>8</v>
      </c>
      <c r="B583" s="0" t="s">
        <v>750</v>
      </c>
      <c r="C583" s="0" t="s">
        <v>3922</v>
      </c>
    </row>
    <row r="584" customFormat="false" ht="15" hidden="false" customHeight="false" outlineLevel="0" collapsed="false">
      <c r="A584" s="0" t="s">
        <v>8</v>
      </c>
      <c r="B584" s="0" t="s">
        <v>753</v>
      </c>
      <c r="C584" s="0" t="s">
        <v>3920</v>
      </c>
      <c r="D584" s="0" t="n">
        <v>6.223</v>
      </c>
    </row>
    <row r="585" customFormat="false" ht="15" hidden="false" customHeight="false" outlineLevel="0" collapsed="false">
      <c r="A585" s="0" t="s">
        <v>8</v>
      </c>
      <c r="B585" s="0" t="s">
        <v>753</v>
      </c>
      <c r="C585" s="0" t="s">
        <v>3921</v>
      </c>
    </row>
    <row r="586" customFormat="false" ht="15" hidden="false" customHeight="false" outlineLevel="0" collapsed="false">
      <c r="A586" s="0" t="s">
        <v>8</v>
      </c>
      <c r="B586" s="0" t="s">
        <v>753</v>
      </c>
      <c r="C586" s="0" t="s">
        <v>3922</v>
      </c>
    </row>
    <row r="587" customFormat="false" ht="15" hidden="false" customHeight="false" outlineLevel="0" collapsed="false">
      <c r="A587" s="0" t="s">
        <v>8</v>
      </c>
      <c r="B587" s="0" t="s">
        <v>757</v>
      </c>
      <c r="C587" s="0" t="s">
        <v>3920</v>
      </c>
      <c r="D587" s="0" t="n">
        <v>0.7998</v>
      </c>
    </row>
    <row r="588" customFormat="false" ht="15" hidden="false" customHeight="false" outlineLevel="0" collapsed="false">
      <c r="A588" s="0" t="s">
        <v>8</v>
      </c>
      <c r="B588" s="0" t="s">
        <v>757</v>
      </c>
      <c r="C588" s="0" t="s">
        <v>3921</v>
      </c>
    </row>
    <row r="589" customFormat="false" ht="15" hidden="false" customHeight="false" outlineLevel="0" collapsed="false">
      <c r="A589" s="0" t="s">
        <v>8</v>
      </c>
      <c r="B589" s="0" t="s">
        <v>757</v>
      </c>
      <c r="C589" s="0" t="s">
        <v>3922</v>
      </c>
    </row>
    <row r="590" customFormat="false" ht="15" hidden="false" customHeight="false" outlineLevel="0" collapsed="false">
      <c r="A590" s="0" t="s">
        <v>8</v>
      </c>
      <c r="B590" s="0" t="s">
        <v>761</v>
      </c>
      <c r="C590" s="0" t="s">
        <v>3920</v>
      </c>
      <c r="D590" s="0" t="n">
        <v>1.5438</v>
      </c>
    </row>
    <row r="591" customFormat="false" ht="15" hidden="false" customHeight="false" outlineLevel="0" collapsed="false">
      <c r="A591" s="0" t="s">
        <v>8</v>
      </c>
      <c r="B591" s="0" t="s">
        <v>761</v>
      </c>
      <c r="C591" s="0" t="s">
        <v>3921</v>
      </c>
    </row>
    <row r="592" customFormat="false" ht="15" hidden="false" customHeight="false" outlineLevel="0" collapsed="false">
      <c r="A592" s="0" t="s">
        <v>8</v>
      </c>
      <c r="B592" s="0" t="s">
        <v>761</v>
      </c>
      <c r="C592" s="0" t="s">
        <v>3922</v>
      </c>
    </row>
    <row r="593" customFormat="false" ht="15" hidden="false" customHeight="false" outlineLevel="0" collapsed="false">
      <c r="A593" s="0" t="s">
        <v>8</v>
      </c>
      <c r="B593" s="0" t="s">
        <v>764</v>
      </c>
      <c r="C593" s="0" t="s">
        <v>3920</v>
      </c>
      <c r="D593" s="0" t="n">
        <v>2.733</v>
      </c>
    </row>
    <row r="594" customFormat="false" ht="15" hidden="false" customHeight="false" outlineLevel="0" collapsed="false">
      <c r="A594" s="0" t="s">
        <v>8</v>
      </c>
      <c r="B594" s="0" t="s">
        <v>764</v>
      </c>
      <c r="C594" s="0" t="s">
        <v>3921</v>
      </c>
    </row>
    <row r="595" customFormat="false" ht="15" hidden="false" customHeight="false" outlineLevel="0" collapsed="false">
      <c r="A595" s="0" t="s">
        <v>8</v>
      </c>
      <c r="B595" s="0" t="s">
        <v>764</v>
      </c>
      <c r="C595" s="0" t="s">
        <v>3922</v>
      </c>
    </row>
    <row r="596" customFormat="false" ht="15" hidden="false" customHeight="false" outlineLevel="0" collapsed="false">
      <c r="A596" s="0" t="s">
        <v>8</v>
      </c>
      <c r="B596" s="0" t="s">
        <v>767</v>
      </c>
      <c r="C596" s="0" t="s">
        <v>3920</v>
      </c>
      <c r="D596" s="0" t="n">
        <v>21.3117</v>
      </c>
    </row>
    <row r="597" customFormat="false" ht="15" hidden="false" customHeight="false" outlineLevel="0" collapsed="false">
      <c r="A597" s="0" t="s">
        <v>8</v>
      </c>
      <c r="B597" s="0" t="s">
        <v>767</v>
      </c>
      <c r="C597" s="0" t="s">
        <v>3921</v>
      </c>
    </row>
    <row r="598" customFormat="false" ht="15" hidden="false" customHeight="false" outlineLevel="0" collapsed="false">
      <c r="A598" s="0" t="s">
        <v>8</v>
      </c>
      <c r="B598" s="0" t="s">
        <v>767</v>
      </c>
      <c r="C598" s="0" t="s">
        <v>3922</v>
      </c>
    </row>
    <row r="599" customFormat="false" ht="15" hidden="false" customHeight="false" outlineLevel="0" collapsed="false">
      <c r="A599" s="0" t="s">
        <v>8</v>
      </c>
      <c r="B599" s="0" t="s">
        <v>770</v>
      </c>
      <c r="C599" s="0" t="s">
        <v>3920</v>
      </c>
      <c r="D599" s="0" t="n">
        <v>1.7767</v>
      </c>
    </row>
    <row r="600" customFormat="false" ht="15" hidden="false" customHeight="false" outlineLevel="0" collapsed="false">
      <c r="A600" s="0" t="s">
        <v>8</v>
      </c>
      <c r="B600" s="0" t="s">
        <v>770</v>
      </c>
      <c r="C600" s="0" t="s">
        <v>3921</v>
      </c>
    </row>
    <row r="601" customFormat="false" ht="15" hidden="false" customHeight="false" outlineLevel="0" collapsed="false">
      <c r="A601" s="0" t="s">
        <v>8</v>
      </c>
      <c r="B601" s="0" t="s">
        <v>770</v>
      </c>
      <c r="C601" s="0" t="s">
        <v>3922</v>
      </c>
    </row>
    <row r="602" customFormat="false" ht="15" hidden="false" customHeight="false" outlineLevel="0" collapsed="false">
      <c r="A602" s="0" t="s">
        <v>8</v>
      </c>
      <c r="B602" s="0" t="s">
        <v>773</v>
      </c>
      <c r="C602" s="0" t="s">
        <v>3920</v>
      </c>
      <c r="D602" s="0" t="n">
        <v>1.0335</v>
      </c>
    </row>
    <row r="603" customFormat="false" ht="15" hidden="false" customHeight="false" outlineLevel="0" collapsed="false">
      <c r="A603" s="0" t="s">
        <v>8</v>
      </c>
      <c r="B603" s="0" t="s">
        <v>773</v>
      </c>
      <c r="C603" s="0" t="s">
        <v>3921</v>
      </c>
    </row>
    <row r="604" customFormat="false" ht="15" hidden="false" customHeight="false" outlineLevel="0" collapsed="false">
      <c r="A604" s="0" t="s">
        <v>8</v>
      </c>
      <c r="B604" s="0" t="s">
        <v>773</v>
      </c>
      <c r="C604" s="0" t="s">
        <v>3922</v>
      </c>
    </row>
    <row r="605" customFormat="false" ht="15" hidden="false" customHeight="false" outlineLevel="0" collapsed="false">
      <c r="A605" s="0" t="s">
        <v>8</v>
      </c>
      <c r="B605" s="0" t="s">
        <v>776</v>
      </c>
      <c r="C605" s="0" t="s">
        <v>3920</v>
      </c>
      <c r="D605" s="0" t="n">
        <v>0.8576</v>
      </c>
    </row>
    <row r="606" customFormat="false" ht="15" hidden="false" customHeight="false" outlineLevel="0" collapsed="false">
      <c r="A606" s="0" t="s">
        <v>8</v>
      </c>
      <c r="B606" s="0" t="s">
        <v>776</v>
      </c>
      <c r="C606" s="0" t="s">
        <v>3921</v>
      </c>
    </row>
    <row r="607" customFormat="false" ht="15" hidden="false" customHeight="false" outlineLevel="0" collapsed="false">
      <c r="A607" s="0" t="s">
        <v>8</v>
      </c>
      <c r="B607" s="0" t="s">
        <v>776</v>
      </c>
      <c r="C607" s="0" t="s">
        <v>3922</v>
      </c>
    </row>
    <row r="608" customFormat="false" ht="15" hidden="false" customHeight="false" outlineLevel="0" collapsed="false">
      <c r="A608" s="0" t="s">
        <v>8</v>
      </c>
      <c r="B608" s="0" t="s">
        <v>780</v>
      </c>
      <c r="C608" s="0" t="s">
        <v>3920</v>
      </c>
      <c r="D608" s="0" t="n">
        <v>0.4144</v>
      </c>
    </row>
    <row r="609" customFormat="false" ht="15" hidden="false" customHeight="false" outlineLevel="0" collapsed="false">
      <c r="A609" s="0" t="s">
        <v>8</v>
      </c>
      <c r="B609" s="0" t="s">
        <v>780</v>
      </c>
      <c r="C609" s="0" t="s">
        <v>3921</v>
      </c>
    </row>
    <row r="610" customFormat="false" ht="15" hidden="false" customHeight="false" outlineLevel="0" collapsed="false">
      <c r="A610" s="0" t="s">
        <v>8</v>
      </c>
      <c r="B610" s="0" t="s">
        <v>780</v>
      </c>
      <c r="C610" s="0" t="s">
        <v>3922</v>
      </c>
    </row>
    <row r="611" customFormat="false" ht="15" hidden="false" customHeight="false" outlineLevel="0" collapsed="false">
      <c r="A611" s="0" t="s">
        <v>8</v>
      </c>
      <c r="B611" s="0" t="s">
        <v>783</v>
      </c>
      <c r="C611" s="0" t="s">
        <v>3920</v>
      </c>
      <c r="D611" s="0" t="n">
        <v>0.9593</v>
      </c>
    </row>
    <row r="612" customFormat="false" ht="15" hidden="false" customHeight="false" outlineLevel="0" collapsed="false">
      <c r="A612" s="0" t="s">
        <v>8</v>
      </c>
      <c r="B612" s="0" t="s">
        <v>783</v>
      </c>
      <c r="C612" s="0" t="s">
        <v>3921</v>
      </c>
    </row>
    <row r="613" customFormat="false" ht="15" hidden="false" customHeight="false" outlineLevel="0" collapsed="false">
      <c r="A613" s="0" t="s">
        <v>8</v>
      </c>
      <c r="B613" s="0" t="s">
        <v>783</v>
      </c>
      <c r="C613" s="0" t="s">
        <v>3922</v>
      </c>
    </row>
    <row r="614" customFormat="false" ht="15" hidden="false" customHeight="false" outlineLevel="0" collapsed="false">
      <c r="A614" s="0" t="s">
        <v>8</v>
      </c>
      <c r="B614" s="0" t="s">
        <v>786</v>
      </c>
      <c r="C614" s="0" t="s">
        <v>3920</v>
      </c>
      <c r="D614" s="0" t="n">
        <v>20.7199</v>
      </c>
    </row>
    <row r="615" customFormat="false" ht="15" hidden="false" customHeight="false" outlineLevel="0" collapsed="false">
      <c r="A615" s="0" t="s">
        <v>8</v>
      </c>
      <c r="B615" s="0" t="s">
        <v>786</v>
      </c>
      <c r="C615" s="0" t="s">
        <v>3921</v>
      </c>
    </row>
    <row r="616" customFormat="false" ht="15" hidden="false" customHeight="false" outlineLevel="0" collapsed="false">
      <c r="A616" s="0" t="s">
        <v>8</v>
      </c>
      <c r="B616" s="0" t="s">
        <v>786</v>
      </c>
      <c r="C616" s="0" t="s">
        <v>3922</v>
      </c>
    </row>
    <row r="617" customFormat="false" ht="15" hidden="false" customHeight="false" outlineLevel="0" collapsed="false">
      <c r="A617" s="0" t="s">
        <v>8</v>
      </c>
      <c r="B617" s="0" t="s">
        <v>790</v>
      </c>
      <c r="C617" s="0" t="s">
        <v>3920</v>
      </c>
      <c r="D617" s="0" t="n">
        <v>19.6414</v>
      </c>
    </row>
    <row r="618" customFormat="false" ht="15" hidden="false" customHeight="false" outlineLevel="0" collapsed="false">
      <c r="A618" s="0" t="s">
        <v>8</v>
      </c>
      <c r="B618" s="0" t="s">
        <v>790</v>
      </c>
      <c r="C618" s="0" t="s">
        <v>3921</v>
      </c>
    </row>
    <row r="619" customFormat="false" ht="15" hidden="false" customHeight="false" outlineLevel="0" collapsed="false">
      <c r="A619" s="0" t="s">
        <v>8</v>
      </c>
      <c r="B619" s="0" t="s">
        <v>790</v>
      </c>
      <c r="C619" s="0" t="s">
        <v>3922</v>
      </c>
    </row>
    <row r="620" customFormat="false" ht="15" hidden="false" customHeight="false" outlineLevel="0" collapsed="false">
      <c r="A620" s="0" t="s">
        <v>8</v>
      </c>
      <c r="B620" s="0" t="s">
        <v>793</v>
      </c>
      <c r="C620" s="0" t="s">
        <v>3920</v>
      </c>
      <c r="D620" s="0" t="n">
        <v>17.51</v>
      </c>
    </row>
    <row r="621" customFormat="false" ht="15" hidden="false" customHeight="false" outlineLevel="0" collapsed="false">
      <c r="A621" s="0" t="s">
        <v>8</v>
      </c>
      <c r="B621" s="0" t="s">
        <v>793</v>
      </c>
      <c r="C621" s="0" t="s">
        <v>3921</v>
      </c>
    </row>
    <row r="622" customFormat="false" ht="15" hidden="false" customHeight="false" outlineLevel="0" collapsed="false">
      <c r="A622" s="0" t="s">
        <v>8</v>
      </c>
      <c r="B622" s="0" t="s">
        <v>793</v>
      </c>
      <c r="C622" s="0" t="s">
        <v>3922</v>
      </c>
    </row>
    <row r="623" customFormat="false" ht="15" hidden="false" customHeight="false" outlineLevel="0" collapsed="false">
      <c r="A623" s="0" t="s">
        <v>8</v>
      </c>
      <c r="B623" s="0" t="s">
        <v>800</v>
      </c>
      <c r="C623" s="0" t="s">
        <v>3920</v>
      </c>
      <c r="D623" s="0" t="n">
        <v>-23.51</v>
      </c>
    </row>
    <row r="624" customFormat="false" ht="15" hidden="false" customHeight="false" outlineLevel="0" collapsed="false">
      <c r="A624" s="0" t="s">
        <v>8</v>
      </c>
      <c r="B624" s="0" t="s">
        <v>800</v>
      </c>
      <c r="C624" s="0" t="s">
        <v>3921</v>
      </c>
    </row>
    <row r="625" customFormat="false" ht="15" hidden="false" customHeight="false" outlineLevel="0" collapsed="false">
      <c r="A625" s="0" t="s">
        <v>8</v>
      </c>
      <c r="B625" s="0" t="s">
        <v>800</v>
      </c>
      <c r="C625" s="0" t="s">
        <v>3922</v>
      </c>
    </row>
    <row r="626" customFormat="false" ht="15" hidden="false" customHeight="false" outlineLevel="0" collapsed="false">
      <c r="A626" s="0" t="s">
        <v>8</v>
      </c>
      <c r="B626" s="0" t="s">
        <v>807</v>
      </c>
      <c r="C626" s="0" t="s">
        <v>3920</v>
      </c>
      <c r="D626" s="0" t="n">
        <v>3.906</v>
      </c>
    </row>
    <row r="627" customFormat="false" ht="15" hidden="false" customHeight="false" outlineLevel="0" collapsed="false">
      <c r="A627" s="0" t="s">
        <v>8</v>
      </c>
      <c r="B627" s="0" t="s">
        <v>807</v>
      </c>
      <c r="C627" s="0" t="s">
        <v>3921</v>
      </c>
    </row>
    <row r="628" customFormat="false" ht="15" hidden="false" customHeight="false" outlineLevel="0" collapsed="false">
      <c r="A628" s="0" t="s">
        <v>8</v>
      </c>
      <c r="B628" s="0" t="s">
        <v>807</v>
      </c>
      <c r="C628" s="0" t="s">
        <v>3922</v>
      </c>
    </row>
    <row r="629" customFormat="false" ht="15" hidden="false" customHeight="false" outlineLevel="0" collapsed="false">
      <c r="A629" s="0" t="s">
        <v>8</v>
      </c>
      <c r="B629" s="0" t="s">
        <v>810</v>
      </c>
      <c r="C629" s="0" t="s">
        <v>3920</v>
      </c>
      <c r="D629" s="0" t="n">
        <v>0.537</v>
      </c>
    </row>
    <row r="630" customFormat="false" ht="15" hidden="false" customHeight="false" outlineLevel="0" collapsed="false">
      <c r="A630" s="0" t="s">
        <v>8</v>
      </c>
      <c r="B630" s="0" t="s">
        <v>810</v>
      </c>
      <c r="C630" s="0" t="s">
        <v>3921</v>
      </c>
    </row>
    <row r="631" customFormat="false" ht="15" hidden="false" customHeight="false" outlineLevel="0" collapsed="false">
      <c r="A631" s="0" t="s">
        <v>8</v>
      </c>
      <c r="B631" s="0" t="s">
        <v>810</v>
      </c>
      <c r="C631" s="0" t="s">
        <v>3922</v>
      </c>
    </row>
    <row r="632" customFormat="false" ht="15" hidden="false" customHeight="false" outlineLevel="0" collapsed="false">
      <c r="A632" s="0" t="s">
        <v>8</v>
      </c>
      <c r="B632" s="0" t="s">
        <v>813</v>
      </c>
      <c r="C632" s="0" t="s">
        <v>3920</v>
      </c>
      <c r="D632" s="0" t="n">
        <v>39.9372</v>
      </c>
    </row>
    <row r="633" customFormat="false" ht="15" hidden="false" customHeight="false" outlineLevel="0" collapsed="false">
      <c r="A633" s="0" t="s">
        <v>8</v>
      </c>
      <c r="B633" s="0" t="s">
        <v>813</v>
      </c>
      <c r="C633" s="0" t="s">
        <v>3921</v>
      </c>
    </row>
    <row r="634" customFormat="false" ht="15" hidden="false" customHeight="false" outlineLevel="0" collapsed="false">
      <c r="A634" s="0" t="s">
        <v>8</v>
      </c>
      <c r="B634" s="0" t="s">
        <v>813</v>
      </c>
      <c r="C634" s="0" t="s">
        <v>3922</v>
      </c>
    </row>
    <row r="635" customFormat="false" ht="15" hidden="false" customHeight="false" outlineLevel="0" collapsed="false">
      <c r="A635" s="0" t="s">
        <v>8</v>
      </c>
      <c r="B635" s="0" t="s">
        <v>818</v>
      </c>
      <c r="C635" s="0" t="s">
        <v>3920</v>
      </c>
      <c r="D635" s="0" t="n">
        <v>0</v>
      </c>
    </row>
    <row r="636" customFormat="false" ht="15" hidden="false" customHeight="false" outlineLevel="0" collapsed="false">
      <c r="A636" s="0" t="s">
        <v>8</v>
      </c>
      <c r="B636" s="0" t="s">
        <v>818</v>
      </c>
      <c r="C636" s="0" t="s">
        <v>3921</v>
      </c>
    </row>
    <row r="637" customFormat="false" ht="15" hidden="false" customHeight="false" outlineLevel="0" collapsed="false">
      <c r="A637" s="0" t="s">
        <v>8</v>
      </c>
      <c r="B637" s="0" t="s">
        <v>818</v>
      </c>
      <c r="C637" s="0" t="s">
        <v>3922</v>
      </c>
    </row>
    <row r="638" customFormat="false" ht="15" hidden="false" customHeight="false" outlineLevel="0" collapsed="false">
      <c r="A638" s="0" t="s">
        <v>8</v>
      </c>
      <c r="B638" s="0" t="s">
        <v>822</v>
      </c>
      <c r="C638" s="0" t="s">
        <v>3920</v>
      </c>
      <c r="D638" s="0" t="n">
        <v>22.2479</v>
      </c>
    </row>
    <row r="639" customFormat="false" ht="15" hidden="false" customHeight="false" outlineLevel="0" collapsed="false">
      <c r="A639" s="0" t="s">
        <v>8</v>
      </c>
      <c r="B639" s="0" t="s">
        <v>822</v>
      </c>
      <c r="C639" s="0" t="s">
        <v>3921</v>
      </c>
    </row>
    <row r="640" customFormat="false" ht="15" hidden="false" customHeight="false" outlineLevel="0" collapsed="false">
      <c r="A640" s="0" t="s">
        <v>8</v>
      </c>
      <c r="B640" s="0" t="s">
        <v>822</v>
      </c>
      <c r="C640" s="0" t="s">
        <v>3922</v>
      </c>
    </row>
    <row r="641" customFormat="false" ht="15" hidden="false" customHeight="false" outlineLevel="0" collapsed="false">
      <c r="A641" s="0" t="s">
        <v>8</v>
      </c>
      <c r="B641" s="0" t="s">
        <v>825</v>
      </c>
      <c r="C641" s="0" t="s">
        <v>3920</v>
      </c>
      <c r="D641" s="0" t="n">
        <v>7.8983</v>
      </c>
    </row>
    <row r="642" customFormat="false" ht="15" hidden="false" customHeight="false" outlineLevel="0" collapsed="false">
      <c r="A642" s="0" t="s">
        <v>8</v>
      </c>
      <c r="B642" s="0" t="s">
        <v>825</v>
      </c>
      <c r="C642" s="0" t="s">
        <v>3921</v>
      </c>
    </row>
    <row r="643" customFormat="false" ht="15" hidden="false" customHeight="false" outlineLevel="0" collapsed="false">
      <c r="A643" s="0" t="s">
        <v>8</v>
      </c>
      <c r="B643" s="0" t="s">
        <v>825</v>
      </c>
      <c r="C643" s="0" t="s">
        <v>3922</v>
      </c>
    </row>
    <row r="644" customFormat="false" ht="15" hidden="false" customHeight="false" outlineLevel="0" collapsed="false">
      <c r="A644" s="0" t="s">
        <v>8</v>
      </c>
      <c r="B644" s="0" t="s">
        <v>829</v>
      </c>
      <c r="C644" s="0" t="s">
        <v>3920</v>
      </c>
      <c r="D644" s="0" t="n">
        <v>14.3496</v>
      </c>
    </row>
    <row r="645" customFormat="false" ht="15" hidden="false" customHeight="false" outlineLevel="0" collapsed="false">
      <c r="A645" s="0" t="s">
        <v>8</v>
      </c>
      <c r="B645" s="0" t="s">
        <v>829</v>
      </c>
      <c r="C645" s="0" t="s">
        <v>3921</v>
      </c>
    </row>
    <row r="646" customFormat="false" ht="15" hidden="false" customHeight="false" outlineLevel="0" collapsed="false">
      <c r="A646" s="0" t="s">
        <v>8</v>
      </c>
      <c r="B646" s="0" t="s">
        <v>829</v>
      </c>
      <c r="C646" s="0" t="s">
        <v>3922</v>
      </c>
    </row>
    <row r="647" customFormat="false" ht="15" hidden="false" customHeight="false" outlineLevel="0" collapsed="false">
      <c r="A647" s="0" t="s">
        <v>8</v>
      </c>
      <c r="B647" s="0" t="s">
        <v>833</v>
      </c>
      <c r="C647" s="0" t="s">
        <v>3920</v>
      </c>
      <c r="D647" s="0" t="n">
        <v>6.0484</v>
      </c>
    </row>
    <row r="648" customFormat="false" ht="15" hidden="false" customHeight="false" outlineLevel="0" collapsed="false">
      <c r="A648" s="0" t="s">
        <v>8</v>
      </c>
      <c r="B648" s="0" t="s">
        <v>833</v>
      </c>
      <c r="C648" s="0" t="s">
        <v>3921</v>
      </c>
    </row>
    <row r="649" customFormat="false" ht="15" hidden="false" customHeight="false" outlineLevel="0" collapsed="false">
      <c r="A649" s="0" t="s">
        <v>8</v>
      </c>
      <c r="B649" s="0" t="s">
        <v>833</v>
      </c>
      <c r="C649" s="0" t="s">
        <v>3922</v>
      </c>
    </row>
    <row r="650" customFormat="false" ht="15" hidden="false" customHeight="false" outlineLevel="0" collapsed="false">
      <c r="A650" s="0" t="s">
        <v>8</v>
      </c>
      <c r="B650" s="0" t="s">
        <v>837</v>
      </c>
      <c r="C650" s="0" t="s">
        <v>3920</v>
      </c>
      <c r="D650" s="0" t="n">
        <v>0.8462</v>
      </c>
    </row>
    <row r="651" customFormat="false" ht="15" hidden="false" customHeight="false" outlineLevel="0" collapsed="false">
      <c r="A651" s="0" t="s">
        <v>8</v>
      </c>
      <c r="B651" s="0" t="s">
        <v>837</v>
      </c>
      <c r="C651" s="0" t="s">
        <v>3921</v>
      </c>
    </row>
    <row r="652" customFormat="false" ht="15" hidden="false" customHeight="false" outlineLevel="0" collapsed="false">
      <c r="A652" s="0" t="s">
        <v>8</v>
      </c>
      <c r="B652" s="0" t="s">
        <v>837</v>
      </c>
      <c r="C652" s="0" t="s">
        <v>3922</v>
      </c>
    </row>
    <row r="653" customFormat="false" ht="15" hidden="false" customHeight="false" outlineLevel="0" collapsed="false">
      <c r="A653" s="0" t="s">
        <v>8</v>
      </c>
      <c r="B653" s="0" t="s">
        <v>840</v>
      </c>
      <c r="C653" s="0" t="s">
        <v>3920</v>
      </c>
      <c r="D653" s="0" t="n">
        <v>14.2742</v>
      </c>
    </row>
    <row r="654" customFormat="false" ht="15" hidden="false" customHeight="false" outlineLevel="0" collapsed="false">
      <c r="A654" s="0" t="s">
        <v>8</v>
      </c>
      <c r="B654" s="0" t="s">
        <v>840</v>
      </c>
      <c r="C654" s="0" t="s">
        <v>3921</v>
      </c>
    </row>
    <row r="655" customFormat="false" ht="15" hidden="false" customHeight="false" outlineLevel="0" collapsed="false">
      <c r="A655" s="0" t="s">
        <v>8</v>
      </c>
      <c r="B655" s="0" t="s">
        <v>840</v>
      </c>
      <c r="C655" s="0" t="s">
        <v>3922</v>
      </c>
    </row>
    <row r="656" customFormat="false" ht="15" hidden="false" customHeight="false" outlineLevel="0" collapsed="false">
      <c r="A656" s="0" t="s">
        <v>8</v>
      </c>
      <c r="B656" s="0" t="s">
        <v>844</v>
      </c>
      <c r="C656" s="0" t="s">
        <v>3920</v>
      </c>
      <c r="D656" s="0" t="n">
        <v>12.4374</v>
      </c>
    </row>
    <row r="657" customFormat="false" ht="15" hidden="false" customHeight="false" outlineLevel="0" collapsed="false">
      <c r="A657" s="0" t="s">
        <v>8</v>
      </c>
      <c r="B657" s="0" t="s">
        <v>844</v>
      </c>
      <c r="C657" s="0" t="s">
        <v>3921</v>
      </c>
    </row>
    <row r="658" customFormat="false" ht="15" hidden="false" customHeight="false" outlineLevel="0" collapsed="false">
      <c r="A658" s="0" t="s">
        <v>8</v>
      </c>
      <c r="B658" s="0" t="s">
        <v>844</v>
      </c>
      <c r="C658" s="0" t="s">
        <v>3922</v>
      </c>
    </row>
    <row r="659" customFormat="false" ht="15" hidden="false" customHeight="false" outlineLevel="0" collapsed="false">
      <c r="A659" s="0" t="s">
        <v>8</v>
      </c>
      <c r="B659" s="0" t="s">
        <v>848</v>
      </c>
      <c r="C659" s="0" t="s">
        <v>3920</v>
      </c>
      <c r="D659" s="0" t="n">
        <v>1.1629</v>
      </c>
    </row>
    <row r="660" customFormat="false" ht="15" hidden="false" customHeight="false" outlineLevel="0" collapsed="false">
      <c r="A660" s="0" t="s">
        <v>8</v>
      </c>
      <c r="B660" s="0" t="s">
        <v>848</v>
      </c>
      <c r="C660" s="0" t="s">
        <v>3921</v>
      </c>
    </row>
    <row r="661" customFormat="false" ht="15" hidden="false" customHeight="false" outlineLevel="0" collapsed="false">
      <c r="A661" s="0" t="s">
        <v>8</v>
      </c>
      <c r="B661" s="0" t="s">
        <v>848</v>
      </c>
      <c r="C661" s="0" t="s">
        <v>3922</v>
      </c>
    </row>
    <row r="662" customFormat="false" ht="15" hidden="false" customHeight="false" outlineLevel="0" collapsed="false">
      <c r="A662" s="0" t="s">
        <v>8</v>
      </c>
      <c r="B662" s="0" t="s">
        <v>851</v>
      </c>
      <c r="C662" s="0" t="s">
        <v>3920</v>
      </c>
      <c r="D662" s="0" t="n">
        <v>1.7299</v>
      </c>
    </row>
    <row r="663" customFormat="false" ht="15" hidden="false" customHeight="false" outlineLevel="0" collapsed="false">
      <c r="A663" s="0" t="s">
        <v>8</v>
      </c>
      <c r="B663" s="0" t="s">
        <v>851</v>
      </c>
      <c r="C663" s="0" t="s">
        <v>3921</v>
      </c>
    </row>
    <row r="664" customFormat="false" ht="15" hidden="false" customHeight="false" outlineLevel="0" collapsed="false">
      <c r="A664" s="0" t="s">
        <v>8</v>
      </c>
      <c r="B664" s="0" t="s">
        <v>851</v>
      </c>
      <c r="C664" s="0" t="s">
        <v>3922</v>
      </c>
    </row>
    <row r="665" customFormat="false" ht="15" hidden="false" customHeight="false" outlineLevel="0" collapsed="false">
      <c r="A665" s="0" t="s">
        <v>8</v>
      </c>
      <c r="B665" s="0" t="s">
        <v>855</v>
      </c>
      <c r="C665" s="0" t="s">
        <v>3920</v>
      </c>
      <c r="D665" s="0" t="n">
        <v>981</v>
      </c>
    </row>
    <row r="666" customFormat="false" ht="15" hidden="false" customHeight="false" outlineLevel="0" collapsed="false">
      <c r="A666" s="0" t="s">
        <v>8</v>
      </c>
      <c r="B666" s="0" t="s">
        <v>855</v>
      </c>
      <c r="C666" s="0" t="s">
        <v>3921</v>
      </c>
    </row>
    <row r="667" customFormat="false" ht="15" hidden="false" customHeight="false" outlineLevel="0" collapsed="false">
      <c r="A667" s="0" t="s">
        <v>8</v>
      </c>
      <c r="B667" s="0" t="s">
        <v>855</v>
      </c>
      <c r="C667" s="0" t="s">
        <v>3922</v>
      </c>
    </row>
    <row r="668" customFormat="false" ht="15" hidden="false" customHeight="false" outlineLevel="0" collapsed="false">
      <c r="A668" s="0" t="s">
        <v>8</v>
      </c>
      <c r="B668" s="0" t="s">
        <v>858</v>
      </c>
      <c r="C668" s="0" t="s">
        <v>3920</v>
      </c>
      <c r="D668" s="0" t="n">
        <v>883</v>
      </c>
    </row>
    <row r="669" customFormat="false" ht="15" hidden="false" customHeight="false" outlineLevel="0" collapsed="false">
      <c r="A669" s="0" t="s">
        <v>8</v>
      </c>
      <c r="B669" s="0" t="s">
        <v>858</v>
      </c>
      <c r="C669" s="0" t="s">
        <v>3921</v>
      </c>
    </row>
    <row r="670" customFormat="false" ht="15" hidden="false" customHeight="false" outlineLevel="0" collapsed="false">
      <c r="A670" s="0" t="s">
        <v>8</v>
      </c>
      <c r="B670" s="0" t="s">
        <v>858</v>
      </c>
      <c r="C670" s="0" t="s">
        <v>3922</v>
      </c>
    </row>
    <row r="671" customFormat="false" ht="15" hidden="false" customHeight="false" outlineLevel="0" collapsed="false">
      <c r="A671" s="0" t="s">
        <v>8</v>
      </c>
      <c r="B671" s="0" t="s">
        <v>861</v>
      </c>
      <c r="C671" s="0" t="s">
        <v>3920</v>
      </c>
      <c r="D671" s="0" t="n">
        <v>4.821</v>
      </c>
    </row>
    <row r="672" customFormat="false" ht="15" hidden="false" customHeight="false" outlineLevel="0" collapsed="false">
      <c r="A672" s="0" t="s">
        <v>8</v>
      </c>
      <c r="B672" s="0" t="s">
        <v>861</v>
      </c>
      <c r="C672" s="0" t="s">
        <v>3921</v>
      </c>
    </row>
    <row r="673" customFormat="false" ht="15" hidden="false" customHeight="false" outlineLevel="0" collapsed="false">
      <c r="A673" s="0" t="s">
        <v>8</v>
      </c>
      <c r="B673" s="0" t="s">
        <v>861</v>
      </c>
      <c r="C673" s="0" t="s">
        <v>3922</v>
      </c>
    </row>
    <row r="674" customFormat="false" ht="15" hidden="false" customHeight="false" outlineLevel="0" collapsed="false">
      <c r="A674" s="0" t="s">
        <v>8</v>
      </c>
      <c r="B674" s="0" t="s">
        <v>864</v>
      </c>
      <c r="C674" s="0" t="s">
        <v>3920</v>
      </c>
      <c r="D674" s="0" t="n">
        <v>4.996</v>
      </c>
    </row>
    <row r="675" customFormat="false" ht="15" hidden="false" customHeight="false" outlineLevel="0" collapsed="false">
      <c r="A675" s="0" t="s">
        <v>8</v>
      </c>
      <c r="B675" s="0" t="s">
        <v>864</v>
      </c>
      <c r="C675" s="0" t="s">
        <v>3921</v>
      </c>
    </row>
    <row r="676" customFormat="false" ht="15" hidden="false" customHeight="false" outlineLevel="0" collapsed="false">
      <c r="A676" s="0" t="s">
        <v>8</v>
      </c>
      <c r="B676" s="0" t="s">
        <v>864</v>
      </c>
      <c r="C676" s="0" t="s">
        <v>3922</v>
      </c>
    </row>
    <row r="677" customFormat="false" ht="15" hidden="false" customHeight="false" outlineLevel="0" collapsed="false">
      <c r="A677" s="0" t="s">
        <v>8</v>
      </c>
      <c r="B677" s="0" t="s">
        <v>867</v>
      </c>
      <c r="C677" s="0" t="s">
        <v>3920</v>
      </c>
      <c r="D677" s="0" t="n">
        <v>0.00491</v>
      </c>
    </row>
    <row r="678" customFormat="false" ht="15" hidden="false" customHeight="false" outlineLevel="0" collapsed="false">
      <c r="A678" s="0" t="s">
        <v>8</v>
      </c>
      <c r="B678" s="0" t="s">
        <v>867</v>
      </c>
      <c r="C678" s="0" t="s">
        <v>3921</v>
      </c>
    </row>
    <row r="679" customFormat="false" ht="15" hidden="false" customHeight="false" outlineLevel="0" collapsed="false">
      <c r="A679" s="0" t="s">
        <v>8</v>
      </c>
      <c r="B679" s="0" t="s">
        <v>867</v>
      </c>
      <c r="C679" s="0" t="s">
        <v>3922</v>
      </c>
    </row>
    <row r="680" customFormat="false" ht="15" hidden="false" customHeight="false" outlineLevel="0" collapsed="false">
      <c r="A680" s="0" t="s">
        <v>8</v>
      </c>
      <c r="B680" s="0" t="s">
        <v>872</v>
      </c>
      <c r="C680" s="0" t="s">
        <v>3920</v>
      </c>
      <c r="D680" s="0" t="n">
        <v>101</v>
      </c>
    </row>
    <row r="681" customFormat="false" ht="15" hidden="false" customHeight="false" outlineLevel="0" collapsed="false">
      <c r="A681" s="0" t="s">
        <v>8</v>
      </c>
      <c r="B681" s="0" t="s">
        <v>872</v>
      </c>
      <c r="C681" s="0" t="s">
        <v>3921</v>
      </c>
    </row>
    <row r="682" customFormat="false" ht="15" hidden="false" customHeight="false" outlineLevel="0" collapsed="false">
      <c r="A682" s="0" t="s">
        <v>8</v>
      </c>
      <c r="B682" s="0" t="s">
        <v>872</v>
      </c>
      <c r="C682" s="0" t="s">
        <v>3922</v>
      </c>
    </row>
    <row r="683" customFormat="false" ht="15" hidden="false" customHeight="false" outlineLevel="0" collapsed="false">
      <c r="A683" s="0" t="s">
        <v>8</v>
      </c>
      <c r="B683" s="0" t="s">
        <v>876</v>
      </c>
      <c r="C683" s="0" t="s">
        <v>3920</v>
      </c>
    </row>
    <row r="684" customFormat="false" ht="15" hidden="false" customHeight="false" outlineLevel="0" collapsed="false">
      <c r="A684" s="0" t="s">
        <v>8</v>
      </c>
      <c r="B684" s="0" t="s">
        <v>876</v>
      </c>
      <c r="C684" s="0" t="s">
        <v>3921</v>
      </c>
    </row>
    <row r="685" customFormat="false" ht="15" hidden="false" customHeight="false" outlineLevel="0" collapsed="false">
      <c r="A685" s="0" t="s">
        <v>8</v>
      </c>
      <c r="B685" s="0" t="s">
        <v>876</v>
      </c>
      <c r="C685" s="0" t="s">
        <v>3922</v>
      </c>
    </row>
    <row r="686" customFormat="false" ht="15" hidden="false" customHeight="false" outlineLevel="0" collapsed="false">
      <c r="A686" s="0" t="s">
        <v>8</v>
      </c>
      <c r="B686" s="0" t="s">
        <v>879</v>
      </c>
      <c r="C686" s="0" t="s">
        <v>3920</v>
      </c>
      <c r="D686" s="0" t="n">
        <v>100000</v>
      </c>
    </row>
    <row r="687" customFormat="false" ht="15" hidden="false" customHeight="false" outlineLevel="0" collapsed="false">
      <c r="A687" s="0" t="s">
        <v>8</v>
      </c>
      <c r="B687" s="0" t="s">
        <v>879</v>
      </c>
      <c r="C687" s="0" t="s">
        <v>3921</v>
      </c>
      <c r="D687" s="0" t="n">
        <v>100000</v>
      </c>
    </row>
    <row r="688" customFormat="false" ht="15" hidden="false" customHeight="false" outlineLevel="0" collapsed="false">
      <c r="A688" s="0" t="s">
        <v>8</v>
      </c>
      <c r="B688" s="0" t="s">
        <v>879</v>
      </c>
      <c r="C688" s="0" t="s">
        <v>3922</v>
      </c>
    </row>
    <row r="689" customFormat="false" ht="15" hidden="false" customHeight="false" outlineLevel="0" collapsed="false">
      <c r="A689" s="0" t="s">
        <v>8</v>
      </c>
      <c r="B689" s="0" t="s">
        <v>884</v>
      </c>
      <c r="C689" s="0" t="s">
        <v>3920</v>
      </c>
      <c r="D689" s="0" t="n">
        <v>0.15</v>
      </c>
    </row>
    <row r="690" customFormat="false" ht="15" hidden="false" customHeight="false" outlineLevel="0" collapsed="false">
      <c r="A690" s="0" t="s">
        <v>8</v>
      </c>
      <c r="B690" s="0" t="s">
        <v>884</v>
      </c>
      <c r="C690" s="0" t="s">
        <v>3921</v>
      </c>
    </row>
    <row r="691" customFormat="false" ht="15" hidden="false" customHeight="false" outlineLevel="0" collapsed="false">
      <c r="A691" s="0" t="s">
        <v>8</v>
      </c>
      <c r="B691" s="0" t="s">
        <v>884</v>
      </c>
      <c r="C691" s="0" t="s">
        <v>3922</v>
      </c>
    </row>
    <row r="692" customFormat="false" ht="15" hidden="false" customHeight="false" outlineLevel="0" collapsed="false">
      <c r="A692" s="0" t="s">
        <v>8</v>
      </c>
      <c r="B692" s="0" t="s">
        <v>890</v>
      </c>
      <c r="C692" s="0" t="s">
        <v>3920</v>
      </c>
      <c r="D692" s="0" t="n">
        <v>11.45</v>
      </c>
    </row>
    <row r="693" customFormat="false" ht="15" hidden="false" customHeight="false" outlineLevel="0" collapsed="false">
      <c r="A693" s="0" t="s">
        <v>8</v>
      </c>
      <c r="B693" s="0" t="s">
        <v>890</v>
      </c>
      <c r="C693" s="0" t="s">
        <v>3921</v>
      </c>
    </row>
    <row r="694" customFormat="false" ht="15" hidden="false" customHeight="false" outlineLevel="0" collapsed="false">
      <c r="A694" s="0" t="s">
        <v>8</v>
      </c>
      <c r="B694" s="0" t="s">
        <v>890</v>
      </c>
      <c r="C694" s="0" t="s">
        <v>3922</v>
      </c>
    </row>
    <row r="695" customFormat="false" ht="15" hidden="false" customHeight="false" outlineLevel="0" collapsed="false">
      <c r="A695" s="0" t="s">
        <v>8</v>
      </c>
      <c r="B695" s="0" t="s">
        <v>893</v>
      </c>
      <c r="C695" s="0" t="s">
        <v>3920</v>
      </c>
      <c r="D695" s="0" t="n">
        <v>15.52</v>
      </c>
    </row>
    <row r="696" customFormat="false" ht="15" hidden="false" customHeight="false" outlineLevel="0" collapsed="false">
      <c r="A696" s="0" t="s">
        <v>8</v>
      </c>
      <c r="B696" s="0" t="s">
        <v>893</v>
      </c>
      <c r="C696" s="0" t="s">
        <v>3921</v>
      </c>
    </row>
    <row r="697" customFormat="false" ht="15" hidden="false" customHeight="false" outlineLevel="0" collapsed="false">
      <c r="A697" s="0" t="s">
        <v>8</v>
      </c>
      <c r="B697" s="0" t="s">
        <v>893</v>
      </c>
      <c r="C697" s="0" t="s">
        <v>3922</v>
      </c>
    </row>
    <row r="698" customFormat="false" ht="15" hidden="false" customHeight="false" outlineLevel="0" collapsed="false">
      <c r="A698" s="0" t="s">
        <v>8</v>
      </c>
      <c r="B698" s="0" t="s">
        <v>900</v>
      </c>
      <c r="C698" s="0" t="s">
        <v>3920</v>
      </c>
      <c r="D698" s="0" t="n">
        <v>15.53</v>
      </c>
    </row>
    <row r="699" customFormat="false" ht="15" hidden="false" customHeight="false" outlineLevel="0" collapsed="false">
      <c r="A699" s="0" t="s">
        <v>8</v>
      </c>
      <c r="B699" s="0" t="s">
        <v>900</v>
      </c>
      <c r="C699" s="0" t="s">
        <v>3921</v>
      </c>
    </row>
    <row r="700" customFormat="false" ht="15" hidden="false" customHeight="false" outlineLevel="0" collapsed="false">
      <c r="A700" s="0" t="s">
        <v>8</v>
      </c>
      <c r="B700" s="0" t="s">
        <v>900</v>
      </c>
      <c r="C700" s="0" t="s">
        <v>3922</v>
      </c>
    </row>
    <row r="701" customFormat="false" ht="15" hidden="false" customHeight="false" outlineLevel="0" collapsed="false">
      <c r="A701" s="0" t="s">
        <v>8</v>
      </c>
      <c r="B701" s="0" t="s">
        <v>906</v>
      </c>
      <c r="C701" s="0" t="s">
        <v>3920</v>
      </c>
      <c r="D701" s="0" t="n">
        <v>70</v>
      </c>
    </row>
    <row r="702" customFormat="false" ht="15" hidden="false" customHeight="false" outlineLevel="0" collapsed="false">
      <c r="A702" s="0" t="s">
        <v>8</v>
      </c>
      <c r="B702" s="0" t="s">
        <v>906</v>
      </c>
      <c r="C702" s="0" t="s">
        <v>3921</v>
      </c>
      <c r="D702" s="0" t="n">
        <v>70</v>
      </c>
    </row>
    <row r="703" customFormat="false" ht="15" hidden="false" customHeight="false" outlineLevel="0" collapsed="false">
      <c r="A703" s="0" t="s">
        <v>8</v>
      </c>
      <c r="B703" s="0" t="s">
        <v>906</v>
      </c>
      <c r="C703" s="0" t="s">
        <v>3922</v>
      </c>
    </row>
    <row r="704" customFormat="false" ht="15" hidden="false" customHeight="false" outlineLevel="0" collapsed="false">
      <c r="A704" s="0" t="s">
        <v>8</v>
      </c>
      <c r="B704" s="0" t="s">
        <v>911</v>
      </c>
      <c r="C704" s="0" t="s">
        <v>3920</v>
      </c>
      <c r="D704" s="0" t="n">
        <v>0.42</v>
      </c>
    </row>
    <row r="705" customFormat="false" ht="15" hidden="false" customHeight="false" outlineLevel="0" collapsed="false">
      <c r="A705" s="0" t="s">
        <v>8</v>
      </c>
      <c r="B705" s="0" t="s">
        <v>911</v>
      </c>
      <c r="C705" s="0" t="s">
        <v>3921</v>
      </c>
    </row>
    <row r="706" customFormat="false" ht="15" hidden="false" customHeight="false" outlineLevel="0" collapsed="false">
      <c r="A706" s="0" t="s">
        <v>8</v>
      </c>
      <c r="B706" s="0" t="s">
        <v>911</v>
      </c>
      <c r="C706" s="0" t="s">
        <v>3922</v>
      </c>
    </row>
    <row r="707" customFormat="false" ht="15" hidden="false" customHeight="false" outlineLevel="0" collapsed="false">
      <c r="A707" s="0" t="s">
        <v>8</v>
      </c>
      <c r="B707" s="0" t="s">
        <v>915</v>
      </c>
      <c r="C707" s="0" t="s">
        <v>3920</v>
      </c>
      <c r="D707" s="0" t="n">
        <v>1.37</v>
      </c>
    </row>
    <row r="708" customFormat="false" ht="15" hidden="false" customHeight="false" outlineLevel="0" collapsed="false">
      <c r="A708" s="0" t="s">
        <v>8</v>
      </c>
      <c r="B708" s="0" t="s">
        <v>915</v>
      </c>
      <c r="C708" s="0" t="s">
        <v>3921</v>
      </c>
    </row>
    <row r="709" customFormat="false" ht="15" hidden="false" customHeight="false" outlineLevel="0" collapsed="false">
      <c r="A709" s="0" t="s">
        <v>8</v>
      </c>
      <c r="B709" s="0" t="s">
        <v>915</v>
      </c>
      <c r="C709" s="0" t="s">
        <v>3922</v>
      </c>
    </row>
    <row r="710" customFormat="false" ht="15" hidden="false" customHeight="false" outlineLevel="0" collapsed="false">
      <c r="A710" s="0" t="s">
        <v>8</v>
      </c>
      <c r="B710" s="0" t="s">
        <v>917</v>
      </c>
      <c r="C710" s="0" t="s">
        <v>3920</v>
      </c>
      <c r="D710" s="0" t="n">
        <v>3.24</v>
      </c>
    </row>
    <row r="711" customFormat="false" ht="15" hidden="false" customHeight="false" outlineLevel="0" collapsed="false">
      <c r="A711" s="0" t="s">
        <v>8</v>
      </c>
      <c r="B711" s="0" t="s">
        <v>917</v>
      </c>
      <c r="C711" s="0" t="s">
        <v>3921</v>
      </c>
    </row>
    <row r="712" customFormat="false" ht="15" hidden="false" customHeight="false" outlineLevel="0" collapsed="false">
      <c r="A712" s="0" t="s">
        <v>8</v>
      </c>
      <c r="B712" s="0" t="s">
        <v>917</v>
      </c>
      <c r="C712" s="0" t="s">
        <v>3922</v>
      </c>
    </row>
    <row r="713" customFormat="false" ht="15" hidden="false" customHeight="false" outlineLevel="0" collapsed="false">
      <c r="A713" s="0" t="s">
        <v>8</v>
      </c>
      <c r="B713" s="0" t="s">
        <v>919</v>
      </c>
      <c r="C713" s="0" t="s">
        <v>3920</v>
      </c>
      <c r="D713" s="0" t="n">
        <v>2.66</v>
      </c>
    </row>
    <row r="714" customFormat="false" ht="15" hidden="false" customHeight="false" outlineLevel="0" collapsed="false">
      <c r="A714" s="0" t="s">
        <v>8</v>
      </c>
      <c r="B714" s="0" t="s">
        <v>919</v>
      </c>
      <c r="C714" s="0" t="s">
        <v>3921</v>
      </c>
    </row>
    <row r="715" customFormat="false" ht="15" hidden="false" customHeight="false" outlineLevel="0" collapsed="false">
      <c r="A715" s="0" t="s">
        <v>8</v>
      </c>
      <c r="B715" s="0" t="s">
        <v>919</v>
      </c>
      <c r="C715" s="0" t="s">
        <v>3922</v>
      </c>
    </row>
    <row r="716" customFormat="false" ht="15" hidden="false" customHeight="false" outlineLevel="0" collapsed="false">
      <c r="A716" s="0" t="s">
        <v>8</v>
      </c>
      <c r="B716" s="0" t="s">
        <v>921</v>
      </c>
      <c r="C716" s="0" t="s">
        <v>3920</v>
      </c>
      <c r="D716" s="0" t="n">
        <v>14.8</v>
      </c>
    </row>
    <row r="717" customFormat="false" ht="15" hidden="false" customHeight="false" outlineLevel="0" collapsed="false">
      <c r="A717" s="0" t="s">
        <v>8</v>
      </c>
      <c r="B717" s="0" t="s">
        <v>921</v>
      </c>
      <c r="C717" s="0" t="s">
        <v>3921</v>
      </c>
    </row>
    <row r="718" customFormat="false" ht="15" hidden="false" customHeight="false" outlineLevel="0" collapsed="false">
      <c r="A718" s="0" t="s">
        <v>8</v>
      </c>
      <c r="B718" s="0" t="s">
        <v>921</v>
      </c>
      <c r="C718" s="0" t="s">
        <v>3922</v>
      </c>
    </row>
    <row r="719" customFormat="false" ht="15" hidden="false" customHeight="false" outlineLevel="0" collapsed="false">
      <c r="A719" s="0" t="s">
        <v>8</v>
      </c>
      <c r="B719" s="0" t="s">
        <v>927</v>
      </c>
      <c r="C719" s="0" t="s">
        <v>3920</v>
      </c>
      <c r="D719" s="0" t="n">
        <v>74.4</v>
      </c>
    </row>
    <row r="720" customFormat="false" ht="15" hidden="false" customHeight="false" outlineLevel="0" collapsed="false">
      <c r="A720" s="0" t="s">
        <v>8</v>
      </c>
      <c r="B720" s="0" t="s">
        <v>927</v>
      </c>
      <c r="C720" s="0" t="s">
        <v>3921</v>
      </c>
    </row>
    <row r="721" customFormat="false" ht="15" hidden="false" customHeight="false" outlineLevel="0" collapsed="false">
      <c r="A721" s="0" t="s">
        <v>8</v>
      </c>
      <c r="B721" s="0" t="s">
        <v>927</v>
      </c>
      <c r="C721" s="0" t="s">
        <v>3922</v>
      </c>
    </row>
    <row r="722" customFormat="false" ht="15" hidden="false" customHeight="false" outlineLevel="0" collapsed="false">
      <c r="A722" s="0" t="s">
        <v>8</v>
      </c>
      <c r="B722" s="0" t="s">
        <v>931</v>
      </c>
      <c r="C722" s="0" t="s">
        <v>3920</v>
      </c>
      <c r="D722" s="0" t="n">
        <v>1.4</v>
      </c>
    </row>
    <row r="723" customFormat="false" ht="15" hidden="false" customHeight="false" outlineLevel="0" collapsed="false">
      <c r="A723" s="0" t="s">
        <v>8</v>
      </c>
      <c r="B723" s="0" t="s">
        <v>931</v>
      </c>
      <c r="C723" s="0" t="s">
        <v>3921</v>
      </c>
    </row>
    <row r="724" customFormat="false" ht="15" hidden="false" customHeight="false" outlineLevel="0" collapsed="false">
      <c r="A724" s="0" t="s">
        <v>8</v>
      </c>
      <c r="B724" s="0" t="s">
        <v>931</v>
      </c>
      <c r="C724" s="0" t="s">
        <v>3922</v>
      </c>
    </row>
    <row r="725" customFormat="false" ht="15" hidden="false" customHeight="false" outlineLevel="0" collapsed="false">
      <c r="A725" s="0" t="s">
        <v>8</v>
      </c>
      <c r="B725" s="0" t="s">
        <v>940</v>
      </c>
      <c r="C725" s="0" t="s">
        <v>3920</v>
      </c>
      <c r="D725" s="0" t="n">
        <v>0.26</v>
      </c>
    </row>
    <row r="726" customFormat="false" ht="15" hidden="false" customHeight="false" outlineLevel="0" collapsed="false">
      <c r="A726" s="0" t="s">
        <v>8</v>
      </c>
      <c r="B726" s="0" t="s">
        <v>940</v>
      </c>
      <c r="C726" s="0" t="s">
        <v>3921</v>
      </c>
    </row>
    <row r="727" customFormat="false" ht="15" hidden="false" customHeight="false" outlineLevel="0" collapsed="false">
      <c r="A727" s="0" t="s">
        <v>8</v>
      </c>
      <c r="B727" s="0" t="s">
        <v>940</v>
      </c>
      <c r="C727" s="0" t="s">
        <v>3922</v>
      </c>
    </row>
    <row r="728" customFormat="false" ht="15" hidden="false" customHeight="false" outlineLevel="0" collapsed="false">
      <c r="A728" s="0" t="s">
        <v>8</v>
      </c>
      <c r="B728" s="0" t="s">
        <v>943</v>
      </c>
      <c r="C728" s="0" t="s">
        <v>3920</v>
      </c>
      <c r="D728" s="0" t="n">
        <v>4.4</v>
      </c>
    </row>
    <row r="729" customFormat="false" ht="15" hidden="false" customHeight="false" outlineLevel="0" collapsed="false">
      <c r="A729" s="0" t="s">
        <v>8</v>
      </c>
      <c r="B729" s="0" t="s">
        <v>943</v>
      </c>
      <c r="C729" s="0" t="s">
        <v>3921</v>
      </c>
    </row>
    <row r="730" customFormat="false" ht="15" hidden="false" customHeight="false" outlineLevel="0" collapsed="false">
      <c r="A730" s="0" t="s">
        <v>8</v>
      </c>
      <c r="B730" s="0" t="s">
        <v>943</v>
      </c>
      <c r="C730" s="0" t="s">
        <v>3922</v>
      </c>
    </row>
    <row r="731" customFormat="false" ht="15" hidden="false" customHeight="false" outlineLevel="0" collapsed="false">
      <c r="A731" s="0" t="s">
        <v>8</v>
      </c>
      <c r="B731" s="0" t="s">
        <v>946</v>
      </c>
      <c r="C731" s="0" t="s">
        <v>3920</v>
      </c>
      <c r="D731" s="0" t="n">
        <v>1.4</v>
      </c>
    </row>
    <row r="732" customFormat="false" ht="15" hidden="false" customHeight="false" outlineLevel="0" collapsed="false">
      <c r="A732" s="0" t="s">
        <v>8</v>
      </c>
      <c r="B732" s="0" t="s">
        <v>946</v>
      </c>
      <c r="C732" s="0" t="s">
        <v>3921</v>
      </c>
    </row>
    <row r="733" customFormat="false" ht="15" hidden="false" customHeight="false" outlineLevel="0" collapsed="false">
      <c r="A733" s="0" t="s">
        <v>8</v>
      </c>
      <c r="B733" s="0" t="s">
        <v>946</v>
      </c>
      <c r="C733" s="0" t="s">
        <v>3922</v>
      </c>
    </row>
    <row r="734" customFormat="false" ht="15" hidden="false" customHeight="false" outlineLevel="0" collapsed="false">
      <c r="A734" s="0" t="s">
        <v>8</v>
      </c>
      <c r="B734" s="0" t="s">
        <v>950</v>
      </c>
      <c r="C734" s="0" t="s">
        <v>3920</v>
      </c>
      <c r="D734" s="0" t="n">
        <v>0.26</v>
      </c>
    </row>
    <row r="735" customFormat="false" ht="15" hidden="false" customHeight="false" outlineLevel="0" collapsed="false">
      <c r="A735" s="0" t="s">
        <v>8</v>
      </c>
      <c r="B735" s="0" t="s">
        <v>950</v>
      </c>
      <c r="C735" s="0" t="s">
        <v>3921</v>
      </c>
    </row>
    <row r="736" customFormat="false" ht="15" hidden="false" customHeight="false" outlineLevel="0" collapsed="false">
      <c r="A736" s="0" t="s">
        <v>8</v>
      </c>
      <c r="B736" s="0" t="s">
        <v>950</v>
      </c>
      <c r="C736" s="0" t="s">
        <v>3922</v>
      </c>
    </row>
    <row r="737" customFormat="false" ht="15" hidden="false" customHeight="false" outlineLevel="0" collapsed="false">
      <c r="A737" s="0" t="s">
        <v>8</v>
      </c>
      <c r="B737" s="0" t="s">
        <v>953</v>
      </c>
      <c r="C737" s="0" t="s">
        <v>3920</v>
      </c>
      <c r="D737" s="0" t="n">
        <v>4.4</v>
      </c>
    </row>
    <row r="738" customFormat="false" ht="15" hidden="false" customHeight="false" outlineLevel="0" collapsed="false">
      <c r="A738" s="0" t="s">
        <v>8</v>
      </c>
      <c r="B738" s="0" t="s">
        <v>953</v>
      </c>
      <c r="C738" s="0" t="s">
        <v>3921</v>
      </c>
    </row>
    <row r="739" customFormat="false" ht="15" hidden="false" customHeight="false" outlineLevel="0" collapsed="false">
      <c r="A739" s="0" t="s">
        <v>8</v>
      </c>
      <c r="B739" s="0" t="s">
        <v>953</v>
      </c>
      <c r="C739" s="0" t="s">
        <v>3922</v>
      </c>
    </row>
    <row r="740" customFormat="false" ht="15" hidden="false" customHeight="false" outlineLevel="0" collapsed="false">
      <c r="A740" s="0" t="s">
        <v>8</v>
      </c>
      <c r="B740" s="0" t="s">
        <v>956</v>
      </c>
      <c r="C740" s="0" t="s">
        <v>3920</v>
      </c>
      <c r="D740" s="0" t="n">
        <v>1.4</v>
      </c>
    </row>
    <row r="741" customFormat="false" ht="15" hidden="false" customHeight="false" outlineLevel="0" collapsed="false">
      <c r="A741" s="0" t="s">
        <v>8</v>
      </c>
      <c r="B741" s="0" t="s">
        <v>956</v>
      </c>
      <c r="C741" s="0" t="s">
        <v>3921</v>
      </c>
    </row>
    <row r="742" customFormat="false" ht="15" hidden="false" customHeight="false" outlineLevel="0" collapsed="false">
      <c r="A742" s="0" t="s">
        <v>8</v>
      </c>
      <c r="B742" s="0" t="s">
        <v>956</v>
      </c>
      <c r="C742" s="0" t="s">
        <v>3922</v>
      </c>
    </row>
    <row r="743" customFormat="false" ht="15" hidden="false" customHeight="false" outlineLevel="0" collapsed="false">
      <c r="A743" s="0" t="s">
        <v>8</v>
      </c>
      <c r="B743" s="0" t="s">
        <v>960</v>
      </c>
      <c r="C743" s="0" t="s">
        <v>3920</v>
      </c>
      <c r="D743" s="0" t="n">
        <v>0.26</v>
      </c>
    </row>
    <row r="744" customFormat="false" ht="15" hidden="false" customHeight="false" outlineLevel="0" collapsed="false">
      <c r="A744" s="0" t="s">
        <v>8</v>
      </c>
      <c r="B744" s="0" t="s">
        <v>960</v>
      </c>
      <c r="C744" s="0" t="s">
        <v>3921</v>
      </c>
    </row>
    <row r="745" customFormat="false" ht="15" hidden="false" customHeight="false" outlineLevel="0" collapsed="false">
      <c r="A745" s="0" t="s">
        <v>8</v>
      </c>
      <c r="B745" s="0" t="s">
        <v>960</v>
      </c>
      <c r="C745" s="0" t="s">
        <v>3922</v>
      </c>
    </row>
    <row r="746" customFormat="false" ht="15" hidden="false" customHeight="false" outlineLevel="0" collapsed="false">
      <c r="A746" s="0" t="s">
        <v>8</v>
      </c>
      <c r="B746" s="0" t="s">
        <v>963</v>
      </c>
      <c r="C746" s="0" t="s">
        <v>3920</v>
      </c>
      <c r="D746" s="0" t="n">
        <v>4.4</v>
      </c>
    </row>
    <row r="747" customFormat="false" ht="15" hidden="false" customHeight="false" outlineLevel="0" collapsed="false">
      <c r="A747" s="0" t="s">
        <v>8</v>
      </c>
      <c r="B747" s="0" t="s">
        <v>963</v>
      </c>
      <c r="C747" s="0" t="s">
        <v>3921</v>
      </c>
    </row>
    <row r="748" customFormat="false" ht="15" hidden="false" customHeight="false" outlineLevel="0" collapsed="false">
      <c r="A748" s="0" t="s">
        <v>8</v>
      </c>
      <c r="B748" s="0" t="s">
        <v>963</v>
      </c>
      <c r="C748" s="0" t="s">
        <v>3922</v>
      </c>
    </row>
    <row r="749" customFormat="false" ht="15" hidden="false" customHeight="false" outlineLevel="0" collapsed="false">
      <c r="A749" s="0" t="s">
        <v>8</v>
      </c>
      <c r="B749" s="0" t="s">
        <v>966</v>
      </c>
      <c r="C749" s="0" t="s">
        <v>3920</v>
      </c>
      <c r="D749" s="0" t="n">
        <v>1</v>
      </c>
    </row>
    <row r="750" customFormat="false" ht="15" hidden="false" customHeight="false" outlineLevel="0" collapsed="false">
      <c r="A750" s="0" t="s">
        <v>8</v>
      </c>
      <c r="B750" s="0" t="s">
        <v>966</v>
      </c>
      <c r="C750" s="0" t="s">
        <v>3921</v>
      </c>
    </row>
    <row r="751" customFormat="false" ht="15" hidden="false" customHeight="false" outlineLevel="0" collapsed="false">
      <c r="A751" s="0" t="s">
        <v>8</v>
      </c>
      <c r="B751" s="0" t="s">
        <v>966</v>
      </c>
      <c r="C751" s="0" t="s">
        <v>3922</v>
      </c>
    </row>
    <row r="752" customFormat="false" ht="15" hidden="false" customHeight="false" outlineLevel="0" collapsed="false">
      <c r="A752" s="0" t="s">
        <v>8</v>
      </c>
      <c r="B752" s="0" t="s">
        <v>970</v>
      </c>
      <c r="C752" s="0" t="s">
        <v>3920</v>
      </c>
      <c r="D752" s="0" t="n">
        <v>0.2</v>
      </c>
    </row>
    <row r="753" customFormat="false" ht="15" hidden="false" customHeight="false" outlineLevel="0" collapsed="false">
      <c r="A753" s="0" t="s">
        <v>8</v>
      </c>
      <c r="B753" s="0" t="s">
        <v>970</v>
      </c>
      <c r="C753" s="0" t="s">
        <v>3921</v>
      </c>
    </row>
    <row r="754" customFormat="false" ht="15" hidden="false" customHeight="false" outlineLevel="0" collapsed="false">
      <c r="A754" s="0" t="s">
        <v>8</v>
      </c>
      <c r="B754" s="0" t="s">
        <v>970</v>
      </c>
      <c r="C754" s="0" t="s">
        <v>3922</v>
      </c>
    </row>
    <row r="755" customFormat="false" ht="15" hidden="false" customHeight="false" outlineLevel="0" collapsed="false">
      <c r="A755" s="0" t="s">
        <v>8</v>
      </c>
      <c r="B755" s="0" t="s">
        <v>973</v>
      </c>
      <c r="C755" s="0" t="s">
        <v>3920</v>
      </c>
      <c r="D755" s="0" t="n">
        <v>3.2</v>
      </c>
    </row>
    <row r="756" customFormat="false" ht="15" hidden="false" customHeight="false" outlineLevel="0" collapsed="false">
      <c r="A756" s="0" t="s">
        <v>8</v>
      </c>
      <c r="B756" s="0" t="s">
        <v>973</v>
      </c>
      <c r="C756" s="0" t="s">
        <v>3921</v>
      </c>
    </row>
    <row r="757" customFormat="false" ht="15" hidden="false" customHeight="false" outlineLevel="0" collapsed="false">
      <c r="A757" s="0" t="s">
        <v>8</v>
      </c>
      <c r="B757" s="0" t="s">
        <v>973</v>
      </c>
      <c r="C757" s="0" t="s">
        <v>3922</v>
      </c>
    </row>
    <row r="758" customFormat="false" ht="15" hidden="false" customHeight="false" outlineLevel="0" collapsed="false">
      <c r="A758" s="0" t="s">
        <v>8</v>
      </c>
      <c r="B758" s="0" t="s">
        <v>976</v>
      </c>
      <c r="C758" s="0" t="s">
        <v>3920</v>
      </c>
      <c r="D758" s="0" t="n">
        <v>0.6</v>
      </c>
    </row>
    <row r="759" customFormat="false" ht="15" hidden="false" customHeight="false" outlineLevel="0" collapsed="false">
      <c r="A759" s="0" t="s">
        <v>8</v>
      </c>
      <c r="B759" s="0" t="s">
        <v>976</v>
      </c>
      <c r="C759" s="0" t="s">
        <v>3921</v>
      </c>
    </row>
    <row r="760" customFormat="false" ht="15" hidden="false" customHeight="false" outlineLevel="0" collapsed="false">
      <c r="A760" s="0" t="s">
        <v>8</v>
      </c>
      <c r="B760" s="0" t="s">
        <v>976</v>
      </c>
      <c r="C760" s="0" t="s">
        <v>3922</v>
      </c>
    </row>
    <row r="761" customFormat="false" ht="15" hidden="false" customHeight="false" outlineLevel="0" collapsed="false">
      <c r="A761" s="0" t="s">
        <v>8</v>
      </c>
      <c r="B761" s="0" t="s">
        <v>980</v>
      </c>
      <c r="C761" s="0" t="s">
        <v>3920</v>
      </c>
      <c r="D761" s="0" t="n">
        <v>0.11</v>
      </c>
    </row>
    <row r="762" customFormat="false" ht="15" hidden="false" customHeight="false" outlineLevel="0" collapsed="false">
      <c r="A762" s="0" t="s">
        <v>8</v>
      </c>
      <c r="B762" s="0" t="s">
        <v>980</v>
      </c>
      <c r="C762" s="0" t="s">
        <v>3921</v>
      </c>
    </row>
    <row r="763" customFormat="false" ht="15" hidden="false" customHeight="false" outlineLevel="0" collapsed="false">
      <c r="A763" s="0" t="s">
        <v>8</v>
      </c>
      <c r="B763" s="0" t="s">
        <v>980</v>
      </c>
      <c r="C763" s="0" t="s">
        <v>3922</v>
      </c>
    </row>
    <row r="764" customFormat="false" ht="15" hidden="false" customHeight="false" outlineLevel="0" collapsed="false">
      <c r="A764" s="0" t="s">
        <v>8</v>
      </c>
      <c r="B764" s="0" t="s">
        <v>983</v>
      </c>
      <c r="C764" s="0" t="s">
        <v>3920</v>
      </c>
      <c r="D764" s="0" t="n">
        <v>2.2</v>
      </c>
    </row>
    <row r="765" customFormat="false" ht="15" hidden="false" customHeight="false" outlineLevel="0" collapsed="false">
      <c r="A765" s="0" t="s">
        <v>8</v>
      </c>
      <c r="B765" s="0" t="s">
        <v>983</v>
      </c>
      <c r="C765" s="0" t="s">
        <v>3921</v>
      </c>
    </row>
    <row r="766" customFormat="false" ht="15" hidden="false" customHeight="false" outlineLevel="0" collapsed="false">
      <c r="A766" s="0" t="s">
        <v>8</v>
      </c>
      <c r="B766" s="0" t="s">
        <v>983</v>
      </c>
      <c r="C766" s="0" t="s">
        <v>3922</v>
      </c>
    </row>
    <row r="767" customFormat="false" ht="15" hidden="false" customHeight="false" outlineLevel="0" collapsed="false">
      <c r="A767" s="0" t="s">
        <v>8</v>
      </c>
      <c r="B767" s="0" t="s">
        <v>986</v>
      </c>
      <c r="C767" s="0" t="s">
        <v>3920</v>
      </c>
      <c r="D767" s="0" t="n">
        <v>0.6</v>
      </c>
    </row>
    <row r="768" customFormat="false" ht="15" hidden="false" customHeight="false" outlineLevel="0" collapsed="false">
      <c r="A768" s="0" t="s">
        <v>8</v>
      </c>
      <c r="B768" s="0" t="s">
        <v>986</v>
      </c>
      <c r="C768" s="0" t="s">
        <v>3921</v>
      </c>
    </row>
    <row r="769" customFormat="false" ht="15" hidden="false" customHeight="false" outlineLevel="0" collapsed="false">
      <c r="A769" s="0" t="s">
        <v>8</v>
      </c>
      <c r="B769" s="0" t="s">
        <v>986</v>
      </c>
      <c r="C769" s="0" t="s">
        <v>3922</v>
      </c>
    </row>
    <row r="770" customFormat="false" ht="15" hidden="false" customHeight="false" outlineLevel="0" collapsed="false">
      <c r="A770" s="0" t="s">
        <v>8</v>
      </c>
      <c r="B770" s="0" t="s">
        <v>990</v>
      </c>
      <c r="C770" s="0" t="s">
        <v>3920</v>
      </c>
      <c r="D770" s="0" t="n">
        <v>0.11</v>
      </c>
    </row>
    <row r="771" customFormat="false" ht="15" hidden="false" customHeight="false" outlineLevel="0" collapsed="false">
      <c r="A771" s="0" t="s">
        <v>8</v>
      </c>
      <c r="B771" s="0" t="s">
        <v>990</v>
      </c>
      <c r="C771" s="0" t="s">
        <v>3921</v>
      </c>
    </row>
    <row r="772" customFormat="false" ht="15" hidden="false" customHeight="false" outlineLevel="0" collapsed="false">
      <c r="A772" s="0" t="s">
        <v>8</v>
      </c>
      <c r="B772" s="0" t="s">
        <v>990</v>
      </c>
      <c r="C772" s="0" t="s">
        <v>3922</v>
      </c>
    </row>
    <row r="773" customFormat="false" ht="15" hidden="false" customHeight="false" outlineLevel="0" collapsed="false">
      <c r="A773" s="0" t="s">
        <v>8</v>
      </c>
      <c r="B773" s="0" t="s">
        <v>993</v>
      </c>
      <c r="C773" s="0" t="s">
        <v>3920</v>
      </c>
      <c r="D773" s="0" t="n">
        <v>2.2</v>
      </c>
    </row>
    <row r="774" customFormat="false" ht="15" hidden="false" customHeight="false" outlineLevel="0" collapsed="false">
      <c r="A774" s="0" t="s">
        <v>8</v>
      </c>
      <c r="B774" s="0" t="s">
        <v>993</v>
      </c>
      <c r="C774" s="0" t="s">
        <v>3921</v>
      </c>
    </row>
    <row r="775" customFormat="false" ht="15" hidden="false" customHeight="false" outlineLevel="0" collapsed="false">
      <c r="A775" s="0" t="s">
        <v>8</v>
      </c>
      <c r="B775" s="0" t="s">
        <v>993</v>
      </c>
      <c r="C775" s="0" t="s">
        <v>3922</v>
      </c>
    </row>
    <row r="776" customFormat="false" ht="15" hidden="false" customHeight="false" outlineLevel="0" collapsed="false">
      <c r="A776" s="0" t="s">
        <v>8</v>
      </c>
      <c r="B776" s="0" t="s">
        <v>996</v>
      </c>
      <c r="C776" s="0" t="s">
        <v>3920</v>
      </c>
      <c r="D776" s="0" t="n">
        <v>0.6</v>
      </c>
    </row>
    <row r="777" customFormat="false" ht="15" hidden="false" customHeight="false" outlineLevel="0" collapsed="false">
      <c r="A777" s="0" t="s">
        <v>8</v>
      </c>
      <c r="B777" s="0" t="s">
        <v>996</v>
      </c>
      <c r="C777" s="0" t="s">
        <v>3921</v>
      </c>
    </row>
    <row r="778" customFormat="false" ht="15" hidden="false" customHeight="false" outlineLevel="0" collapsed="false">
      <c r="A778" s="0" t="s">
        <v>8</v>
      </c>
      <c r="B778" s="0" t="s">
        <v>996</v>
      </c>
      <c r="C778" s="0" t="s">
        <v>3922</v>
      </c>
    </row>
    <row r="779" customFormat="false" ht="15" hidden="false" customHeight="false" outlineLevel="0" collapsed="false">
      <c r="A779" s="0" t="s">
        <v>8</v>
      </c>
      <c r="B779" s="0" t="s">
        <v>1000</v>
      </c>
      <c r="C779" s="0" t="s">
        <v>3920</v>
      </c>
      <c r="D779" s="0" t="n">
        <v>0.11</v>
      </c>
    </row>
    <row r="780" customFormat="false" ht="15" hidden="false" customHeight="false" outlineLevel="0" collapsed="false">
      <c r="A780" s="0" t="s">
        <v>8</v>
      </c>
      <c r="B780" s="0" t="s">
        <v>1000</v>
      </c>
      <c r="C780" s="0" t="s">
        <v>3921</v>
      </c>
    </row>
    <row r="781" customFormat="false" ht="15" hidden="false" customHeight="false" outlineLevel="0" collapsed="false">
      <c r="A781" s="0" t="s">
        <v>8</v>
      </c>
      <c r="B781" s="0" t="s">
        <v>1000</v>
      </c>
      <c r="C781" s="0" t="s">
        <v>3922</v>
      </c>
    </row>
    <row r="782" customFormat="false" ht="15" hidden="false" customHeight="false" outlineLevel="0" collapsed="false">
      <c r="A782" s="0" t="s">
        <v>8</v>
      </c>
      <c r="B782" s="0" t="s">
        <v>1003</v>
      </c>
      <c r="C782" s="0" t="s">
        <v>3920</v>
      </c>
      <c r="D782" s="0" t="n">
        <v>2.2</v>
      </c>
    </row>
    <row r="783" customFormat="false" ht="15" hidden="false" customHeight="false" outlineLevel="0" collapsed="false">
      <c r="A783" s="0" t="s">
        <v>8</v>
      </c>
      <c r="B783" s="0" t="s">
        <v>1003</v>
      </c>
      <c r="C783" s="0" t="s">
        <v>3921</v>
      </c>
    </row>
    <row r="784" customFormat="false" ht="15" hidden="false" customHeight="false" outlineLevel="0" collapsed="false">
      <c r="A784" s="0" t="s">
        <v>8</v>
      </c>
      <c r="B784" s="0" t="s">
        <v>1003</v>
      </c>
      <c r="C784" s="0" t="s">
        <v>3922</v>
      </c>
    </row>
    <row r="785" customFormat="false" ht="15" hidden="false" customHeight="false" outlineLevel="0" collapsed="false">
      <c r="A785" s="0" t="s">
        <v>8</v>
      </c>
      <c r="B785" s="0" t="s">
        <v>1006</v>
      </c>
      <c r="C785" s="0" t="s">
        <v>3920</v>
      </c>
      <c r="D785" s="0" t="n">
        <v>2.2</v>
      </c>
    </row>
    <row r="786" customFormat="false" ht="15" hidden="false" customHeight="false" outlineLevel="0" collapsed="false">
      <c r="A786" s="0" t="s">
        <v>8</v>
      </c>
      <c r="B786" s="0" t="s">
        <v>1006</v>
      </c>
      <c r="C786" s="0" t="s">
        <v>3921</v>
      </c>
    </row>
    <row r="787" customFormat="false" ht="15" hidden="false" customHeight="false" outlineLevel="0" collapsed="false">
      <c r="A787" s="0" t="s">
        <v>8</v>
      </c>
      <c r="B787" s="0" t="s">
        <v>1006</v>
      </c>
      <c r="C787" s="0" t="s">
        <v>3922</v>
      </c>
    </row>
    <row r="788" customFormat="false" ht="15" hidden="false" customHeight="false" outlineLevel="0" collapsed="false">
      <c r="A788" s="0" t="s">
        <v>8</v>
      </c>
      <c r="B788" s="0" t="s">
        <v>1010</v>
      </c>
      <c r="C788" s="0" t="s">
        <v>3920</v>
      </c>
      <c r="D788" s="0" t="n">
        <v>0.45</v>
      </c>
    </row>
    <row r="789" customFormat="false" ht="15" hidden="false" customHeight="false" outlineLevel="0" collapsed="false">
      <c r="A789" s="0" t="s">
        <v>8</v>
      </c>
      <c r="B789" s="0" t="s">
        <v>1010</v>
      </c>
      <c r="C789" s="0" t="s">
        <v>3921</v>
      </c>
    </row>
    <row r="790" customFormat="false" ht="15" hidden="false" customHeight="false" outlineLevel="0" collapsed="false">
      <c r="A790" s="0" t="s">
        <v>8</v>
      </c>
      <c r="B790" s="0" t="s">
        <v>1010</v>
      </c>
      <c r="C790" s="0" t="s">
        <v>3922</v>
      </c>
    </row>
    <row r="791" customFormat="false" ht="15" hidden="false" customHeight="false" outlineLevel="0" collapsed="false">
      <c r="A791" s="0" t="s">
        <v>8</v>
      </c>
      <c r="B791" s="0" t="s">
        <v>1013</v>
      </c>
      <c r="C791" s="0" t="s">
        <v>3920</v>
      </c>
      <c r="D791" s="0" t="n">
        <v>8.9</v>
      </c>
    </row>
    <row r="792" customFormat="false" ht="15" hidden="false" customHeight="false" outlineLevel="0" collapsed="false">
      <c r="A792" s="0" t="s">
        <v>8</v>
      </c>
      <c r="B792" s="0" t="s">
        <v>1013</v>
      </c>
      <c r="C792" s="0" t="s">
        <v>3921</v>
      </c>
    </row>
    <row r="793" customFormat="false" ht="15" hidden="false" customHeight="false" outlineLevel="0" collapsed="false">
      <c r="A793" s="0" t="s">
        <v>8</v>
      </c>
      <c r="B793" s="0" t="s">
        <v>1013</v>
      </c>
      <c r="C793" s="0" t="s">
        <v>3922</v>
      </c>
    </row>
    <row r="794" customFormat="false" ht="15" hidden="false" customHeight="false" outlineLevel="0" collapsed="false">
      <c r="A794" s="0" t="s">
        <v>8</v>
      </c>
      <c r="B794" s="0" t="s">
        <v>1016</v>
      </c>
      <c r="C794" s="0" t="s">
        <v>3920</v>
      </c>
      <c r="D794" s="0" t="n">
        <v>0.2</v>
      </c>
    </row>
    <row r="795" customFormat="false" ht="15" hidden="false" customHeight="false" outlineLevel="0" collapsed="false">
      <c r="A795" s="0" t="s">
        <v>8</v>
      </c>
      <c r="B795" s="0" t="s">
        <v>1016</v>
      </c>
      <c r="C795" s="0" t="s">
        <v>3921</v>
      </c>
    </row>
    <row r="796" customFormat="false" ht="15" hidden="false" customHeight="false" outlineLevel="0" collapsed="false">
      <c r="A796" s="0" t="s">
        <v>8</v>
      </c>
      <c r="B796" s="0" t="s">
        <v>1016</v>
      </c>
      <c r="C796" s="0" t="s">
        <v>3922</v>
      </c>
    </row>
    <row r="797" customFormat="false" ht="15" hidden="false" customHeight="false" outlineLevel="0" collapsed="false">
      <c r="A797" s="0" t="s">
        <v>8</v>
      </c>
      <c r="B797" s="0" t="s">
        <v>1020</v>
      </c>
      <c r="C797" s="0" t="s">
        <v>3920</v>
      </c>
      <c r="D797" s="0" t="n">
        <v>0.03</v>
      </c>
    </row>
    <row r="798" customFormat="false" ht="15" hidden="false" customHeight="false" outlineLevel="0" collapsed="false">
      <c r="A798" s="0" t="s">
        <v>8</v>
      </c>
      <c r="B798" s="0" t="s">
        <v>1020</v>
      </c>
      <c r="C798" s="0" t="s">
        <v>3921</v>
      </c>
    </row>
    <row r="799" customFormat="false" ht="15" hidden="false" customHeight="false" outlineLevel="0" collapsed="false">
      <c r="A799" s="0" t="s">
        <v>8</v>
      </c>
      <c r="B799" s="0" t="s">
        <v>1020</v>
      </c>
      <c r="C799" s="0" t="s">
        <v>3922</v>
      </c>
    </row>
    <row r="800" customFormat="false" ht="15" hidden="false" customHeight="false" outlineLevel="0" collapsed="false">
      <c r="A800" s="0" t="s">
        <v>8</v>
      </c>
      <c r="B800" s="0" t="s">
        <v>1023</v>
      </c>
      <c r="C800" s="0" t="s">
        <v>3920</v>
      </c>
      <c r="D800" s="0" t="n">
        <v>1.1</v>
      </c>
    </row>
    <row r="801" customFormat="false" ht="15" hidden="false" customHeight="false" outlineLevel="0" collapsed="false">
      <c r="A801" s="0" t="s">
        <v>8</v>
      </c>
      <c r="B801" s="0" t="s">
        <v>1023</v>
      </c>
      <c r="C801" s="0" t="s">
        <v>3921</v>
      </c>
    </row>
    <row r="802" customFormat="false" ht="15" hidden="false" customHeight="false" outlineLevel="0" collapsed="false">
      <c r="A802" s="0" t="s">
        <v>8</v>
      </c>
      <c r="B802" s="0" t="s">
        <v>1023</v>
      </c>
      <c r="C802" s="0" t="s">
        <v>3922</v>
      </c>
    </row>
    <row r="803" customFormat="false" ht="15" hidden="false" customHeight="false" outlineLevel="0" collapsed="false">
      <c r="A803" s="0" t="s">
        <v>8</v>
      </c>
      <c r="B803" s="0" t="s">
        <v>1026</v>
      </c>
      <c r="C803" s="0" t="s">
        <v>3920</v>
      </c>
      <c r="D803" s="0" t="n">
        <v>1.1</v>
      </c>
    </row>
    <row r="804" customFormat="false" ht="15" hidden="false" customHeight="false" outlineLevel="0" collapsed="false">
      <c r="A804" s="0" t="s">
        <v>8</v>
      </c>
      <c r="B804" s="0" t="s">
        <v>1026</v>
      </c>
      <c r="C804" s="0" t="s">
        <v>3921</v>
      </c>
    </row>
    <row r="805" customFormat="false" ht="15" hidden="false" customHeight="false" outlineLevel="0" collapsed="false">
      <c r="A805" s="0" t="s">
        <v>8</v>
      </c>
      <c r="B805" s="0" t="s">
        <v>1026</v>
      </c>
      <c r="C805" s="0" t="s">
        <v>3922</v>
      </c>
    </row>
    <row r="806" customFormat="false" ht="15" hidden="false" customHeight="false" outlineLevel="0" collapsed="false">
      <c r="A806" s="0" t="s">
        <v>8</v>
      </c>
      <c r="B806" s="0" t="s">
        <v>1030</v>
      </c>
      <c r="C806" s="0" t="s">
        <v>3920</v>
      </c>
      <c r="D806" s="0" t="n">
        <v>0.22</v>
      </c>
    </row>
    <row r="807" customFormat="false" ht="15" hidden="false" customHeight="false" outlineLevel="0" collapsed="false">
      <c r="A807" s="0" t="s">
        <v>8</v>
      </c>
      <c r="B807" s="0" t="s">
        <v>1030</v>
      </c>
      <c r="C807" s="0" t="s">
        <v>3921</v>
      </c>
    </row>
    <row r="808" customFormat="false" ht="15" hidden="false" customHeight="false" outlineLevel="0" collapsed="false">
      <c r="A808" s="0" t="s">
        <v>8</v>
      </c>
      <c r="B808" s="0" t="s">
        <v>1030</v>
      </c>
      <c r="C808" s="0" t="s">
        <v>3922</v>
      </c>
    </row>
    <row r="809" customFormat="false" ht="15" hidden="false" customHeight="false" outlineLevel="0" collapsed="false">
      <c r="A809" s="0" t="s">
        <v>8</v>
      </c>
      <c r="B809" s="0" t="s">
        <v>1033</v>
      </c>
      <c r="C809" s="0" t="s">
        <v>3920</v>
      </c>
      <c r="D809" s="0" t="n">
        <v>4.5</v>
      </c>
    </row>
    <row r="810" customFormat="false" ht="15" hidden="false" customHeight="false" outlineLevel="0" collapsed="false">
      <c r="A810" s="0" t="s">
        <v>8</v>
      </c>
      <c r="B810" s="0" t="s">
        <v>1033</v>
      </c>
      <c r="C810" s="0" t="s">
        <v>3921</v>
      </c>
    </row>
    <row r="811" customFormat="false" ht="15" hidden="false" customHeight="false" outlineLevel="0" collapsed="false">
      <c r="A811" s="0" t="s">
        <v>8</v>
      </c>
      <c r="B811" s="0" t="s">
        <v>1033</v>
      </c>
      <c r="C811" s="0" t="s">
        <v>3922</v>
      </c>
    </row>
    <row r="812" customFormat="false" ht="15" hidden="false" customHeight="false" outlineLevel="0" collapsed="false">
      <c r="A812" s="0" t="s">
        <v>8</v>
      </c>
      <c r="B812" s="0" t="s">
        <v>1036</v>
      </c>
      <c r="C812" s="0" t="s">
        <v>3920</v>
      </c>
      <c r="D812" s="0" t="n">
        <v>0.15</v>
      </c>
    </row>
    <row r="813" customFormat="false" ht="15" hidden="false" customHeight="false" outlineLevel="0" collapsed="false">
      <c r="A813" s="0" t="s">
        <v>8</v>
      </c>
      <c r="B813" s="0" t="s">
        <v>1036</v>
      </c>
      <c r="C813" s="0" t="s">
        <v>3921</v>
      </c>
    </row>
    <row r="814" customFormat="false" ht="15" hidden="false" customHeight="false" outlineLevel="0" collapsed="false">
      <c r="A814" s="0" t="s">
        <v>8</v>
      </c>
      <c r="B814" s="0" t="s">
        <v>1036</v>
      </c>
      <c r="C814" s="0" t="s">
        <v>3922</v>
      </c>
    </row>
    <row r="815" customFormat="false" ht="15" hidden="false" customHeight="false" outlineLevel="0" collapsed="false">
      <c r="A815" s="0" t="s">
        <v>8</v>
      </c>
      <c r="B815" s="0" t="s">
        <v>1040</v>
      </c>
      <c r="C815" s="0" t="s">
        <v>3920</v>
      </c>
      <c r="D815" s="0" t="n">
        <v>0.03</v>
      </c>
    </row>
    <row r="816" customFormat="false" ht="15" hidden="false" customHeight="false" outlineLevel="0" collapsed="false">
      <c r="A816" s="0" t="s">
        <v>8</v>
      </c>
      <c r="B816" s="0" t="s">
        <v>1040</v>
      </c>
      <c r="C816" s="0" t="s">
        <v>3921</v>
      </c>
    </row>
    <row r="817" customFormat="false" ht="15" hidden="false" customHeight="false" outlineLevel="0" collapsed="false">
      <c r="A817" s="0" t="s">
        <v>8</v>
      </c>
      <c r="B817" s="0" t="s">
        <v>1040</v>
      </c>
      <c r="C817" s="0" t="s">
        <v>3922</v>
      </c>
    </row>
    <row r="818" customFormat="false" ht="15" hidden="false" customHeight="false" outlineLevel="0" collapsed="false">
      <c r="A818" s="0" t="s">
        <v>8</v>
      </c>
      <c r="B818" s="0" t="s">
        <v>1043</v>
      </c>
      <c r="C818" s="0" t="s">
        <v>3920</v>
      </c>
      <c r="D818" s="0" t="n">
        <v>0.5</v>
      </c>
    </row>
    <row r="819" customFormat="false" ht="15" hidden="false" customHeight="false" outlineLevel="0" collapsed="false">
      <c r="A819" s="0" t="s">
        <v>8</v>
      </c>
      <c r="B819" s="0" t="s">
        <v>1043</v>
      </c>
      <c r="C819" s="0" t="s">
        <v>3921</v>
      </c>
    </row>
    <row r="820" customFormat="false" ht="15" hidden="false" customHeight="false" outlineLevel="0" collapsed="false">
      <c r="A820" s="0" t="s">
        <v>8</v>
      </c>
      <c r="B820" s="0" t="s">
        <v>1043</v>
      </c>
      <c r="C820" s="0" t="s">
        <v>3922</v>
      </c>
    </row>
    <row r="821" customFormat="false" ht="15" hidden="false" customHeight="false" outlineLevel="0" collapsed="false">
      <c r="A821" s="0" t="s">
        <v>8</v>
      </c>
      <c r="B821" s="0" t="s">
        <v>1046</v>
      </c>
      <c r="C821" s="0" t="s">
        <v>3920</v>
      </c>
      <c r="D821" s="0" t="n">
        <v>0.37</v>
      </c>
    </row>
    <row r="822" customFormat="false" ht="15" hidden="false" customHeight="false" outlineLevel="0" collapsed="false">
      <c r="A822" s="0" t="s">
        <v>8</v>
      </c>
      <c r="B822" s="0" t="s">
        <v>1046</v>
      </c>
      <c r="C822" s="0" t="s">
        <v>3921</v>
      </c>
    </row>
    <row r="823" customFormat="false" ht="15" hidden="false" customHeight="false" outlineLevel="0" collapsed="false">
      <c r="A823" s="0" t="s">
        <v>8</v>
      </c>
      <c r="B823" s="0" t="s">
        <v>1046</v>
      </c>
      <c r="C823" s="0" t="s">
        <v>3922</v>
      </c>
    </row>
    <row r="824" customFormat="false" ht="15" hidden="false" customHeight="false" outlineLevel="0" collapsed="false">
      <c r="A824" s="0" t="s">
        <v>8</v>
      </c>
      <c r="B824" s="0" t="s">
        <v>1050</v>
      </c>
      <c r="C824" s="0" t="s">
        <v>3920</v>
      </c>
      <c r="D824" s="0" t="n">
        <v>0.075</v>
      </c>
    </row>
    <row r="825" customFormat="false" ht="15" hidden="false" customHeight="false" outlineLevel="0" collapsed="false">
      <c r="A825" s="0" t="s">
        <v>8</v>
      </c>
      <c r="B825" s="0" t="s">
        <v>1050</v>
      </c>
      <c r="C825" s="0" t="s">
        <v>3921</v>
      </c>
    </row>
    <row r="826" customFormat="false" ht="15" hidden="false" customHeight="false" outlineLevel="0" collapsed="false">
      <c r="A826" s="0" t="s">
        <v>8</v>
      </c>
      <c r="B826" s="0" t="s">
        <v>1050</v>
      </c>
      <c r="C826" s="0" t="s">
        <v>3922</v>
      </c>
    </row>
    <row r="827" customFormat="false" ht="15" hidden="false" customHeight="false" outlineLevel="0" collapsed="false">
      <c r="A827" s="0" t="s">
        <v>8</v>
      </c>
      <c r="B827" s="0" t="s">
        <v>1053</v>
      </c>
      <c r="C827" s="0" t="s">
        <v>3920</v>
      </c>
      <c r="D827" s="0" t="n">
        <v>1.25</v>
      </c>
    </row>
    <row r="828" customFormat="false" ht="15" hidden="false" customHeight="false" outlineLevel="0" collapsed="false">
      <c r="A828" s="0" t="s">
        <v>8</v>
      </c>
      <c r="B828" s="0" t="s">
        <v>1053</v>
      </c>
      <c r="C828" s="0" t="s">
        <v>3921</v>
      </c>
    </row>
    <row r="829" customFormat="false" ht="15" hidden="false" customHeight="false" outlineLevel="0" collapsed="false">
      <c r="A829" s="0" t="s">
        <v>8</v>
      </c>
      <c r="B829" s="0" t="s">
        <v>1053</v>
      </c>
      <c r="C829" s="0" t="s">
        <v>3922</v>
      </c>
    </row>
    <row r="830" customFormat="false" ht="15" hidden="false" customHeight="false" outlineLevel="0" collapsed="false">
      <c r="A830" s="0" t="s">
        <v>8</v>
      </c>
      <c r="B830" s="0" t="s">
        <v>1056</v>
      </c>
      <c r="C830" s="0" t="s">
        <v>3920</v>
      </c>
      <c r="D830" s="0" t="n">
        <v>0.07</v>
      </c>
    </row>
    <row r="831" customFormat="false" ht="15" hidden="false" customHeight="false" outlineLevel="0" collapsed="false">
      <c r="A831" s="0" t="s">
        <v>8</v>
      </c>
      <c r="B831" s="0" t="s">
        <v>1056</v>
      </c>
      <c r="C831" s="0" t="s">
        <v>3921</v>
      </c>
    </row>
    <row r="832" customFormat="false" ht="15" hidden="false" customHeight="false" outlineLevel="0" collapsed="false">
      <c r="A832" s="0" t="s">
        <v>8</v>
      </c>
      <c r="B832" s="0" t="s">
        <v>1056</v>
      </c>
      <c r="C832" s="0" t="s">
        <v>3922</v>
      </c>
    </row>
    <row r="833" customFormat="false" ht="15" hidden="false" customHeight="false" outlineLevel="0" collapsed="false">
      <c r="A833" s="0" t="s">
        <v>8</v>
      </c>
      <c r="B833" s="0" t="s">
        <v>1060</v>
      </c>
      <c r="C833" s="0" t="s">
        <v>3920</v>
      </c>
      <c r="D833" s="0" t="n">
        <v>0.01</v>
      </c>
    </row>
    <row r="834" customFormat="false" ht="15" hidden="false" customHeight="false" outlineLevel="0" collapsed="false">
      <c r="A834" s="0" t="s">
        <v>8</v>
      </c>
      <c r="B834" s="0" t="s">
        <v>1060</v>
      </c>
      <c r="C834" s="0" t="s">
        <v>3921</v>
      </c>
    </row>
    <row r="835" customFormat="false" ht="15" hidden="false" customHeight="false" outlineLevel="0" collapsed="false">
      <c r="A835" s="0" t="s">
        <v>8</v>
      </c>
      <c r="B835" s="0" t="s">
        <v>1060</v>
      </c>
      <c r="C835" s="0" t="s">
        <v>3922</v>
      </c>
    </row>
    <row r="836" customFormat="false" ht="15" hidden="false" customHeight="false" outlineLevel="0" collapsed="false">
      <c r="A836" s="0" t="s">
        <v>8</v>
      </c>
      <c r="B836" s="0" t="s">
        <v>1063</v>
      </c>
      <c r="C836" s="0" t="s">
        <v>3920</v>
      </c>
      <c r="D836" s="0" t="n">
        <v>0.4</v>
      </c>
    </row>
    <row r="837" customFormat="false" ht="15" hidden="false" customHeight="false" outlineLevel="0" collapsed="false">
      <c r="A837" s="0" t="s">
        <v>8</v>
      </c>
      <c r="B837" s="0" t="s">
        <v>1063</v>
      </c>
      <c r="C837" s="0" t="s">
        <v>3921</v>
      </c>
    </row>
    <row r="838" customFormat="false" ht="15" hidden="false" customHeight="false" outlineLevel="0" collapsed="false">
      <c r="A838" s="0" t="s">
        <v>8</v>
      </c>
      <c r="B838" s="0" t="s">
        <v>1063</v>
      </c>
      <c r="C838" s="0" t="s">
        <v>3922</v>
      </c>
    </row>
    <row r="839" customFormat="false" ht="15" hidden="false" customHeight="false" outlineLevel="0" collapsed="false">
      <c r="A839" s="0" t="s">
        <v>8</v>
      </c>
      <c r="B839" s="0" t="s">
        <v>1066</v>
      </c>
      <c r="C839" s="0" t="s">
        <v>3920</v>
      </c>
      <c r="D839" s="0" t="n">
        <v>0</v>
      </c>
    </row>
    <row r="840" customFormat="false" ht="15" hidden="false" customHeight="false" outlineLevel="0" collapsed="false">
      <c r="A840" s="0" t="s">
        <v>8</v>
      </c>
      <c r="B840" s="0" t="s">
        <v>1066</v>
      </c>
      <c r="C840" s="0" t="s">
        <v>3921</v>
      </c>
    </row>
    <row r="841" customFormat="false" ht="15" hidden="false" customHeight="false" outlineLevel="0" collapsed="false">
      <c r="A841" s="0" t="s">
        <v>8</v>
      </c>
      <c r="B841" s="0" t="s">
        <v>1066</v>
      </c>
      <c r="C841" s="0" t="s">
        <v>3922</v>
      </c>
    </row>
    <row r="842" customFormat="false" ht="15" hidden="false" customHeight="false" outlineLevel="0" collapsed="false">
      <c r="A842" s="0" t="s">
        <v>8</v>
      </c>
      <c r="B842" s="0" t="s">
        <v>1070</v>
      </c>
      <c r="C842" s="0" t="s">
        <v>3920</v>
      </c>
      <c r="D842" s="0" t="n">
        <v>0.01</v>
      </c>
    </row>
    <row r="843" customFormat="false" ht="15" hidden="false" customHeight="false" outlineLevel="0" collapsed="false">
      <c r="A843" s="0" t="s">
        <v>8</v>
      </c>
      <c r="B843" s="0" t="s">
        <v>1070</v>
      </c>
      <c r="C843" s="0" t="s">
        <v>3921</v>
      </c>
    </row>
    <row r="844" customFormat="false" ht="15" hidden="false" customHeight="false" outlineLevel="0" collapsed="false">
      <c r="A844" s="0" t="s">
        <v>8</v>
      </c>
      <c r="B844" s="0" t="s">
        <v>1070</v>
      </c>
      <c r="C844" s="0" t="s">
        <v>3922</v>
      </c>
    </row>
    <row r="845" customFormat="false" ht="15" hidden="false" customHeight="false" outlineLevel="0" collapsed="false">
      <c r="A845" s="0" t="s">
        <v>8</v>
      </c>
      <c r="B845" s="0" t="s">
        <v>1075</v>
      </c>
      <c r="C845" s="0" t="s">
        <v>3920</v>
      </c>
      <c r="D845" s="0" t="n">
        <v>1.2</v>
      </c>
    </row>
    <row r="846" customFormat="false" ht="15" hidden="false" customHeight="false" outlineLevel="0" collapsed="false">
      <c r="A846" s="0" t="s">
        <v>8</v>
      </c>
      <c r="B846" s="0" t="s">
        <v>1075</v>
      </c>
      <c r="C846" s="0" t="s">
        <v>3921</v>
      </c>
    </row>
    <row r="847" customFormat="false" ht="15" hidden="false" customHeight="false" outlineLevel="0" collapsed="false">
      <c r="A847" s="0" t="s">
        <v>8</v>
      </c>
      <c r="B847" s="0" t="s">
        <v>1075</v>
      </c>
      <c r="C847" s="0" t="s">
        <v>3922</v>
      </c>
    </row>
    <row r="848" customFormat="false" ht="15" hidden="false" customHeight="false" outlineLevel="0" collapsed="false">
      <c r="A848" s="0" t="s">
        <v>8</v>
      </c>
      <c r="B848" s="0" t="s">
        <v>1084</v>
      </c>
      <c r="C848" s="0" t="s">
        <v>3920</v>
      </c>
      <c r="D848" s="0" t="n">
        <v>4</v>
      </c>
    </row>
    <row r="849" customFormat="false" ht="15" hidden="false" customHeight="false" outlineLevel="0" collapsed="false">
      <c r="A849" s="0" t="s">
        <v>8</v>
      </c>
      <c r="B849" s="0" t="s">
        <v>1084</v>
      </c>
      <c r="C849" s="0" t="s">
        <v>3921</v>
      </c>
    </row>
    <row r="850" customFormat="false" ht="15" hidden="false" customHeight="false" outlineLevel="0" collapsed="false">
      <c r="A850" s="0" t="s">
        <v>8</v>
      </c>
      <c r="B850" s="0" t="s">
        <v>1084</v>
      </c>
      <c r="C850" s="0" t="s">
        <v>3922</v>
      </c>
    </row>
    <row r="851" customFormat="false" ht="15" hidden="false" customHeight="false" outlineLevel="0" collapsed="false">
      <c r="A851" s="0" t="s">
        <v>8</v>
      </c>
      <c r="B851" s="0" t="s">
        <v>1088</v>
      </c>
      <c r="C851" s="0" t="s">
        <v>3920</v>
      </c>
      <c r="D851" s="0" t="n">
        <v>8</v>
      </c>
    </row>
    <row r="852" customFormat="false" ht="15" hidden="false" customHeight="false" outlineLevel="0" collapsed="false">
      <c r="A852" s="0" t="s">
        <v>8</v>
      </c>
      <c r="B852" s="0" t="s">
        <v>1088</v>
      </c>
      <c r="C852" s="0" t="s">
        <v>3921</v>
      </c>
    </row>
    <row r="853" customFormat="false" ht="15" hidden="false" customHeight="false" outlineLevel="0" collapsed="false">
      <c r="A853" s="0" t="s">
        <v>8</v>
      </c>
      <c r="B853" s="0" t="s">
        <v>1088</v>
      </c>
      <c r="C853" s="0" t="s">
        <v>3922</v>
      </c>
    </row>
    <row r="854" customFormat="false" ht="15" hidden="false" customHeight="false" outlineLevel="0" collapsed="false">
      <c r="A854" s="0" t="s">
        <v>8</v>
      </c>
      <c r="B854" s="0" t="s">
        <v>1098</v>
      </c>
      <c r="C854" s="0" t="s">
        <v>3920</v>
      </c>
      <c r="D854" s="0" t="n">
        <v>2</v>
      </c>
    </row>
    <row r="855" customFormat="false" ht="15" hidden="false" customHeight="false" outlineLevel="0" collapsed="false">
      <c r="A855" s="0" t="s">
        <v>8</v>
      </c>
      <c r="B855" s="0" t="s">
        <v>1098</v>
      </c>
      <c r="C855" s="0" t="s">
        <v>3921</v>
      </c>
    </row>
    <row r="856" customFormat="false" ht="15" hidden="false" customHeight="false" outlineLevel="0" collapsed="false">
      <c r="A856" s="0" t="s">
        <v>8</v>
      </c>
      <c r="B856" s="0" t="s">
        <v>1098</v>
      </c>
      <c r="C856" s="0" t="s">
        <v>3922</v>
      </c>
    </row>
    <row r="857" customFormat="false" ht="15" hidden="false" customHeight="false" outlineLevel="0" collapsed="false">
      <c r="A857" s="0" t="s">
        <v>8</v>
      </c>
      <c r="B857" s="0" t="s">
        <v>1101</v>
      </c>
      <c r="C857" s="0" t="s">
        <v>3920</v>
      </c>
      <c r="D857" s="0" t="n">
        <v>28</v>
      </c>
    </row>
    <row r="858" customFormat="false" ht="15" hidden="false" customHeight="false" outlineLevel="0" collapsed="false">
      <c r="A858" s="0" t="s">
        <v>8</v>
      </c>
      <c r="B858" s="0" t="s">
        <v>1101</v>
      </c>
      <c r="C858" s="0" t="s">
        <v>3921</v>
      </c>
    </row>
    <row r="859" customFormat="false" ht="15" hidden="false" customHeight="false" outlineLevel="0" collapsed="false">
      <c r="A859" s="0" t="s">
        <v>8</v>
      </c>
      <c r="B859" s="0" t="s">
        <v>1101</v>
      </c>
      <c r="C859" s="0" t="s">
        <v>3922</v>
      </c>
    </row>
    <row r="860" customFormat="false" ht="15" hidden="false" customHeight="false" outlineLevel="0" collapsed="false">
      <c r="A860" s="0" t="s">
        <v>8</v>
      </c>
      <c r="B860" s="0" t="s">
        <v>1104</v>
      </c>
      <c r="C860" s="0" t="s">
        <v>3920</v>
      </c>
      <c r="D860" s="0" t="n">
        <v>8</v>
      </c>
    </row>
    <row r="861" customFormat="false" ht="15" hidden="false" customHeight="false" outlineLevel="0" collapsed="false">
      <c r="A861" s="0" t="s">
        <v>8</v>
      </c>
      <c r="B861" s="0" t="s">
        <v>1104</v>
      </c>
      <c r="C861" s="0" t="s">
        <v>3921</v>
      </c>
    </row>
    <row r="862" customFormat="false" ht="15" hidden="false" customHeight="false" outlineLevel="0" collapsed="false">
      <c r="A862" s="0" t="s">
        <v>8</v>
      </c>
      <c r="B862" s="0" t="s">
        <v>1104</v>
      </c>
      <c r="C862" s="0" t="s">
        <v>3922</v>
      </c>
    </row>
    <row r="863" customFormat="false" ht="15" hidden="false" customHeight="false" outlineLevel="0" collapsed="false">
      <c r="A863" s="0" t="s">
        <v>8</v>
      </c>
      <c r="B863" s="0" t="s">
        <v>1108</v>
      </c>
      <c r="C863" s="0" t="s">
        <v>3920</v>
      </c>
      <c r="D863" s="0" t="n">
        <v>2</v>
      </c>
    </row>
    <row r="864" customFormat="false" ht="15" hidden="false" customHeight="false" outlineLevel="0" collapsed="false">
      <c r="A864" s="0" t="s">
        <v>8</v>
      </c>
      <c r="B864" s="0" t="s">
        <v>1108</v>
      </c>
      <c r="C864" s="0" t="s">
        <v>3921</v>
      </c>
    </row>
    <row r="865" customFormat="false" ht="15" hidden="false" customHeight="false" outlineLevel="0" collapsed="false">
      <c r="A865" s="0" t="s">
        <v>8</v>
      </c>
      <c r="B865" s="0" t="s">
        <v>1108</v>
      </c>
      <c r="C865" s="0" t="s">
        <v>3922</v>
      </c>
    </row>
    <row r="866" customFormat="false" ht="15" hidden="false" customHeight="false" outlineLevel="0" collapsed="false">
      <c r="A866" s="0" t="s">
        <v>8</v>
      </c>
      <c r="B866" s="0" t="s">
        <v>1111</v>
      </c>
      <c r="C866" s="0" t="s">
        <v>3920</v>
      </c>
      <c r="D866" s="0" t="n">
        <v>28</v>
      </c>
    </row>
    <row r="867" customFormat="false" ht="15" hidden="false" customHeight="false" outlineLevel="0" collapsed="false">
      <c r="A867" s="0" t="s">
        <v>8</v>
      </c>
      <c r="B867" s="0" t="s">
        <v>1111</v>
      </c>
      <c r="C867" s="0" t="s">
        <v>3921</v>
      </c>
    </row>
    <row r="868" customFormat="false" ht="15" hidden="false" customHeight="false" outlineLevel="0" collapsed="false">
      <c r="A868" s="0" t="s">
        <v>8</v>
      </c>
      <c r="B868" s="0" t="s">
        <v>1111</v>
      </c>
      <c r="C868" s="0" t="s">
        <v>3922</v>
      </c>
    </row>
    <row r="869" customFormat="false" ht="15" hidden="false" customHeight="false" outlineLevel="0" collapsed="false">
      <c r="A869" s="0" t="s">
        <v>8</v>
      </c>
      <c r="B869" s="0" t="s">
        <v>1114</v>
      </c>
      <c r="C869" s="0" t="s">
        <v>3920</v>
      </c>
      <c r="D869" s="0" t="n">
        <v>6</v>
      </c>
    </row>
    <row r="870" customFormat="false" ht="15" hidden="false" customHeight="false" outlineLevel="0" collapsed="false">
      <c r="A870" s="0" t="s">
        <v>8</v>
      </c>
      <c r="B870" s="0" t="s">
        <v>1114</v>
      </c>
      <c r="C870" s="0" t="s">
        <v>3921</v>
      </c>
    </row>
    <row r="871" customFormat="false" ht="15" hidden="false" customHeight="false" outlineLevel="0" collapsed="false">
      <c r="A871" s="0" t="s">
        <v>8</v>
      </c>
      <c r="B871" s="0" t="s">
        <v>1114</v>
      </c>
      <c r="C871" s="0" t="s">
        <v>3922</v>
      </c>
    </row>
    <row r="872" customFormat="false" ht="15" hidden="false" customHeight="false" outlineLevel="0" collapsed="false">
      <c r="A872" s="0" t="s">
        <v>8</v>
      </c>
      <c r="B872" s="0" t="s">
        <v>1118</v>
      </c>
      <c r="C872" s="0" t="s">
        <v>3920</v>
      </c>
      <c r="D872" s="0" t="n">
        <v>1.3</v>
      </c>
    </row>
    <row r="873" customFormat="false" ht="15" hidden="false" customHeight="false" outlineLevel="0" collapsed="false">
      <c r="A873" s="0" t="s">
        <v>8</v>
      </c>
      <c r="B873" s="0" t="s">
        <v>1118</v>
      </c>
      <c r="C873" s="0" t="s">
        <v>3921</v>
      </c>
    </row>
    <row r="874" customFormat="false" ht="15" hidden="false" customHeight="false" outlineLevel="0" collapsed="false">
      <c r="A874" s="0" t="s">
        <v>8</v>
      </c>
      <c r="B874" s="0" t="s">
        <v>1118</v>
      </c>
      <c r="C874" s="0" t="s">
        <v>3922</v>
      </c>
    </row>
    <row r="875" customFormat="false" ht="15" hidden="false" customHeight="false" outlineLevel="0" collapsed="false">
      <c r="A875" s="0" t="s">
        <v>8</v>
      </c>
      <c r="B875" s="0" t="s">
        <v>1121</v>
      </c>
      <c r="C875" s="0" t="s">
        <v>3920</v>
      </c>
      <c r="D875" s="0" t="n">
        <v>24</v>
      </c>
    </row>
    <row r="876" customFormat="false" ht="15" hidden="false" customHeight="false" outlineLevel="0" collapsed="false">
      <c r="A876" s="0" t="s">
        <v>8</v>
      </c>
      <c r="B876" s="0" t="s">
        <v>1121</v>
      </c>
      <c r="C876" s="0" t="s">
        <v>3921</v>
      </c>
    </row>
    <row r="877" customFormat="false" ht="15" hidden="false" customHeight="false" outlineLevel="0" collapsed="false">
      <c r="A877" s="0" t="s">
        <v>8</v>
      </c>
      <c r="B877" s="0" t="s">
        <v>1121</v>
      </c>
      <c r="C877" s="0" t="s">
        <v>3922</v>
      </c>
    </row>
    <row r="878" customFormat="false" ht="15" hidden="false" customHeight="false" outlineLevel="0" collapsed="false">
      <c r="A878" s="0" t="s">
        <v>8</v>
      </c>
      <c r="B878" s="0" t="s">
        <v>1124</v>
      </c>
      <c r="C878" s="0" t="s">
        <v>3920</v>
      </c>
      <c r="D878" s="0" t="n">
        <v>8</v>
      </c>
    </row>
    <row r="879" customFormat="false" ht="15" hidden="false" customHeight="false" outlineLevel="0" collapsed="false">
      <c r="A879" s="0" t="s">
        <v>8</v>
      </c>
      <c r="B879" s="0" t="s">
        <v>1124</v>
      </c>
      <c r="C879" s="0" t="s">
        <v>3921</v>
      </c>
    </row>
    <row r="880" customFormat="false" ht="15" hidden="false" customHeight="false" outlineLevel="0" collapsed="false">
      <c r="A880" s="0" t="s">
        <v>8</v>
      </c>
      <c r="B880" s="0" t="s">
        <v>1124</v>
      </c>
      <c r="C880" s="0" t="s">
        <v>3922</v>
      </c>
    </row>
    <row r="881" customFormat="false" ht="15" hidden="false" customHeight="false" outlineLevel="0" collapsed="false">
      <c r="A881" s="0" t="s">
        <v>8</v>
      </c>
      <c r="B881" s="0" t="s">
        <v>1128</v>
      </c>
      <c r="C881" s="0" t="s">
        <v>3920</v>
      </c>
      <c r="D881" s="0" t="n">
        <v>2</v>
      </c>
    </row>
    <row r="882" customFormat="false" ht="15" hidden="false" customHeight="false" outlineLevel="0" collapsed="false">
      <c r="A882" s="0" t="s">
        <v>8</v>
      </c>
      <c r="B882" s="0" t="s">
        <v>1128</v>
      </c>
      <c r="C882" s="0" t="s">
        <v>3921</v>
      </c>
    </row>
    <row r="883" customFormat="false" ht="15" hidden="false" customHeight="false" outlineLevel="0" collapsed="false">
      <c r="A883" s="0" t="s">
        <v>8</v>
      </c>
      <c r="B883" s="0" t="s">
        <v>1128</v>
      </c>
      <c r="C883" s="0" t="s">
        <v>3922</v>
      </c>
    </row>
    <row r="884" customFormat="false" ht="15" hidden="false" customHeight="false" outlineLevel="0" collapsed="false">
      <c r="A884" s="0" t="s">
        <v>8</v>
      </c>
      <c r="B884" s="0" t="s">
        <v>1131</v>
      </c>
      <c r="C884" s="0" t="s">
        <v>3920</v>
      </c>
      <c r="D884" s="0" t="n">
        <v>28</v>
      </c>
    </row>
    <row r="885" customFormat="false" ht="15" hidden="false" customHeight="false" outlineLevel="0" collapsed="false">
      <c r="A885" s="0" t="s">
        <v>8</v>
      </c>
      <c r="B885" s="0" t="s">
        <v>1131</v>
      </c>
      <c r="C885" s="0" t="s">
        <v>3921</v>
      </c>
    </row>
    <row r="886" customFormat="false" ht="15" hidden="false" customHeight="false" outlineLevel="0" collapsed="false">
      <c r="A886" s="0" t="s">
        <v>8</v>
      </c>
      <c r="B886" s="0" t="s">
        <v>1131</v>
      </c>
      <c r="C886" s="0" t="s">
        <v>3922</v>
      </c>
    </row>
    <row r="887" customFormat="false" ht="15" hidden="false" customHeight="false" outlineLevel="0" collapsed="false">
      <c r="A887" s="0" t="s">
        <v>8</v>
      </c>
      <c r="B887" s="0" t="s">
        <v>1134</v>
      </c>
      <c r="C887" s="0" t="s">
        <v>3920</v>
      </c>
      <c r="D887" s="0" t="n">
        <v>5</v>
      </c>
    </row>
    <row r="888" customFormat="false" ht="15" hidden="false" customHeight="false" outlineLevel="0" collapsed="false">
      <c r="A888" s="0" t="s">
        <v>8</v>
      </c>
      <c r="B888" s="0" t="s">
        <v>1134</v>
      </c>
      <c r="C888" s="0" t="s">
        <v>3921</v>
      </c>
    </row>
    <row r="889" customFormat="false" ht="15" hidden="false" customHeight="false" outlineLevel="0" collapsed="false">
      <c r="A889" s="0" t="s">
        <v>8</v>
      </c>
      <c r="B889" s="0" t="s">
        <v>1134</v>
      </c>
      <c r="C889" s="0" t="s">
        <v>3922</v>
      </c>
    </row>
    <row r="890" customFormat="false" ht="15" hidden="false" customHeight="false" outlineLevel="0" collapsed="false">
      <c r="A890" s="0" t="s">
        <v>8</v>
      </c>
      <c r="B890" s="0" t="s">
        <v>1138</v>
      </c>
      <c r="C890" s="0" t="s">
        <v>3920</v>
      </c>
      <c r="D890" s="0" t="n">
        <v>1.2</v>
      </c>
    </row>
    <row r="891" customFormat="false" ht="15" hidden="false" customHeight="false" outlineLevel="0" collapsed="false">
      <c r="A891" s="0" t="s">
        <v>8</v>
      </c>
      <c r="B891" s="0" t="s">
        <v>1138</v>
      </c>
      <c r="C891" s="0" t="s">
        <v>3921</v>
      </c>
    </row>
    <row r="892" customFormat="false" ht="15" hidden="false" customHeight="false" outlineLevel="0" collapsed="false">
      <c r="A892" s="0" t="s">
        <v>8</v>
      </c>
      <c r="B892" s="0" t="s">
        <v>1138</v>
      </c>
      <c r="C892" s="0" t="s">
        <v>3922</v>
      </c>
    </row>
    <row r="893" customFormat="false" ht="15" hidden="false" customHeight="false" outlineLevel="0" collapsed="false">
      <c r="A893" s="0" t="s">
        <v>8</v>
      </c>
      <c r="B893" s="0" t="s">
        <v>1141</v>
      </c>
      <c r="C893" s="0" t="s">
        <v>3920</v>
      </c>
      <c r="D893" s="0" t="n">
        <v>22</v>
      </c>
    </row>
    <row r="894" customFormat="false" ht="15" hidden="false" customHeight="false" outlineLevel="0" collapsed="false">
      <c r="A894" s="0" t="s">
        <v>8</v>
      </c>
      <c r="B894" s="0" t="s">
        <v>1141</v>
      </c>
      <c r="C894" s="0" t="s">
        <v>3921</v>
      </c>
    </row>
    <row r="895" customFormat="false" ht="15" hidden="false" customHeight="false" outlineLevel="0" collapsed="false">
      <c r="A895" s="0" t="s">
        <v>8</v>
      </c>
      <c r="B895" s="0" t="s">
        <v>1141</v>
      </c>
      <c r="C895" s="0" t="s">
        <v>3922</v>
      </c>
    </row>
    <row r="896" customFormat="false" ht="15" hidden="false" customHeight="false" outlineLevel="0" collapsed="false">
      <c r="A896" s="0" t="s">
        <v>8</v>
      </c>
      <c r="B896" s="0" t="s">
        <v>1144</v>
      </c>
      <c r="C896" s="0" t="s">
        <v>3920</v>
      </c>
      <c r="D896" s="0" t="n">
        <v>7</v>
      </c>
    </row>
    <row r="897" customFormat="false" ht="15" hidden="false" customHeight="false" outlineLevel="0" collapsed="false">
      <c r="A897" s="0" t="s">
        <v>8</v>
      </c>
      <c r="B897" s="0" t="s">
        <v>1144</v>
      </c>
      <c r="C897" s="0" t="s">
        <v>3921</v>
      </c>
    </row>
    <row r="898" customFormat="false" ht="15" hidden="false" customHeight="false" outlineLevel="0" collapsed="false">
      <c r="A898" s="0" t="s">
        <v>8</v>
      </c>
      <c r="B898" s="0" t="s">
        <v>1144</v>
      </c>
      <c r="C898" s="0" t="s">
        <v>3922</v>
      </c>
    </row>
    <row r="899" customFormat="false" ht="15" hidden="false" customHeight="false" outlineLevel="0" collapsed="false">
      <c r="A899" s="0" t="s">
        <v>8</v>
      </c>
      <c r="B899" s="0" t="s">
        <v>1148</v>
      </c>
      <c r="C899" s="0" t="s">
        <v>3920</v>
      </c>
      <c r="D899" s="0" t="n">
        <v>1.8</v>
      </c>
    </row>
    <row r="900" customFormat="false" ht="15" hidden="false" customHeight="false" outlineLevel="0" collapsed="false">
      <c r="A900" s="0" t="s">
        <v>8</v>
      </c>
      <c r="B900" s="0" t="s">
        <v>1148</v>
      </c>
      <c r="C900" s="0" t="s">
        <v>3921</v>
      </c>
    </row>
    <row r="901" customFormat="false" ht="15" hidden="false" customHeight="false" outlineLevel="0" collapsed="false">
      <c r="A901" s="0" t="s">
        <v>8</v>
      </c>
      <c r="B901" s="0" t="s">
        <v>1148</v>
      </c>
      <c r="C901" s="0" t="s">
        <v>3922</v>
      </c>
    </row>
    <row r="902" customFormat="false" ht="15" hidden="false" customHeight="false" outlineLevel="0" collapsed="false">
      <c r="A902" s="0" t="s">
        <v>8</v>
      </c>
      <c r="B902" s="0" t="s">
        <v>1151</v>
      </c>
      <c r="C902" s="0" t="s">
        <v>3920</v>
      </c>
      <c r="D902" s="0" t="n">
        <v>26</v>
      </c>
    </row>
    <row r="903" customFormat="false" ht="15" hidden="false" customHeight="false" outlineLevel="0" collapsed="false">
      <c r="A903" s="0" t="s">
        <v>8</v>
      </c>
      <c r="B903" s="0" t="s">
        <v>1151</v>
      </c>
      <c r="C903" s="0" t="s">
        <v>3921</v>
      </c>
    </row>
    <row r="904" customFormat="false" ht="15" hidden="false" customHeight="false" outlineLevel="0" collapsed="false">
      <c r="A904" s="0" t="s">
        <v>8</v>
      </c>
      <c r="B904" s="0" t="s">
        <v>1151</v>
      </c>
      <c r="C904" s="0" t="s">
        <v>3922</v>
      </c>
    </row>
    <row r="905" customFormat="false" ht="15" hidden="false" customHeight="false" outlineLevel="0" collapsed="false">
      <c r="A905" s="0" t="s">
        <v>8</v>
      </c>
      <c r="B905" s="0" t="s">
        <v>1154</v>
      </c>
      <c r="C905" s="0" t="s">
        <v>3920</v>
      </c>
      <c r="D905" s="0" t="n">
        <v>4</v>
      </c>
    </row>
    <row r="906" customFormat="false" ht="15" hidden="false" customHeight="false" outlineLevel="0" collapsed="false">
      <c r="A906" s="0" t="s">
        <v>8</v>
      </c>
      <c r="B906" s="0" t="s">
        <v>1154</v>
      </c>
      <c r="C906" s="0" t="s">
        <v>3921</v>
      </c>
    </row>
    <row r="907" customFormat="false" ht="15" hidden="false" customHeight="false" outlineLevel="0" collapsed="false">
      <c r="A907" s="0" t="s">
        <v>8</v>
      </c>
      <c r="B907" s="0" t="s">
        <v>1154</v>
      </c>
      <c r="C907" s="0" t="s">
        <v>3922</v>
      </c>
    </row>
    <row r="908" customFormat="false" ht="15" hidden="false" customHeight="false" outlineLevel="0" collapsed="false">
      <c r="A908" s="0" t="s">
        <v>8</v>
      </c>
      <c r="B908" s="0" t="s">
        <v>1158</v>
      </c>
      <c r="C908" s="0" t="s">
        <v>3920</v>
      </c>
      <c r="D908" s="0" t="n">
        <v>1</v>
      </c>
    </row>
    <row r="909" customFormat="false" ht="15" hidden="false" customHeight="false" outlineLevel="0" collapsed="false">
      <c r="A909" s="0" t="s">
        <v>8</v>
      </c>
      <c r="B909" s="0" t="s">
        <v>1158</v>
      </c>
      <c r="C909" s="0" t="s">
        <v>3921</v>
      </c>
    </row>
    <row r="910" customFormat="false" ht="15" hidden="false" customHeight="false" outlineLevel="0" collapsed="false">
      <c r="A910" s="0" t="s">
        <v>8</v>
      </c>
      <c r="B910" s="0" t="s">
        <v>1158</v>
      </c>
      <c r="C910" s="0" t="s">
        <v>3922</v>
      </c>
    </row>
    <row r="911" customFormat="false" ht="15" hidden="false" customHeight="false" outlineLevel="0" collapsed="false">
      <c r="A911" s="0" t="s">
        <v>8</v>
      </c>
      <c r="B911" s="0" t="s">
        <v>1161</v>
      </c>
      <c r="C911" s="0" t="s">
        <v>3920</v>
      </c>
      <c r="D911" s="0" t="n">
        <v>18</v>
      </c>
    </row>
    <row r="912" customFormat="false" ht="15" hidden="false" customHeight="false" outlineLevel="0" collapsed="false">
      <c r="A912" s="0" t="s">
        <v>8</v>
      </c>
      <c r="B912" s="0" t="s">
        <v>1161</v>
      </c>
      <c r="C912" s="0" t="s">
        <v>3921</v>
      </c>
    </row>
    <row r="913" customFormat="false" ht="15" hidden="false" customHeight="false" outlineLevel="0" collapsed="false">
      <c r="A913" s="0" t="s">
        <v>8</v>
      </c>
      <c r="B913" s="0" t="s">
        <v>1161</v>
      </c>
      <c r="C913" s="0" t="s">
        <v>3922</v>
      </c>
    </row>
    <row r="914" customFormat="false" ht="15" hidden="false" customHeight="false" outlineLevel="0" collapsed="false">
      <c r="A914" s="0" t="s">
        <v>8</v>
      </c>
      <c r="B914" s="0" t="s">
        <v>1164</v>
      </c>
      <c r="C914" s="0" t="s">
        <v>3920</v>
      </c>
      <c r="D914" s="0" t="n">
        <v>6</v>
      </c>
    </row>
    <row r="915" customFormat="false" ht="15" hidden="false" customHeight="false" outlineLevel="0" collapsed="false">
      <c r="A915" s="0" t="s">
        <v>8</v>
      </c>
      <c r="B915" s="0" t="s">
        <v>1164</v>
      </c>
      <c r="C915" s="0" t="s">
        <v>3921</v>
      </c>
    </row>
    <row r="916" customFormat="false" ht="15" hidden="false" customHeight="false" outlineLevel="0" collapsed="false">
      <c r="A916" s="0" t="s">
        <v>8</v>
      </c>
      <c r="B916" s="0" t="s">
        <v>1164</v>
      </c>
      <c r="C916" s="0" t="s">
        <v>3922</v>
      </c>
    </row>
    <row r="917" customFormat="false" ht="15" hidden="false" customHeight="false" outlineLevel="0" collapsed="false">
      <c r="A917" s="0" t="s">
        <v>8</v>
      </c>
      <c r="B917" s="0" t="s">
        <v>1168</v>
      </c>
      <c r="C917" s="0" t="s">
        <v>3920</v>
      </c>
      <c r="D917" s="0" t="n">
        <v>1.5</v>
      </c>
    </row>
    <row r="918" customFormat="false" ht="15" hidden="false" customHeight="false" outlineLevel="0" collapsed="false">
      <c r="A918" s="0" t="s">
        <v>8</v>
      </c>
      <c r="B918" s="0" t="s">
        <v>1168</v>
      </c>
      <c r="C918" s="0" t="s">
        <v>3921</v>
      </c>
    </row>
    <row r="919" customFormat="false" ht="15" hidden="false" customHeight="false" outlineLevel="0" collapsed="false">
      <c r="A919" s="0" t="s">
        <v>8</v>
      </c>
      <c r="B919" s="0" t="s">
        <v>1168</v>
      </c>
      <c r="C919" s="0" t="s">
        <v>3922</v>
      </c>
    </row>
    <row r="920" customFormat="false" ht="15" hidden="false" customHeight="false" outlineLevel="0" collapsed="false">
      <c r="A920" s="0" t="s">
        <v>8</v>
      </c>
      <c r="B920" s="0" t="s">
        <v>1171</v>
      </c>
      <c r="C920" s="0" t="s">
        <v>3920</v>
      </c>
      <c r="D920" s="0" t="n">
        <v>22</v>
      </c>
    </row>
    <row r="921" customFormat="false" ht="15" hidden="false" customHeight="false" outlineLevel="0" collapsed="false">
      <c r="A921" s="0" t="s">
        <v>8</v>
      </c>
      <c r="B921" s="0" t="s">
        <v>1171</v>
      </c>
      <c r="C921" s="0" t="s">
        <v>3921</v>
      </c>
    </row>
    <row r="922" customFormat="false" ht="15" hidden="false" customHeight="false" outlineLevel="0" collapsed="false">
      <c r="A922" s="0" t="s">
        <v>8</v>
      </c>
      <c r="B922" s="0" t="s">
        <v>1171</v>
      </c>
      <c r="C922" s="0" t="s">
        <v>3922</v>
      </c>
    </row>
    <row r="923" customFormat="false" ht="15" hidden="false" customHeight="false" outlineLevel="0" collapsed="false">
      <c r="A923" s="0" t="s">
        <v>8</v>
      </c>
      <c r="B923" s="0" t="s">
        <v>1174</v>
      </c>
      <c r="C923" s="0" t="s">
        <v>3920</v>
      </c>
      <c r="D923" s="0" t="n">
        <v>2</v>
      </c>
    </row>
    <row r="924" customFormat="false" ht="15" hidden="false" customHeight="false" outlineLevel="0" collapsed="false">
      <c r="A924" s="0" t="s">
        <v>8</v>
      </c>
      <c r="B924" s="0" t="s">
        <v>1174</v>
      </c>
      <c r="C924" s="0" t="s">
        <v>3921</v>
      </c>
    </row>
    <row r="925" customFormat="false" ht="15" hidden="false" customHeight="false" outlineLevel="0" collapsed="false">
      <c r="A925" s="0" t="s">
        <v>8</v>
      </c>
      <c r="B925" s="0" t="s">
        <v>1174</v>
      </c>
      <c r="C925" s="0" t="s">
        <v>3922</v>
      </c>
    </row>
    <row r="926" customFormat="false" ht="15" hidden="false" customHeight="false" outlineLevel="0" collapsed="false">
      <c r="A926" s="0" t="s">
        <v>8</v>
      </c>
      <c r="B926" s="0" t="s">
        <v>1178</v>
      </c>
      <c r="C926" s="0" t="s">
        <v>3920</v>
      </c>
      <c r="D926" s="0" t="n">
        <v>0.4</v>
      </c>
    </row>
    <row r="927" customFormat="false" ht="15" hidden="false" customHeight="false" outlineLevel="0" collapsed="false">
      <c r="A927" s="0" t="s">
        <v>8</v>
      </c>
      <c r="B927" s="0" t="s">
        <v>1178</v>
      </c>
      <c r="C927" s="0" t="s">
        <v>3921</v>
      </c>
    </row>
    <row r="928" customFormat="false" ht="15" hidden="false" customHeight="false" outlineLevel="0" collapsed="false">
      <c r="A928" s="0" t="s">
        <v>8</v>
      </c>
      <c r="B928" s="0" t="s">
        <v>1178</v>
      </c>
      <c r="C928" s="0" t="s">
        <v>3922</v>
      </c>
    </row>
    <row r="929" customFormat="false" ht="15" hidden="false" customHeight="false" outlineLevel="0" collapsed="false">
      <c r="A929" s="0" t="s">
        <v>8</v>
      </c>
      <c r="B929" s="0" t="s">
        <v>1181</v>
      </c>
      <c r="C929" s="0" t="s">
        <v>3920</v>
      </c>
      <c r="D929" s="0" t="n">
        <v>8</v>
      </c>
    </row>
    <row r="930" customFormat="false" ht="15" hidden="false" customHeight="false" outlineLevel="0" collapsed="false">
      <c r="A930" s="0" t="s">
        <v>8</v>
      </c>
      <c r="B930" s="0" t="s">
        <v>1181</v>
      </c>
      <c r="C930" s="0" t="s">
        <v>3921</v>
      </c>
    </row>
    <row r="931" customFormat="false" ht="15" hidden="false" customHeight="false" outlineLevel="0" collapsed="false">
      <c r="A931" s="0" t="s">
        <v>8</v>
      </c>
      <c r="B931" s="0" t="s">
        <v>1181</v>
      </c>
      <c r="C931" s="0" t="s">
        <v>3922</v>
      </c>
    </row>
    <row r="932" customFormat="false" ht="15" hidden="false" customHeight="false" outlineLevel="0" collapsed="false">
      <c r="A932" s="0" t="s">
        <v>8</v>
      </c>
      <c r="B932" s="0" t="s">
        <v>1184</v>
      </c>
      <c r="C932" s="0" t="s">
        <v>3920</v>
      </c>
      <c r="D932" s="0" t="n">
        <v>3</v>
      </c>
    </row>
    <row r="933" customFormat="false" ht="15" hidden="false" customHeight="false" outlineLevel="0" collapsed="false">
      <c r="A933" s="0" t="s">
        <v>8</v>
      </c>
      <c r="B933" s="0" t="s">
        <v>1184</v>
      </c>
      <c r="C933" s="0" t="s">
        <v>3921</v>
      </c>
    </row>
    <row r="934" customFormat="false" ht="15" hidden="false" customHeight="false" outlineLevel="0" collapsed="false">
      <c r="A934" s="0" t="s">
        <v>8</v>
      </c>
      <c r="B934" s="0" t="s">
        <v>1184</v>
      </c>
      <c r="C934" s="0" t="s">
        <v>3922</v>
      </c>
    </row>
    <row r="935" customFormat="false" ht="15" hidden="false" customHeight="false" outlineLevel="0" collapsed="false">
      <c r="A935" s="0" t="s">
        <v>8</v>
      </c>
      <c r="B935" s="0" t="s">
        <v>1188</v>
      </c>
      <c r="C935" s="0" t="s">
        <v>3920</v>
      </c>
      <c r="D935" s="0" t="n">
        <v>0.6</v>
      </c>
    </row>
    <row r="936" customFormat="false" ht="15" hidden="false" customHeight="false" outlineLevel="0" collapsed="false">
      <c r="A936" s="0" t="s">
        <v>8</v>
      </c>
      <c r="B936" s="0" t="s">
        <v>1188</v>
      </c>
      <c r="C936" s="0" t="s">
        <v>3921</v>
      </c>
    </row>
    <row r="937" customFormat="false" ht="15" hidden="false" customHeight="false" outlineLevel="0" collapsed="false">
      <c r="A937" s="0" t="s">
        <v>8</v>
      </c>
      <c r="B937" s="0" t="s">
        <v>1188</v>
      </c>
      <c r="C937" s="0" t="s">
        <v>3922</v>
      </c>
    </row>
    <row r="938" customFormat="false" ht="15" hidden="false" customHeight="false" outlineLevel="0" collapsed="false">
      <c r="A938" s="0" t="s">
        <v>8</v>
      </c>
      <c r="B938" s="0" t="s">
        <v>1191</v>
      </c>
      <c r="C938" s="0" t="s">
        <v>3920</v>
      </c>
      <c r="D938" s="0" t="n">
        <v>14</v>
      </c>
    </row>
    <row r="939" customFormat="false" ht="15" hidden="false" customHeight="false" outlineLevel="0" collapsed="false">
      <c r="A939" s="0" t="s">
        <v>8</v>
      </c>
      <c r="B939" s="0" t="s">
        <v>1191</v>
      </c>
      <c r="C939" s="0" t="s">
        <v>3921</v>
      </c>
    </row>
    <row r="940" customFormat="false" ht="15" hidden="false" customHeight="false" outlineLevel="0" collapsed="false">
      <c r="A940" s="0" t="s">
        <v>8</v>
      </c>
      <c r="B940" s="0" t="s">
        <v>1191</v>
      </c>
      <c r="C940" s="0" t="s">
        <v>3922</v>
      </c>
    </row>
    <row r="941" customFormat="false" ht="15" hidden="false" customHeight="false" outlineLevel="0" collapsed="false">
      <c r="A941" s="0" t="s">
        <v>8</v>
      </c>
      <c r="B941" s="0" t="s">
        <v>1194</v>
      </c>
      <c r="C941" s="0" t="s">
        <v>3920</v>
      </c>
      <c r="D941" s="0" t="n">
        <v>4</v>
      </c>
    </row>
    <row r="942" customFormat="false" ht="15" hidden="false" customHeight="false" outlineLevel="0" collapsed="false">
      <c r="A942" s="0" t="s">
        <v>8</v>
      </c>
      <c r="B942" s="0" t="s">
        <v>1194</v>
      </c>
      <c r="C942" s="0" t="s">
        <v>3921</v>
      </c>
    </row>
    <row r="943" customFormat="false" ht="15" hidden="false" customHeight="false" outlineLevel="0" collapsed="false">
      <c r="A943" s="0" t="s">
        <v>8</v>
      </c>
      <c r="B943" s="0" t="s">
        <v>1194</v>
      </c>
      <c r="C943" s="0" t="s">
        <v>3922</v>
      </c>
    </row>
    <row r="944" customFormat="false" ht="15" hidden="false" customHeight="false" outlineLevel="0" collapsed="false">
      <c r="A944" s="0" t="s">
        <v>8</v>
      </c>
      <c r="B944" s="0" t="s">
        <v>1198</v>
      </c>
      <c r="C944" s="0" t="s">
        <v>3920</v>
      </c>
      <c r="D944" s="0" t="n">
        <v>0.8</v>
      </c>
    </row>
    <row r="945" customFormat="false" ht="15" hidden="false" customHeight="false" outlineLevel="0" collapsed="false">
      <c r="A945" s="0" t="s">
        <v>8</v>
      </c>
      <c r="B945" s="0" t="s">
        <v>1198</v>
      </c>
      <c r="C945" s="0" t="s">
        <v>3921</v>
      </c>
    </row>
    <row r="946" customFormat="false" ht="15" hidden="false" customHeight="false" outlineLevel="0" collapsed="false">
      <c r="A946" s="0" t="s">
        <v>8</v>
      </c>
      <c r="B946" s="0" t="s">
        <v>1198</v>
      </c>
      <c r="C946" s="0" t="s">
        <v>3922</v>
      </c>
    </row>
    <row r="947" customFormat="false" ht="15" hidden="false" customHeight="false" outlineLevel="0" collapsed="false">
      <c r="A947" s="0" t="s">
        <v>8</v>
      </c>
      <c r="B947" s="0" t="s">
        <v>1201</v>
      </c>
      <c r="C947" s="0" t="s">
        <v>3920</v>
      </c>
      <c r="D947" s="0" t="n">
        <v>16</v>
      </c>
    </row>
    <row r="948" customFormat="false" ht="15" hidden="false" customHeight="false" outlineLevel="0" collapsed="false">
      <c r="A948" s="0" t="s">
        <v>8</v>
      </c>
      <c r="B948" s="0" t="s">
        <v>1201</v>
      </c>
      <c r="C948" s="0" t="s">
        <v>3921</v>
      </c>
    </row>
    <row r="949" customFormat="false" ht="15" hidden="false" customHeight="false" outlineLevel="0" collapsed="false">
      <c r="A949" s="0" t="s">
        <v>8</v>
      </c>
      <c r="B949" s="0" t="s">
        <v>1201</v>
      </c>
      <c r="C949" s="0" t="s">
        <v>3922</v>
      </c>
    </row>
    <row r="950" customFormat="false" ht="15" hidden="false" customHeight="false" outlineLevel="0" collapsed="false">
      <c r="A950" s="0" t="s">
        <v>8</v>
      </c>
      <c r="B950" s="0" t="s">
        <v>1204</v>
      </c>
      <c r="C950" s="0" t="s">
        <v>3920</v>
      </c>
      <c r="D950" s="0" t="n">
        <v>0.8</v>
      </c>
    </row>
    <row r="951" customFormat="false" ht="15" hidden="false" customHeight="false" outlineLevel="0" collapsed="false">
      <c r="A951" s="0" t="s">
        <v>8</v>
      </c>
      <c r="B951" s="0" t="s">
        <v>1204</v>
      </c>
      <c r="C951" s="0" t="s">
        <v>3921</v>
      </c>
    </row>
    <row r="952" customFormat="false" ht="15" hidden="false" customHeight="false" outlineLevel="0" collapsed="false">
      <c r="A952" s="0" t="s">
        <v>8</v>
      </c>
      <c r="B952" s="0" t="s">
        <v>1204</v>
      </c>
      <c r="C952" s="0" t="s">
        <v>3922</v>
      </c>
    </row>
    <row r="953" customFormat="false" ht="15" hidden="false" customHeight="false" outlineLevel="0" collapsed="false">
      <c r="A953" s="0" t="s">
        <v>8</v>
      </c>
      <c r="B953" s="0" t="s">
        <v>1208</v>
      </c>
      <c r="C953" s="0" t="s">
        <v>3920</v>
      </c>
      <c r="D953" s="0" t="n">
        <v>0.16</v>
      </c>
    </row>
    <row r="954" customFormat="false" ht="15" hidden="false" customHeight="false" outlineLevel="0" collapsed="false">
      <c r="A954" s="0" t="s">
        <v>8</v>
      </c>
      <c r="B954" s="0" t="s">
        <v>1208</v>
      </c>
      <c r="C954" s="0" t="s">
        <v>3921</v>
      </c>
    </row>
    <row r="955" customFormat="false" ht="15" hidden="false" customHeight="false" outlineLevel="0" collapsed="false">
      <c r="A955" s="0" t="s">
        <v>8</v>
      </c>
      <c r="B955" s="0" t="s">
        <v>1208</v>
      </c>
      <c r="C955" s="0" t="s">
        <v>3922</v>
      </c>
    </row>
    <row r="956" customFormat="false" ht="15" hidden="false" customHeight="false" outlineLevel="0" collapsed="false">
      <c r="A956" s="0" t="s">
        <v>8</v>
      </c>
      <c r="B956" s="0" t="s">
        <v>1211</v>
      </c>
      <c r="C956" s="0" t="s">
        <v>3920</v>
      </c>
      <c r="D956" s="0" t="n">
        <v>2</v>
      </c>
    </row>
    <row r="957" customFormat="false" ht="15" hidden="false" customHeight="false" outlineLevel="0" collapsed="false">
      <c r="A957" s="0" t="s">
        <v>8</v>
      </c>
      <c r="B957" s="0" t="s">
        <v>1211</v>
      </c>
      <c r="C957" s="0" t="s">
        <v>3921</v>
      </c>
    </row>
    <row r="958" customFormat="false" ht="15" hidden="false" customHeight="false" outlineLevel="0" collapsed="false">
      <c r="A958" s="0" t="s">
        <v>8</v>
      </c>
      <c r="B958" s="0" t="s">
        <v>1211</v>
      </c>
      <c r="C958" s="0" t="s">
        <v>3922</v>
      </c>
    </row>
    <row r="959" customFormat="false" ht="15" hidden="false" customHeight="false" outlineLevel="0" collapsed="false">
      <c r="A959" s="0" t="s">
        <v>8</v>
      </c>
      <c r="B959" s="0" t="s">
        <v>1214</v>
      </c>
      <c r="C959" s="0" t="s">
        <v>3920</v>
      </c>
      <c r="D959" s="0" t="n">
        <v>0.8</v>
      </c>
    </row>
    <row r="960" customFormat="false" ht="15" hidden="false" customHeight="false" outlineLevel="0" collapsed="false">
      <c r="A960" s="0" t="s">
        <v>8</v>
      </c>
      <c r="B960" s="0" t="s">
        <v>1214</v>
      </c>
      <c r="C960" s="0" t="s">
        <v>3921</v>
      </c>
    </row>
    <row r="961" customFormat="false" ht="15" hidden="false" customHeight="false" outlineLevel="0" collapsed="false">
      <c r="A961" s="0" t="s">
        <v>8</v>
      </c>
      <c r="B961" s="0" t="s">
        <v>1214</v>
      </c>
      <c r="C961" s="0" t="s">
        <v>3922</v>
      </c>
    </row>
    <row r="962" customFormat="false" ht="15" hidden="false" customHeight="false" outlineLevel="0" collapsed="false">
      <c r="A962" s="0" t="s">
        <v>8</v>
      </c>
      <c r="B962" s="0" t="s">
        <v>1218</v>
      </c>
      <c r="C962" s="0" t="s">
        <v>3920</v>
      </c>
      <c r="D962" s="0" t="n">
        <v>0.16</v>
      </c>
    </row>
    <row r="963" customFormat="false" ht="15" hidden="false" customHeight="false" outlineLevel="0" collapsed="false">
      <c r="A963" s="0" t="s">
        <v>8</v>
      </c>
      <c r="B963" s="0" t="s">
        <v>1218</v>
      </c>
      <c r="C963" s="0" t="s">
        <v>3921</v>
      </c>
    </row>
    <row r="964" customFormat="false" ht="15" hidden="false" customHeight="false" outlineLevel="0" collapsed="false">
      <c r="A964" s="0" t="s">
        <v>8</v>
      </c>
      <c r="B964" s="0" t="s">
        <v>1218</v>
      </c>
      <c r="C964" s="0" t="s">
        <v>3922</v>
      </c>
    </row>
    <row r="965" customFormat="false" ht="15" hidden="false" customHeight="false" outlineLevel="0" collapsed="false">
      <c r="A965" s="0" t="s">
        <v>8</v>
      </c>
      <c r="B965" s="0" t="s">
        <v>1221</v>
      </c>
      <c r="C965" s="0" t="s">
        <v>3920</v>
      </c>
      <c r="D965" s="0" t="n">
        <v>6</v>
      </c>
    </row>
    <row r="966" customFormat="false" ht="15" hidden="false" customHeight="false" outlineLevel="0" collapsed="false">
      <c r="A966" s="0" t="s">
        <v>8</v>
      </c>
      <c r="B966" s="0" t="s">
        <v>1221</v>
      </c>
      <c r="C966" s="0" t="s">
        <v>3921</v>
      </c>
    </row>
    <row r="967" customFormat="false" ht="15" hidden="false" customHeight="false" outlineLevel="0" collapsed="false">
      <c r="A967" s="0" t="s">
        <v>8</v>
      </c>
      <c r="B967" s="0" t="s">
        <v>1221</v>
      </c>
      <c r="C967" s="0" t="s">
        <v>3922</v>
      </c>
    </row>
    <row r="968" customFormat="false" ht="15" hidden="false" customHeight="false" outlineLevel="0" collapsed="false">
      <c r="A968" s="0" t="s">
        <v>8</v>
      </c>
      <c r="B968" s="0" t="s">
        <v>1224</v>
      </c>
      <c r="C968" s="0" t="s">
        <v>3920</v>
      </c>
      <c r="D968" s="0" t="n">
        <v>1.2</v>
      </c>
    </row>
    <row r="969" customFormat="false" ht="15" hidden="false" customHeight="false" outlineLevel="0" collapsed="false">
      <c r="A969" s="0" t="s">
        <v>8</v>
      </c>
      <c r="B969" s="0" t="s">
        <v>1224</v>
      </c>
      <c r="C969" s="0" t="s">
        <v>3921</v>
      </c>
    </row>
    <row r="970" customFormat="false" ht="15" hidden="false" customHeight="false" outlineLevel="0" collapsed="false">
      <c r="A970" s="0" t="s">
        <v>8</v>
      </c>
      <c r="B970" s="0" t="s">
        <v>1224</v>
      </c>
      <c r="C970" s="0" t="s">
        <v>3922</v>
      </c>
    </row>
    <row r="971" customFormat="false" ht="15" hidden="false" customHeight="false" outlineLevel="0" collapsed="false">
      <c r="A971" s="0" t="s">
        <v>8</v>
      </c>
      <c r="B971" s="0" t="s">
        <v>1228</v>
      </c>
      <c r="C971" s="0" t="s">
        <v>3920</v>
      </c>
      <c r="D971" s="0" t="n">
        <v>0.24</v>
      </c>
    </row>
    <row r="972" customFormat="false" ht="15" hidden="false" customHeight="false" outlineLevel="0" collapsed="false">
      <c r="A972" s="0" t="s">
        <v>8</v>
      </c>
      <c r="B972" s="0" t="s">
        <v>1228</v>
      </c>
      <c r="C972" s="0" t="s">
        <v>3921</v>
      </c>
    </row>
    <row r="973" customFormat="false" ht="15" hidden="false" customHeight="false" outlineLevel="0" collapsed="false">
      <c r="A973" s="0" t="s">
        <v>8</v>
      </c>
      <c r="B973" s="0" t="s">
        <v>1228</v>
      </c>
      <c r="C973" s="0" t="s">
        <v>3922</v>
      </c>
    </row>
    <row r="974" customFormat="false" ht="15" hidden="false" customHeight="false" outlineLevel="0" collapsed="false">
      <c r="A974" s="0" t="s">
        <v>8</v>
      </c>
      <c r="B974" s="0" t="s">
        <v>1231</v>
      </c>
      <c r="C974" s="0" t="s">
        <v>3920</v>
      </c>
      <c r="D974" s="0" t="n">
        <v>8</v>
      </c>
    </row>
    <row r="975" customFormat="false" ht="15" hidden="false" customHeight="false" outlineLevel="0" collapsed="false">
      <c r="A975" s="0" t="s">
        <v>8</v>
      </c>
      <c r="B975" s="0" t="s">
        <v>1231</v>
      </c>
      <c r="C975" s="0" t="s">
        <v>3921</v>
      </c>
    </row>
    <row r="976" customFormat="false" ht="15" hidden="false" customHeight="false" outlineLevel="0" collapsed="false">
      <c r="A976" s="0" t="s">
        <v>8</v>
      </c>
      <c r="B976" s="0" t="s">
        <v>1231</v>
      </c>
      <c r="C976" s="0" t="s">
        <v>3922</v>
      </c>
    </row>
    <row r="977" customFormat="false" ht="15" hidden="false" customHeight="false" outlineLevel="0" collapsed="false">
      <c r="A977" s="0" t="s">
        <v>8</v>
      </c>
      <c r="B977" s="0" t="s">
        <v>1234</v>
      </c>
      <c r="C977" s="0" t="s">
        <v>3920</v>
      </c>
      <c r="D977" s="0" t="n">
        <v>0.5</v>
      </c>
    </row>
    <row r="978" customFormat="false" ht="15" hidden="false" customHeight="false" outlineLevel="0" collapsed="false">
      <c r="A978" s="0" t="s">
        <v>8</v>
      </c>
      <c r="B978" s="0" t="s">
        <v>1234</v>
      </c>
      <c r="C978" s="0" t="s">
        <v>3921</v>
      </c>
    </row>
    <row r="979" customFormat="false" ht="15" hidden="false" customHeight="false" outlineLevel="0" collapsed="false">
      <c r="A979" s="0" t="s">
        <v>8</v>
      </c>
      <c r="B979" s="0" t="s">
        <v>1234</v>
      </c>
      <c r="C979" s="0" t="s">
        <v>3922</v>
      </c>
    </row>
    <row r="980" customFormat="false" ht="15" hidden="false" customHeight="false" outlineLevel="0" collapsed="false">
      <c r="A980" s="0" t="s">
        <v>8</v>
      </c>
      <c r="B980" s="0" t="s">
        <v>1238</v>
      </c>
      <c r="C980" s="0" t="s">
        <v>3920</v>
      </c>
      <c r="D980" s="0" t="n">
        <v>0.1</v>
      </c>
    </row>
    <row r="981" customFormat="false" ht="15" hidden="false" customHeight="false" outlineLevel="0" collapsed="false">
      <c r="A981" s="0" t="s">
        <v>8</v>
      </c>
      <c r="B981" s="0" t="s">
        <v>1238</v>
      </c>
      <c r="C981" s="0" t="s">
        <v>3921</v>
      </c>
    </row>
    <row r="982" customFormat="false" ht="15" hidden="false" customHeight="false" outlineLevel="0" collapsed="false">
      <c r="A982" s="0" t="s">
        <v>8</v>
      </c>
      <c r="B982" s="0" t="s">
        <v>1238</v>
      </c>
      <c r="C982" s="0" t="s">
        <v>3922</v>
      </c>
    </row>
    <row r="983" customFormat="false" ht="15" hidden="false" customHeight="false" outlineLevel="0" collapsed="false">
      <c r="A983" s="0" t="s">
        <v>8</v>
      </c>
      <c r="B983" s="0" t="s">
        <v>1241</v>
      </c>
      <c r="C983" s="0" t="s">
        <v>3920</v>
      </c>
      <c r="D983" s="0" t="n">
        <v>3</v>
      </c>
    </row>
    <row r="984" customFormat="false" ht="15" hidden="false" customHeight="false" outlineLevel="0" collapsed="false">
      <c r="A984" s="0" t="s">
        <v>8</v>
      </c>
      <c r="B984" s="0" t="s">
        <v>1241</v>
      </c>
      <c r="C984" s="0" t="s">
        <v>3921</v>
      </c>
    </row>
    <row r="985" customFormat="false" ht="15" hidden="false" customHeight="false" outlineLevel="0" collapsed="false">
      <c r="A985" s="0" t="s">
        <v>8</v>
      </c>
      <c r="B985" s="0" t="s">
        <v>1241</v>
      </c>
      <c r="C985" s="0" t="s">
        <v>3922</v>
      </c>
    </row>
    <row r="986" customFormat="false" ht="15" hidden="false" customHeight="false" outlineLevel="0" collapsed="false">
      <c r="A986" s="0" t="s">
        <v>8</v>
      </c>
      <c r="B986" s="0" t="s">
        <v>1244</v>
      </c>
      <c r="C986" s="0" t="s">
        <v>3920</v>
      </c>
      <c r="D986" s="0" t="n">
        <v>0.8</v>
      </c>
    </row>
    <row r="987" customFormat="false" ht="15" hidden="false" customHeight="false" outlineLevel="0" collapsed="false">
      <c r="A987" s="0" t="s">
        <v>8</v>
      </c>
      <c r="B987" s="0" t="s">
        <v>1244</v>
      </c>
      <c r="C987" s="0" t="s">
        <v>3921</v>
      </c>
    </row>
    <row r="988" customFormat="false" ht="15" hidden="false" customHeight="false" outlineLevel="0" collapsed="false">
      <c r="A988" s="0" t="s">
        <v>8</v>
      </c>
      <c r="B988" s="0" t="s">
        <v>1244</v>
      </c>
      <c r="C988" s="0" t="s">
        <v>3922</v>
      </c>
    </row>
    <row r="989" customFormat="false" ht="15" hidden="false" customHeight="false" outlineLevel="0" collapsed="false">
      <c r="A989" s="0" t="s">
        <v>8</v>
      </c>
      <c r="B989" s="0" t="s">
        <v>1248</v>
      </c>
      <c r="C989" s="0" t="s">
        <v>3920</v>
      </c>
      <c r="D989" s="0" t="n">
        <v>0.23</v>
      </c>
    </row>
    <row r="990" customFormat="false" ht="15" hidden="false" customHeight="false" outlineLevel="0" collapsed="false">
      <c r="A990" s="0" t="s">
        <v>8</v>
      </c>
      <c r="B990" s="0" t="s">
        <v>1248</v>
      </c>
      <c r="C990" s="0" t="s">
        <v>3921</v>
      </c>
    </row>
    <row r="991" customFormat="false" ht="15" hidden="false" customHeight="false" outlineLevel="0" collapsed="false">
      <c r="A991" s="0" t="s">
        <v>8</v>
      </c>
      <c r="B991" s="0" t="s">
        <v>1248</v>
      </c>
      <c r="C991" s="0" t="s">
        <v>3922</v>
      </c>
    </row>
    <row r="992" customFormat="false" ht="15" hidden="false" customHeight="false" outlineLevel="0" collapsed="false">
      <c r="A992" s="0" t="s">
        <v>8</v>
      </c>
      <c r="B992" s="0" t="s">
        <v>1251</v>
      </c>
      <c r="C992" s="0" t="s">
        <v>3920</v>
      </c>
      <c r="D992" s="0" t="n">
        <v>2.8</v>
      </c>
    </row>
    <row r="993" customFormat="false" ht="15" hidden="false" customHeight="false" outlineLevel="0" collapsed="false">
      <c r="A993" s="0" t="s">
        <v>8</v>
      </c>
      <c r="B993" s="0" t="s">
        <v>1251</v>
      </c>
      <c r="C993" s="0" t="s">
        <v>3921</v>
      </c>
    </row>
    <row r="994" customFormat="false" ht="15" hidden="false" customHeight="false" outlineLevel="0" collapsed="false">
      <c r="A994" s="0" t="s">
        <v>8</v>
      </c>
      <c r="B994" s="0" t="s">
        <v>1251</v>
      </c>
      <c r="C994" s="0" t="s">
        <v>3922</v>
      </c>
    </row>
    <row r="995" customFormat="false" ht="15" hidden="false" customHeight="false" outlineLevel="0" collapsed="false">
      <c r="A995" s="0" t="s">
        <v>8</v>
      </c>
      <c r="B995" s="0" t="s">
        <v>1254</v>
      </c>
      <c r="C995" s="0" t="s">
        <v>3920</v>
      </c>
      <c r="D995" s="0" t="n">
        <v>0.5</v>
      </c>
    </row>
    <row r="996" customFormat="false" ht="15" hidden="false" customHeight="false" outlineLevel="0" collapsed="false">
      <c r="A996" s="0" t="s">
        <v>8</v>
      </c>
      <c r="B996" s="0" t="s">
        <v>1254</v>
      </c>
      <c r="C996" s="0" t="s">
        <v>3921</v>
      </c>
    </row>
    <row r="997" customFormat="false" ht="15" hidden="false" customHeight="false" outlineLevel="0" collapsed="false">
      <c r="A997" s="0" t="s">
        <v>8</v>
      </c>
      <c r="B997" s="0" t="s">
        <v>1254</v>
      </c>
      <c r="C997" s="0" t="s">
        <v>3922</v>
      </c>
    </row>
    <row r="998" customFormat="false" ht="15" hidden="false" customHeight="false" outlineLevel="0" collapsed="false">
      <c r="A998" s="0" t="s">
        <v>8</v>
      </c>
      <c r="B998" s="0" t="s">
        <v>1260</v>
      </c>
      <c r="C998" s="0" t="s">
        <v>3920</v>
      </c>
      <c r="D998" s="0" t="n">
        <v>0</v>
      </c>
    </row>
    <row r="999" customFormat="false" ht="15" hidden="false" customHeight="false" outlineLevel="0" collapsed="false">
      <c r="A999" s="0" t="s">
        <v>8</v>
      </c>
      <c r="B999" s="0" t="s">
        <v>1260</v>
      </c>
      <c r="C999" s="0" t="s">
        <v>3921</v>
      </c>
    </row>
    <row r="1000" customFormat="false" ht="15" hidden="false" customHeight="false" outlineLevel="0" collapsed="false">
      <c r="A1000" s="0" t="s">
        <v>8</v>
      </c>
      <c r="B1000" s="0" t="s">
        <v>1260</v>
      </c>
      <c r="C1000" s="0" t="s">
        <v>3922</v>
      </c>
    </row>
    <row r="1001" customFormat="false" ht="15" hidden="false" customHeight="false" outlineLevel="0" collapsed="false">
      <c r="A1001" s="0" t="s">
        <v>8</v>
      </c>
      <c r="B1001" s="0" t="s">
        <v>1264</v>
      </c>
      <c r="C1001" s="0" t="s">
        <v>3920</v>
      </c>
    </row>
    <row r="1002" customFormat="false" ht="15" hidden="false" customHeight="false" outlineLevel="0" collapsed="false">
      <c r="A1002" s="0" t="s">
        <v>8</v>
      </c>
      <c r="B1002" s="0" t="s">
        <v>1264</v>
      </c>
      <c r="C1002" s="0" t="s">
        <v>3921</v>
      </c>
      <c r="D1002" s="0" t="n">
        <v>5.6</v>
      </c>
    </row>
    <row r="1003" customFormat="false" ht="15" hidden="false" customHeight="false" outlineLevel="0" collapsed="false">
      <c r="A1003" s="0" t="s">
        <v>8</v>
      </c>
      <c r="B1003" s="0" t="s">
        <v>1264</v>
      </c>
      <c r="C1003" s="0" t="s">
        <v>3922</v>
      </c>
      <c r="D1003" s="0" t="n">
        <v>8</v>
      </c>
    </row>
    <row r="1004" customFormat="false" ht="15" hidden="false" customHeight="false" outlineLevel="0" collapsed="false">
      <c r="A1004" s="0" t="s">
        <v>8</v>
      </c>
      <c r="B1004" s="0" t="s">
        <v>1272</v>
      </c>
      <c r="C1004" s="0" t="s">
        <v>3920</v>
      </c>
    </row>
    <row r="1005" customFormat="false" ht="15" hidden="false" customHeight="false" outlineLevel="0" collapsed="false">
      <c r="A1005" s="0" t="s">
        <v>8</v>
      </c>
      <c r="B1005" s="0" t="s">
        <v>1272</v>
      </c>
      <c r="C1005" s="0" t="s">
        <v>3921</v>
      </c>
      <c r="D1005" s="0" t="n">
        <v>19.6</v>
      </c>
    </row>
    <row r="1006" customFormat="false" ht="15" hidden="false" customHeight="false" outlineLevel="0" collapsed="false">
      <c r="A1006" s="0" t="s">
        <v>8</v>
      </c>
      <c r="B1006" s="0" t="s">
        <v>1272</v>
      </c>
      <c r="C1006" s="0" t="s">
        <v>3922</v>
      </c>
      <c r="D1006" s="0" t="n">
        <v>28</v>
      </c>
    </row>
    <row r="1007" customFormat="false" ht="15" hidden="false" customHeight="false" outlineLevel="0" collapsed="false">
      <c r="A1007" s="0" t="s">
        <v>8</v>
      </c>
      <c r="B1007" s="0" t="s">
        <v>1276</v>
      </c>
      <c r="C1007" s="0" t="s">
        <v>3920</v>
      </c>
      <c r="D1007" s="0" t="n">
        <v>0.8</v>
      </c>
    </row>
    <row r="1008" customFormat="false" ht="15" hidden="false" customHeight="false" outlineLevel="0" collapsed="false">
      <c r="A1008" s="0" t="s">
        <v>8</v>
      </c>
      <c r="B1008" s="0" t="s">
        <v>1276</v>
      </c>
      <c r="C1008" s="0" t="s">
        <v>3921</v>
      </c>
    </row>
    <row r="1009" customFormat="false" ht="15" hidden="false" customHeight="false" outlineLevel="0" collapsed="false">
      <c r="A1009" s="0" t="s">
        <v>8</v>
      </c>
      <c r="B1009" s="0" t="s">
        <v>1276</v>
      </c>
      <c r="C1009" s="0" t="s">
        <v>3922</v>
      </c>
    </row>
    <row r="1010" customFormat="false" ht="15" hidden="false" customHeight="false" outlineLevel="0" collapsed="false">
      <c r="A1010" s="0" t="s">
        <v>8</v>
      </c>
      <c r="B1010" s="0" t="s">
        <v>1284</v>
      </c>
      <c r="C1010" s="0" t="s">
        <v>3920</v>
      </c>
      <c r="D1010" s="0" t="n">
        <v>2</v>
      </c>
    </row>
    <row r="1011" customFormat="false" ht="15" hidden="false" customHeight="false" outlineLevel="0" collapsed="false">
      <c r="A1011" s="0" t="s">
        <v>8</v>
      </c>
      <c r="B1011" s="0" t="s">
        <v>1284</v>
      </c>
      <c r="C1011" s="0" t="s">
        <v>3921</v>
      </c>
    </row>
    <row r="1012" customFormat="false" ht="15" hidden="false" customHeight="false" outlineLevel="0" collapsed="false">
      <c r="A1012" s="0" t="s">
        <v>8</v>
      </c>
      <c r="B1012" s="0" t="s">
        <v>1284</v>
      </c>
      <c r="C1012" s="0" t="s">
        <v>3922</v>
      </c>
    </row>
    <row r="1013" customFormat="false" ht="15" hidden="false" customHeight="false" outlineLevel="0" collapsed="false">
      <c r="A1013" s="0" t="s">
        <v>8</v>
      </c>
      <c r="B1013" s="0" t="s">
        <v>1287</v>
      </c>
      <c r="C1013" s="0" t="s">
        <v>3920</v>
      </c>
      <c r="D1013" s="0" t="n">
        <v>5</v>
      </c>
    </row>
    <row r="1014" customFormat="false" ht="15" hidden="false" customHeight="false" outlineLevel="0" collapsed="false">
      <c r="A1014" s="0" t="s">
        <v>8</v>
      </c>
      <c r="B1014" s="0" t="s">
        <v>1287</v>
      </c>
      <c r="C1014" s="0" t="s">
        <v>3921</v>
      </c>
    </row>
    <row r="1015" customFormat="false" ht="15" hidden="false" customHeight="false" outlineLevel="0" collapsed="false">
      <c r="A1015" s="0" t="s">
        <v>8</v>
      </c>
      <c r="B1015" s="0" t="s">
        <v>1287</v>
      </c>
      <c r="C1015" s="0" t="s">
        <v>3922</v>
      </c>
    </row>
    <row r="1016" customFormat="false" ht="15" hidden="false" customHeight="false" outlineLevel="0" collapsed="false">
      <c r="A1016" s="0" t="s">
        <v>8</v>
      </c>
      <c r="B1016" s="0" t="s">
        <v>1294</v>
      </c>
      <c r="C1016" s="0" t="s">
        <v>3920</v>
      </c>
      <c r="D1016" s="0" t="n">
        <v>0.6</v>
      </c>
    </row>
    <row r="1017" customFormat="false" ht="15" hidden="false" customHeight="false" outlineLevel="0" collapsed="false">
      <c r="A1017" s="0" t="s">
        <v>8</v>
      </c>
      <c r="B1017" s="0" t="s">
        <v>1294</v>
      </c>
      <c r="C1017" s="0" t="s">
        <v>3921</v>
      </c>
      <c r="D1017" s="0" t="n">
        <v>0.6</v>
      </c>
    </row>
    <row r="1018" customFormat="false" ht="15" hidden="false" customHeight="false" outlineLevel="0" collapsed="false">
      <c r="A1018" s="0" t="s">
        <v>8</v>
      </c>
      <c r="B1018" s="0" t="s">
        <v>1294</v>
      </c>
      <c r="C1018" s="0" t="s">
        <v>3922</v>
      </c>
      <c r="D1018" s="0" t="n">
        <v>0.6</v>
      </c>
    </row>
    <row r="1019" customFormat="false" ht="15" hidden="false" customHeight="false" outlineLevel="0" collapsed="false">
      <c r="A1019" s="0" t="s">
        <v>8</v>
      </c>
      <c r="B1019" s="0" t="s">
        <v>1304</v>
      </c>
      <c r="C1019" s="0" t="s">
        <v>3920</v>
      </c>
      <c r="D1019" s="0" t="n">
        <v>1</v>
      </c>
    </row>
    <row r="1020" customFormat="false" ht="15" hidden="false" customHeight="false" outlineLevel="0" collapsed="false">
      <c r="A1020" s="0" t="s">
        <v>8</v>
      </c>
      <c r="B1020" s="0" t="s">
        <v>1304</v>
      </c>
      <c r="C1020" s="0" t="s">
        <v>3921</v>
      </c>
      <c r="D1020" s="0" t="n">
        <v>1</v>
      </c>
    </row>
    <row r="1021" customFormat="false" ht="15" hidden="false" customHeight="false" outlineLevel="0" collapsed="false">
      <c r="A1021" s="0" t="s">
        <v>8</v>
      </c>
      <c r="B1021" s="0" t="s">
        <v>1304</v>
      </c>
      <c r="C1021" s="0" t="s">
        <v>3922</v>
      </c>
      <c r="D1021" s="0" t="n">
        <v>1</v>
      </c>
    </row>
    <row r="1022" customFormat="false" ht="15" hidden="false" customHeight="false" outlineLevel="0" collapsed="false">
      <c r="A1022" s="0" t="s">
        <v>8</v>
      </c>
      <c r="B1022" s="0" t="s">
        <v>1311</v>
      </c>
      <c r="C1022" s="0" t="s">
        <v>3920</v>
      </c>
      <c r="D1022" s="0" t="n">
        <v>0.15</v>
      </c>
    </row>
    <row r="1023" customFormat="false" ht="15" hidden="false" customHeight="false" outlineLevel="0" collapsed="false">
      <c r="A1023" s="0" t="s">
        <v>8</v>
      </c>
      <c r="B1023" s="0" t="s">
        <v>1311</v>
      </c>
      <c r="C1023" s="0" t="s">
        <v>3921</v>
      </c>
    </row>
    <row r="1024" customFormat="false" ht="15" hidden="false" customHeight="false" outlineLevel="0" collapsed="false">
      <c r="A1024" s="0" t="s">
        <v>8</v>
      </c>
      <c r="B1024" s="0" t="s">
        <v>1311</v>
      </c>
      <c r="C1024" s="0" t="s">
        <v>3922</v>
      </c>
    </row>
    <row r="1025" customFormat="false" ht="15" hidden="false" customHeight="false" outlineLevel="0" collapsed="false">
      <c r="A1025" s="0" t="s">
        <v>8</v>
      </c>
      <c r="B1025" s="0" t="s">
        <v>1318</v>
      </c>
      <c r="C1025" s="0" t="s">
        <v>3920</v>
      </c>
    </row>
    <row r="1026" customFormat="false" ht="15" hidden="false" customHeight="false" outlineLevel="0" collapsed="false">
      <c r="A1026" s="0" t="s">
        <v>8</v>
      </c>
      <c r="B1026" s="0" t="s">
        <v>1318</v>
      </c>
      <c r="C1026" s="0" t="s">
        <v>3921</v>
      </c>
      <c r="D1026" s="0" t="n">
        <v>67</v>
      </c>
    </row>
    <row r="1027" customFormat="false" ht="15" hidden="false" customHeight="false" outlineLevel="0" collapsed="false">
      <c r="A1027" s="0" t="s">
        <v>8</v>
      </c>
      <c r="B1027" s="0" t="s">
        <v>1318</v>
      </c>
      <c r="C1027" s="0" t="s">
        <v>3922</v>
      </c>
      <c r="D1027" s="0" t="n">
        <v>100</v>
      </c>
    </row>
    <row r="1028" customFormat="false" ht="15" hidden="false" customHeight="false" outlineLevel="0" collapsed="false">
      <c r="A1028" s="0" t="s">
        <v>8</v>
      </c>
      <c r="B1028" s="0" t="s">
        <v>1327</v>
      </c>
      <c r="C1028" s="0" t="s">
        <v>3920</v>
      </c>
      <c r="D1028" s="0" t="n">
        <v>10</v>
      </c>
    </row>
    <row r="1029" customFormat="false" ht="15" hidden="false" customHeight="false" outlineLevel="0" collapsed="false">
      <c r="A1029" s="0" t="s">
        <v>8</v>
      </c>
      <c r="B1029" s="0" t="s">
        <v>1327</v>
      </c>
      <c r="C1029" s="0" t="s">
        <v>3921</v>
      </c>
    </row>
    <row r="1030" customFormat="false" ht="15" hidden="false" customHeight="false" outlineLevel="0" collapsed="false">
      <c r="A1030" s="0" t="s">
        <v>8</v>
      </c>
      <c r="B1030" s="0" t="s">
        <v>1327</v>
      </c>
      <c r="C1030" s="0" t="s">
        <v>3922</v>
      </c>
    </row>
    <row r="1031" customFormat="false" ht="15" hidden="false" customHeight="false" outlineLevel="0" collapsed="false">
      <c r="A1031" s="0" t="s">
        <v>8</v>
      </c>
      <c r="B1031" s="0" t="s">
        <v>1336</v>
      </c>
      <c r="C1031" s="0" t="s">
        <v>3920</v>
      </c>
    </row>
    <row r="1032" customFormat="false" ht="15" hidden="false" customHeight="false" outlineLevel="0" collapsed="false">
      <c r="A1032" s="0" t="s">
        <v>8</v>
      </c>
      <c r="B1032" s="0" t="s">
        <v>1336</v>
      </c>
      <c r="C1032" s="0" t="s">
        <v>3921</v>
      </c>
      <c r="D1032" s="0" t="n">
        <v>8</v>
      </c>
    </row>
    <row r="1033" customFormat="false" ht="15" hidden="false" customHeight="false" outlineLevel="0" collapsed="false">
      <c r="A1033" s="0" t="s">
        <v>8</v>
      </c>
      <c r="B1033" s="0" t="s">
        <v>1336</v>
      </c>
      <c r="C1033" s="0" t="s">
        <v>3922</v>
      </c>
      <c r="D1033" s="0" t="n">
        <v>17</v>
      </c>
    </row>
    <row r="1034" customFormat="false" ht="15" hidden="false" customHeight="false" outlineLevel="0" collapsed="false">
      <c r="A1034" s="0" t="s">
        <v>8</v>
      </c>
      <c r="B1034" s="0" t="s">
        <v>1341</v>
      </c>
      <c r="C1034" s="0" t="s">
        <v>3920</v>
      </c>
      <c r="D1034" s="0" t="n">
        <v>83</v>
      </c>
    </row>
    <row r="1035" customFormat="false" ht="15" hidden="false" customHeight="false" outlineLevel="0" collapsed="false">
      <c r="A1035" s="0" t="s">
        <v>8</v>
      </c>
      <c r="B1035" s="0" t="s">
        <v>1341</v>
      </c>
      <c r="C1035" s="0" t="s">
        <v>3921</v>
      </c>
    </row>
    <row r="1036" customFormat="false" ht="15" hidden="false" customHeight="false" outlineLevel="0" collapsed="false">
      <c r="A1036" s="0" t="s">
        <v>8</v>
      </c>
      <c r="B1036" s="0" t="s">
        <v>1341</v>
      </c>
      <c r="C1036" s="0" t="s">
        <v>3922</v>
      </c>
    </row>
    <row r="1037" customFormat="false" ht="15" hidden="false" customHeight="false" outlineLevel="0" collapsed="false">
      <c r="A1037" s="0" t="s">
        <v>8</v>
      </c>
      <c r="B1037" s="0" t="s">
        <v>1350</v>
      </c>
      <c r="C1037" s="0" t="s">
        <v>3920</v>
      </c>
      <c r="D1037" s="0" t="n">
        <v>83</v>
      </c>
    </row>
    <row r="1038" customFormat="false" ht="15" hidden="false" customHeight="false" outlineLevel="0" collapsed="false">
      <c r="A1038" s="0" t="s">
        <v>8</v>
      </c>
      <c r="B1038" s="0" t="s">
        <v>1350</v>
      </c>
      <c r="C1038" s="0" t="s">
        <v>3921</v>
      </c>
    </row>
    <row r="1039" customFormat="false" ht="15" hidden="false" customHeight="false" outlineLevel="0" collapsed="false">
      <c r="A1039" s="0" t="s">
        <v>8</v>
      </c>
      <c r="B1039" s="0" t="s">
        <v>1350</v>
      </c>
      <c r="C1039" s="0" t="s">
        <v>3922</v>
      </c>
    </row>
    <row r="1040" customFormat="false" ht="15" hidden="false" customHeight="false" outlineLevel="0" collapsed="false">
      <c r="A1040" s="0" t="s">
        <v>8</v>
      </c>
      <c r="B1040" s="0" t="s">
        <v>1357</v>
      </c>
      <c r="C1040" s="0" t="s">
        <v>3920</v>
      </c>
      <c r="D1040" s="0" t="n">
        <v>101</v>
      </c>
    </row>
    <row r="1041" customFormat="false" ht="15" hidden="false" customHeight="false" outlineLevel="0" collapsed="false">
      <c r="A1041" s="0" t="s">
        <v>8</v>
      </c>
      <c r="B1041" s="0" t="s">
        <v>1357</v>
      </c>
      <c r="C1041" s="0" t="s">
        <v>3921</v>
      </c>
    </row>
    <row r="1042" customFormat="false" ht="15" hidden="false" customHeight="false" outlineLevel="0" collapsed="false">
      <c r="A1042" s="0" t="s">
        <v>8</v>
      </c>
      <c r="B1042" s="0" t="s">
        <v>1357</v>
      </c>
      <c r="C1042" s="0" t="s">
        <v>3922</v>
      </c>
    </row>
    <row r="1043" customFormat="false" ht="15" hidden="false" customHeight="false" outlineLevel="0" collapsed="false">
      <c r="A1043" s="0" t="s">
        <v>8</v>
      </c>
      <c r="B1043" s="0" t="s">
        <v>1363</v>
      </c>
      <c r="C1043" s="0" t="s">
        <v>3920</v>
      </c>
      <c r="D1043" s="0" t="n">
        <v>101</v>
      </c>
    </row>
    <row r="1044" customFormat="false" ht="15" hidden="false" customHeight="false" outlineLevel="0" collapsed="false">
      <c r="A1044" s="0" t="s">
        <v>8</v>
      </c>
      <c r="B1044" s="0" t="s">
        <v>1363</v>
      </c>
      <c r="C1044" s="0" t="s">
        <v>3921</v>
      </c>
    </row>
    <row r="1045" customFormat="false" ht="15" hidden="false" customHeight="false" outlineLevel="0" collapsed="false">
      <c r="A1045" s="0" t="s">
        <v>8</v>
      </c>
      <c r="B1045" s="0" t="s">
        <v>1363</v>
      </c>
      <c r="C1045" s="0" t="s">
        <v>3922</v>
      </c>
    </row>
    <row r="1046" customFormat="false" ht="15" hidden="false" customHeight="false" outlineLevel="0" collapsed="false">
      <c r="A1046" s="0" t="s">
        <v>8</v>
      </c>
      <c r="B1046" s="0" t="s">
        <v>1369</v>
      </c>
      <c r="C1046" s="0" t="s">
        <v>3920</v>
      </c>
      <c r="D1046" s="0" t="n">
        <v>30</v>
      </c>
    </row>
    <row r="1047" customFormat="false" ht="15" hidden="false" customHeight="false" outlineLevel="0" collapsed="false">
      <c r="A1047" s="0" t="s">
        <v>8</v>
      </c>
      <c r="B1047" s="0" t="s">
        <v>1369</v>
      </c>
      <c r="C1047" s="0" t="s">
        <v>3921</v>
      </c>
      <c r="D1047" s="0" t="n">
        <v>30</v>
      </c>
    </row>
    <row r="1048" customFormat="false" ht="15" hidden="false" customHeight="false" outlineLevel="0" collapsed="false">
      <c r="A1048" s="0" t="s">
        <v>8</v>
      </c>
      <c r="B1048" s="0" t="s">
        <v>1369</v>
      </c>
      <c r="C1048" s="0" t="s">
        <v>3922</v>
      </c>
    </row>
    <row r="1049" customFormat="false" ht="15" hidden="false" customHeight="false" outlineLevel="0" collapsed="false">
      <c r="A1049" s="0" t="s">
        <v>8</v>
      </c>
      <c r="B1049" s="0" t="s">
        <v>1375</v>
      </c>
      <c r="C1049" s="0" t="s">
        <v>3920</v>
      </c>
      <c r="D1049" s="0" t="n">
        <v>30</v>
      </c>
    </row>
    <row r="1050" customFormat="false" ht="15" hidden="false" customHeight="false" outlineLevel="0" collapsed="false">
      <c r="A1050" s="0" t="s">
        <v>8</v>
      </c>
      <c r="B1050" s="0" t="s">
        <v>1375</v>
      </c>
      <c r="C1050" s="0" t="s">
        <v>3921</v>
      </c>
    </row>
    <row r="1051" customFormat="false" ht="15" hidden="false" customHeight="false" outlineLevel="0" collapsed="false">
      <c r="A1051" s="0" t="s">
        <v>8</v>
      </c>
      <c r="B1051" s="0" t="s">
        <v>1375</v>
      </c>
      <c r="C1051" s="0" t="s">
        <v>3922</v>
      </c>
    </row>
    <row r="1052" customFormat="false" ht="15" hidden="false" customHeight="false" outlineLevel="0" collapsed="false">
      <c r="A1052" s="0" t="s">
        <v>8</v>
      </c>
      <c r="B1052" s="0" t="s">
        <v>1380</v>
      </c>
      <c r="C1052" s="0" t="s">
        <v>3920</v>
      </c>
    </row>
    <row r="1053" customFormat="false" ht="15" hidden="false" customHeight="false" outlineLevel="0" collapsed="false">
      <c r="A1053" s="0" t="s">
        <v>8</v>
      </c>
      <c r="B1053" s="0" t="s">
        <v>1380</v>
      </c>
      <c r="C1053" s="0" t="s">
        <v>3921</v>
      </c>
      <c r="D1053" s="0" t="n">
        <v>30</v>
      </c>
    </row>
    <row r="1054" customFormat="false" ht="15" hidden="false" customHeight="false" outlineLevel="0" collapsed="false">
      <c r="A1054" s="0" t="s">
        <v>8</v>
      </c>
      <c r="B1054" s="0" t="s">
        <v>1380</v>
      </c>
      <c r="C1054" s="0" t="s">
        <v>3922</v>
      </c>
      <c r="D1054" s="0" t="n">
        <v>60</v>
      </c>
    </row>
    <row r="1055" customFormat="false" ht="15" hidden="false" customHeight="false" outlineLevel="0" collapsed="false">
      <c r="A1055" s="0" t="s">
        <v>8</v>
      </c>
      <c r="B1055" s="0" t="s">
        <v>1385</v>
      </c>
      <c r="C1055" s="0" t="s">
        <v>3920</v>
      </c>
    </row>
    <row r="1056" customFormat="false" ht="15" hidden="false" customHeight="false" outlineLevel="0" collapsed="false">
      <c r="A1056" s="0" t="s">
        <v>8</v>
      </c>
      <c r="B1056" s="0" t="s">
        <v>1385</v>
      </c>
      <c r="C1056" s="0" t="s">
        <v>3921</v>
      </c>
      <c r="D1056" s="0" t="n">
        <v>80</v>
      </c>
    </row>
    <row r="1057" customFormat="false" ht="15" hidden="false" customHeight="false" outlineLevel="0" collapsed="false">
      <c r="A1057" s="0" t="s">
        <v>8</v>
      </c>
      <c r="B1057" s="0" t="s">
        <v>1385</v>
      </c>
      <c r="C1057" s="0" t="s">
        <v>3922</v>
      </c>
      <c r="D1057" s="0" t="n">
        <v>150</v>
      </c>
    </row>
    <row r="1058" customFormat="false" ht="15" hidden="false" customHeight="false" outlineLevel="0" collapsed="false">
      <c r="A1058" s="0" t="s">
        <v>8</v>
      </c>
      <c r="B1058" s="0" t="s">
        <v>1390</v>
      </c>
      <c r="C1058" s="0" t="s">
        <v>3920</v>
      </c>
    </row>
    <row r="1059" customFormat="false" ht="15" hidden="false" customHeight="false" outlineLevel="0" collapsed="false">
      <c r="A1059" s="0" t="s">
        <v>8</v>
      </c>
      <c r="B1059" s="0" t="s">
        <v>1390</v>
      </c>
      <c r="C1059" s="0" t="s">
        <v>3921</v>
      </c>
    </row>
    <row r="1060" customFormat="false" ht="15" hidden="false" customHeight="false" outlineLevel="0" collapsed="false">
      <c r="A1060" s="0" t="s">
        <v>8</v>
      </c>
      <c r="B1060" s="0" t="s">
        <v>1390</v>
      </c>
      <c r="C1060" s="0" t="s">
        <v>3922</v>
      </c>
    </row>
    <row r="1061" customFormat="false" ht="15" hidden="false" customHeight="false" outlineLevel="0" collapsed="false">
      <c r="A1061" s="0" t="s">
        <v>8</v>
      </c>
      <c r="B1061" s="0" t="s">
        <v>1399</v>
      </c>
      <c r="C1061" s="0" t="s">
        <v>3920</v>
      </c>
    </row>
    <row r="1062" customFormat="false" ht="15" hidden="false" customHeight="false" outlineLevel="0" collapsed="false">
      <c r="A1062" s="0" t="s">
        <v>8</v>
      </c>
      <c r="B1062" s="0" t="s">
        <v>1399</v>
      </c>
      <c r="C1062" s="0" t="s">
        <v>3921</v>
      </c>
      <c r="D1062" s="0" t="n">
        <v>20</v>
      </c>
    </row>
    <row r="1063" customFormat="false" ht="15" hidden="false" customHeight="false" outlineLevel="0" collapsed="false">
      <c r="A1063" s="0" t="s">
        <v>8</v>
      </c>
      <c r="B1063" s="0" t="s">
        <v>1399</v>
      </c>
      <c r="C1063" s="0" t="s">
        <v>3922</v>
      </c>
      <c r="D1063" s="0" t="n">
        <v>100</v>
      </c>
    </row>
    <row r="1064" customFormat="false" ht="15" hidden="false" customHeight="false" outlineLevel="0" collapsed="false">
      <c r="A1064" s="0" t="s">
        <v>8</v>
      </c>
      <c r="B1064" s="0" t="s">
        <v>1408</v>
      </c>
      <c r="C1064" s="0" t="s">
        <v>3920</v>
      </c>
      <c r="D1064" s="0" t="n">
        <v>3</v>
      </c>
    </row>
    <row r="1065" customFormat="false" ht="15" hidden="false" customHeight="false" outlineLevel="0" collapsed="false">
      <c r="A1065" s="0" t="s">
        <v>8</v>
      </c>
      <c r="B1065" s="0" t="s">
        <v>1408</v>
      </c>
      <c r="C1065" s="0" t="s">
        <v>3921</v>
      </c>
      <c r="D1065" s="0" t="n">
        <v>3</v>
      </c>
    </row>
    <row r="1066" customFormat="false" ht="15" hidden="false" customHeight="false" outlineLevel="0" collapsed="false">
      <c r="A1066" s="0" t="s">
        <v>8</v>
      </c>
      <c r="B1066" s="0" t="s">
        <v>1408</v>
      </c>
      <c r="C1066" s="0" t="s">
        <v>3922</v>
      </c>
      <c r="D1066" s="0" t="n">
        <v>3</v>
      </c>
    </row>
    <row r="1067" customFormat="false" ht="15" hidden="false" customHeight="false" outlineLevel="0" collapsed="false">
      <c r="A1067" s="0" t="s">
        <v>8</v>
      </c>
      <c r="B1067" s="0" t="s">
        <v>1417</v>
      </c>
      <c r="C1067" s="0" t="s">
        <v>3920</v>
      </c>
      <c r="D1067" s="0" t="n">
        <v>49</v>
      </c>
    </row>
    <row r="1068" customFormat="false" ht="15" hidden="false" customHeight="false" outlineLevel="0" collapsed="false">
      <c r="A1068" s="0" t="s">
        <v>8</v>
      </c>
      <c r="B1068" s="0" t="s">
        <v>1417</v>
      </c>
      <c r="C1068" s="0" t="s">
        <v>3921</v>
      </c>
    </row>
    <row r="1069" customFormat="false" ht="15" hidden="false" customHeight="false" outlineLevel="0" collapsed="false">
      <c r="A1069" s="0" t="s">
        <v>8</v>
      </c>
      <c r="B1069" s="0" t="s">
        <v>1417</v>
      </c>
      <c r="C1069" s="0" t="s">
        <v>3922</v>
      </c>
    </row>
    <row r="1070" customFormat="false" ht="15" hidden="false" customHeight="false" outlineLevel="0" collapsed="false">
      <c r="A1070" s="0" t="s">
        <v>8</v>
      </c>
      <c r="B1070" s="0" t="s">
        <v>1425</v>
      </c>
      <c r="C1070" s="0" t="s">
        <v>3920</v>
      </c>
      <c r="D1070" s="0" t="n">
        <v>44</v>
      </c>
    </row>
    <row r="1071" customFormat="false" ht="15" hidden="false" customHeight="false" outlineLevel="0" collapsed="false">
      <c r="A1071" s="0" t="s">
        <v>8</v>
      </c>
      <c r="B1071" s="0" t="s">
        <v>1425</v>
      </c>
      <c r="C1071" s="0" t="s">
        <v>3921</v>
      </c>
    </row>
    <row r="1072" customFormat="false" ht="15" hidden="false" customHeight="false" outlineLevel="0" collapsed="false">
      <c r="A1072" s="0" t="s">
        <v>8</v>
      </c>
      <c r="B1072" s="0" t="s">
        <v>1425</v>
      </c>
      <c r="C1072" s="0" t="s">
        <v>3922</v>
      </c>
    </row>
    <row r="1073" customFormat="false" ht="15" hidden="false" customHeight="false" outlineLevel="0" collapsed="false">
      <c r="A1073" s="0" t="s">
        <v>8</v>
      </c>
      <c r="B1073" s="0" t="s">
        <v>1430</v>
      </c>
      <c r="C1073" s="0" t="s">
        <v>3920</v>
      </c>
      <c r="D1073" s="0" t="n">
        <v>34</v>
      </c>
    </row>
    <row r="1074" customFormat="false" ht="15" hidden="false" customHeight="false" outlineLevel="0" collapsed="false">
      <c r="A1074" s="0" t="s">
        <v>8</v>
      </c>
      <c r="B1074" s="0" t="s">
        <v>1430</v>
      </c>
      <c r="C1074" s="0" t="s">
        <v>3921</v>
      </c>
    </row>
    <row r="1075" customFormat="false" ht="15" hidden="false" customHeight="false" outlineLevel="0" collapsed="false">
      <c r="A1075" s="0" t="s">
        <v>8</v>
      </c>
      <c r="B1075" s="0" t="s">
        <v>1430</v>
      </c>
      <c r="C1075" s="0" t="s">
        <v>3922</v>
      </c>
    </row>
    <row r="1076" customFormat="false" ht="15" hidden="false" customHeight="false" outlineLevel="0" collapsed="false">
      <c r="A1076" s="0" t="s">
        <v>8</v>
      </c>
      <c r="B1076" s="0" t="s">
        <v>1434</v>
      </c>
      <c r="C1076" s="0" t="s">
        <v>3920</v>
      </c>
      <c r="D1076" s="0" t="n">
        <v>149</v>
      </c>
    </row>
    <row r="1077" customFormat="false" ht="15" hidden="false" customHeight="false" outlineLevel="0" collapsed="false">
      <c r="A1077" s="0" t="s">
        <v>8</v>
      </c>
      <c r="B1077" s="0" t="s">
        <v>1434</v>
      </c>
      <c r="C1077" s="0" t="s">
        <v>3921</v>
      </c>
    </row>
    <row r="1078" customFormat="false" ht="15" hidden="false" customHeight="false" outlineLevel="0" collapsed="false">
      <c r="A1078" s="0" t="s">
        <v>8</v>
      </c>
      <c r="B1078" s="0" t="s">
        <v>1434</v>
      </c>
      <c r="C1078" s="0" t="s">
        <v>3922</v>
      </c>
    </row>
    <row r="1079" customFormat="false" ht="15" hidden="false" customHeight="false" outlineLevel="0" collapsed="false">
      <c r="A1079" s="0" t="s">
        <v>8</v>
      </c>
      <c r="B1079" s="0" t="s">
        <v>1438</v>
      </c>
      <c r="C1079" s="0" t="s">
        <v>3920</v>
      </c>
      <c r="D1079" s="0" t="n">
        <v>134</v>
      </c>
    </row>
    <row r="1080" customFormat="false" ht="15" hidden="false" customHeight="false" outlineLevel="0" collapsed="false">
      <c r="A1080" s="0" t="s">
        <v>8</v>
      </c>
      <c r="B1080" s="0" t="s">
        <v>1438</v>
      </c>
      <c r="C1080" s="0" t="s">
        <v>3921</v>
      </c>
    </row>
    <row r="1081" customFormat="false" ht="15" hidden="false" customHeight="false" outlineLevel="0" collapsed="false">
      <c r="A1081" s="0" t="s">
        <v>8</v>
      </c>
      <c r="B1081" s="0" t="s">
        <v>1438</v>
      </c>
      <c r="C1081" s="0" t="s">
        <v>3922</v>
      </c>
    </row>
    <row r="1082" customFormat="false" ht="15" hidden="false" customHeight="false" outlineLevel="0" collapsed="false">
      <c r="A1082" s="0" t="s">
        <v>8</v>
      </c>
      <c r="B1082" s="0" t="s">
        <v>1441</v>
      </c>
      <c r="C1082" s="0" t="s">
        <v>3920</v>
      </c>
      <c r="D1082" s="0" t="n">
        <v>104</v>
      </c>
    </row>
    <row r="1083" customFormat="false" ht="15" hidden="false" customHeight="false" outlineLevel="0" collapsed="false">
      <c r="A1083" s="0" t="s">
        <v>8</v>
      </c>
      <c r="B1083" s="0" t="s">
        <v>1441</v>
      </c>
      <c r="C1083" s="0" t="s">
        <v>3921</v>
      </c>
    </row>
    <row r="1084" customFormat="false" ht="15" hidden="false" customHeight="false" outlineLevel="0" collapsed="false">
      <c r="A1084" s="0" t="s">
        <v>8</v>
      </c>
      <c r="B1084" s="0" t="s">
        <v>1441</v>
      </c>
      <c r="C1084" s="0" t="s">
        <v>3922</v>
      </c>
    </row>
    <row r="1085" customFormat="false" ht="15" hidden="false" customHeight="false" outlineLevel="0" collapsed="false">
      <c r="A1085" s="0" t="s">
        <v>8</v>
      </c>
      <c r="B1085" s="0" t="s">
        <v>1444</v>
      </c>
      <c r="C1085" s="0" t="s">
        <v>3920</v>
      </c>
      <c r="D1085" s="0" t="n">
        <v>469</v>
      </c>
    </row>
    <row r="1086" customFormat="false" ht="15" hidden="false" customHeight="false" outlineLevel="0" collapsed="false">
      <c r="A1086" s="0" t="s">
        <v>8</v>
      </c>
      <c r="B1086" s="0" t="s">
        <v>1444</v>
      </c>
      <c r="C1086" s="0" t="s">
        <v>3921</v>
      </c>
    </row>
    <row r="1087" customFormat="false" ht="15" hidden="false" customHeight="false" outlineLevel="0" collapsed="false">
      <c r="A1087" s="0" t="s">
        <v>8</v>
      </c>
      <c r="B1087" s="0" t="s">
        <v>1444</v>
      </c>
      <c r="C1087" s="0" t="s">
        <v>3922</v>
      </c>
    </row>
    <row r="1088" customFormat="false" ht="15" hidden="false" customHeight="false" outlineLevel="0" collapsed="false">
      <c r="A1088" s="0" t="s">
        <v>8</v>
      </c>
      <c r="B1088" s="0" t="s">
        <v>1448</v>
      </c>
      <c r="C1088" s="0" t="s">
        <v>3920</v>
      </c>
      <c r="D1088" s="0" t="n">
        <v>422</v>
      </c>
    </row>
    <row r="1089" customFormat="false" ht="15" hidden="false" customHeight="false" outlineLevel="0" collapsed="false">
      <c r="A1089" s="0" t="s">
        <v>8</v>
      </c>
      <c r="B1089" s="0" t="s">
        <v>1448</v>
      </c>
      <c r="C1089" s="0" t="s">
        <v>3921</v>
      </c>
    </row>
    <row r="1090" customFormat="false" ht="15" hidden="false" customHeight="false" outlineLevel="0" collapsed="false">
      <c r="A1090" s="0" t="s">
        <v>8</v>
      </c>
      <c r="B1090" s="0" t="s">
        <v>1448</v>
      </c>
      <c r="C1090" s="0" t="s">
        <v>3922</v>
      </c>
    </row>
    <row r="1091" customFormat="false" ht="15" hidden="false" customHeight="false" outlineLevel="0" collapsed="false">
      <c r="A1091" s="0" t="s">
        <v>8</v>
      </c>
      <c r="B1091" s="0" t="s">
        <v>1451</v>
      </c>
      <c r="C1091" s="0" t="s">
        <v>3920</v>
      </c>
      <c r="D1091" s="0" t="n">
        <v>328</v>
      </c>
    </row>
    <row r="1092" customFormat="false" ht="15" hidden="false" customHeight="false" outlineLevel="0" collapsed="false">
      <c r="A1092" s="0" t="s">
        <v>8</v>
      </c>
      <c r="B1092" s="0" t="s">
        <v>1451</v>
      </c>
      <c r="C1092" s="0" t="s">
        <v>3921</v>
      </c>
    </row>
    <row r="1093" customFormat="false" ht="15" hidden="false" customHeight="false" outlineLevel="0" collapsed="false">
      <c r="A1093" s="0" t="s">
        <v>8</v>
      </c>
      <c r="B1093" s="0" t="s">
        <v>1451</v>
      </c>
      <c r="C1093" s="0" t="s">
        <v>3922</v>
      </c>
    </row>
    <row r="1094" customFormat="false" ht="15" hidden="false" customHeight="false" outlineLevel="0" collapsed="false">
      <c r="A1094" s="0" t="s">
        <v>8</v>
      </c>
      <c r="B1094" s="0" t="s">
        <v>1454</v>
      </c>
      <c r="C1094" s="0" t="s">
        <v>3920</v>
      </c>
      <c r="D1094" s="0" t="n">
        <v>402</v>
      </c>
    </row>
    <row r="1095" customFormat="false" ht="15" hidden="false" customHeight="false" outlineLevel="0" collapsed="false">
      <c r="A1095" s="0" t="s">
        <v>8</v>
      </c>
      <c r="B1095" s="0" t="s">
        <v>1454</v>
      </c>
      <c r="C1095" s="0" t="s">
        <v>3921</v>
      </c>
    </row>
    <row r="1096" customFormat="false" ht="15" hidden="false" customHeight="false" outlineLevel="0" collapsed="false">
      <c r="A1096" s="0" t="s">
        <v>8</v>
      </c>
      <c r="B1096" s="0" t="s">
        <v>1454</v>
      </c>
      <c r="C1096" s="0" t="s">
        <v>3922</v>
      </c>
    </row>
    <row r="1097" customFormat="false" ht="15" hidden="false" customHeight="false" outlineLevel="0" collapsed="false">
      <c r="A1097" s="0" t="s">
        <v>8</v>
      </c>
      <c r="B1097" s="0" t="s">
        <v>1461</v>
      </c>
      <c r="C1097" s="0" t="s">
        <v>3920</v>
      </c>
      <c r="D1097" s="0" t="n">
        <v>1251</v>
      </c>
    </row>
    <row r="1098" customFormat="false" ht="15" hidden="false" customHeight="false" outlineLevel="0" collapsed="false">
      <c r="A1098" s="0" t="s">
        <v>8</v>
      </c>
      <c r="B1098" s="0" t="s">
        <v>1461</v>
      </c>
      <c r="C1098" s="0" t="s">
        <v>3921</v>
      </c>
    </row>
    <row r="1099" customFormat="false" ht="15" hidden="false" customHeight="false" outlineLevel="0" collapsed="false">
      <c r="A1099" s="0" t="s">
        <v>8</v>
      </c>
      <c r="B1099" s="0" t="s">
        <v>1461</v>
      </c>
      <c r="C1099" s="0" t="s">
        <v>3922</v>
      </c>
    </row>
    <row r="1100" customFormat="false" ht="15" hidden="false" customHeight="false" outlineLevel="0" collapsed="false">
      <c r="A1100" s="0" t="s">
        <v>8</v>
      </c>
      <c r="B1100" s="0" t="s">
        <v>1466</v>
      </c>
      <c r="C1100" s="0" t="s">
        <v>3920</v>
      </c>
      <c r="D1100" s="0" t="n">
        <v>18</v>
      </c>
    </row>
    <row r="1101" customFormat="false" ht="15" hidden="false" customHeight="false" outlineLevel="0" collapsed="false">
      <c r="A1101" s="0" t="s">
        <v>8</v>
      </c>
      <c r="B1101" s="0" t="s">
        <v>1466</v>
      </c>
      <c r="C1101" s="0" t="s">
        <v>3921</v>
      </c>
    </row>
    <row r="1102" customFormat="false" ht="15" hidden="false" customHeight="false" outlineLevel="0" collapsed="false">
      <c r="A1102" s="0" t="s">
        <v>8</v>
      </c>
      <c r="B1102" s="0" t="s">
        <v>1466</v>
      </c>
      <c r="C1102" s="0" t="s">
        <v>3922</v>
      </c>
    </row>
    <row r="1103" customFormat="false" ht="15" hidden="false" customHeight="false" outlineLevel="0" collapsed="false">
      <c r="A1103" s="0" t="s">
        <v>8</v>
      </c>
      <c r="B1103" s="0" t="s">
        <v>1474</v>
      </c>
      <c r="C1103" s="0" t="s">
        <v>3920</v>
      </c>
      <c r="D1103" s="0" t="n">
        <v>12.6</v>
      </c>
    </row>
    <row r="1104" customFormat="false" ht="15" hidden="false" customHeight="false" outlineLevel="0" collapsed="false">
      <c r="A1104" s="0" t="s">
        <v>8</v>
      </c>
      <c r="B1104" s="0" t="s">
        <v>1474</v>
      </c>
      <c r="C1104" s="0" t="s">
        <v>3921</v>
      </c>
    </row>
    <row r="1105" customFormat="false" ht="15" hidden="false" customHeight="false" outlineLevel="0" collapsed="false">
      <c r="A1105" s="0" t="s">
        <v>8</v>
      </c>
      <c r="B1105" s="0" t="s">
        <v>1474</v>
      </c>
      <c r="C1105" s="0" t="s">
        <v>3922</v>
      </c>
    </row>
    <row r="1106" customFormat="false" ht="15" hidden="false" customHeight="false" outlineLevel="0" collapsed="false">
      <c r="A1106" s="0" t="s">
        <v>8</v>
      </c>
      <c r="B1106" s="0" t="s">
        <v>1480</v>
      </c>
      <c r="C1106" s="0" t="s">
        <v>3920</v>
      </c>
      <c r="D1106" s="0" t="n">
        <v>72</v>
      </c>
    </row>
    <row r="1107" customFormat="false" ht="15" hidden="false" customHeight="false" outlineLevel="0" collapsed="false">
      <c r="A1107" s="0" t="s">
        <v>8</v>
      </c>
      <c r="B1107" s="0" t="s">
        <v>1480</v>
      </c>
      <c r="C1107" s="0" t="s">
        <v>3921</v>
      </c>
    </row>
    <row r="1108" customFormat="false" ht="15" hidden="false" customHeight="false" outlineLevel="0" collapsed="false">
      <c r="A1108" s="0" t="s">
        <v>8</v>
      </c>
      <c r="B1108" s="0" t="s">
        <v>1480</v>
      </c>
      <c r="C1108" s="0" t="s">
        <v>3922</v>
      </c>
    </row>
    <row r="1109" customFormat="false" ht="15" hidden="false" customHeight="false" outlineLevel="0" collapsed="false">
      <c r="A1109" s="0" t="s">
        <v>8</v>
      </c>
      <c r="B1109" s="0" t="s">
        <v>1484</v>
      </c>
      <c r="C1109" s="0" t="s">
        <v>3920</v>
      </c>
      <c r="D1109" s="0" t="n">
        <v>50.4</v>
      </c>
    </row>
    <row r="1110" customFormat="false" ht="15" hidden="false" customHeight="false" outlineLevel="0" collapsed="false">
      <c r="A1110" s="0" t="s">
        <v>8</v>
      </c>
      <c r="B1110" s="0" t="s">
        <v>1484</v>
      </c>
      <c r="C1110" s="0" t="s">
        <v>3921</v>
      </c>
    </row>
    <row r="1111" customFormat="false" ht="15" hidden="false" customHeight="false" outlineLevel="0" collapsed="false">
      <c r="A1111" s="0" t="s">
        <v>8</v>
      </c>
      <c r="B1111" s="0" t="s">
        <v>1484</v>
      </c>
      <c r="C1111" s="0" t="s">
        <v>3922</v>
      </c>
    </row>
    <row r="1112" customFormat="false" ht="15" hidden="false" customHeight="false" outlineLevel="0" collapsed="false">
      <c r="A1112" s="0" t="s">
        <v>8</v>
      </c>
      <c r="B1112" s="0" t="s">
        <v>1487</v>
      </c>
      <c r="C1112" s="0" t="s">
        <v>3920</v>
      </c>
      <c r="D1112" s="0" t="n">
        <v>160</v>
      </c>
    </row>
    <row r="1113" customFormat="false" ht="15" hidden="false" customHeight="false" outlineLevel="0" collapsed="false">
      <c r="A1113" s="0" t="s">
        <v>8</v>
      </c>
      <c r="B1113" s="0" t="s">
        <v>1487</v>
      </c>
      <c r="C1113" s="0" t="s">
        <v>3921</v>
      </c>
    </row>
    <row r="1114" customFormat="false" ht="15" hidden="false" customHeight="false" outlineLevel="0" collapsed="false">
      <c r="A1114" s="0" t="s">
        <v>8</v>
      </c>
      <c r="B1114" s="0" t="s">
        <v>1487</v>
      </c>
      <c r="C1114" s="0" t="s">
        <v>3922</v>
      </c>
    </row>
    <row r="1115" customFormat="false" ht="15" hidden="false" customHeight="false" outlineLevel="0" collapsed="false">
      <c r="A1115" s="0" t="s">
        <v>8</v>
      </c>
      <c r="B1115" s="0" t="s">
        <v>1491</v>
      </c>
      <c r="C1115" s="0" t="s">
        <v>3920</v>
      </c>
      <c r="D1115" s="0" t="n">
        <v>112</v>
      </c>
    </row>
    <row r="1116" customFormat="false" ht="15" hidden="false" customHeight="false" outlineLevel="0" collapsed="false">
      <c r="A1116" s="0" t="s">
        <v>8</v>
      </c>
      <c r="B1116" s="0" t="s">
        <v>1491</v>
      </c>
      <c r="C1116" s="0" t="s">
        <v>3921</v>
      </c>
    </row>
    <row r="1117" customFormat="false" ht="15" hidden="false" customHeight="false" outlineLevel="0" collapsed="false">
      <c r="A1117" s="0" t="s">
        <v>8</v>
      </c>
      <c r="B1117" s="0" t="s">
        <v>1491</v>
      </c>
      <c r="C1117" s="0" t="s">
        <v>3922</v>
      </c>
    </row>
    <row r="1118" customFormat="false" ht="15" hidden="false" customHeight="false" outlineLevel="0" collapsed="false">
      <c r="A1118" s="0" t="s">
        <v>8</v>
      </c>
      <c r="B1118" s="0" t="s">
        <v>1494</v>
      </c>
      <c r="C1118" s="0" t="s">
        <v>3920</v>
      </c>
      <c r="D1118" s="0" t="n">
        <v>30</v>
      </c>
    </row>
    <row r="1119" customFormat="false" ht="15" hidden="false" customHeight="false" outlineLevel="0" collapsed="false">
      <c r="A1119" s="0" t="s">
        <v>8</v>
      </c>
      <c r="B1119" s="0" t="s">
        <v>1494</v>
      </c>
      <c r="C1119" s="0" t="s">
        <v>3921</v>
      </c>
    </row>
    <row r="1120" customFormat="false" ht="15" hidden="false" customHeight="false" outlineLevel="0" collapsed="false">
      <c r="A1120" s="0" t="s">
        <v>8</v>
      </c>
      <c r="B1120" s="0" t="s">
        <v>1494</v>
      </c>
      <c r="C1120" s="0" t="s">
        <v>3922</v>
      </c>
    </row>
    <row r="1121" customFormat="false" ht="15" hidden="false" customHeight="false" outlineLevel="0" collapsed="false">
      <c r="A1121" s="0" t="s">
        <v>8</v>
      </c>
      <c r="B1121" s="0" t="s">
        <v>1501</v>
      </c>
      <c r="C1121" s="0" t="s">
        <v>3920</v>
      </c>
      <c r="D1121" s="0" t="n">
        <v>90</v>
      </c>
    </row>
    <row r="1122" customFormat="false" ht="15" hidden="false" customHeight="false" outlineLevel="0" collapsed="false">
      <c r="A1122" s="0" t="s">
        <v>8</v>
      </c>
      <c r="B1122" s="0" t="s">
        <v>1501</v>
      </c>
      <c r="C1122" s="0" t="s">
        <v>3921</v>
      </c>
    </row>
    <row r="1123" customFormat="false" ht="15" hidden="false" customHeight="false" outlineLevel="0" collapsed="false">
      <c r="A1123" s="0" t="s">
        <v>8</v>
      </c>
      <c r="B1123" s="0" t="s">
        <v>1501</v>
      </c>
      <c r="C1123" s="0" t="s">
        <v>3922</v>
      </c>
    </row>
    <row r="1124" customFormat="false" ht="15" hidden="false" customHeight="false" outlineLevel="0" collapsed="false">
      <c r="A1124" s="0" t="s">
        <v>8</v>
      </c>
      <c r="B1124" s="0" t="s">
        <v>1505</v>
      </c>
      <c r="C1124" s="0" t="s">
        <v>3920</v>
      </c>
      <c r="D1124" s="0" t="n">
        <v>240</v>
      </c>
    </row>
    <row r="1125" customFormat="false" ht="15" hidden="false" customHeight="false" outlineLevel="0" collapsed="false">
      <c r="A1125" s="0" t="s">
        <v>8</v>
      </c>
      <c r="B1125" s="0" t="s">
        <v>1505</v>
      </c>
      <c r="C1125" s="0" t="s">
        <v>3921</v>
      </c>
    </row>
    <row r="1126" customFormat="false" ht="15" hidden="false" customHeight="false" outlineLevel="0" collapsed="false">
      <c r="A1126" s="0" t="s">
        <v>8</v>
      </c>
      <c r="B1126" s="0" t="s">
        <v>1505</v>
      </c>
      <c r="C1126" s="0" t="s">
        <v>3922</v>
      </c>
    </row>
    <row r="1127" customFormat="false" ht="15" hidden="false" customHeight="false" outlineLevel="0" collapsed="false">
      <c r="A1127" s="0" t="s">
        <v>8</v>
      </c>
      <c r="B1127" s="0" t="s">
        <v>1509</v>
      </c>
      <c r="C1127" s="0" t="s">
        <v>3920</v>
      </c>
      <c r="D1127" s="0" t="n">
        <v>80</v>
      </c>
    </row>
    <row r="1128" customFormat="false" ht="15" hidden="false" customHeight="false" outlineLevel="0" collapsed="false">
      <c r="A1128" s="0" t="s">
        <v>8</v>
      </c>
      <c r="B1128" s="0" t="s">
        <v>1509</v>
      </c>
      <c r="C1128" s="0" t="s">
        <v>3921</v>
      </c>
    </row>
    <row r="1129" customFormat="false" ht="15" hidden="false" customHeight="false" outlineLevel="0" collapsed="false">
      <c r="A1129" s="0" t="s">
        <v>8</v>
      </c>
      <c r="B1129" s="0" t="s">
        <v>1509</v>
      </c>
      <c r="C1129" s="0" t="s">
        <v>3922</v>
      </c>
    </row>
    <row r="1130" customFormat="false" ht="15" hidden="false" customHeight="false" outlineLevel="0" collapsed="false">
      <c r="A1130" s="0" t="s">
        <v>8</v>
      </c>
      <c r="B1130" s="0" t="s">
        <v>1515</v>
      </c>
      <c r="C1130" s="0" t="s">
        <v>3920</v>
      </c>
      <c r="D1130" s="0" t="n">
        <v>400</v>
      </c>
    </row>
    <row r="1131" customFormat="false" ht="15" hidden="false" customHeight="false" outlineLevel="0" collapsed="false">
      <c r="A1131" s="0" t="s">
        <v>8</v>
      </c>
      <c r="B1131" s="0" t="s">
        <v>1515</v>
      </c>
      <c r="C1131" s="0" t="s">
        <v>3921</v>
      </c>
    </row>
    <row r="1132" customFormat="false" ht="15" hidden="false" customHeight="false" outlineLevel="0" collapsed="false">
      <c r="A1132" s="0" t="s">
        <v>8</v>
      </c>
      <c r="B1132" s="0" t="s">
        <v>1515</v>
      </c>
      <c r="C1132" s="0" t="s">
        <v>3922</v>
      </c>
    </row>
    <row r="1133" customFormat="false" ht="15" hidden="false" customHeight="false" outlineLevel="0" collapsed="false">
      <c r="A1133" s="0" t="s">
        <v>8</v>
      </c>
      <c r="B1133" s="0" t="s">
        <v>1519</v>
      </c>
      <c r="C1133" s="0" t="s">
        <v>3920</v>
      </c>
      <c r="D1133" s="0" t="n">
        <v>1600</v>
      </c>
    </row>
    <row r="1134" customFormat="false" ht="15" hidden="false" customHeight="false" outlineLevel="0" collapsed="false">
      <c r="A1134" s="0" t="s">
        <v>8</v>
      </c>
      <c r="B1134" s="0" t="s">
        <v>1519</v>
      </c>
      <c r="C1134" s="0" t="s">
        <v>3921</v>
      </c>
    </row>
    <row r="1135" customFormat="false" ht="15" hidden="false" customHeight="false" outlineLevel="0" collapsed="false">
      <c r="A1135" s="0" t="s">
        <v>8</v>
      </c>
      <c r="B1135" s="0" t="s">
        <v>1519</v>
      </c>
      <c r="C1135" s="0" t="s">
        <v>3922</v>
      </c>
    </row>
    <row r="1136" customFormat="false" ht="15" hidden="false" customHeight="false" outlineLevel="0" collapsed="false">
      <c r="A1136" s="0" t="s">
        <v>8</v>
      </c>
      <c r="B1136" s="0" t="s">
        <v>1523</v>
      </c>
      <c r="C1136" s="0" t="s">
        <v>3920</v>
      </c>
    </row>
    <row r="1137" customFormat="false" ht="15" hidden="false" customHeight="false" outlineLevel="0" collapsed="false">
      <c r="A1137" s="0" t="s">
        <v>8</v>
      </c>
      <c r="B1137" s="0" t="s">
        <v>1523</v>
      </c>
      <c r="C1137" s="0" t="s">
        <v>3921</v>
      </c>
      <c r="D1137" s="0" t="n">
        <v>15</v>
      </c>
    </row>
    <row r="1138" customFormat="false" ht="15" hidden="false" customHeight="false" outlineLevel="0" collapsed="false">
      <c r="A1138" s="0" t="s">
        <v>8</v>
      </c>
      <c r="B1138" s="0" t="s">
        <v>1523</v>
      </c>
      <c r="C1138" s="0" t="s">
        <v>3922</v>
      </c>
      <c r="D1138" s="0" t="n">
        <v>20</v>
      </c>
    </row>
    <row r="1139" customFormat="false" ht="15" hidden="false" customHeight="false" outlineLevel="0" collapsed="false">
      <c r="A1139" s="0" t="s">
        <v>8</v>
      </c>
      <c r="B1139" s="0" t="s">
        <v>1528</v>
      </c>
      <c r="C1139" s="0" t="s">
        <v>3920</v>
      </c>
      <c r="D1139" s="0" t="n">
        <v>79</v>
      </c>
    </row>
    <row r="1140" customFormat="false" ht="15" hidden="false" customHeight="false" outlineLevel="0" collapsed="false">
      <c r="A1140" s="0" t="s">
        <v>8</v>
      </c>
      <c r="B1140" s="0" t="s">
        <v>1528</v>
      </c>
      <c r="C1140" s="0" t="s">
        <v>3921</v>
      </c>
    </row>
    <row r="1141" customFormat="false" ht="15" hidden="false" customHeight="false" outlineLevel="0" collapsed="false">
      <c r="A1141" s="0" t="s">
        <v>8</v>
      </c>
      <c r="B1141" s="0" t="s">
        <v>1528</v>
      </c>
      <c r="C1141" s="0" t="s">
        <v>3922</v>
      </c>
    </row>
    <row r="1142" customFormat="false" ht="15" hidden="false" customHeight="false" outlineLevel="0" collapsed="false">
      <c r="A1142" s="0" t="s">
        <v>8</v>
      </c>
      <c r="B1142" s="0" t="s">
        <v>1535</v>
      </c>
      <c r="C1142" s="0" t="s">
        <v>3920</v>
      </c>
      <c r="D1142" s="0" t="n">
        <v>219</v>
      </c>
    </row>
    <row r="1143" customFormat="false" ht="15" hidden="false" customHeight="false" outlineLevel="0" collapsed="false">
      <c r="A1143" s="0" t="s">
        <v>8</v>
      </c>
      <c r="B1143" s="0" t="s">
        <v>1535</v>
      </c>
      <c r="C1143" s="0" t="s">
        <v>3921</v>
      </c>
    </row>
    <row r="1144" customFormat="false" ht="15" hidden="false" customHeight="false" outlineLevel="0" collapsed="false">
      <c r="A1144" s="0" t="s">
        <v>8</v>
      </c>
      <c r="B1144" s="0" t="s">
        <v>1535</v>
      </c>
      <c r="C1144" s="0" t="s">
        <v>3922</v>
      </c>
    </row>
    <row r="1145" customFormat="false" ht="15" hidden="false" customHeight="false" outlineLevel="0" collapsed="false">
      <c r="A1145" s="0" t="s">
        <v>8</v>
      </c>
      <c r="B1145" s="0" t="s">
        <v>1539</v>
      </c>
      <c r="C1145" s="0" t="s">
        <v>3920</v>
      </c>
      <c r="D1145" s="0" t="n">
        <v>859</v>
      </c>
    </row>
    <row r="1146" customFormat="false" ht="15" hidden="false" customHeight="false" outlineLevel="0" collapsed="false">
      <c r="A1146" s="0" t="s">
        <v>8</v>
      </c>
      <c r="B1146" s="0" t="s">
        <v>1539</v>
      </c>
      <c r="C1146" s="0" t="s">
        <v>3921</v>
      </c>
    </row>
    <row r="1147" customFormat="false" ht="15" hidden="false" customHeight="false" outlineLevel="0" collapsed="false">
      <c r="A1147" s="0" t="s">
        <v>8</v>
      </c>
      <c r="B1147" s="0" t="s">
        <v>1539</v>
      </c>
      <c r="C1147" s="0" t="s">
        <v>3922</v>
      </c>
    </row>
    <row r="1148" customFormat="false" ht="15" hidden="false" customHeight="false" outlineLevel="0" collapsed="false">
      <c r="A1148" s="0" t="s">
        <v>8</v>
      </c>
      <c r="B1148" s="0" t="s">
        <v>1543</v>
      </c>
      <c r="C1148" s="0" t="s">
        <v>3920</v>
      </c>
      <c r="D1148" s="0" t="n">
        <v>119</v>
      </c>
    </row>
    <row r="1149" customFormat="false" ht="15" hidden="false" customHeight="false" outlineLevel="0" collapsed="false">
      <c r="A1149" s="0" t="s">
        <v>8</v>
      </c>
      <c r="B1149" s="0" t="s">
        <v>1543</v>
      </c>
      <c r="C1149" s="0" t="s">
        <v>3921</v>
      </c>
    </row>
    <row r="1150" customFormat="false" ht="15" hidden="false" customHeight="false" outlineLevel="0" collapsed="false">
      <c r="A1150" s="0" t="s">
        <v>8</v>
      </c>
      <c r="B1150" s="0" t="s">
        <v>1543</v>
      </c>
      <c r="C1150" s="0" t="s">
        <v>3922</v>
      </c>
    </row>
    <row r="1151" customFormat="false" ht="15" hidden="false" customHeight="false" outlineLevel="0" collapsed="false">
      <c r="A1151" s="0" t="s">
        <v>8</v>
      </c>
      <c r="B1151" s="0" t="s">
        <v>1547</v>
      </c>
      <c r="C1151" s="0" t="s">
        <v>3920</v>
      </c>
      <c r="D1151" s="0" t="n">
        <v>229</v>
      </c>
    </row>
    <row r="1152" customFormat="false" ht="15" hidden="false" customHeight="false" outlineLevel="0" collapsed="false">
      <c r="A1152" s="0" t="s">
        <v>8</v>
      </c>
      <c r="B1152" s="0" t="s">
        <v>1547</v>
      </c>
      <c r="C1152" s="0" t="s">
        <v>3921</v>
      </c>
    </row>
    <row r="1153" customFormat="false" ht="15" hidden="false" customHeight="false" outlineLevel="0" collapsed="false">
      <c r="A1153" s="0" t="s">
        <v>8</v>
      </c>
      <c r="B1153" s="0" t="s">
        <v>1547</v>
      </c>
      <c r="C1153" s="0" t="s">
        <v>3922</v>
      </c>
    </row>
    <row r="1154" customFormat="false" ht="15" hidden="false" customHeight="false" outlineLevel="0" collapsed="false">
      <c r="A1154" s="0" t="s">
        <v>8</v>
      </c>
      <c r="B1154" s="0" t="s">
        <v>1551</v>
      </c>
      <c r="C1154" s="0" t="s">
        <v>3920</v>
      </c>
      <c r="D1154" s="0" t="n">
        <v>19</v>
      </c>
    </row>
    <row r="1155" customFormat="false" ht="15" hidden="false" customHeight="false" outlineLevel="0" collapsed="false">
      <c r="A1155" s="0" t="s">
        <v>8</v>
      </c>
      <c r="B1155" s="0" t="s">
        <v>1551</v>
      </c>
      <c r="C1155" s="0" t="s">
        <v>3921</v>
      </c>
    </row>
    <row r="1156" customFormat="false" ht="15" hidden="false" customHeight="false" outlineLevel="0" collapsed="false">
      <c r="A1156" s="0" t="s">
        <v>8</v>
      </c>
      <c r="B1156" s="0" t="s">
        <v>1551</v>
      </c>
      <c r="C1156" s="0" t="s">
        <v>3922</v>
      </c>
    </row>
    <row r="1157" customFormat="false" ht="15" hidden="false" customHeight="false" outlineLevel="0" collapsed="false">
      <c r="A1157" s="0" t="s">
        <v>8</v>
      </c>
      <c r="B1157" s="0" t="s">
        <v>1556</v>
      </c>
      <c r="C1157" s="0" t="s">
        <v>3920</v>
      </c>
    </row>
    <row r="1158" customFormat="false" ht="15" hidden="false" customHeight="false" outlineLevel="0" collapsed="false">
      <c r="A1158" s="0" t="s">
        <v>8</v>
      </c>
      <c r="B1158" s="0" t="s">
        <v>1556</v>
      </c>
      <c r="C1158" s="0" t="s">
        <v>3921</v>
      </c>
    </row>
    <row r="1159" customFormat="false" ht="15" hidden="false" customHeight="false" outlineLevel="0" collapsed="false">
      <c r="A1159" s="0" t="s">
        <v>8</v>
      </c>
      <c r="B1159" s="0" t="s">
        <v>1556</v>
      </c>
      <c r="C1159" s="0" t="s">
        <v>3922</v>
      </c>
    </row>
    <row r="1160" customFormat="false" ht="15" hidden="false" customHeight="false" outlineLevel="0" collapsed="false">
      <c r="A1160" s="0" t="s">
        <v>8</v>
      </c>
      <c r="B1160" s="0" t="s">
        <v>1563</v>
      </c>
      <c r="C1160" s="0" t="s">
        <v>3920</v>
      </c>
    </row>
    <row r="1161" customFormat="false" ht="15" hidden="false" customHeight="false" outlineLevel="0" collapsed="false">
      <c r="A1161" s="0" t="s">
        <v>8</v>
      </c>
      <c r="B1161" s="0" t="s">
        <v>1563</v>
      </c>
      <c r="C1161" s="0" t="s">
        <v>3921</v>
      </c>
    </row>
    <row r="1162" customFormat="false" ht="15" hidden="false" customHeight="false" outlineLevel="0" collapsed="false">
      <c r="A1162" s="0" t="s">
        <v>8</v>
      </c>
      <c r="B1162" s="0" t="s">
        <v>1563</v>
      </c>
      <c r="C1162" s="0" t="s">
        <v>3922</v>
      </c>
    </row>
    <row r="1163" customFormat="false" ht="15" hidden="false" customHeight="false" outlineLevel="0" collapsed="false">
      <c r="A1163" s="0" t="s">
        <v>8</v>
      </c>
      <c r="B1163" s="0" t="s">
        <v>1570</v>
      </c>
      <c r="C1163" s="0" t="s">
        <v>3920</v>
      </c>
    </row>
    <row r="1164" customFormat="false" ht="15" hidden="false" customHeight="false" outlineLevel="0" collapsed="false">
      <c r="A1164" s="0" t="s">
        <v>8</v>
      </c>
      <c r="B1164" s="0" t="s">
        <v>1570</v>
      </c>
      <c r="C1164" s="0" t="s">
        <v>3921</v>
      </c>
    </row>
    <row r="1165" customFormat="false" ht="15" hidden="false" customHeight="false" outlineLevel="0" collapsed="false">
      <c r="A1165" s="0" t="s">
        <v>8</v>
      </c>
      <c r="B1165" s="0" t="s">
        <v>1570</v>
      </c>
      <c r="C1165" s="0" t="s">
        <v>3922</v>
      </c>
    </row>
    <row r="1166" customFormat="false" ht="15" hidden="false" customHeight="false" outlineLevel="0" collapsed="false">
      <c r="A1166" s="0" t="s">
        <v>8</v>
      </c>
      <c r="B1166" s="0" t="s">
        <v>1574</v>
      </c>
      <c r="C1166" s="0" t="s">
        <v>3920</v>
      </c>
    </row>
    <row r="1167" customFormat="false" ht="15" hidden="false" customHeight="false" outlineLevel="0" collapsed="false">
      <c r="A1167" s="0" t="s">
        <v>8</v>
      </c>
      <c r="B1167" s="0" t="s">
        <v>1574</v>
      </c>
      <c r="C1167" s="0" t="s">
        <v>3921</v>
      </c>
    </row>
    <row r="1168" customFormat="false" ht="15" hidden="false" customHeight="false" outlineLevel="0" collapsed="false">
      <c r="A1168" s="0" t="s">
        <v>8</v>
      </c>
      <c r="B1168" s="0" t="s">
        <v>1574</v>
      </c>
      <c r="C1168" s="0" t="s">
        <v>3922</v>
      </c>
    </row>
    <row r="1169" customFormat="false" ht="15" hidden="false" customHeight="false" outlineLevel="0" collapsed="false">
      <c r="A1169" s="0" t="s">
        <v>8</v>
      </c>
      <c r="B1169" s="0" t="s">
        <v>1579</v>
      </c>
      <c r="C1169" s="0" t="s">
        <v>3920</v>
      </c>
    </row>
    <row r="1170" customFormat="false" ht="15" hidden="false" customHeight="false" outlineLevel="0" collapsed="false">
      <c r="A1170" s="0" t="s">
        <v>8</v>
      </c>
      <c r="B1170" s="0" t="s">
        <v>1579</v>
      </c>
      <c r="C1170" s="0" t="s">
        <v>3921</v>
      </c>
    </row>
    <row r="1171" customFormat="false" ht="15" hidden="false" customHeight="false" outlineLevel="0" collapsed="false">
      <c r="A1171" s="0" t="s">
        <v>8</v>
      </c>
      <c r="B1171" s="0" t="s">
        <v>1579</v>
      </c>
      <c r="C1171" s="0" t="s">
        <v>3922</v>
      </c>
    </row>
    <row r="1172" customFormat="false" ht="15" hidden="false" customHeight="false" outlineLevel="0" collapsed="false">
      <c r="A1172" s="0" t="s">
        <v>8</v>
      </c>
      <c r="B1172" s="0" t="s">
        <v>1585</v>
      </c>
      <c r="C1172" s="0" t="s">
        <v>3920</v>
      </c>
    </row>
    <row r="1173" customFormat="false" ht="15" hidden="false" customHeight="false" outlineLevel="0" collapsed="false">
      <c r="A1173" s="0" t="s">
        <v>8</v>
      </c>
      <c r="B1173" s="0" t="s">
        <v>1585</v>
      </c>
      <c r="C1173" s="0" t="s">
        <v>3921</v>
      </c>
    </row>
    <row r="1174" customFormat="false" ht="15" hidden="false" customHeight="false" outlineLevel="0" collapsed="false">
      <c r="A1174" s="0" t="s">
        <v>8</v>
      </c>
      <c r="B1174" s="0" t="s">
        <v>1585</v>
      </c>
      <c r="C1174" s="0" t="s">
        <v>3922</v>
      </c>
    </row>
    <row r="1175" customFormat="false" ht="15" hidden="false" customHeight="false" outlineLevel="0" collapsed="false">
      <c r="A1175" s="0" t="s">
        <v>8</v>
      </c>
      <c r="B1175" s="0" t="s">
        <v>1589</v>
      </c>
      <c r="C1175" s="0" t="s">
        <v>3920</v>
      </c>
    </row>
    <row r="1176" customFormat="false" ht="15" hidden="false" customHeight="false" outlineLevel="0" collapsed="false">
      <c r="A1176" s="0" t="s">
        <v>8</v>
      </c>
      <c r="B1176" s="0" t="s">
        <v>1589</v>
      </c>
      <c r="C1176" s="0" t="s">
        <v>3921</v>
      </c>
    </row>
    <row r="1177" customFormat="false" ht="15" hidden="false" customHeight="false" outlineLevel="0" collapsed="false">
      <c r="A1177" s="0" t="s">
        <v>8</v>
      </c>
      <c r="B1177" s="0" t="s">
        <v>1589</v>
      </c>
      <c r="C1177" s="0" t="s">
        <v>3922</v>
      </c>
    </row>
    <row r="1178" customFormat="false" ht="15" hidden="false" customHeight="false" outlineLevel="0" collapsed="false">
      <c r="A1178" s="0" t="s">
        <v>8</v>
      </c>
      <c r="B1178" s="0" t="s">
        <v>1594</v>
      </c>
      <c r="C1178" s="0" t="s">
        <v>3920</v>
      </c>
    </row>
    <row r="1179" customFormat="false" ht="15" hidden="false" customHeight="false" outlineLevel="0" collapsed="false">
      <c r="A1179" s="0" t="s">
        <v>8</v>
      </c>
      <c r="B1179" s="0" t="s">
        <v>1594</v>
      </c>
      <c r="C1179" s="0" t="s">
        <v>3921</v>
      </c>
    </row>
    <row r="1180" customFormat="false" ht="15" hidden="false" customHeight="false" outlineLevel="0" collapsed="false">
      <c r="A1180" s="0" t="s">
        <v>8</v>
      </c>
      <c r="B1180" s="0" t="s">
        <v>1594</v>
      </c>
      <c r="C1180" s="0" t="s">
        <v>3922</v>
      </c>
    </row>
    <row r="1181" customFormat="false" ht="15" hidden="false" customHeight="false" outlineLevel="0" collapsed="false">
      <c r="A1181" s="0" t="s">
        <v>8</v>
      </c>
      <c r="B1181" s="0" t="s">
        <v>1602</v>
      </c>
      <c r="C1181" s="0" t="s">
        <v>3920</v>
      </c>
    </row>
    <row r="1182" customFormat="false" ht="15" hidden="false" customHeight="false" outlineLevel="0" collapsed="false">
      <c r="A1182" s="0" t="s">
        <v>8</v>
      </c>
      <c r="B1182" s="0" t="s">
        <v>1602</v>
      </c>
      <c r="C1182" s="0" t="s">
        <v>3921</v>
      </c>
    </row>
    <row r="1183" customFormat="false" ht="15" hidden="false" customHeight="false" outlineLevel="0" collapsed="false">
      <c r="A1183" s="0" t="s">
        <v>8</v>
      </c>
      <c r="B1183" s="0" t="s">
        <v>1602</v>
      </c>
      <c r="C1183" s="0" t="s">
        <v>3922</v>
      </c>
    </row>
    <row r="1184" customFormat="false" ht="15" hidden="false" customHeight="false" outlineLevel="0" collapsed="false">
      <c r="A1184" s="0" t="s">
        <v>8</v>
      </c>
      <c r="B1184" s="0" t="s">
        <v>1608</v>
      </c>
      <c r="C1184" s="0" t="s">
        <v>3920</v>
      </c>
    </row>
    <row r="1185" customFormat="false" ht="15" hidden="false" customHeight="false" outlineLevel="0" collapsed="false">
      <c r="A1185" s="0" t="s">
        <v>8</v>
      </c>
      <c r="B1185" s="0" t="s">
        <v>1608</v>
      </c>
      <c r="C1185" s="0" t="s">
        <v>3921</v>
      </c>
    </row>
    <row r="1186" customFormat="false" ht="15" hidden="false" customHeight="false" outlineLevel="0" collapsed="false">
      <c r="A1186" s="0" t="s">
        <v>8</v>
      </c>
      <c r="B1186" s="0" t="s">
        <v>1608</v>
      </c>
      <c r="C1186" s="0" t="s">
        <v>3922</v>
      </c>
    </row>
    <row r="1187" customFormat="false" ht="15" hidden="false" customHeight="false" outlineLevel="0" collapsed="false">
      <c r="A1187" s="0" t="s">
        <v>8</v>
      </c>
      <c r="B1187" s="0" t="s">
        <v>1616</v>
      </c>
      <c r="C1187" s="0" t="s">
        <v>3920</v>
      </c>
    </row>
    <row r="1188" customFormat="false" ht="15" hidden="false" customHeight="false" outlineLevel="0" collapsed="false">
      <c r="A1188" s="0" t="s">
        <v>8</v>
      </c>
      <c r="B1188" s="0" t="s">
        <v>1616</v>
      </c>
      <c r="C1188" s="0" t="s">
        <v>3921</v>
      </c>
    </row>
    <row r="1189" customFormat="false" ht="15" hidden="false" customHeight="false" outlineLevel="0" collapsed="false">
      <c r="A1189" s="0" t="s">
        <v>8</v>
      </c>
      <c r="B1189" s="0" t="s">
        <v>1616</v>
      </c>
      <c r="C1189" s="0" t="s">
        <v>3922</v>
      </c>
    </row>
    <row r="1190" customFormat="false" ht="15" hidden="false" customHeight="false" outlineLevel="0" collapsed="false">
      <c r="A1190" s="0" t="s">
        <v>8</v>
      </c>
      <c r="B1190" s="0" t="s">
        <v>1623</v>
      </c>
      <c r="C1190" s="0" t="s">
        <v>3920</v>
      </c>
      <c r="D1190" s="0" t="n">
        <v>580</v>
      </c>
    </row>
    <row r="1191" customFormat="false" ht="15" hidden="false" customHeight="false" outlineLevel="0" collapsed="false">
      <c r="A1191" s="0" t="s">
        <v>8</v>
      </c>
      <c r="B1191" s="0" t="s">
        <v>1623</v>
      </c>
      <c r="C1191" s="0" t="s">
        <v>3921</v>
      </c>
    </row>
    <row r="1192" customFormat="false" ht="15" hidden="false" customHeight="false" outlineLevel="0" collapsed="false">
      <c r="A1192" s="0" t="s">
        <v>8</v>
      </c>
      <c r="B1192" s="0" t="s">
        <v>1623</v>
      </c>
      <c r="C1192" s="0" t="s">
        <v>3922</v>
      </c>
    </row>
    <row r="1193" customFormat="false" ht="15" hidden="false" customHeight="false" outlineLevel="0" collapsed="false">
      <c r="A1193" s="0" t="s">
        <v>8</v>
      </c>
      <c r="B1193" s="0" t="s">
        <v>1629</v>
      </c>
      <c r="C1193" s="0" t="s">
        <v>3920</v>
      </c>
      <c r="D1193" s="0" t="n">
        <v>740</v>
      </c>
    </row>
    <row r="1194" customFormat="false" ht="15" hidden="false" customHeight="false" outlineLevel="0" collapsed="false">
      <c r="A1194" s="0" t="s">
        <v>8</v>
      </c>
      <c r="B1194" s="0" t="s">
        <v>1629</v>
      </c>
      <c r="C1194" s="0" t="s">
        <v>3921</v>
      </c>
    </row>
    <row r="1195" customFormat="false" ht="15" hidden="false" customHeight="false" outlineLevel="0" collapsed="false">
      <c r="A1195" s="0" t="s">
        <v>8</v>
      </c>
      <c r="B1195" s="0" t="s">
        <v>1629</v>
      </c>
      <c r="C1195" s="0" t="s">
        <v>3922</v>
      </c>
    </row>
    <row r="1196" customFormat="false" ht="15" hidden="false" customHeight="false" outlineLevel="0" collapsed="false">
      <c r="A1196" s="0" t="s">
        <v>8</v>
      </c>
      <c r="B1196" s="0" t="s">
        <v>1634</v>
      </c>
      <c r="C1196" s="0" t="s">
        <v>3920</v>
      </c>
      <c r="D1196" s="0" t="n">
        <v>144</v>
      </c>
    </row>
    <row r="1197" customFormat="false" ht="15" hidden="false" customHeight="false" outlineLevel="0" collapsed="false">
      <c r="A1197" s="0" t="s">
        <v>8</v>
      </c>
      <c r="B1197" s="0" t="s">
        <v>1634</v>
      </c>
      <c r="C1197" s="0" t="s">
        <v>3921</v>
      </c>
    </row>
    <row r="1198" customFormat="false" ht="15" hidden="false" customHeight="false" outlineLevel="0" collapsed="false">
      <c r="A1198" s="0" t="s">
        <v>8</v>
      </c>
      <c r="B1198" s="0" t="s">
        <v>1634</v>
      </c>
      <c r="C1198" s="0" t="s">
        <v>3922</v>
      </c>
    </row>
    <row r="1199" customFormat="false" ht="15" hidden="false" customHeight="false" outlineLevel="0" collapsed="false">
      <c r="A1199" s="0" t="s">
        <v>8</v>
      </c>
      <c r="B1199" s="0" t="s">
        <v>1640</v>
      </c>
      <c r="C1199" s="0" t="s">
        <v>3920</v>
      </c>
      <c r="D1199" s="0" t="n">
        <v>400</v>
      </c>
    </row>
    <row r="1200" customFormat="false" ht="15" hidden="false" customHeight="false" outlineLevel="0" collapsed="false">
      <c r="A1200" s="0" t="s">
        <v>8</v>
      </c>
      <c r="B1200" s="0" t="s">
        <v>1640</v>
      </c>
      <c r="C1200" s="0" t="s">
        <v>3921</v>
      </c>
    </row>
    <row r="1201" customFormat="false" ht="15" hidden="false" customHeight="false" outlineLevel="0" collapsed="false">
      <c r="A1201" s="0" t="s">
        <v>8</v>
      </c>
      <c r="B1201" s="0" t="s">
        <v>1640</v>
      </c>
      <c r="C1201" s="0" t="s">
        <v>3922</v>
      </c>
    </row>
    <row r="1202" customFormat="false" ht="15" hidden="false" customHeight="false" outlineLevel="0" collapsed="false">
      <c r="A1202" s="0" t="s">
        <v>8</v>
      </c>
      <c r="B1202" s="0" t="s">
        <v>1645</v>
      </c>
      <c r="C1202" s="0" t="s">
        <v>3920</v>
      </c>
      <c r="D1202" s="0" t="n">
        <v>603</v>
      </c>
    </row>
    <row r="1203" customFormat="false" ht="15" hidden="false" customHeight="false" outlineLevel="0" collapsed="false">
      <c r="A1203" s="0" t="s">
        <v>8</v>
      </c>
      <c r="B1203" s="0" t="s">
        <v>1645</v>
      </c>
      <c r="C1203" s="0" t="s">
        <v>3921</v>
      </c>
    </row>
    <row r="1204" customFormat="false" ht="15" hidden="false" customHeight="false" outlineLevel="0" collapsed="false">
      <c r="A1204" s="0" t="s">
        <v>8</v>
      </c>
      <c r="B1204" s="0" t="s">
        <v>1645</v>
      </c>
      <c r="C1204" s="0" t="s">
        <v>3922</v>
      </c>
    </row>
    <row r="1205" customFormat="false" ht="15" hidden="false" customHeight="false" outlineLevel="0" collapsed="false">
      <c r="A1205" s="0" t="s">
        <v>8</v>
      </c>
      <c r="B1205" s="0" t="s">
        <v>1650</v>
      </c>
      <c r="C1205" s="0" t="s">
        <v>3920</v>
      </c>
      <c r="D1205" s="0" t="n">
        <v>24.2</v>
      </c>
    </row>
    <row r="1206" customFormat="false" ht="15" hidden="false" customHeight="false" outlineLevel="0" collapsed="false">
      <c r="A1206" s="0" t="s">
        <v>8</v>
      </c>
      <c r="B1206" s="0" t="s">
        <v>1650</v>
      </c>
      <c r="C1206" s="0" t="s">
        <v>3921</v>
      </c>
    </row>
    <row r="1207" customFormat="false" ht="15" hidden="false" customHeight="false" outlineLevel="0" collapsed="false">
      <c r="A1207" s="0" t="s">
        <v>8</v>
      </c>
      <c r="B1207" s="0" t="s">
        <v>1650</v>
      </c>
      <c r="C1207" s="0" t="s">
        <v>3922</v>
      </c>
    </row>
    <row r="1208" customFormat="false" ht="15" hidden="false" customHeight="false" outlineLevel="0" collapsed="false">
      <c r="A1208" s="0" t="s">
        <v>8</v>
      </c>
      <c r="B1208" s="0" t="s">
        <v>1654</v>
      </c>
      <c r="C1208" s="0" t="s">
        <v>3920</v>
      </c>
      <c r="D1208" s="0" t="n">
        <v>40</v>
      </c>
    </row>
    <row r="1209" customFormat="false" ht="15" hidden="false" customHeight="false" outlineLevel="0" collapsed="false">
      <c r="A1209" s="0" t="s">
        <v>8</v>
      </c>
      <c r="B1209" s="0" t="s">
        <v>1654</v>
      </c>
      <c r="C1209" s="0" t="s">
        <v>3921</v>
      </c>
    </row>
    <row r="1210" customFormat="false" ht="15" hidden="false" customHeight="false" outlineLevel="0" collapsed="false">
      <c r="A1210" s="0" t="s">
        <v>8</v>
      </c>
      <c r="B1210" s="0" t="s">
        <v>1654</v>
      </c>
      <c r="C1210" s="0" t="s">
        <v>3922</v>
      </c>
    </row>
    <row r="1211" customFormat="false" ht="15" hidden="false" customHeight="false" outlineLevel="0" collapsed="false">
      <c r="A1211" s="0" t="s">
        <v>8</v>
      </c>
      <c r="B1211" s="0" t="s">
        <v>1658</v>
      </c>
      <c r="C1211" s="0" t="s">
        <v>3920</v>
      </c>
      <c r="D1211" s="0" t="n">
        <v>8000</v>
      </c>
    </row>
    <row r="1212" customFormat="false" ht="15" hidden="false" customHeight="false" outlineLevel="0" collapsed="false">
      <c r="A1212" s="0" t="s">
        <v>8</v>
      </c>
      <c r="B1212" s="0" t="s">
        <v>1658</v>
      </c>
      <c r="C1212" s="0" t="s">
        <v>3921</v>
      </c>
    </row>
    <row r="1213" customFormat="false" ht="15" hidden="false" customHeight="false" outlineLevel="0" collapsed="false">
      <c r="A1213" s="0" t="s">
        <v>8</v>
      </c>
      <c r="B1213" s="0" t="s">
        <v>1658</v>
      </c>
      <c r="C1213" s="0" t="s">
        <v>3922</v>
      </c>
    </row>
    <row r="1214" customFormat="false" ht="15" hidden="false" customHeight="false" outlineLevel="0" collapsed="false">
      <c r="A1214" s="0" t="s">
        <v>8</v>
      </c>
      <c r="B1214" s="0" t="s">
        <v>1664</v>
      </c>
      <c r="C1214" s="0" t="s">
        <v>3920</v>
      </c>
      <c r="D1214" s="0" t="n">
        <v>12000</v>
      </c>
    </row>
    <row r="1215" customFormat="false" ht="15" hidden="false" customHeight="false" outlineLevel="0" collapsed="false">
      <c r="A1215" s="0" t="s">
        <v>8</v>
      </c>
      <c r="B1215" s="0" t="s">
        <v>1664</v>
      </c>
      <c r="C1215" s="0" t="s">
        <v>3921</v>
      </c>
    </row>
    <row r="1216" customFormat="false" ht="15" hidden="false" customHeight="false" outlineLevel="0" collapsed="false">
      <c r="A1216" s="0" t="s">
        <v>8</v>
      </c>
      <c r="B1216" s="0" t="s">
        <v>1664</v>
      </c>
      <c r="C1216" s="0" t="s">
        <v>3922</v>
      </c>
    </row>
    <row r="1217" customFormat="false" ht="15" hidden="false" customHeight="false" outlineLevel="0" collapsed="false">
      <c r="A1217" s="0" t="s">
        <v>8</v>
      </c>
      <c r="B1217" s="0" t="s">
        <v>1669</v>
      </c>
      <c r="C1217" s="0" t="s">
        <v>3920</v>
      </c>
      <c r="D1217" s="0" t="n">
        <v>8000</v>
      </c>
    </row>
    <row r="1218" customFormat="false" ht="15" hidden="false" customHeight="false" outlineLevel="0" collapsed="false">
      <c r="A1218" s="0" t="s">
        <v>8</v>
      </c>
      <c r="B1218" s="0" t="s">
        <v>1669</v>
      </c>
      <c r="C1218" s="0" t="s">
        <v>3921</v>
      </c>
    </row>
    <row r="1219" customFormat="false" ht="15" hidden="false" customHeight="false" outlineLevel="0" collapsed="false">
      <c r="A1219" s="0" t="s">
        <v>8</v>
      </c>
      <c r="B1219" s="0" t="s">
        <v>1669</v>
      </c>
      <c r="C1219" s="0" t="s">
        <v>3922</v>
      </c>
    </row>
    <row r="1220" customFormat="false" ht="15" hidden="false" customHeight="false" outlineLevel="0" collapsed="false">
      <c r="A1220" s="0" t="s">
        <v>8</v>
      </c>
      <c r="B1220" s="0" t="s">
        <v>1675</v>
      </c>
      <c r="C1220" s="0" t="s">
        <v>3920</v>
      </c>
      <c r="D1220" s="0" t="n">
        <v>9</v>
      </c>
    </row>
    <row r="1221" customFormat="false" ht="15" hidden="false" customHeight="false" outlineLevel="0" collapsed="false">
      <c r="A1221" s="0" t="s">
        <v>8</v>
      </c>
      <c r="B1221" s="0" t="s">
        <v>1675</v>
      </c>
      <c r="C1221" s="0" t="s">
        <v>3921</v>
      </c>
    </row>
    <row r="1222" customFormat="false" ht="15" hidden="false" customHeight="false" outlineLevel="0" collapsed="false">
      <c r="A1222" s="0" t="s">
        <v>8</v>
      </c>
      <c r="B1222" s="0" t="s">
        <v>1675</v>
      </c>
      <c r="C1222" s="0" t="s">
        <v>3922</v>
      </c>
    </row>
    <row r="1223" customFormat="false" ht="15" hidden="false" customHeight="false" outlineLevel="0" collapsed="false">
      <c r="A1223" s="0" t="s">
        <v>8</v>
      </c>
      <c r="B1223" s="0" t="s">
        <v>1680</v>
      </c>
      <c r="C1223" s="0" t="s">
        <v>3920</v>
      </c>
      <c r="D1223" s="0" t="n">
        <v>218</v>
      </c>
    </row>
    <row r="1224" customFormat="false" ht="15" hidden="false" customHeight="false" outlineLevel="0" collapsed="false">
      <c r="A1224" s="0" t="s">
        <v>8</v>
      </c>
      <c r="B1224" s="0" t="s">
        <v>1680</v>
      </c>
      <c r="C1224" s="0" t="s">
        <v>3921</v>
      </c>
    </row>
    <row r="1225" customFormat="false" ht="15" hidden="false" customHeight="false" outlineLevel="0" collapsed="false">
      <c r="A1225" s="0" t="s">
        <v>8</v>
      </c>
      <c r="B1225" s="0" t="s">
        <v>1680</v>
      </c>
      <c r="C1225" s="0" t="s">
        <v>3922</v>
      </c>
    </row>
    <row r="1226" customFormat="false" ht="15" hidden="false" customHeight="false" outlineLevel="0" collapsed="false">
      <c r="A1226" s="0" t="s">
        <v>8</v>
      </c>
      <c r="B1226" s="0" t="s">
        <v>1685</v>
      </c>
      <c r="C1226" s="0" t="s">
        <v>3920</v>
      </c>
      <c r="D1226" s="0" t="n">
        <v>233</v>
      </c>
    </row>
    <row r="1227" customFormat="false" ht="15" hidden="false" customHeight="false" outlineLevel="0" collapsed="false">
      <c r="A1227" s="0" t="s">
        <v>8</v>
      </c>
      <c r="B1227" s="0" t="s">
        <v>1685</v>
      </c>
      <c r="C1227" s="0" t="s">
        <v>3921</v>
      </c>
    </row>
    <row r="1228" customFormat="false" ht="15" hidden="false" customHeight="false" outlineLevel="0" collapsed="false">
      <c r="A1228" s="0" t="s">
        <v>8</v>
      </c>
      <c r="B1228" s="0" t="s">
        <v>1685</v>
      </c>
      <c r="C1228" s="0" t="s">
        <v>3922</v>
      </c>
    </row>
    <row r="1229" customFormat="false" ht="15" hidden="false" customHeight="false" outlineLevel="0" collapsed="false">
      <c r="A1229" s="0" t="s">
        <v>8</v>
      </c>
      <c r="B1229" s="0" t="s">
        <v>1689</v>
      </c>
      <c r="C1229" s="0" t="s">
        <v>3920</v>
      </c>
      <c r="D1229" s="0" t="n">
        <v>40</v>
      </c>
    </row>
    <row r="1230" customFormat="false" ht="15" hidden="false" customHeight="false" outlineLevel="0" collapsed="false">
      <c r="A1230" s="0" t="s">
        <v>8</v>
      </c>
      <c r="B1230" s="0" t="s">
        <v>1689</v>
      </c>
      <c r="C1230" s="0" t="s">
        <v>3921</v>
      </c>
    </row>
    <row r="1231" customFormat="false" ht="15" hidden="false" customHeight="false" outlineLevel="0" collapsed="false">
      <c r="A1231" s="0" t="s">
        <v>8</v>
      </c>
      <c r="B1231" s="0" t="s">
        <v>1689</v>
      </c>
      <c r="C1231" s="0" t="s">
        <v>3922</v>
      </c>
    </row>
    <row r="1232" customFormat="false" ht="15" hidden="false" customHeight="false" outlineLevel="0" collapsed="false">
      <c r="A1232" s="0" t="s">
        <v>8</v>
      </c>
      <c r="B1232" s="0" t="s">
        <v>1694</v>
      </c>
      <c r="C1232" s="0" t="s">
        <v>3920</v>
      </c>
      <c r="D1232" s="0" t="n">
        <v>23</v>
      </c>
    </row>
    <row r="1233" customFormat="false" ht="15" hidden="false" customHeight="false" outlineLevel="0" collapsed="false">
      <c r="A1233" s="0" t="s">
        <v>8</v>
      </c>
      <c r="B1233" s="0" t="s">
        <v>1694</v>
      </c>
      <c r="C1233" s="0" t="s">
        <v>3921</v>
      </c>
    </row>
    <row r="1234" customFormat="false" ht="15" hidden="false" customHeight="false" outlineLevel="0" collapsed="false">
      <c r="A1234" s="0" t="s">
        <v>8</v>
      </c>
      <c r="B1234" s="0" t="s">
        <v>1694</v>
      </c>
      <c r="C1234" s="0" t="s">
        <v>3922</v>
      </c>
    </row>
    <row r="1235" customFormat="false" ht="15" hidden="false" customHeight="false" outlineLevel="0" collapsed="false">
      <c r="A1235" s="0" t="s">
        <v>8</v>
      </c>
      <c r="B1235" s="0" t="s">
        <v>1698</v>
      </c>
      <c r="C1235" s="0" t="s">
        <v>3920</v>
      </c>
      <c r="D1235" s="0" t="n">
        <v>98</v>
      </c>
    </row>
    <row r="1236" customFormat="false" ht="15" hidden="false" customHeight="false" outlineLevel="0" collapsed="false">
      <c r="A1236" s="0" t="s">
        <v>8</v>
      </c>
      <c r="B1236" s="0" t="s">
        <v>1698</v>
      </c>
      <c r="C1236" s="0" t="s">
        <v>3921</v>
      </c>
    </row>
    <row r="1237" customFormat="false" ht="15" hidden="false" customHeight="false" outlineLevel="0" collapsed="false">
      <c r="A1237" s="0" t="s">
        <v>8</v>
      </c>
      <c r="B1237" s="0" t="s">
        <v>1698</v>
      </c>
      <c r="C1237" s="0" t="s">
        <v>3922</v>
      </c>
    </row>
    <row r="1238" customFormat="false" ht="15" hidden="false" customHeight="false" outlineLevel="0" collapsed="false">
      <c r="A1238" s="0" t="s">
        <v>8</v>
      </c>
      <c r="B1238" s="0" t="s">
        <v>1703</v>
      </c>
      <c r="C1238" s="0" t="s">
        <v>3920</v>
      </c>
      <c r="D1238" s="0" t="n">
        <v>4.2</v>
      </c>
    </row>
    <row r="1239" customFormat="false" ht="15" hidden="false" customHeight="false" outlineLevel="0" collapsed="false">
      <c r="A1239" s="0" t="s">
        <v>8</v>
      </c>
      <c r="B1239" s="0" t="s">
        <v>1703</v>
      </c>
      <c r="C1239" s="0" t="s">
        <v>3921</v>
      </c>
    </row>
    <row r="1240" customFormat="false" ht="15" hidden="false" customHeight="false" outlineLevel="0" collapsed="false">
      <c r="A1240" s="0" t="s">
        <v>8</v>
      </c>
      <c r="B1240" s="0" t="s">
        <v>1703</v>
      </c>
      <c r="C1240" s="0" t="s">
        <v>3922</v>
      </c>
    </row>
    <row r="1241" customFormat="false" ht="15" hidden="false" customHeight="false" outlineLevel="0" collapsed="false">
      <c r="A1241" s="0" t="s">
        <v>8</v>
      </c>
      <c r="B1241" s="0" t="s">
        <v>1709</v>
      </c>
      <c r="C1241" s="0" t="s">
        <v>3920</v>
      </c>
      <c r="D1241" s="0" t="n">
        <v>4.6</v>
      </c>
    </row>
    <row r="1242" customFormat="false" ht="15" hidden="false" customHeight="false" outlineLevel="0" collapsed="false">
      <c r="A1242" s="0" t="s">
        <v>8</v>
      </c>
      <c r="B1242" s="0" t="s">
        <v>1709</v>
      </c>
      <c r="C1242" s="0" t="s">
        <v>3921</v>
      </c>
    </row>
    <row r="1243" customFormat="false" ht="15" hidden="false" customHeight="false" outlineLevel="0" collapsed="false">
      <c r="A1243" s="0" t="s">
        <v>8</v>
      </c>
      <c r="B1243" s="0" t="s">
        <v>1709</v>
      </c>
      <c r="C1243" s="0" t="s">
        <v>3922</v>
      </c>
    </row>
    <row r="1244" customFormat="false" ht="15" hidden="false" customHeight="false" outlineLevel="0" collapsed="false">
      <c r="A1244" s="0" t="s">
        <v>8</v>
      </c>
      <c r="B1244" s="0" t="s">
        <v>1716</v>
      </c>
      <c r="C1244" s="0" t="s">
        <v>3920</v>
      </c>
      <c r="D1244" s="0" t="n">
        <v>0.0005</v>
      </c>
    </row>
    <row r="1245" customFormat="false" ht="15" hidden="false" customHeight="false" outlineLevel="0" collapsed="false">
      <c r="A1245" s="0" t="s">
        <v>8</v>
      </c>
      <c r="B1245" s="0" t="s">
        <v>1716</v>
      </c>
      <c r="C1245" s="0" t="s">
        <v>3921</v>
      </c>
    </row>
    <row r="1246" customFormat="false" ht="15" hidden="false" customHeight="false" outlineLevel="0" collapsed="false">
      <c r="A1246" s="0" t="s">
        <v>8</v>
      </c>
      <c r="B1246" s="0" t="s">
        <v>1716</v>
      </c>
      <c r="C1246" s="0" t="s">
        <v>3922</v>
      </c>
    </row>
    <row r="1247" customFormat="false" ht="15" hidden="false" customHeight="false" outlineLevel="0" collapsed="false">
      <c r="A1247" s="0" t="s">
        <v>8</v>
      </c>
      <c r="B1247" s="0" t="s">
        <v>1721</v>
      </c>
      <c r="C1247" s="0" t="s">
        <v>3920</v>
      </c>
      <c r="D1247" s="0" t="n">
        <v>62</v>
      </c>
    </row>
    <row r="1248" customFormat="false" ht="15" hidden="false" customHeight="false" outlineLevel="0" collapsed="false">
      <c r="A1248" s="0" t="s">
        <v>8</v>
      </c>
      <c r="B1248" s="0" t="s">
        <v>1721</v>
      </c>
      <c r="C1248" s="0" t="s">
        <v>3921</v>
      </c>
    </row>
    <row r="1249" customFormat="false" ht="15" hidden="false" customHeight="false" outlineLevel="0" collapsed="false">
      <c r="A1249" s="0" t="s">
        <v>8</v>
      </c>
      <c r="B1249" s="0" t="s">
        <v>1721</v>
      </c>
      <c r="C1249" s="0" t="s">
        <v>3922</v>
      </c>
    </row>
    <row r="1250" customFormat="false" ht="15" hidden="false" customHeight="false" outlineLevel="0" collapsed="false">
      <c r="A1250" s="0" t="s">
        <v>8</v>
      </c>
      <c r="B1250" s="0" t="s">
        <v>1728</v>
      </c>
      <c r="C1250" s="0" t="s">
        <v>3920</v>
      </c>
      <c r="D1250" s="0" t="n">
        <v>16</v>
      </c>
    </row>
    <row r="1251" customFormat="false" ht="15" hidden="false" customHeight="false" outlineLevel="0" collapsed="false">
      <c r="A1251" s="0" t="s">
        <v>8</v>
      </c>
      <c r="B1251" s="0" t="s">
        <v>1728</v>
      </c>
      <c r="C1251" s="0" t="s">
        <v>3921</v>
      </c>
    </row>
    <row r="1252" customFormat="false" ht="15" hidden="false" customHeight="false" outlineLevel="0" collapsed="false">
      <c r="A1252" s="0" t="s">
        <v>8</v>
      </c>
      <c r="B1252" s="0" t="s">
        <v>1728</v>
      </c>
      <c r="C1252" s="0" t="s">
        <v>3922</v>
      </c>
    </row>
    <row r="1253" customFormat="false" ht="15" hidden="false" customHeight="false" outlineLevel="0" collapsed="false">
      <c r="A1253" s="0" t="s">
        <v>8</v>
      </c>
      <c r="B1253" s="0" t="s">
        <v>1736</v>
      </c>
      <c r="C1253" s="0" t="s">
        <v>3920</v>
      </c>
      <c r="D1253" s="0" t="n">
        <v>20</v>
      </c>
    </row>
    <row r="1254" customFormat="false" ht="15" hidden="false" customHeight="false" outlineLevel="0" collapsed="false">
      <c r="A1254" s="0" t="s">
        <v>8</v>
      </c>
      <c r="B1254" s="0" t="s">
        <v>1736</v>
      </c>
      <c r="C1254" s="0" t="s">
        <v>3921</v>
      </c>
    </row>
    <row r="1255" customFormat="false" ht="15" hidden="false" customHeight="false" outlineLevel="0" collapsed="false">
      <c r="A1255" s="0" t="s">
        <v>8</v>
      </c>
      <c r="B1255" s="0" t="s">
        <v>1736</v>
      </c>
      <c r="C1255" s="0" t="s">
        <v>3922</v>
      </c>
    </row>
    <row r="1256" customFormat="false" ht="15" hidden="false" customHeight="false" outlineLevel="0" collapsed="false">
      <c r="A1256" s="0" t="s">
        <v>8</v>
      </c>
      <c r="B1256" s="0" t="s">
        <v>1741</v>
      </c>
      <c r="C1256" s="0" t="s">
        <v>3920</v>
      </c>
      <c r="D1256" s="0" t="n">
        <v>18</v>
      </c>
    </row>
    <row r="1257" customFormat="false" ht="15" hidden="false" customHeight="false" outlineLevel="0" collapsed="false">
      <c r="A1257" s="0" t="s">
        <v>8</v>
      </c>
      <c r="B1257" s="0" t="s">
        <v>1741</v>
      </c>
      <c r="C1257" s="0" t="s">
        <v>3921</v>
      </c>
    </row>
    <row r="1258" customFormat="false" ht="15" hidden="false" customHeight="false" outlineLevel="0" collapsed="false">
      <c r="A1258" s="0" t="s">
        <v>8</v>
      </c>
      <c r="B1258" s="0" t="s">
        <v>1741</v>
      </c>
      <c r="C1258" s="0" t="s">
        <v>3922</v>
      </c>
    </row>
    <row r="1259" customFormat="false" ht="15" hidden="false" customHeight="false" outlineLevel="0" collapsed="false">
      <c r="A1259" s="0" t="s">
        <v>8</v>
      </c>
      <c r="B1259" s="0" t="s">
        <v>1748</v>
      </c>
      <c r="C1259" s="0" t="s">
        <v>3920</v>
      </c>
      <c r="D1259" s="0" t="n">
        <v>30</v>
      </c>
    </row>
    <row r="1260" customFormat="false" ht="15" hidden="false" customHeight="false" outlineLevel="0" collapsed="false">
      <c r="A1260" s="0" t="s">
        <v>8</v>
      </c>
      <c r="B1260" s="0" t="s">
        <v>1748</v>
      </c>
      <c r="C1260" s="0" t="s">
        <v>3921</v>
      </c>
    </row>
    <row r="1261" customFormat="false" ht="15" hidden="false" customHeight="false" outlineLevel="0" collapsed="false">
      <c r="A1261" s="0" t="s">
        <v>8</v>
      </c>
      <c r="B1261" s="0" t="s">
        <v>1748</v>
      </c>
      <c r="C1261" s="0" t="s">
        <v>3922</v>
      </c>
    </row>
    <row r="1262" customFormat="false" ht="15" hidden="false" customHeight="false" outlineLevel="0" collapsed="false">
      <c r="A1262" s="0" t="s">
        <v>8</v>
      </c>
      <c r="B1262" s="0" t="s">
        <v>1753</v>
      </c>
      <c r="C1262" s="0" t="s">
        <v>3920</v>
      </c>
      <c r="D1262" s="0" t="n">
        <v>10</v>
      </c>
    </row>
    <row r="1263" customFormat="false" ht="15" hidden="false" customHeight="false" outlineLevel="0" collapsed="false">
      <c r="A1263" s="0" t="s">
        <v>8</v>
      </c>
      <c r="B1263" s="0" t="s">
        <v>1753</v>
      </c>
      <c r="C1263" s="0" t="s">
        <v>3921</v>
      </c>
    </row>
    <row r="1264" customFormat="false" ht="15" hidden="false" customHeight="false" outlineLevel="0" collapsed="false">
      <c r="A1264" s="0" t="s">
        <v>8</v>
      </c>
      <c r="B1264" s="0" t="s">
        <v>1753</v>
      </c>
      <c r="C1264" s="0" t="s">
        <v>3922</v>
      </c>
    </row>
    <row r="1265" customFormat="false" ht="15" hidden="false" customHeight="false" outlineLevel="0" collapsed="false">
      <c r="A1265" s="0" t="s">
        <v>8</v>
      </c>
      <c r="B1265" s="0" t="s">
        <v>1758</v>
      </c>
      <c r="C1265" s="0" t="s">
        <v>3920</v>
      </c>
    </row>
    <row r="1266" customFormat="false" ht="15" hidden="false" customHeight="false" outlineLevel="0" collapsed="false">
      <c r="A1266" s="0" t="s">
        <v>8</v>
      </c>
      <c r="B1266" s="0" t="s">
        <v>1758</v>
      </c>
      <c r="C1266" s="0" t="s">
        <v>3921</v>
      </c>
    </row>
    <row r="1267" customFormat="false" ht="15" hidden="false" customHeight="false" outlineLevel="0" collapsed="false">
      <c r="A1267" s="0" t="s">
        <v>8</v>
      </c>
      <c r="B1267" s="0" t="s">
        <v>1758</v>
      </c>
      <c r="C1267" s="0" t="s">
        <v>3922</v>
      </c>
    </row>
    <row r="1268" customFormat="false" ht="15" hidden="false" customHeight="false" outlineLevel="0" collapsed="false">
      <c r="A1268" s="0" t="s">
        <v>8</v>
      </c>
      <c r="B1268" s="0" t="s">
        <v>1766</v>
      </c>
      <c r="C1268" s="0" t="s">
        <v>3920</v>
      </c>
      <c r="D1268" s="0" t="n">
        <v>55.4</v>
      </c>
    </row>
    <row r="1269" customFormat="false" ht="15" hidden="false" customHeight="false" outlineLevel="0" collapsed="false">
      <c r="A1269" s="0" t="s">
        <v>8</v>
      </c>
      <c r="B1269" s="0" t="s">
        <v>1766</v>
      </c>
      <c r="C1269" s="0" t="s">
        <v>3921</v>
      </c>
    </row>
    <row r="1270" customFormat="false" ht="15" hidden="false" customHeight="false" outlineLevel="0" collapsed="false">
      <c r="A1270" s="0" t="s">
        <v>8</v>
      </c>
      <c r="B1270" s="0" t="s">
        <v>1766</v>
      </c>
      <c r="C1270" s="0" t="s">
        <v>3922</v>
      </c>
    </row>
    <row r="1271" customFormat="false" ht="15" hidden="false" customHeight="false" outlineLevel="0" collapsed="false">
      <c r="A1271" s="0" t="s">
        <v>8</v>
      </c>
      <c r="B1271" s="0" t="s">
        <v>1771</v>
      </c>
      <c r="C1271" s="0" t="s">
        <v>3920</v>
      </c>
      <c r="D1271" s="0" t="n">
        <v>15.4</v>
      </c>
    </row>
    <row r="1272" customFormat="false" ht="15" hidden="false" customHeight="false" outlineLevel="0" collapsed="false">
      <c r="A1272" s="0" t="s">
        <v>8</v>
      </c>
      <c r="B1272" s="0" t="s">
        <v>1771</v>
      </c>
      <c r="C1272" s="0" t="s">
        <v>3921</v>
      </c>
    </row>
    <row r="1273" customFormat="false" ht="15" hidden="false" customHeight="false" outlineLevel="0" collapsed="false">
      <c r="A1273" s="0" t="s">
        <v>8</v>
      </c>
      <c r="B1273" s="0" t="s">
        <v>1771</v>
      </c>
      <c r="C1273" s="0" t="s">
        <v>3922</v>
      </c>
    </row>
    <row r="1274" customFormat="false" ht="15" hidden="false" customHeight="false" outlineLevel="0" collapsed="false">
      <c r="A1274" s="0" t="s">
        <v>8</v>
      </c>
      <c r="B1274" s="0" t="s">
        <v>1774</v>
      </c>
      <c r="C1274" s="0" t="s">
        <v>3920</v>
      </c>
      <c r="D1274" s="0" t="n">
        <v>61.5</v>
      </c>
    </row>
    <row r="1275" customFormat="false" ht="15" hidden="false" customHeight="false" outlineLevel="0" collapsed="false">
      <c r="A1275" s="0" t="s">
        <v>8</v>
      </c>
      <c r="B1275" s="0" t="s">
        <v>1774</v>
      </c>
      <c r="C1275" s="0" t="s">
        <v>3921</v>
      </c>
    </row>
    <row r="1276" customFormat="false" ht="15" hidden="false" customHeight="false" outlineLevel="0" collapsed="false">
      <c r="A1276" s="0" t="s">
        <v>8</v>
      </c>
      <c r="B1276" s="0" t="s">
        <v>1774</v>
      </c>
      <c r="C1276" s="0" t="s">
        <v>3922</v>
      </c>
    </row>
    <row r="1277" customFormat="false" ht="15" hidden="false" customHeight="false" outlineLevel="0" collapsed="false">
      <c r="A1277" s="0" t="s">
        <v>8</v>
      </c>
      <c r="B1277" s="0" t="s">
        <v>1777</v>
      </c>
      <c r="C1277" s="0" t="s">
        <v>3920</v>
      </c>
      <c r="D1277" s="0" t="n">
        <v>14.7</v>
      </c>
    </row>
    <row r="1278" customFormat="false" ht="15" hidden="false" customHeight="false" outlineLevel="0" collapsed="false">
      <c r="A1278" s="0" t="s">
        <v>8</v>
      </c>
      <c r="B1278" s="0" t="s">
        <v>1777</v>
      </c>
      <c r="C1278" s="0" t="s">
        <v>3921</v>
      </c>
    </row>
    <row r="1279" customFormat="false" ht="15" hidden="false" customHeight="false" outlineLevel="0" collapsed="false">
      <c r="A1279" s="0" t="s">
        <v>8</v>
      </c>
      <c r="B1279" s="0" t="s">
        <v>1777</v>
      </c>
      <c r="C1279" s="0" t="s">
        <v>3922</v>
      </c>
    </row>
    <row r="1280" customFormat="false" ht="15" hidden="false" customHeight="false" outlineLevel="0" collapsed="false">
      <c r="A1280" s="0" t="s">
        <v>8</v>
      </c>
      <c r="B1280" s="0" t="s">
        <v>1779</v>
      </c>
      <c r="C1280" s="0" t="s">
        <v>3920</v>
      </c>
      <c r="D1280" s="0" t="n">
        <v>45.5</v>
      </c>
    </row>
    <row r="1281" customFormat="false" ht="15" hidden="false" customHeight="false" outlineLevel="0" collapsed="false">
      <c r="A1281" s="0" t="s">
        <v>8</v>
      </c>
      <c r="B1281" s="0" t="s">
        <v>1779</v>
      </c>
      <c r="C1281" s="0" t="s">
        <v>3921</v>
      </c>
    </row>
    <row r="1282" customFormat="false" ht="15" hidden="false" customHeight="false" outlineLevel="0" collapsed="false">
      <c r="A1282" s="0" t="s">
        <v>8</v>
      </c>
      <c r="B1282" s="0" t="s">
        <v>1779</v>
      </c>
      <c r="C1282" s="0" t="s">
        <v>3922</v>
      </c>
    </row>
    <row r="1283" customFormat="false" ht="15" hidden="false" customHeight="false" outlineLevel="0" collapsed="false">
      <c r="A1283" s="0" t="s">
        <v>8</v>
      </c>
      <c r="B1283" s="0" t="s">
        <v>1782</v>
      </c>
      <c r="C1283" s="0" t="s">
        <v>3920</v>
      </c>
      <c r="D1283" s="0" t="n">
        <v>19</v>
      </c>
    </row>
    <row r="1284" customFormat="false" ht="15" hidden="false" customHeight="false" outlineLevel="0" collapsed="false">
      <c r="A1284" s="0" t="s">
        <v>8</v>
      </c>
      <c r="B1284" s="0" t="s">
        <v>1782</v>
      </c>
      <c r="C1284" s="0" t="s">
        <v>3921</v>
      </c>
    </row>
    <row r="1285" customFormat="false" ht="15" hidden="false" customHeight="false" outlineLevel="0" collapsed="false">
      <c r="A1285" s="0" t="s">
        <v>8</v>
      </c>
      <c r="B1285" s="0" t="s">
        <v>1782</v>
      </c>
      <c r="C1285" s="0" t="s">
        <v>3922</v>
      </c>
    </row>
    <row r="1286" customFormat="false" ht="15" hidden="false" customHeight="false" outlineLevel="0" collapsed="false">
      <c r="A1286" s="0" t="s">
        <v>8</v>
      </c>
      <c r="B1286" s="0" t="s">
        <v>1784</v>
      </c>
      <c r="C1286" s="0" t="s">
        <v>3920</v>
      </c>
      <c r="D1286" s="0" t="n">
        <v>40</v>
      </c>
    </row>
    <row r="1287" customFormat="false" ht="15" hidden="false" customHeight="false" outlineLevel="0" collapsed="false">
      <c r="A1287" s="0" t="s">
        <v>8</v>
      </c>
      <c r="B1287" s="0" t="s">
        <v>1784</v>
      </c>
      <c r="C1287" s="0" t="s">
        <v>3921</v>
      </c>
    </row>
    <row r="1288" customFormat="false" ht="15" hidden="false" customHeight="false" outlineLevel="0" collapsed="false">
      <c r="A1288" s="0" t="s">
        <v>8</v>
      </c>
      <c r="B1288" s="0" t="s">
        <v>1784</v>
      </c>
      <c r="C1288" s="0" t="s">
        <v>3922</v>
      </c>
    </row>
    <row r="1289" customFormat="false" ht="15" hidden="false" customHeight="false" outlineLevel="0" collapsed="false">
      <c r="A1289" s="0" t="s">
        <v>8</v>
      </c>
      <c r="B1289" s="0" t="s">
        <v>1787</v>
      </c>
      <c r="C1289" s="0" t="s">
        <v>3920</v>
      </c>
      <c r="D1289" s="0" t="n">
        <v>11</v>
      </c>
    </row>
    <row r="1290" customFormat="false" ht="15" hidden="false" customHeight="false" outlineLevel="0" collapsed="false">
      <c r="A1290" s="0" t="s">
        <v>8</v>
      </c>
      <c r="B1290" s="0" t="s">
        <v>1787</v>
      </c>
      <c r="C1290" s="0" t="s">
        <v>3921</v>
      </c>
    </row>
    <row r="1291" customFormat="false" ht="15" hidden="false" customHeight="false" outlineLevel="0" collapsed="false">
      <c r="A1291" s="0" t="s">
        <v>8</v>
      </c>
      <c r="B1291" s="0" t="s">
        <v>1787</v>
      </c>
      <c r="C1291" s="0" t="s">
        <v>3922</v>
      </c>
    </row>
    <row r="1292" customFormat="false" ht="15" hidden="false" customHeight="false" outlineLevel="0" collapsed="false">
      <c r="A1292" s="0" t="s">
        <v>8</v>
      </c>
      <c r="B1292" s="0" t="s">
        <v>1789</v>
      </c>
      <c r="C1292" s="0" t="s">
        <v>3920</v>
      </c>
      <c r="D1292" s="0" t="n">
        <v>1.42</v>
      </c>
    </row>
    <row r="1293" customFormat="false" ht="15" hidden="false" customHeight="false" outlineLevel="0" collapsed="false">
      <c r="A1293" s="0" t="s">
        <v>8</v>
      </c>
      <c r="B1293" s="0" t="s">
        <v>1789</v>
      </c>
      <c r="C1293" s="0" t="s">
        <v>3921</v>
      </c>
    </row>
    <row r="1294" customFormat="false" ht="15" hidden="false" customHeight="false" outlineLevel="0" collapsed="false">
      <c r="A1294" s="0" t="s">
        <v>8</v>
      </c>
      <c r="B1294" s="0" t="s">
        <v>1789</v>
      </c>
      <c r="C1294" s="0" t="s">
        <v>3922</v>
      </c>
    </row>
    <row r="1295" customFormat="false" ht="15" hidden="false" customHeight="false" outlineLevel="0" collapsed="false">
      <c r="A1295" s="0" t="s">
        <v>8</v>
      </c>
      <c r="B1295" s="0" t="s">
        <v>1794</v>
      </c>
      <c r="C1295" s="0" t="s">
        <v>3920</v>
      </c>
      <c r="D1295" s="0" t="n">
        <v>0</v>
      </c>
    </row>
    <row r="1296" customFormat="false" ht="15" hidden="false" customHeight="false" outlineLevel="0" collapsed="false">
      <c r="A1296" s="0" t="s">
        <v>8</v>
      </c>
      <c r="B1296" s="0" t="s">
        <v>1794</v>
      </c>
      <c r="C1296" s="0" t="s">
        <v>3921</v>
      </c>
    </row>
    <row r="1297" customFormat="false" ht="15" hidden="false" customHeight="false" outlineLevel="0" collapsed="false">
      <c r="A1297" s="0" t="s">
        <v>8</v>
      </c>
      <c r="B1297" s="0" t="s">
        <v>1794</v>
      </c>
      <c r="C1297" s="0" t="s">
        <v>3922</v>
      </c>
    </row>
    <row r="1298" customFormat="false" ht="15" hidden="false" customHeight="false" outlineLevel="0" collapsed="false">
      <c r="A1298" s="0" t="s">
        <v>8</v>
      </c>
      <c r="B1298" s="0" t="s">
        <v>1800</v>
      </c>
      <c r="C1298" s="0" t="s">
        <v>3920</v>
      </c>
      <c r="D1298" s="0" t="n">
        <v>2.42</v>
      </c>
    </row>
    <row r="1299" customFormat="false" ht="15" hidden="false" customHeight="false" outlineLevel="0" collapsed="false">
      <c r="A1299" s="0" t="s">
        <v>8</v>
      </c>
      <c r="B1299" s="0" t="s">
        <v>1800</v>
      </c>
      <c r="C1299" s="0" t="s">
        <v>3921</v>
      </c>
    </row>
    <row r="1300" customFormat="false" ht="15" hidden="false" customHeight="false" outlineLevel="0" collapsed="false">
      <c r="A1300" s="0" t="s">
        <v>8</v>
      </c>
      <c r="B1300" s="0" t="s">
        <v>1800</v>
      </c>
      <c r="C1300" s="0" t="s">
        <v>3922</v>
      </c>
    </row>
    <row r="1301" customFormat="false" ht="15" hidden="false" customHeight="false" outlineLevel="0" collapsed="false">
      <c r="A1301" s="0" t="s">
        <v>8</v>
      </c>
      <c r="B1301" s="0" t="s">
        <v>1806</v>
      </c>
      <c r="C1301" s="0" t="s">
        <v>3920</v>
      </c>
    </row>
    <row r="1302" customFormat="false" ht="15" hidden="false" customHeight="false" outlineLevel="0" collapsed="false">
      <c r="A1302" s="0" t="s">
        <v>8</v>
      </c>
      <c r="B1302" s="0" t="s">
        <v>1806</v>
      </c>
      <c r="C1302" s="0" t="s">
        <v>3921</v>
      </c>
    </row>
    <row r="1303" customFormat="false" ht="15" hidden="false" customHeight="false" outlineLevel="0" collapsed="false">
      <c r="A1303" s="0" t="s">
        <v>8</v>
      </c>
      <c r="B1303" s="0" t="s">
        <v>1806</v>
      </c>
      <c r="C1303" s="0" t="s">
        <v>3922</v>
      </c>
    </row>
    <row r="1304" customFormat="false" ht="15" hidden="false" customHeight="false" outlineLevel="0" collapsed="false">
      <c r="A1304" s="0" t="s">
        <v>8</v>
      </c>
      <c r="B1304" s="0" t="s">
        <v>1815</v>
      </c>
      <c r="C1304" s="0" t="s">
        <v>3920</v>
      </c>
      <c r="D1304" s="0" t="n">
        <v>2.58</v>
      </c>
    </row>
    <row r="1305" customFormat="false" ht="15" hidden="false" customHeight="false" outlineLevel="0" collapsed="false">
      <c r="A1305" s="0" t="s">
        <v>8</v>
      </c>
      <c r="B1305" s="0" t="s">
        <v>1815</v>
      </c>
      <c r="C1305" s="0" t="s">
        <v>3921</v>
      </c>
      <c r="D1305" s="0" t="n">
        <v>2.58</v>
      </c>
    </row>
    <row r="1306" customFormat="false" ht="15" hidden="false" customHeight="false" outlineLevel="0" collapsed="false">
      <c r="A1306" s="0" t="s">
        <v>8</v>
      </c>
      <c r="B1306" s="0" t="s">
        <v>1815</v>
      </c>
      <c r="C1306" s="0" t="s">
        <v>3922</v>
      </c>
      <c r="D1306" s="0" t="n">
        <v>2.58</v>
      </c>
    </row>
    <row r="1307" customFormat="false" ht="15" hidden="false" customHeight="false" outlineLevel="0" collapsed="false">
      <c r="A1307" s="0" t="s">
        <v>8</v>
      </c>
      <c r="B1307" s="0" t="s">
        <v>1824</v>
      </c>
      <c r="C1307" s="0" t="s">
        <v>3920</v>
      </c>
      <c r="D1307" s="0" t="n">
        <v>46.7</v>
      </c>
    </row>
    <row r="1308" customFormat="false" ht="15" hidden="false" customHeight="false" outlineLevel="0" collapsed="false">
      <c r="A1308" s="0" t="s">
        <v>8</v>
      </c>
      <c r="B1308" s="0" t="s">
        <v>1824</v>
      </c>
      <c r="C1308" s="0" t="s">
        <v>3921</v>
      </c>
      <c r="D1308" s="0" t="n">
        <v>46.7</v>
      </c>
    </row>
    <row r="1309" customFormat="false" ht="15" hidden="false" customHeight="false" outlineLevel="0" collapsed="false">
      <c r="A1309" s="0" t="s">
        <v>8</v>
      </c>
      <c r="B1309" s="0" t="s">
        <v>1824</v>
      </c>
      <c r="C1309" s="0" t="s">
        <v>3922</v>
      </c>
      <c r="D1309" s="0" t="n">
        <v>46.7</v>
      </c>
    </row>
    <row r="1310" customFormat="false" ht="15" hidden="false" customHeight="false" outlineLevel="0" collapsed="false">
      <c r="A1310" s="0" t="s">
        <v>8</v>
      </c>
      <c r="B1310" s="0" t="s">
        <v>1828</v>
      </c>
      <c r="C1310" s="0" t="s">
        <v>3920</v>
      </c>
      <c r="D1310" s="0" t="n">
        <v>5.5</v>
      </c>
    </row>
    <row r="1311" customFormat="false" ht="15" hidden="false" customHeight="false" outlineLevel="0" collapsed="false">
      <c r="A1311" s="0" t="s">
        <v>8</v>
      </c>
      <c r="B1311" s="0" t="s">
        <v>1828</v>
      </c>
      <c r="C1311" s="0" t="s">
        <v>3921</v>
      </c>
      <c r="D1311" s="0" t="n">
        <v>4</v>
      </c>
    </row>
    <row r="1312" customFormat="false" ht="15" hidden="false" customHeight="false" outlineLevel="0" collapsed="false">
      <c r="A1312" s="0" t="s">
        <v>8</v>
      </c>
      <c r="B1312" s="0" t="s">
        <v>1828</v>
      </c>
      <c r="C1312" s="0" t="s">
        <v>3922</v>
      </c>
      <c r="D1312" s="0" t="n">
        <v>7</v>
      </c>
    </row>
    <row r="1313" customFormat="false" ht="15" hidden="false" customHeight="false" outlineLevel="0" collapsed="false">
      <c r="A1313" s="0" t="s">
        <v>8</v>
      </c>
      <c r="B1313" s="0" t="s">
        <v>1833</v>
      </c>
      <c r="C1313" s="0" t="s">
        <v>3920</v>
      </c>
      <c r="D1313" s="0" t="n">
        <v>4</v>
      </c>
    </row>
    <row r="1314" customFormat="false" ht="15" hidden="false" customHeight="false" outlineLevel="0" collapsed="false">
      <c r="A1314" s="0" t="s">
        <v>8</v>
      </c>
      <c r="B1314" s="0" t="s">
        <v>1833</v>
      </c>
      <c r="C1314" s="0" t="s">
        <v>3921</v>
      </c>
      <c r="D1314" s="0" t="n">
        <v>4</v>
      </c>
    </row>
    <row r="1315" customFormat="false" ht="15" hidden="false" customHeight="false" outlineLevel="0" collapsed="false">
      <c r="A1315" s="0" t="s">
        <v>8</v>
      </c>
      <c r="B1315" s="0" t="s">
        <v>1833</v>
      </c>
      <c r="C1315" s="0" t="s">
        <v>3922</v>
      </c>
      <c r="D1315" s="0" t="n">
        <v>5</v>
      </c>
    </row>
    <row r="1316" customFormat="false" ht="15" hidden="false" customHeight="false" outlineLevel="0" collapsed="false">
      <c r="A1316" s="0" t="s">
        <v>8</v>
      </c>
      <c r="B1316" s="0" t="s">
        <v>1842</v>
      </c>
      <c r="C1316" s="0" t="s">
        <v>3920</v>
      </c>
      <c r="D1316" s="0" t="n">
        <v>75</v>
      </c>
    </row>
    <row r="1317" customFormat="false" ht="15" hidden="false" customHeight="false" outlineLevel="0" collapsed="false">
      <c r="A1317" s="0" t="s">
        <v>8</v>
      </c>
      <c r="B1317" s="0" t="s">
        <v>1842</v>
      </c>
      <c r="C1317" s="0" t="s">
        <v>3921</v>
      </c>
    </row>
    <row r="1318" customFormat="false" ht="15" hidden="false" customHeight="false" outlineLevel="0" collapsed="false">
      <c r="A1318" s="0" t="s">
        <v>8</v>
      </c>
      <c r="B1318" s="0" t="s">
        <v>1842</v>
      </c>
      <c r="C1318" s="0" t="s">
        <v>3922</v>
      </c>
    </row>
    <row r="1319" customFormat="false" ht="15" hidden="false" customHeight="false" outlineLevel="0" collapsed="false">
      <c r="A1319" s="0" t="s">
        <v>8</v>
      </c>
      <c r="B1319" s="0" t="s">
        <v>1851</v>
      </c>
      <c r="C1319" s="0" t="s">
        <v>3920</v>
      </c>
      <c r="D1319" s="0" t="n">
        <v>54.5</v>
      </c>
    </row>
    <row r="1320" customFormat="false" ht="15" hidden="false" customHeight="false" outlineLevel="0" collapsed="false">
      <c r="A1320" s="0" t="s">
        <v>8</v>
      </c>
      <c r="B1320" s="0" t="s">
        <v>1851</v>
      </c>
      <c r="C1320" s="0" t="s">
        <v>3921</v>
      </c>
    </row>
    <row r="1321" customFormat="false" ht="15" hidden="false" customHeight="false" outlineLevel="0" collapsed="false">
      <c r="A1321" s="0" t="s">
        <v>8</v>
      </c>
      <c r="B1321" s="0" t="s">
        <v>1851</v>
      </c>
      <c r="C1321" s="0" t="s">
        <v>3922</v>
      </c>
    </row>
    <row r="1322" customFormat="false" ht="15" hidden="false" customHeight="false" outlineLevel="0" collapsed="false">
      <c r="A1322" s="0" t="s">
        <v>8</v>
      </c>
      <c r="B1322" s="0" t="s">
        <v>1855</v>
      </c>
      <c r="C1322" s="0" t="s">
        <v>3920</v>
      </c>
      <c r="D1322" s="0" t="n">
        <v>33.1</v>
      </c>
    </row>
    <row r="1323" customFormat="false" ht="15" hidden="false" customHeight="false" outlineLevel="0" collapsed="false">
      <c r="A1323" s="0" t="s">
        <v>8</v>
      </c>
      <c r="B1323" s="0" t="s">
        <v>1855</v>
      </c>
      <c r="C1323" s="0" t="s">
        <v>3921</v>
      </c>
    </row>
    <row r="1324" customFormat="false" ht="15" hidden="false" customHeight="false" outlineLevel="0" collapsed="false">
      <c r="A1324" s="0" t="s">
        <v>8</v>
      </c>
      <c r="B1324" s="0" t="s">
        <v>1855</v>
      </c>
      <c r="C1324" s="0" t="s">
        <v>3922</v>
      </c>
    </row>
    <row r="1325" customFormat="false" ht="15" hidden="false" customHeight="false" outlineLevel="0" collapsed="false">
      <c r="A1325" s="0" t="s">
        <v>8</v>
      </c>
      <c r="B1325" s="0" t="s">
        <v>1858</v>
      </c>
      <c r="C1325" s="0" t="s">
        <v>3920</v>
      </c>
      <c r="D1325" s="0" t="n">
        <v>53.6</v>
      </c>
    </row>
    <row r="1326" customFormat="false" ht="15" hidden="false" customHeight="false" outlineLevel="0" collapsed="false">
      <c r="A1326" s="0" t="s">
        <v>8</v>
      </c>
      <c r="B1326" s="0" t="s">
        <v>1858</v>
      </c>
      <c r="C1326" s="0" t="s">
        <v>3921</v>
      </c>
    </row>
    <row r="1327" customFormat="false" ht="15" hidden="false" customHeight="false" outlineLevel="0" collapsed="false">
      <c r="A1327" s="0" t="s">
        <v>8</v>
      </c>
      <c r="B1327" s="0" t="s">
        <v>1858</v>
      </c>
      <c r="C1327" s="0" t="s">
        <v>3922</v>
      </c>
    </row>
    <row r="1328" customFormat="false" ht="15" hidden="false" customHeight="false" outlineLevel="0" collapsed="false">
      <c r="A1328" s="0" t="s">
        <v>8</v>
      </c>
      <c r="B1328" s="0" t="s">
        <v>1861</v>
      </c>
      <c r="C1328" s="0" t="s">
        <v>3920</v>
      </c>
      <c r="D1328" s="0" t="n">
        <v>16.4</v>
      </c>
    </row>
    <row r="1329" customFormat="false" ht="15" hidden="false" customHeight="false" outlineLevel="0" collapsed="false">
      <c r="A1329" s="0" t="s">
        <v>8</v>
      </c>
      <c r="B1329" s="0" t="s">
        <v>1861</v>
      </c>
      <c r="C1329" s="0" t="s">
        <v>3921</v>
      </c>
    </row>
    <row r="1330" customFormat="false" ht="15" hidden="false" customHeight="false" outlineLevel="0" collapsed="false">
      <c r="A1330" s="0" t="s">
        <v>8</v>
      </c>
      <c r="B1330" s="0" t="s">
        <v>1861</v>
      </c>
      <c r="C1330" s="0" t="s">
        <v>3922</v>
      </c>
    </row>
    <row r="1331" customFormat="false" ht="15" hidden="false" customHeight="false" outlineLevel="0" collapsed="false">
      <c r="A1331" s="0" t="s">
        <v>8</v>
      </c>
      <c r="B1331" s="0" t="s">
        <v>1863</v>
      </c>
      <c r="C1331" s="0" t="s">
        <v>3920</v>
      </c>
      <c r="D1331" s="0" t="n">
        <v>47.3</v>
      </c>
    </row>
    <row r="1332" customFormat="false" ht="15" hidden="false" customHeight="false" outlineLevel="0" collapsed="false">
      <c r="A1332" s="0" t="s">
        <v>8</v>
      </c>
      <c r="B1332" s="0" t="s">
        <v>1863</v>
      </c>
      <c r="C1332" s="0" t="s">
        <v>3921</v>
      </c>
    </row>
    <row r="1333" customFormat="false" ht="15" hidden="false" customHeight="false" outlineLevel="0" collapsed="false">
      <c r="A1333" s="0" t="s">
        <v>8</v>
      </c>
      <c r="B1333" s="0" t="s">
        <v>1863</v>
      </c>
      <c r="C1333" s="0" t="s">
        <v>3922</v>
      </c>
    </row>
    <row r="1334" customFormat="false" ht="15" hidden="false" customHeight="false" outlineLevel="0" collapsed="false">
      <c r="A1334" s="0" t="s">
        <v>8</v>
      </c>
      <c r="B1334" s="0" t="s">
        <v>1866</v>
      </c>
      <c r="C1334" s="0" t="s">
        <v>3920</v>
      </c>
      <c r="D1334" s="0" t="n">
        <v>15.6</v>
      </c>
    </row>
    <row r="1335" customFormat="false" ht="15" hidden="false" customHeight="false" outlineLevel="0" collapsed="false">
      <c r="A1335" s="0" t="s">
        <v>8</v>
      </c>
      <c r="B1335" s="0" t="s">
        <v>1866</v>
      </c>
      <c r="C1335" s="0" t="s">
        <v>3921</v>
      </c>
    </row>
    <row r="1336" customFormat="false" ht="15" hidden="false" customHeight="false" outlineLevel="0" collapsed="false">
      <c r="A1336" s="0" t="s">
        <v>8</v>
      </c>
      <c r="B1336" s="0" t="s">
        <v>1866</v>
      </c>
      <c r="C1336" s="0" t="s">
        <v>3922</v>
      </c>
    </row>
    <row r="1337" customFormat="false" ht="15" hidden="false" customHeight="false" outlineLevel="0" collapsed="false">
      <c r="A1337" s="0" t="s">
        <v>8</v>
      </c>
      <c r="B1337" s="0" t="s">
        <v>1868</v>
      </c>
      <c r="C1337" s="0" t="s">
        <v>3920</v>
      </c>
      <c r="D1337" s="0" t="n">
        <v>50.2</v>
      </c>
    </row>
    <row r="1338" customFormat="false" ht="15" hidden="false" customHeight="false" outlineLevel="0" collapsed="false">
      <c r="A1338" s="0" t="s">
        <v>8</v>
      </c>
      <c r="B1338" s="0" t="s">
        <v>1868</v>
      </c>
      <c r="C1338" s="0" t="s">
        <v>3921</v>
      </c>
    </row>
    <row r="1339" customFormat="false" ht="15" hidden="false" customHeight="false" outlineLevel="0" collapsed="false">
      <c r="A1339" s="0" t="s">
        <v>8</v>
      </c>
      <c r="B1339" s="0" t="s">
        <v>1868</v>
      </c>
      <c r="C1339" s="0" t="s">
        <v>3922</v>
      </c>
    </row>
    <row r="1340" customFormat="false" ht="15" hidden="false" customHeight="false" outlineLevel="0" collapsed="false">
      <c r="A1340" s="0" t="s">
        <v>8</v>
      </c>
      <c r="B1340" s="0" t="s">
        <v>1871</v>
      </c>
      <c r="C1340" s="0" t="s">
        <v>3920</v>
      </c>
      <c r="D1340" s="0" t="n">
        <v>13.4</v>
      </c>
    </row>
    <row r="1341" customFormat="false" ht="15" hidden="false" customHeight="false" outlineLevel="0" collapsed="false">
      <c r="A1341" s="0" t="s">
        <v>8</v>
      </c>
      <c r="B1341" s="0" t="s">
        <v>1871</v>
      </c>
      <c r="C1341" s="0" t="s">
        <v>3921</v>
      </c>
    </row>
    <row r="1342" customFormat="false" ht="15" hidden="false" customHeight="false" outlineLevel="0" collapsed="false">
      <c r="A1342" s="0" t="s">
        <v>8</v>
      </c>
      <c r="B1342" s="0" t="s">
        <v>1871</v>
      </c>
      <c r="C1342" s="0" t="s">
        <v>3922</v>
      </c>
    </row>
    <row r="1343" customFormat="false" ht="15" hidden="false" customHeight="false" outlineLevel="0" collapsed="false">
      <c r="A1343" s="0" t="s">
        <v>8</v>
      </c>
      <c r="B1343" s="0" t="s">
        <v>1873</v>
      </c>
      <c r="C1343" s="0" t="s">
        <v>3920</v>
      </c>
      <c r="D1343" s="0" t="n">
        <v>15.52</v>
      </c>
    </row>
    <row r="1344" customFormat="false" ht="15" hidden="false" customHeight="false" outlineLevel="0" collapsed="false">
      <c r="A1344" s="0" t="s">
        <v>8</v>
      </c>
      <c r="B1344" s="0" t="s">
        <v>1873</v>
      </c>
      <c r="C1344" s="0" t="s">
        <v>3921</v>
      </c>
    </row>
    <row r="1345" customFormat="false" ht="15" hidden="false" customHeight="false" outlineLevel="0" collapsed="false">
      <c r="A1345" s="0" t="s">
        <v>8</v>
      </c>
      <c r="B1345" s="0" t="s">
        <v>1873</v>
      </c>
      <c r="C1345" s="0" t="s">
        <v>3922</v>
      </c>
    </row>
    <row r="1346" customFormat="false" ht="15" hidden="false" customHeight="false" outlineLevel="0" collapsed="false">
      <c r="A1346" s="0" t="s">
        <v>8</v>
      </c>
      <c r="B1346" s="0" t="s">
        <v>1877</v>
      </c>
      <c r="C1346" s="0" t="s">
        <v>3920</v>
      </c>
      <c r="D1346" s="0" t="n">
        <v>15.53</v>
      </c>
    </row>
    <row r="1347" customFormat="false" ht="15" hidden="false" customHeight="false" outlineLevel="0" collapsed="false">
      <c r="A1347" s="0" t="s">
        <v>8</v>
      </c>
      <c r="B1347" s="0" t="s">
        <v>1877</v>
      </c>
      <c r="C1347" s="0" t="s">
        <v>3921</v>
      </c>
    </row>
    <row r="1348" customFormat="false" ht="15" hidden="false" customHeight="false" outlineLevel="0" collapsed="false">
      <c r="A1348" s="0" t="s">
        <v>8</v>
      </c>
      <c r="B1348" s="0" t="s">
        <v>1877</v>
      </c>
      <c r="C1348" s="0" t="s">
        <v>3922</v>
      </c>
    </row>
    <row r="1349" customFormat="false" ht="15" hidden="false" customHeight="false" outlineLevel="0" collapsed="false">
      <c r="A1349" s="0" t="s">
        <v>8</v>
      </c>
      <c r="B1349" s="0" t="s">
        <v>1882</v>
      </c>
      <c r="C1349" s="0" t="s">
        <v>3920</v>
      </c>
      <c r="D1349" s="0" t="n">
        <v>11.45</v>
      </c>
    </row>
    <row r="1350" customFormat="false" ht="15" hidden="false" customHeight="false" outlineLevel="0" collapsed="false">
      <c r="A1350" s="0" t="s">
        <v>8</v>
      </c>
      <c r="B1350" s="0" t="s">
        <v>1882</v>
      </c>
      <c r="C1350" s="0" t="s">
        <v>3921</v>
      </c>
    </row>
    <row r="1351" customFormat="false" ht="15" hidden="false" customHeight="false" outlineLevel="0" collapsed="false">
      <c r="A1351" s="0" t="s">
        <v>8</v>
      </c>
      <c r="B1351" s="0" t="s">
        <v>1882</v>
      </c>
      <c r="C1351" s="0" t="s">
        <v>3922</v>
      </c>
    </row>
    <row r="1352" customFormat="false" ht="15" hidden="false" customHeight="false" outlineLevel="0" collapsed="false">
      <c r="A1352" s="0" t="s">
        <v>8</v>
      </c>
      <c r="B1352" s="0" t="s">
        <v>1886</v>
      </c>
      <c r="C1352" s="0" t="s">
        <v>3920</v>
      </c>
      <c r="D1352" s="0" t="n">
        <v>0.15</v>
      </c>
    </row>
    <row r="1353" customFormat="false" ht="15" hidden="false" customHeight="false" outlineLevel="0" collapsed="false">
      <c r="A1353" s="0" t="s">
        <v>8</v>
      </c>
      <c r="B1353" s="0" t="s">
        <v>1886</v>
      </c>
      <c r="C1353" s="0" t="s">
        <v>3921</v>
      </c>
    </row>
    <row r="1354" customFormat="false" ht="15" hidden="false" customHeight="false" outlineLevel="0" collapsed="false">
      <c r="A1354" s="0" t="s">
        <v>8</v>
      </c>
      <c r="B1354" s="0" t="s">
        <v>1886</v>
      </c>
      <c r="C1354" s="0" t="s">
        <v>3922</v>
      </c>
    </row>
    <row r="1355" customFormat="false" ht="15" hidden="false" customHeight="false" outlineLevel="0" collapsed="false">
      <c r="A1355" s="0" t="s">
        <v>8</v>
      </c>
      <c r="B1355" s="0" t="s">
        <v>1889</v>
      </c>
      <c r="C1355" s="0" t="s">
        <v>3920</v>
      </c>
      <c r="D1355" s="0" t="n">
        <v>100000</v>
      </c>
    </row>
    <row r="1356" customFormat="false" ht="15" hidden="false" customHeight="false" outlineLevel="0" collapsed="false">
      <c r="A1356" s="0" t="s">
        <v>8</v>
      </c>
      <c r="B1356" s="0" t="s">
        <v>1889</v>
      </c>
      <c r="C1356" s="0" t="s">
        <v>3921</v>
      </c>
    </row>
    <row r="1357" customFormat="false" ht="15" hidden="false" customHeight="false" outlineLevel="0" collapsed="false">
      <c r="A1357" s="0" t="s">
        <v>8</v>
      </c>
      <c r="B1357" s="0" t="s">
        <v>1889</v>
      </c>
      <c r="C1357" s="0" t="s">
        <v>3922</v>
      </c>
    </row>
    <row r="1358" customFormat="false" ht="15" hidden="false" customHeight="false" outlineLevel="0" collapsed="false">
      <c r="A1358" s="0" t="s">
        <v>8</v>
      </c>
      <c r="B1358" s="0" t="s">
        <v>1896</v>
      </c>
      <c r="C1358" s="0" t="s">
        <v>3920</v>
      </c>
      <c r="D1358" s="0" t="n">
        <v>100000</v>
      </c>
    </row>
    <row r="1359" customFormat="false" ht="15" hidden="false" customHeight="false" outlineLevel="0" collapsed="false">
      <c r="A1359" s="0" t="s">
        <v>8</v>
      </c>
      <c r="B1359" s="0" t="s">
        <v>1896</v>
      </c>
      <c r="C1359" s="0" t="s">
        <v>3921</v>
      </c>
    </row>
    <row r="1360" customFormat="false" ht="15" hidden="false" customHeight="false" outlineLevel="0" collapsed="false">
      <c r="A1360" s="0" t="s">
        <v>8</v>
      </c>
      <c r="B1360" s="0" t="s">
        <v>1896</v>
      </c>
      <c r="C1360" s="0" t="s">
        <v>3922</v>
      </c>
    </row>
    <row r="1361" customFormat="false" ht="15" hidden="false" customHeight="false" outlineLevel="0" collapsed="false">
      <c r="A1361" s="0" t="s">
        <v>8</v>
      </c>
      <c r="B1361" s="0" t="s">
        <v>1903</v>
      </c>
      <c r="C1361" s="0" t="s">
        <v>3920</v>
      </c>
      <c r="D1361" s="0" t="n">
        <v>80</v>
      </c>
    </row>
    <row r="1362" customFormat="false" ht="15" hidden="false" customHeight="false" outlineLevel="0" collapsed="false">
      <c r="A1362" s="0" t="s">
        <v>8</v>
      </c>
      <c r="B1362" s="0" t="s">
        <v>1903</v>
      </c>
      <c r="C1362" s="0" t="s">
        <v>3921</v>
      </c>
    </row>
    <row r="1363" customFormat="false" ht="15" hidden="false" customHeight="false" outlineLevel="0" collapsed="false">
      <c r="A1363" s="0" t="s">
        <v>8</v>
      </c>
      <c r="B1363" s="0" t="s">
        <v>1903</v>
      </c>
      <c r="C1363" s="0" t="s">
        <v>3922</v>
      </c>
    </row>
    <row r="1364" customFormat="false" ht="15" hidden="false" customHeight="false" outlineLevel="0" collapsed="false">
      <c r="A1364" s="0" t="s">
        <v>8</v>
      </c>
      <c r="B1364" s="0" t="s">
        <v>1908</v>
      </c>
      <c r="C1364" s="0" t="s">
        <v>3920</v>
      </c>
      <c r="D1364" s="0" t="n">
        <v>3</v>
      </c>
    </row>
    <row r="1365" customFormat="false" ht="15" hidden="false" customHeight="false" outlineLevel="0" collapsed="false">
      <c r="A1365" s="0" t="s">
        <v>8</v>
      </c>
      <c r="B1365" s="0" t="s">
        <v>1908</v>
      </c>
      <c r="C1365" s="0" t="s">
        <v>3921</v>
      </c>
    </row>
    <row r="1366" customFormat="false" ht="15" hidden="false" customHeight="false" outlineLevel="0" collapsed="false">
      <c r="A1366" s="0" t="s">
        <v>8</v>
      </c>
      <c r="B1366" s="0" t="s">
        <v>1908</v>
      </c>
      <c r="C1366" s="0" t="s">
        <v>3922</v>
      </c>
    </row>
    <row r="1367" customFormat="false" ht="15" hidden="false" customHeight="false" outlineLevel="0" collapsed="false">
      <c r="A1367" s="0" t="s">
        <v>8</v>
      </c>
      <c r="B1367" s="0" t="s">
        <v>1914</v>
      </c>
      <c r="C1367" s="0" t="s">
        <v>3920</v>
      </c>
      <c r="D1367" s="0" t="n">
        <v>14</v>
      </c>
    </row>
    <row r="1368" customFormat="false" ht="15" hidden="false" customHeight="false" outlineLevel="0" collapsed="false">
      <c r="A1368" s="0" t="s">
        <v>8</v>
      </c>
      <c r="B1368" s="0" t="s">
        <v>1914</v>
      </c>
      <c r="C1368" s="0" t="s">
        <v>3921</v>
      </c>
    </row>
    <row r="1369" customFormat="false" ht="15" hidden="false" customHeight="false" outlineLevel="0" collapsed="false">
      <c r="A1369" s="0" t="s">
        <v>8</v>
      </c>
      <c r="B1369" s="0" t="s">
        <v>1914</v>
      </c>
      <c r="C1369" s="0" t="s">
        <v>3922</v>
      </c>
    </row>
    <row r="1370" customFormat="false" ht="15" hidden="false" customHeight="false" outlineLevel="0" collapsed="false">
      <c r="A1370" s="0" t="s">
        <v>8</v>
      </c>
      <c r="B1370" s="0" t="s">
        <v>1919</v>
      </c>
      <c r="C1370" s="0" t="s">
        <v>3920</v>
      </c>
      <c r="D1370" s="0" t="n">
        <v>50</v>
      </c>
    </row>
    <row r="1371" customFormat="false" ht="15" hidden="false" customHeight="false" outlineLevel="0" collapsed="false">
      <c r="A1371" s="0" t="s">
        <v>8</v>
      </c>
      <c r="B1371" s="0" t="s">
        <v>1919</v>
      </c>
      <c r="C1371" s="0" t="s">
        <v>3921</v>
      </c>
    </row>
    <row r="1372" customFormat="false" ht="15" hidden="false" customHeight="false" outlineLevel="0" collapsed="false">
      <c r="A1372" s="0" t="s">
        <v>8</v>
      </c>
      <c r="B1372" s="0" t="s">
        <v>1919</v>
      </c>
      <c r="C1372" s="0" t="s">
        <v>3922</v>
      </c>
    </row>
    <row r="1373" customFormat="false" ht="15" hidden="false" customHeight="false" outlineLevel="0" collapsed="false">
      <c r="A1373" s="0" t="s">
        <v>8</v>
      </c>
      <c r="B1373" s="0" t="s">
        <v>1923</v>
      </c>
      <c r="C1373" s="0" t="s">
        <v>3920</v>
      </c>
      <c r="D1373" s="0" t="n">
        <v>1</v>
      </c>
    </row>
    <row r="1374" customFormat="false" ht="15" hidden="false" customHeight="false" outlineLevel="0" collapsed="false">
      <c r="A1374" s="0" t="s">
        <v>8</v>
      </c>
      <c r="B1374" s="0" t="s">
        <v>1923</v>
      </c>
      <c r="C1374" s="0" t="s">
        <v>3921</v>
      </c>
    </row>
    <row r="1375" customFormat="false" ht="15" hidden="false" customHeight="false" outlineLevel="0" collapsed="false">
      <c r="A1375" s="0" t="s">
        <v>8</v>
      </c>
      <c r="B1375" s="0" t="s">
        <v>1923</v>
      </c>
      <c r="C1375" s="0" t="s">
        <v>3922</v>
      </c>
    </row>
    <row r="1376" customFormat="false" ht="15" hidden="false" customHeight="false" outlineLevel="0" collapsed="false">
      <c r="A1376" s="0" t="s">
        <v>8</v>
      </c>
      <c r="B1376" s="0" t="s">
        <v>1932</v>
      </c>
      <c r="C1376" s="0" t="s">
        <v>3920</v>
      </c>
    </row>
    <row r="1377" customFormat="false" ht="15" hidden="false" customHeight="false" outlineLevel="0" collapsed="false">
      <c r="A1377" s="0" t="s">
        <v>8</v>
      </c>
      <c r="B1377" s="0" t="s">
        <v>1932</v>
      </c>
      <c r="C1377" s="0" t="s">
        <v>3921</v>
      </c>
    </row>
    <row r="1378" customFormat="false" ht="15" hidden="false" customHeight="false" outlineLevel="0" collapsed="false">
      <c r="A1378" s="0" t="s">
        <v>8</v>
      </c>
      <c r="B1378" s="0" t="s">
        <v>1932</v>
      </c>
      <c r="C1378" s="0" t="s">
        <v>3922</v>
      </c>
    </row>
    <row r="1379" customFormat="false" ht="15" hidden="false" customHeight="false" outlineLevel="0" collapsed="false">
      <c r="A1379" s="0" t="s">
        <v>8</v>
      </c>
      <c r="B1379" s="0" t="s">
        <v>1937</v>
      </c>
      <c r="C1379" s="0" t="s">
        <v>3920</v>
      </c>
      <c r="D1379" s="0" t="n">
        <v>5</v>
      </c>
    </row>
    <row r="1380" customFormat="false" ht="15" hidden="false" customHeight="false" outlineLevel="0" collapsed="false">
      <c r="A1380" s="0" t="s">
        <v>8</v>
      </c>
      <c r="B1380" s="0" t="s">
        <v>1937</v>
      </c>
      <c r="C1380" s="0" t="s">
        <v>3921</v>
      </c>
    </row>
    <row r="1381" customFormat="false" ht="15" hidden="false" customHeight="false" outlineLevel="0" collapsed="false">
      <c r="A1381" s="0" t="s">
        <v>8</v>
      </c>
      <c r="B1381" s="0" t="s">
        <v>1937</v>
      </c>
      <c r="C1381" s="0" t="s">
        <v>3922</v>
      </c>
    </row>
    <row r="1382" customFormat="false" ht="15" hidden="false" customHeight="false" outlineLevel="0" collapsed="false">
      <c r="A1382" s="0" t="s">
        <v>8</v>
      </c>
      <c r="B1382" s="0" t="s">
        <v>1946</v>
      </c>
      <c r="C1382" s="0" t="s">
        <v>3920</v>
      </c>
      <c r="D1382" s="0" t="n">
        <v>50</v>
      </c>
    </row>
    <row r="1383" customFormat="false" ht="15" hidden="false" customHeight="false" outlineLevel="0" collapsed="false">
      <c r="A1383" s="0" t="s">
        <v>8</v>
      </c>
      <c r="B1383" s="0" t="s">
        <v>1946</v>
      </c>
      <c r="C1383" s="0" t="s">
        <v>3921</v>
      </c>
    </row>
    <row r="1384" customFormat="false" ht="15" hidden="false" customHeight="false" outlineLevel="0" collapsed="false">
      <c r="A1384" s="0" t="s">
        <v>8</v>
      </c>
      <c r="B1384" s="0" t="s">
        <v>1946</v>
      </c>
      <c r="C1384" s="0" t="s">
        <v>3922</v>
      </c>
    </row>
    <row r="1385" customFormat="false" ht="15" hidden="false" customHeight="false" outlineLevel="0" collapsed="false">
      <c r="A1385" s="0" t="s">
        <v>8</v>
      </c>
      <c r="B1385" s="0" t="s">
        <v>1951</v>
      </c>
      <c r="C1385" s="0" t="s">
        <v>3920</v>
      </c>
      <c r="D1385" s="0" t="n">
        <v>7.47</v>
      </c>
    </row>
    <row r="1386" customFormat="false" ht="15" hidden="false" customHeight="false" outlineLevel="0" collapsed="false">
      <c r="A1386" s="0" t="s">
        <v>8</v>
      </c>
      <c r="B1386" s="0" t="s">
        <v>1951</v>
      </c>
      <c r="C1386" s="0" t="s">
        <v>3921</v>
      </c>
      <c r="D1386" s="0" t="n">
        <v>7.03</v>
      </c>
    </row>
    <row r="1387" customFormat="false" ht="15" hidden="false" customHeight="false" outlineLevel="0" collapsed="false">
      <c r="A1387" s="0" t="s">
        <v>8</v>
      </c>
      <c r="B1387" s="0" t="s">
        <v>1951</v>
      </c>
      <c r="C1387" s="0" t="s">
        <v>3922</v>
      </c>
      <c r="D1387" s="0" t="n">
        <v>8.16</v>
      </c>
    </row>
    <row r="1388" customFormat="false" ht="15" hidden="false" customHeight="false" outlineLevel="0" collapsed="false">
      <c r="A1388" s="0" t="s">
        <v>8</v>
      </c>
      <c r="B1388" s="0" t="s">
        <v>1958</v>
      </c>
      <c r="C1388" s="0" t="s">
        <v>3920</v>
      </c>
      <c r="D1388" s="0" t="n">
        <v>43000</v>
      </c>
    </row>
    <row r="1389" customFormat="false" ht="15" hidden="false" customHeight="false" outlineLevel="0" collapsed="false">
      <c r="A1389" s="0" t="s">
        <v>8</v>
      </c>
      <c r="B1389" s="0" t="s">
        <v>1958</v>
      </c>
      <c r="C1389" s="0" t="s">
        <v>3921</v>
      </c>
      <c r="D1389" s="0" t="n">
        <v>40500</v>
      </c>
    </row>
    <row r="1390" customFormat="false" ht="15" hidden="false" customHeight="false" outlineLevel="0" collapsed="false">
      <c r="A1390" s="0" t="s">
        <v>8</v>
      </c>
      <c r="B1390" s="0" t="s">
        <v>1958</v>
      </c>
      <c r="C1390" s="0" t="s">
        <v>3922</v>
      </c>
      <c r="D1390" s="0" t="n">
        <v>47000</v>
      </c>
    </row>
    <row r="1391" customFormat="false" ht="15" hidden="false" customHeight="false" outlineLevel="0" collapsed="false">
      <c r="A1391" s="0" t="s">
        <v>8</v>
      </c>
      <c r="B1391" s="0" t="s">
        <v>1963</v>
      </c>
      <c r="C1391" s="0" t="s">
        <v>3920</v>
      </c>
      <c r="D1391" s="0" t="n">
        <v>35000</v>
      </c>
    </row>
    <row r="1392" customFormat="false" ht="15" hidden="false" customHeight="false" outlineLevel="0" collapsed="false">
      <c r="A1392" s="0" t="s">
        <v>8</v>
      </c>
      <c r="B1392" s="0" t="s">
        <v>1963</v>
      </c>
      <c r="C1392" s="0" t="s">
        <v>3921</v>
      </c>
      <c r="D1392" s="0" t="n">
        <v>34000</v>
      </c>
    </row>
    <row r="1393" customFormat="false" ht="15" hidden="false" customHeight="false" outlineLevel="0" collapsed="false">
      <c r="A1393" s="0" t="s">
        <v>8</v>
      </c>
      <c r="B1393" s="0" t="s">
        <v>1963</v>
      </c>
      <c r="C1393" s="0" t="s">
        <v>3922</v>
      </c>
      <c r="D1393" s="0" t="n">
        <v>35000</v>
      </c>
    </row>
    <row r="1394" customFormat="false" ht="15" hidden="false" customHeight="false" outlineLevel="0" collapsed="false">
      <c r="A1394" s="0" t="s">
        <v>8</v>
      </c>
      <c r="B1394" s="0" t="s">
        <v>1969</v>
      </c>
      <c r="C1394" s="0" t="s">
        <v>3920</v>
      </c>
      <c r="D1394" s="0" t="n">
        <v>78000</v>
      </c>
    </row>
    <row r="1395" customFormat="false" ht="15" hidden="false" customHeight="false" outlineLevel="0" collapsed="false">
      <c r="A1395" s="0" t="s">
        <v>8</v>
      </c>
      <c r="B1395" s="0" t="s">
        <v>1969</v>
      </c>
      <c r="C1395" s="0" t="s">
        <v>3921</v>
      </c>
      <c r="D1395" s="0" t="n">
        <v>78000</v>
      </c>
    </row>
    <row r="1396" customFormat="false" ht="15" hidden="false" customHeight="false" outlineLevel="0" collapsed="false">
      <c r="A1396" s="0" t="s">
        <v>8</v>
      </c>
      <c r="B1396" s="0" t="s">
        <v>1969</v>
      </c>
      <c r="C1396" s="0" t="s">
        <v>3922</v>
      </c>
      <c r="D1396" s="0" t="n">
        <v>85000</v>
      </c>
    </row>
    <row r="1397" customFormat="false" ht="15" hidden="false" customHeight="false" outlineLevel="0" collapsed="false">
      <c r="A1397" s="0" t="s">
        <v>8</v>
      </c>
      <c r="B1397" s="0" t="s">
        <v>1975</v>
      </c>
      <c r="C1397" s="0" t="s">
        <v>3920</v>
      </c>
      <c r="D1397" s="0" t="n">
        <v>36000</v>
      </c>
    </row>
    <row r="1398" customFormat="false" ht="15" hidden="false" customHeight="false" outlineLevel="0" collapsed="false">
      <c r="A1398" s="0" t="s">
        <v>8</v>
      </c>
      <c r="B1398" s="0" t="s">
        <v>1975</v>
      </c>
      <c r="C1398" s="0" t="s">
        <v>3921</v>
      </c>
      <c r="D1398" s="0" t="n">
        <v>34000</v>
      </c>
    </row>
    <row r="1399" customFormat="false" ht="15" hidden="false" customHeight="false" outlineLevel="0" collapsed="false">
      <c r="A1399" s="0" t="s">
        <v>8</v>
      </c>
      <c r="B1399" s="0" t="s">
        <v>1975</v>
      </c>
      <c r="C1399" s="0" t="s">
        <v>3922</v>
      </c>
      <c r="D1399" s="0" t="n">
        <v>36000</v>
      </c>
    </row>
    <row r="1400" customFormat="false" ht="15" hidden="false" customHeight="false" outlineLevel="0" collapsed="false">
      <c r="A1400" s="0" t="s">
        <v>8</v>
      </c>
      <c r="B1400" s="0" t="s">
        <v>1979</v>
      </c>
      <c r="C1400" s="0" t="s">
        <v>3920</v>
      </c>
      <c r="D1400" s="0" t="n">
        <v>85000</v>
      </c>
    </row>
    <row r="1401" customFormat="false" ht="15" hidden="false" customHeight="false" outlineLevel="0" collapsed="false">
      <c r="A1401" s="0" t="s">
        <v>8</v>
      </c>
      <c r="B1401" s="0" t="s">
        <v>1979</v>
      </c>
      <c r="C1401" s="0" t="s">
        <v>3921</v>
      </c>
      <c r="D1401" s="0" t="n">
        <v>75000</v>
      </c>
    </row>
    <row r="1402" customFormat="false" ht="15" hidden="false" customHeight="false" outlineLevel="0" collapsed="false">
      <c r="A1402" s="0" t="s">
        <v>8</v>
      </c>
      <c r="B1402" s="0" t="s">
        <v>1979</v>
      </c>
      <c r="C1402" s="0" t="s">
        <v>3922</v>
      </c>
      <c r="D1402" s="0" t="n">
        <v>85000</v>
      </c>
    </row>
    <row r="1403" customFormat="false" ht="15" hidden="false" customHeight="false" outlineLevel="0" collapsed="false">
      <c r="A1403" s="0" t="s">
        <v>8</v>
      </c>
      <c r="B1403" s="0" t="s">
        <v>1983</v>
      </c>
      <c r="C1403" s="0" t="s">
        <v>3920</v>
      </c>
      <c r="D1403" s="0" t="n">
        <v>16000</v>
      </c>
    </row>
    <row r="1404" customFormat="false" ht="15" hidden="false" customHeight="false" outlineLevel="0" collapsed="false">
      <c r="A1404" s="0" t="s">
        <v>8</v>
      </c>
      <c r="B1404" s="0" t="s">
        <v>1983</v>
      </c>
      <c r="C1404" s="0" t="s">
        <v>3921</v>
      </c>
      <c r="D1404" s="0" t="n">
        <v>15000</v>
      </c>
    </row>
    <row r="1405" customFormat="false" ht="15" hidden="false" customHeight="false" outlineLevel="0" collapsed="false">
      <c r="A1405" s="0" t="s">
        <v>8</v>
      </c>
      <c r="B1405" s="0" t="s">
        <v>1983</v>
      </c>
      <c r="C1405" s="0" t="s">
        <v>3922</v>
      </c>
      <c r="D1405" s="0" t="n">
        <v>16000</v>
      </c>
    </row>
    <row r="1406" customFormat="false" ht="15" hidden="false" customHeight="false" outlineLevel="0" collapsed="false">
      <c r="A1406" s="0" t="s">
        <v>8</v>
      </c>
      <c r="B1406" s="0" t="s">
        <v>1989</v>
      </c>
      <c r="C1406" s="0" t="s">
        <v>3920</v>
      </c>
      <c r="D1406" s="0" t="n">
        <v>16000</v>
      </c>
    </row>
    <row r="1407" customFormat="false" ht="15" hidden="false" customHeight="false" outlineLevel="0" collapsed="false">
      <c r="A1407" s="0" t="s">
        <v>8</v>
      </c>
      <c r="B1407" s="0" t="s">
        <v>1989</v>
      </c>
      <c r="C1407" s="0" t="s">
        <v>3921</v>
      </c>
      <c r="D1407" s="0" t="n">
        <v>16000</v>
      </c>
    </row>
    <row r="1408" customFormat="false" ht="15" hidden="false" customHeight="false" outlineLevel="0" collapsed="false">
      <c r="A1408" s="0" t="s">
        <v>8</v>
      </c>
      <c r="B1408" s="0" t="s">
        <v>1989</v>
      </c>
      <c r="C1408" s="0" t="s">
        <v>3922</v>
      </c>
      <c r="D1408" s="0" t="n">
        <v>19000</v>
      </c>
    </row>
    <row r="1409" customFormat="false" ht="15" hidden="false" customHeight="false" outlineLevel="0" collapsed="false">
      <c r="A1409" s="0" t="s">
        <v>8</v>
      </c>
      <c r="B1409" s="0" t="s">
        <v>1995</v>
      </c>
      <c r="C1409" s="0" t="s">
        <v>3920</v>
      </c>
      <c r="D1409" s="0" t="n">
        <v>12000</v>
      </c>
    </row>
    <row r="1410" customFormat="false" ht="15" hidden="false" customHeight="false" outlineLevel="0" collapsed="false">
      <c r="A1410" s="0" t="s">
        <v>8</v>
      </c>
      <c r="B1410" s="0" t="s">
        <v>1995</v>
      </c>
      <c r="C1410" s="0" t="s">
        <v>3921</v>
      </c>
      <c r="D1410" s="0" t="n">
        <v>12000</v>
      </c>
    </row>
    <row r="1411" customFormat="false" ht="15" hidden="false" customHeight="false" outlineLevel="0" collapsed="false">
      <c r="A1411" s="0" t="s">
        <v>8</v>
      </c>
      <c r="B1411" s="0" t="s">
        <v>1995</v>
      </c>
      <c r="C1411" s="0" t="s">
        <v>3922</v>
      </c>
      <c r="D1411" s="0" t="n">
        <v>17000</v>
      </c>
    </row>
    <row r="1412" customFormat="false" ht="15" hidden="false" customHeight="false" outlineLevel="0" collapsed="false">
      <c r="A1412" s="0" t="s">
        <v>8</v>
      </c>
      <c r="B1412" s="0" t="s">
        <v>2000</v>
      </c>
      <c r="C1412" s="0" t="s">
        <v>3920</v>
      </c>
      <c r="D1412" s="0" t="n">
        <v>25000</v>
      </c>
    </row>
    <row r="1413" customFormat="false" ht="15" hidden="false" customHeight="false" outlineLevel="0" collapsed="false">
      <c r="A1413" s="0" t="s">
        <v>8</v>
      </c>
      <c r="B1413" s="0" t="s">
        <v>2000</v>
      </c>
      <c r="C1413" s="0" t="s">
        <v>3921</v>
      </c>
      <c r="D1413" s="0" t="n">
        <v>16000</v>
      </c>
    </row>
    <row r="1414" customFormat="false" ht="15" hidden="false" customHeight="false" outlineLevel="0" collapsed="false">
      <c r="A1414" s="0" t="s">
        <v>8</v>
      </c>
      <c r="B1414" s="0" t="s">
        <v>2000</v>
      </c>
      <c r="C1414" s="0" t="s">
        <v>3922</v>
      </c>
      <c r="D1414" s="0" t="n">
        <v>25000</v>
      </c>
    </row>
    <row r="1415" customFormat="false" ht="15" hidden="false" customHeight="false" outlineLevel="0" collapsed="false">
      <c r="A1415" s="0" t="s">
        <v>8</v>
      </c>
      <c r="B1415" s="0" t="s">
        <v>2008</v>
      </c>
      <c r="C1415" s="0" t="s">
        <v>3920</v>
      </c>
      <c r="D1415" s="0" t="n">
        <v>18.75</v>
      </c>
    </row>
    <row r="1416" customFormat="false" ht="15" hidden="false" customHeight="false" outlineLevel="0" collapsed="false">
      <c r="A1416" s="0" t="s">
        <v>8</v>
      </c>
      <c r="B1416" s="0" t="s">
        <v>2008</v>
      </c>
      <c r="C1416" s="0" t="s">
        <v>3921</v>
      </c>
      <c r="D1416" s="0" t="n">
        <v>11.83</v>
      </c>
    </row>
    <row r="1417" customFormat="false" ht="15" hidden="false" customHeight="false" outlineLevel="0" collapsed="false">
      <c r="A1417" s="0" t="s">
        <v>8</v>
      </c>
      <c r="B1417" s="0" t="s">
        <v>2008</v>
      </c>
      <c r="C1417" s="0" t="s">
        <v>3922</v>
      </c>
      <c r="D1417" s="0" t="n">
        <v>18.75</v>
      </c>
    </row>
    <row r="1418" customFormat="false" ht="15" hidden="false" customHeight="false" outlineLevel="0" collapsed="false">
      <c r="A1418" s="0" t="s">
        <v>8</v>
      </c>
      <c r="B1418" s="0" t="s">
        <v>2012</v>
      </c>
      <c r="C1418" s="0" t="s">
        <v>3920</v>
      </c>
      <c r="D1418" s="0" t="n">
        <v>11.83</v>
      </c>
    </row>
    <row r="1419" customFormat="false" ht="15" hidden="false" customHeight="false" outlineLevel="0" collapsed="false">
      <c r="A1419" s="0" t="s">
        <v>8</v>
      </c>
      <c r="B1419" s="0" t="s">
        <v>2012</v>
      </c>
      <c r="C1419" s="0" t="s">
        <v>3921</v>
      </c>
      <c r="D1419" s="0" t="n">
        <v>11.83</v>
      </c>
    </row>
    <row r="1420" customFormat="false" ht="15" hidden="false" customHeight="false" outlineLevel="0" collapsed="false">
      <c r="A1420" s="0" t="s">
        <v>8</v>
      </c>
      <c r="B1420" s="0" t="s">
        <v>2012</v>
      </c>
      <c r="C1420" s="0" t="s">
        <v>3922</v>
      </c>
      <c r="D1420" s="0" t="n">
        <v>18.75</v>
      </c>
    </row>
    <row r="1421" customFormat="false" ht="15" hidden="false" customHeight="false" outlineLevel="0" collapsed="false">
      <c r="A1421" s="0" t="s">
        <v>8</v>
      </c>
      <c r="B1421" s="0" t="s">
        <v>2015</v>
      </c>
      <c r="C1421" s="0" t="s">
        <v>3920</v>
      </c>
      <c r="D1421" s="0" t="n">
        <v>13.36</v>
      </c>
    </row>
    <row r="1422" customFormat="false" ht="15" hidden="false" customHeight="false" outlineLevel="0" collapsed="false">
      <c r="A1422" s="0" t="s">
        <v>8</v>
      </c>
      <c r="B1422" s="0" t="s">
        <v>2015</v>
      </c>
      <c r="C1422" s="0" t="s">
        <v>3921</v>
      </c>
    </row>
    <row r="1423" customFormat="false" ht="15" hidden="false" customHeight="false" outlineLevel="0" collapsed="false">
      <c r="A1423" s="0" t="s">
        <v>8</v>
      </c>
      <c r="B1423" s="0" t="s">
        <v>2015</v>
      </c>
      <c r="C1423" s="0" t="s">
        <v>3922</v>
      </c>
    </row>
    <row r="1424" customFormat="false" ht="15" hidden="false" customHeight="false" outlineLevel="0" collapsed="false">
      <c r="A1424" s="0" t="s">
        <v>8</v>
      </c>
      <c r="B1424" s="0" t="s">
        <v>2022</v>
      </c>
      <c r="C1424" s="0" t="s">
        <v>3920</v>
      </c>
      <c r="D1424" s="0" t="n">
        <v>6.16</v>
      </c>
    </row>
    <row r="1425" customFormat="false" ht="15" hidden="false" customHeight="false" outlineLevel="0" collapsed="false">
      <c r="A1425" s="0" t="s">
        <v>8</v>
      </c>
      <c r="B1425" s="0" t="s">
        <v>2022</v>
      </c>
      <c r="C1425" s="0" t="s">
        <v>3921</v>
      </c>
    </row>
    <row r="1426" customFormat="false" ht="15" hidden="false" customHeight="false" outlineLevel="0" collapsed="false">
      <c r="A1426" s="0" t="s">
        <v>8</v>
      </c>
      <c r="B1426" s="0" t="s">
        <v>2022</v>
      </c>
      <c r="C1426" s="0" t="s">
        <v>3922</v>
      </c>
    </row>
    <row r="1427" customFormat="false" ht="15" hidden="false" customHeight="false" outlineLevel="0" collapsed="false">
      <c r="A1427" s="0" t="s">
        <v>8</v>
      </c>
      <c r="B1427" s="0" t="s">
        <v>2027</v>
      </c>
      <c r="C1427" s="0" t="s">
        <v>3920</v>
      </c>
      <c r="D1427" s="0" t="n">
        <v>13.7</v>
      </c>
    </row>
    <row r="1428" customFormat="false" ht="15" hidden="false" customHeight="false" outlineLevel="0" collapsed="false">
      <c r="A1428" s="0" t="s">
        <v>8</v>
      </c>
      <c r="B1428" s="0" t="s">
        <v>2027</v>
      </c>
      <c r="C1428" s="0" t="s">
        <v>3921</v>
      </c>
    </row>
    <row r="1429" customFormat="false" ht="15" hidden="false" customHeight="false" outlineLevel="0" collapsed="false">
      <c r="A1429" s="0" t="s">
        <v>8</v>
      </c>
      <c r="B1429" s="0" t="s">
        <v>2027</v>
      </c>
      <c r="C1429" s="0" t="s">
        <v>3922</v>
      </c>
    </row>
    <row r="1430" customFormat="false" ht="15" hidden="false" customHeight="false" outlineLevel="0" collapsed="false">
      <c r="A1430" s="0" t="s">
        <v>8</v>
      </c>
      <c r="B1430" s="0" t="s">
        <v>2032</v>
      </c>
      <c r="C1430" s="0" t="s">
        <v>3920</v>
      </c>
      <c r="D1430" s="0" t="n">
        <v>7.36</v>
      </c>
    </row>
    <row r="1431" customFormat="false" ht="15" hidden="false" customHeight="false" outlineLevel="0" collapsed="false">
      <c r="A1431" s="0" t="s">
        <v>8</v>
      </c>
      <c r="B1431" s="0" t="s">
        <v>2032</v>
      </c>
      <c r="C1431" s="0" t="s">
        <v>3921</v>
      </c>
    </row>
    <row r="1432" customFormat="false" ht="15" hidden="false" customHeight="false" outlineLevel="0" collapsed="false">
      <c r="A1432" s="0" t="s">
        <v>8</v>
      </c>
      <c r="B1432" s="0" t="s">
        <v>2032</v>
      </c>
      <c r="C1432" s="0" t="s">
        <v>3922</v>
      </c>
    </row>
    <row r="1433" customFormat="false" ht="15" hidden="false" customHeight="false" outlineLevel="0" collapsed="false">
      <c r="A1433" s="0" t="s">
        <v>8</v>
      </c>
      <c r="B1433" s="0" t="s">
        <v>2037</v>
      </c>
      <c r="C1433" s="0" t="s">
        <v>3920</v>
      </c>
      <c r="D1433" s="0" t="n">
        <v>2.74</v>
      </c>
    </row>
    <row r="1434" customFormat="false" ht="15" hidden="false" customHeight="false" outlineLevel="0" collapsed="false">
      <c r="A1434" s="0" t="s">
        <v>8</v>
      </c>
      <c r="B1434" s="0" t="s">
        <v>2037</v>
      </c>
      <c r="C1434" s="0" t="s">
        <v>3921</v>
      </c>
      <c r="D1434" s="0" t="n">
        <v>2.74</v>
      </c>
    </row>
    <row r="1435" customFormat="false" ht="15" hidden="false" customHeight="false" outlineLevel="0" collapsed="false">
      <c r="A1435" s="0" t="s">
        <v>8</v>
      </c>
      <c r="B1435" s="0" t="s">
        <v>2037</v>
      </c>
      <c r="C1435" s="0" t="s">
        <v>3922</v>
      </c>
      <c r="D1435" s="0" t="n">
        <v>4.28</v>
      </c>
    </row>
    <row r="1436" customFormat="false" ht="15" hidden="false" customHeight="false" outlineLevel="0" collapsed="false">
      <c r="A1436" s="0" t="s">
        <v>8</v>
      </c>
      <c r="B1436" s="0" t="s">
        <v>2043</v>
      </c>
      <c r="C1436" s="0" t="s">
        <v>3920</v>
      </c>
      <c r="D1436" s="0" t="n">
        <v>4.28</v>
      </c>
    </row>
    <row r="1437" customFormat="false" ht="15" hidden="false" customHeight="false" outlineLevel="0" collapsed="false">
      <c r="A1437" s="0" t="s">
        <v>8</v>
      </c>
      <c r="B1437" s="0" t="s">
        <v>2043</v>
      </c>
      <c r="C1437" s="0" t="s">
        <v>3921</v>
      </c>
      <c r="D1437" s="0" t="n">
        <v>2.74</v>
      </c>
    </row>
    <row r="1438" customFormat="false" ht="15" hidden="false" customHeight="false" outlineLevel="0" collapsed="false">
      <c r="A1438" s="0" t="s">
        <v>8</v>
      </c>
      <c r="B1438" s="0" t="s">
        <v>2043</v>
      </c>
      <c r="C1438" s="0" t="s">
        <v>3922</v>
      </c>
      <c r="D1438" s="0" t="n">
        <v>4.28</v>
      </c>
    </row>
    <row r="1439" customFormat="false" ht="15" hidden="false" customHeight="false" outlineLevel="0" collapsed="false">
      <c r="A1439" s="0" t="s">
        <v>8</v>
      </c>
      <c r="B1439" s="0" t="s">
        <v>2047</v>
      </c>
      <c r="C1439" s="0" t="s">
        <v>3920</v>
      </c>
      <c r="D1439" s="0" t="n">
        <v>0.6</v>
      </c>
    </row>
    <row r="1440" customFormat="false" ht="15" hidden="false" customHeight="false" outlineLevel="0" collapsed="false">
      <c r="A1440" s="0" t="s">
        <v>8</v>
      </c>
      <c r="B1440" s="0" t="s">
        <v>2047</v>
      </c>
      <c r="C1440" s="0" t="s">
        <v>3921</v>
      </c>
      <c r="D1440" s="0" t="n">
        <v>0.6</v>
      </c>
    </row>
    <row r="1441" customFormat="false" ht="15" hidden="false" customHeight="false" outlineLevel="0" collapsed="false">
      <c r="A1441" s="0" t="s">
        <v>8</v>
      </c>
      <c r="B1441" s="0" t="s">
        <v>2047</v>
      </c>
      <c r="C1441" s="0" t="s">
        <v>3922</v>
      </c>
      <c r="D1441" s="0" t="n">
        <v>0.8</v>
      </c>
    </row>
    <row r="1442" customFormat="false" ht="15" hidden="false" customHeight="false" outlineLevel="0" collapsed="false">
      <c r="A1442" s="0" t="s">
        <v>8</v>
      </c>
      <c r="B1442" s="0" t="s">
        <v>2055</v>
      </c>
      <c r="C1442" s="0" t="s">
        <v>3920</v>
      </c>
      <c r="D1442" s="0" t="n">
        <v>310</v>
      </c>
    </row>
    <row r="1443" customFormat="false" ht="15" hidden="false" customHeight="false" outlineLevel="0" collapsed="false">
      <c r="A1443" s="0" t="s">
        <v>8</v>
      </c>
      <c r="B1443" s="0" t="s">
        <v>2055</v>
      </c>
      <c r="C1443" s="0" t="s">
        <v>3921</v>
      </c>
      <c r="D1443" s="0" t="n">
        <v>310</v>
      </c>
    </row>
    <row r="1444" customFormat="false" ht="15" hidden="false" customHeight="false" outlineLevel="0" collapsed="false">
      <c r="A1444" s="0" t="s">
        <v>8</v>
      </c>
      <c r="B1444" s="0" t="s">
        <v>2055</v>
      </c>
      <c r="C1444" s="0" t="s">
        <v>3922</v>
      </c>
      <c r="D1444" s="0" t="n">
        <v>350</v>
      </c>
    </row>
    <row r="1445" customFormat="false" ht="15" hidden="false" customHeight="false" outlineLevel="0" collapsed="false">
      <c r="A1445" s="0" t="s">
        <v>8</v>
      </c>
      <c r="B1445" s="0" t="s">
        <v>2065</v>
      </c>
      <c r="C1445" s="0" t="s">
        <v>3920</v>
      </c>
      <c r="D1445" s="0" t="n">
        <v>752</v>
      </c>
    </row>
    <row r="1446" customFormat="false" ht="15" hidden="false" customHeight="false" outlineLevel="0" collapsed="false">
      <c r="A1446" s="0" t="s">
        <v>8</v>
      </c>
      <c r="B1446" s="0" t="s">
        <v>2065</v>
      </c>
      <c r="C1446" s="0" t="s">
        <v>3921</v>
      </c>
      <c r="D1446" s="0" t="n">
        <v>752</v>
      </c>
    </row>
    <row r="1447" customFormat="false" ht="15" hidden="false" customHeight="false" outlineLevel="0" collapsed="false">
      <c r="A1447" s="0" t="s">
        <v>8</v>
      </c>
      <c r="B1447" s="0" t="s">
        <v>2065</v>
      </c>
      <c r="C1447" s="0" t="s">
        <v>3922</v>
      </c>
      <c r="D1447" s="0" t="n">
        <v>780</v>
      </c>
    </row>
    <row r="1448" customFormat="false" ht="15" hidden="false" customHeight="false" outlineLevel="0" collapsed="false">
      <c r="A1448" s="0" t="s">
        <v>8</v>
      </c>
      <c r="B1448" s="0" t="s">
        <v>2072</v>
      </c>
      <c r="C1448" s="0" t="s">
        <v>3920</v>
      </c>
      <c r="D1448" s="0" t="n">
        <v>559</v>
      </c>
    </row>
    <row r="1449" customFormat="false" ht="15" hidden="false" customHeight="false" outlineLevel="0" collapsed="false">
      <c r="A1449" s="0" t="s">
        <v>8</v>
      </c>
      <c r="B1449" s="0" t="s">
        <v>2072</v>
      </c>
      <c r="C1449" s="0" t="s">
        <v>3921</v>
      </c>
      <c r="D1449" s="0" t="n">
        <v>559</v>
      </c>
    </row>
    <row r="1450" customFormat="false" ht="15" hidden="false" customHeight="false" outlineLevel="0" collapsed="false">
      <c r="A1450" s="0" t="s">
        <v>8</v>
      </c>
      <c r="B1450" s="0" t="s">
        <v>2072</v>
      </c>
      <c r="C1450" s="0" t="s">
        <v>3922</v>
      </c>
      <c r="D1450" s="0" t="n">
        <v>600</v>
      </c>
    </row>
    <row r="1451" customFormat="false" ht="15" hidden="false" customHeight="false" outlineLevel="0" collapsed="false">
      <c r="A1451" s="0" t="s">
        <v>8</v>
      </c>
      <c r="B1451" s="0" t="s">
        <v>2081</v>
      </c>
      <c r="C1451" s="0" t="s">
        <v>3920</v>
      </c>
      <c r="D1451" s="0" t="n">
        <v>3.9</v>
      </c>
    </row>
    <row r="1452" customFormat="false" ht="15" hidden="false" customHeight="false" outlineLevel="0" collapsed="false">
      <c r="A1452" s="0" t="s">
        <v>8</v>
      </c>
      <c r="B1452" s="0" t="s">
        <v>2081</v>
      </c>
      <c r="C1452" s="0" t="s">
        <v>3921</v>
      </c>
      <c r="D1452" s="0" t="n">
        <v>3.9</v>
      </c>
    </row>
    <row r="1453" customFormat="false" ht="15" hidden="false" customHeight="false" outlineLevel="0" collapsed="false">
      <c r="A1453" s="0" t="s">
        <v>8</v>
      </c>
      <c r="B1453" s="0" t="s">
        <v>2081</v>
      </c>
      <c r="C1453" s="0" t="s">
        <v>3922</v>
      </c>
      <c r="D1453" s="0" t="n">
        <v>4.1</v>
      </c>
    </row>
    <row r="1454" customFormat="false" ht="15" hidden="false" customHeight="false" outlineLevel="0" collapsed="false">
      <c r="A1454" s="0" t="s">
        <v>8</v>
      </c>
      <c r="B1454" s="0" t="s">
        <v>2085</v>
      </c>
      <c r="C1454" s="0" t="s">
        <v>3920</v>
      </c>
      <c r="D1454" s="0" t="n">
        <v>1943</v>
      </c>
    </row>
    <row r="1455" customFormat="false" ht="15" hidden="false" customHeight="false" outlineLevel="0" collapsed="false">
      <c r="A1455" s="0" t="s">
        <v>8</v>
      </c>
      <c r="B1455" s="0" t="s">
        <v>2085</v>
      </c>
      <c r="C1455" s="0" t="s">
        <v>3921</v>
      </c>
    </row>
    <row r="1456" customFormat="false" ht="15" hidden="false" customHeight="false" outlineLevel="0" collapsed="false">
      <c r="A1456" s="0" t="s">
        <v>8</v>
      </c>
      <c r="B1456" s="0" t="s">
        <v>2085</v>
      </c>
      <c r="C1456" s="0" t="s">
        <v>3922</v>
      </c>
    </row>
    <row r="1457" customFormat="false" ht="15" hidden="false" customHeight="false" outlineLevel="0" collapsed="false">
      <c r="A1457" s="0" t="s">
        <v>8</v>
      </c>
      <c r="B1457" s="0" t="s">
        <v>2095</v>
      </c>
      <c r="C1457" s="0" t="s">
        <v>3920</v>
      </c>
      <c r="D1457" s="0" t="n">
        <v>4.45</v>
      </c>
    </row>
    <row r="1458" customFormat="false" ht="15" hidden="false" customHeight="false" outlineLevel="0" collapsed="false">
      <c r="A1458" s="0" t="s">
        <v>8</v>
      </c>
      <c r="B1458" s="0" t="s">
        <v>2095</v>
      </c>
      <c r="C1458" s="0" t="s">
        <v>3921</v>
      </c>
    </row>
    <row r="1459" customFormat="false" ht="15" hidden="false" customHeight="false" outlineLevel="0" collapsed="false">
      <c r="A1459" s="0" t="s">
        <v>8</v>
      </c>
      <c r="B1459" s="0" t="s">
        <v>2095</v>
      </c>
      <c r="C1459" s="0" t="s">
        <v>3922</v>
      </c>
    </row>
    <row r="1460" customFormat="false" ht="15" hidden="false" customHeight="false" outlineLevel="0" collapsed="false">
      <c r="A1460" s="0" t="s">
        <v>8</v>
      </c>
      <c r="B1460" s="0" t="s">
        <v>2102</v>
      </c>
      <c r="C1460" s="0" t="s">
        <v>3920</v>
      </c>
      <c r="D1460" s="0" t="n">
        <v>148</v>
      </c>
    </row>
    <row r="1461" customFormat="false" ht="15" hidden="false" customHeight="false" outlineLevel="0" collapsed="false">
      <c r="A1461" s="0" t="s">
        <v>8</v>
      </c>
      <c r="B1461" s="0" t="s">
        <v>2102</v>
      </c>
      <c r="C1461" s="0" t="s">
        <v>3921</v>
      </c>
    </row>
    <row r="1462" customFormat="false" ht="15" hidden="false" customHeight="false" outlineLevel="0" collapsed="false">
      <c r="A1462" s="0" t="s">
        <v>8</v>
      </c>
      <c r="B1462" s="0" t="s">
        <v>2102</v>
      </c>
      <c r="C1462" s="0" t="s">
        <v>3922</v>
      </c>
    </row>
    <row r="1463" customFormat="false" ht="15" hidden="false" customHeight="false" outlineLevel="0" collapsed="false">
      <c r="A1463" s="0" t="s">
        <v>8</v>
      </c>
      <c r="B1463" s="0" t="s">
        <v>2110</v>
      </c>
      <c r="C1463" s="0" t="s">
        <v>3920</v>
      </c>
      <c r="D1463" s="0" t="n">
        <v>1979</v>
      </c>
    </row>
    <row r="1464" customFormat="false" ht="15" hidden="false" customHeight="false" outlineLevel="0" collapsed="false">
      <c r="A1464" s="0" t="s">
        <v>8</v>
      </c>
      <c r="B1464" s="0" t="s">
        <v>2110</v>
      </c>
      <c r="C1464" s="0" t="s">
        <v>3921</v>
      </c>
    </row>
    <row r="1465" customFormat="false" ht="15" hidden="false" customHeight="false" outlineLevel="0" collapsed="false">
      <c r="A1465" s="0" t="s">
        <v>8</v>
      </c>
      <c r="B1465" s="0" t="s">
        <v>2110</v>
      </c>
      <c r="C1465" s="0" t="s">
        <v>3922</v>
      </c>
    </row>
    <row r="1466" customFormat="false" ht="15" hidden="false" customHeight="false" outlineLevel="0" collapsed="false">
      <c r="A1466" s="0" t="s">
        <v>8</v>
      </c>
      <c r="B1466" s="0" t="s">
        <v>2117</v>
      </c>
      <c r="C1466" s="0" t="s">
        <v>3920</v>
      </c>
      <c r="D1466" s="0" t="n">
        <v>0.15</v>
      </c>
    </row>
    <row r="1467" customFormat="false" ht="15" hidden="false" customHeight="false" outlineLevel="0" collapsed="false">
      <c r="A1467" s="0" t="s">
        <v>8</v>
      </c>
      <c r="B1467" s="0" t="s">
        <v>2117</v>
      </c>
      <c r="C1467" s="0" t="s">
        <v>3921</v>
      </c>
    </row>
    <row r="1468" customFormat="false" ht="15" hidden="false" customHeight="false" outlineLevel="0" collapsed="false">
      <c r="A1468" s="0" t="s">
        <v>8</v>
      </c>
      <c r="B1468" s="0" t="s">
        <v>2117</v>
      </c>
      <c r="C1468" s="0" t="s">
        <v>3922</v>
      </c>
    </row>
    <row r="1469" customFormat="false" ht="15" hidden="false" customHeight="false" outlineLevel="0" collapsed="false">
      <c r="A1469" s="0" t="s">
        <v>8</v>
      </c>
      <c r="B1469" s="0" t="s">
        <v>2122</v>
      </c>
      <c r="C1469" s="0" t="s">
        <v>3920</v>
      </c>
      <c r="D1469" s="0" t="n">
        <v>0.34</v>
      </c>
    </row>
    <row r="1470" customFormat="false" ht="15" hidden="false" customHeight="false" outlineLevel="0" collapsed="false">
      <c r="A1470" s="0" t="s">
        <v>8</v>
      </c>
      <c r="B1470" s="0" t="s">
        <v>2122</v>
      </c>
      <c r="C1470" s="0" t="s">
        <v>3921</v>
      </c>
      <c r="D1470" s="0" t="n">
        <v>0.26</v>
      </c>
    </row>
    <row r="1471" customFormat="false" ht="15" hidden="false" customHeight="false" outlineLevel="0" collapsed="false">
      <c r="A1471" s="0" t="s">
        <v>8</v>
      </c>
      <c r="B1471" s="0" t="s">
        <v>2122</v>
      </c>
      <c r="C1471" s="0" t="s">
        <v>3922</v>
      </c>
      <c r="D1471" s="0" t="n">
        <v>0.42</v>
      </c>
    </row>
    <row r="1472" customFormat="false" ht="15" hidden="false" customHeight="false" outlineLevel="0" collapsed="false">
      <c r="A1472" s="0" t="s">
        <v>8</v>
      </c>
      <c r="B1472" s="0" t="s">
        <v>2129</v>
      </c>
      <c r="C1472" s="0" t="s">
        <v>3920</v>
      </c>
      <c r="D1472" s="0" t="n">
        <v>1.2</v>
      </c>
    </row>
    <row r="1473" customFormat="false" ht="15" hidden="false" customHeight="false" outlineLevel="0" collapsed="false">
      <c r="A1473" s="0" t="s">
        <v>8</v>
      </c>
      <c r="B1473" s="0" t="s">
        <v>2129</v>
      </c>
      <c r="C1473" s="0" t="s">
        <v>3921</v>
      </c>
      <c r="D1473" s="0" t="n">
        <v>0.5</v>
      </c>
    </row>
    <row r="1474" customFormat="false" ht="15" hidden="false" customHeight="false" outlineLevel="0" collapsed="false">
      <c r="A1474" s="0" t="s">
        <v>8</v>
      </c>
      <c r="B1474" s="0" t="s">
        <v>2129</v>
      </c>
      <c r="C1474" s="0" t="s">
        <v>3922</v>
      </c>
      <c r="D1474" s="0" t="n">
        <v>1.2</v>
      </c>
    </row>
    <row r="1475" customFormat="false" ht="15" hidden="false" customHeight="false" outlineLevel="0" collapsed="false">
      <c r="A1475" s="0" t="s">
        <v>8</v>
      </c>
      <c r="B1475" s="0" t="s">
        <v>2137</v>
      </c>
      <c r="C1475" s="0" t="s">
        <v>3920</v>
      </c>
      <c r="D1475" s="0" t="n">
        <v>243.77</v>
      </c>
    </row>
    <row r="1476" customFormat="false" ht="15" hidden="false" customHeight="false" outlineLevel="0" collapsed="false">
      <c r="A1476" s="0" t="s">
        <v>8</v>
      </c>
      <c r="B1476" s="0" t="s">
        <v>2137</v>
      </c>
      <c r="C1476" s="0" t="s">
        <v>3921</v>
      </c>
    </row>
    <row r="1477" customFormat="false" ht="15" hidden="false" customHeight="false" outlineLevel="0" collapsed="false">
      <c r="A1477" s="0" t="s">
        <v>8</v>
      </c>
      <c r="B1477" s="0" t="s">
        <v>2137</v>
      </c>
      <c r="C1477" s="0" t="s">
        <v>3922</v>
      </c>
    </row>
    <row r="1478" customFormat="false" ht="15" hidden="false" customHeight="false" outlineLevel="0" collapsed="false">
      <c r="A1478" s="0" t="s">
        <v>8</v>
      </c>
      <c r="B1478" s="0" t="s">
        <v>2146</v>
      </c>
      <c r="C1478" s="0" t="s">
        <v>3920</v>
      </c>
      <c r="D1478" s="0" t="n">
        <v>83</v>
      </c>
    </row>
    <row r="1479" customFormat="false" ht="15" hidden="false" customHeight="false" outlineLevel="0" collapsed="false">
      <c r="A1479" s="0" t="s">
        <v>8</v>
      </c>
      <c r="B1479" s="0" t="s">
        <v>2146</v>
      </c>
      <c r="C1479" s="0" t="s">
        <v>3921</v>
      </c>
      <c r="D1479" s="0" t="n">
        <v>83</v>
      </c>
    </row>
    <row r="1480" customFormat="false" ht="15" hidden="false" customHeight="false" outlineLevel="0" collapsed="false">
      <c r="A1480" s="0" t="s">
        <v>8</v>
      </c>
      <c r="B1480" s="0" t="s">
        <v>2146</v>
      </c>
      <c r="C1480" s="0" t="s">
        <v>3922</v>
      </c>
      <c r="D1480" s="0" t="n">
        <v>83.6</v>
      </c>
    </row>
    <row r="1481" customFormat="false" ht="15" hidden="false" customHeight="false" outlineLevel="0" collapsed="false">
      <c r="A1481" s="0" t="s">
        <v>8</v>
      </c>
      <c r="B1481" s="0" t="s">
        <v>2154</v>
      </c>
      <c r="C1481" s="0" t="s">
        <v>3920</v>
      </c>
      <c r="D1481" s="0" t="n">
        <v>83.6</v>
      </c>
    </row>
    <row r="1482" customFormat="false" ht="15" hidden="false" customHeight="false" outlineLevel="0" collapsed="false">
      <c r="A1482" s="0" t="s">
        <v>8</v>
      </c>
      <c r="B1482" s="0" t="s">
        <v>2154</v>
      </c>
      <c r="C1482" s="0" t="s">
        <v>3921</v>
      </c>
    </row>
    <row r="1483" customFormat="false" ht="15" hidden="false" customHeight="false" outlineLevel="0" collapsed="false">
      <c r="A1483" s="0" t="s">
        <v>8</v>
      </c>
      <c r="B1483" s="0" t="s">
        <v>2154</v>
      </c>
      <c r="C1483" s="0" t="s">
        <v>3922</v>
      </c>
    </row>
    <row r="1484" customFormat="false" ht="15" hidden="false" customHeight="false" outlineLevel="0" collapsed="false">
      <c r="A1484" s="0" t="s">
        <v>8</v>
      </c>
      <c r="B1484" s="0" t="s">
        <v>2161</v>
      </c>
      <c r="C1484" s="0" t="s">
        <v>3920</v>
      </c>
      <c r="D1484" s="0" t="n">
        <v>0.4</v>
      </c>
    </row>
    <row r="1485" customFormat="false" ht="15" hidden="false" customHeight="false" outlineLevel="0" collapsed="false">
      <c r="A1485" s="0" t="s">
        <v>8</v>
      </c>
      <c r="B1485" s="0" t="s">
        <v>2161</v>
      </c>
      <c r="C1485" s="0" t="s">
        <v>3921</v>
      </c>
    </row>
    <row r="1486" customFormat="false" ht="15" hidden="false" customHeight="false" outlineLevel="0" collapsed="false">
      <c r="A1486" s="0" t="s">
        <v>8</v>
      </c>
      <c r="B1486" s="0" t="s">
        <v>2161</v>
      </c>
      <c r="C1486" s="0" t="s">
        <v>3922</v>
      </c>
    </row>
    <row r="1487" customFormat="false" ht="15" hidden="false" customHeight="false" outlineLevel="0" collapsed="false">
      <c r="A1487" s="0" t="s">
        <v>8</v>
      </c>
      <c r="B1487" s="0" t="s">
        <v>2165</v>
      </c>
      <c r="C1487" s="0" t="s">
        <v>3920</v>
      </c>
      <c r="D1487" s="0" t="n">
        <v>3.75</v>
      </c>
    </row>
    <row r="1488" customFormat="false" ht="15" hidden="false" customHeight="false" outlineLevel="0" collapsed="false">
      <c r="A1488" s="0" t="s">
        <v>8</v>
      </c>
      <c r="B1488" s="0" t="s">
        <v>2165</v>
      </c>
      <c r="C1488" s="0" t="s">
        <v>3921</v>
      </c>
    </row>
    <row r="1489" customFormat="false" ht="15" hidden="false" customHeight="false" outlineLevel="0" collapsed="false">
      <c r="A1489" s="0" t="s">
        <v>8</v>
      </c>
      <c r="B1489" s="0" t="s">
        <v>2165</v>
      </c>
      <c r="C1489" s="0" t="s">
        <v>3922</v>
      </c>
    </row>
    <row r="1490" customFormat="false" ht="15" hidden="false" customHeight="false" outlineLevel="0" collapsed="false">
      <c r="A1490" s="0" t="s">
        <v>8</v>
      </c>
      <c r="B1490" s="0" t="s">
        <v>2169</v>
      </c>
      <c r="C1490" s="0" t="s">
        <v>3920</v>
      </c>
      <c r="D1490" s="0" t="n">
        <v>1.52</v>
      </c>
    </row>
    <row r="1491" customFormat="false" ht="15" hidden="false" customHeight="false" outlineLevel="0" collapsed="false">
      <c r="A1491" s="0" t="s">
        <v>8</v>
      </c>
      <c r="B1491" s="0" t="s">
        <v>2169</v>
      </c>
      <c r="C1491" s="0" t="s">
        <v>3921</v>
      </c>
    </row>
    <row r="1492" customFormat="false" ht="15" hidden="false" customHeight="false" outlineLevel="0" collapsed="false">
      <c r="A1492" s="0" t="s">
        <v>8</v>
      </c>
      <c r="B1492" s="0" t="s">
        <v>2169</v>
      </c>
      <c r="C1492" s="0" t="s">
        <v>3922</v>
      </c>
    </row>
    <row r="1493" customFormat="false" ht="15" hidden="false" customHeight="false" outlineLevel="0" collapsed="false">
      <c r="A1493" s="0" t="s">
        <v>8</v>
      </c>
      <c r="B1493" s="0" t="s">
        <v>2174</v>
      </c>
      <c r="C1493" s="0" t="s">
        <v>3920</v>
      </c>
      <c r="D1493" s="0" t="n">
        <v>8.5</v>
      </c>
    </row>
    <row r="1494" customFormat="false" ht="15" hidden="false" customHeight="false" outlineLevel="0" collapsed="false">
      <c r="A1494" s="0" t="s">
        <v>8</v>
      </c>
      <c r="B1494" s="0" t="s">
        <v>2174</v>
      </c>
      <c r="C1494" s="0" t="s">
        <v>3921</v>
      </c>
    </row>
    <row r="1495" customFormat="false" ht="15" hidden="false" customHeight="false" outlineLevel="0" collapsed="false">
      <c r="A1495" s="0" t="s">
        <v>8</v>
      </c>
      <c r="B1495" s="0" t="s">
        <v>2174</v>
      </c>
      <c r="C1495" s="0" t="s">
        <v>3922</v>
      </c>
    </row>
    <row r="1496" customFormat="false" ht="15" hidden="false" customHeight="false" outlineLevel="0" collapsed="false">
      <c r="A1496" s="0" t="s">
        <v>8</v>
      </c>
      <c r="B1496" s="0" t="s">
        <v>2178</v>
      </c>
      <c r="C1496" s="0" t="s">
        <v>3920</v>
      </c>
      <c r="D1496" s="0" t="n">
        <v>2.1</v>
      </c>
    </row>
    <row r="1497" customFormat="false" ht="15" hidden="false" customHeight="false" outlineLevel="0" collapsed="false">
      <c r="A1497" s="0" t="s">
        <v>8</v>
      </c>
      <c r="B1497" s="0" t="s">
        <v>2178</v>
      </c>
      <c r="C1497" s="0" t="s">
        <v>3921</v>
      </c>
    </row>
    <row r="1498" customFormat="false" ht="15" hidden="false" customHeight="false" outlineLevel="0" collapsed="false">
      <c r="A1498" s="0" t="s">
        <v>8</v>
      </c>
      <c r="B1498" s="0" t="s">
        <v>2178</v>
      </c>
      <c r="C1498" s="0" t="s">
        <v>3922</v>
      </c>
    </row>
    <row r="1499" customFormat="false" ht="15" hidden="false" customHeight="false" outlineLevel="0" collapsed="false">
      <c r="A1499" s="0" t="s">
        <v>8</v>
      </c>
      <c r="B1499" s="0" t="s">
        <v>2183</v>
      </c>
      <c r="C1499" s="0" t="s">
        <v>3920</v>
      </c>
      <c r="D1499" s="0" t="n">
        <v>21.1</v>
      </c>
    </row>
    <row r="1500" customFormat="false" ht="15" hidden="false" customHeight="false" outlineLevel="0" collapsed="false">
      <c r="A1500" s="0" t="s">
        <v>8</v>
      </c>
      <c r="B1500" s="0" t="s">
        <v>2183</v>
      </c>
      <c r="C1500" s="0" t="s">
        <v>3921</v>
      </c>
    </row>
    <row r="1501" customFormat="false" ht="15" hidden="false" customHeight="false" outlineLevel="0" collapsed="false">
      <c r="A1501" s="0" t="s">
        <v>8</v>
      </c>
      <c r="B1501" s="0" t="s">
        <v>2183</v>
      </c>
      <c r="C1501" s="0" t="s">
        <v>3922</v>
      </c>
    </row>
    <row r="1502" customFormat="false" ht="15" hidden="false" customHeight="false" outlineLevel="0" collapsed="false">
      <c r="A1502" s="0" t="s">
        <v>8</v>
      </c>
      <c r="B1502" s="0" t="s">
        <v>2187</v>
      </c>
      <c r="C1502" s="0" t="s">
        <v>3920</v>
      </c>
      <c r="D1502" s="0" t="n">
        <v>3</v>
      </c>
    </row>
    <row r="1503" customFormat="false" ht="15" hidden="false" customHeight="false" outlineLevel="0" collapsed="false">
      <c r="A1503" s="0" t="s">
        <v>8</v>
      </c>
      <c r="B1503" s="0" t="s">
        <v>2187</v>
      </c>
      <c r="C1503" s="0" t="s">
        <v>3921</v>
      </c>
    </row>
    <row r="1504" customFormat="false" ht="15" hidden="false" customHeight="false" outlineLevel="0" collapsed="false">
      <c r="A1504" s="0" t="s">
        <v>8</v>
      </c>
      <c r="B1504" s="0" t="s">
        <v>2187</v>
      </c>
      <c r="C1504" s="0" t="s">
        <v>3922</v>
      </c>
    </row>
    <row r="1505" customFormat="false" ht="15" hidden="false" customHeight="false" outlineLevel="0" collapsed="false">
      <c r="A1505" s="0" t="s">
        <v>8</v>
      </c>
      <c r="B1505" s="0" t="s">
        <v>2192</v>
      </c>
      <c r="C1505" s="0" t="s">
        <v>3920</v>
      </c>
      <c r="D1505" s="0" t="n">
        <v>6</v>
      </c>
    </row>
    <row r="1506" customFormat="false" ht="15" hidden="false" customHeight="false" outlineLevel="0" collapsed="false">
      <c r="A1506" s="0" t="s">
        <v>8</v>
      </c>
      <c r="B1506" s="0" t="s">
        <v>2192</v>
      </c>
      <c r="C1506" s="0" t="s">
        <v>3921</v>
      </c>
    </row>
    <row r="1507" customFormat="false" ht="15" hidden="false" customHeight="false" outlineLevel="0" collapsed="false">
      <c r="A1507" s="0" t="s">
        <v>8</v>
      </c>
      <c r="B1507" s="0" t="s">
        <v>2192</v>
      </c>
      <c r="C1507" s="0" t="s">
        <v>3922</v>
      </c>
    </row>
    <row r="1508" customFormat="false" ht="15" hidden="false" customHeight="false" outlineLevel="0" collapsed="false">
      <c r="A1508" s="0" t="s">
        <v>8</v>
      </c>
      <c r="B1508" s="0" t="s">
        <v>2197</v>
      </c>
      <c r="C1508" s="0" t="s">
        <v>3920</v>
      </c>
      <c r="D1508" s="0" t="n">
        <v>2</v>
      </c>
    </row>
    <row r="1509" customFormat="false" ht="15" hidden="false" customHeight="false" outlineLevel="0" collapsed="false">
      <c r="A1509" s="0" t="s">
        <v>8</v>
      </c>
      <c r="B1509" s="0" t="s">
        <v>2197</v>
      </c>
      <c r="C1509" s="0" t="s">
        <v>3921</v>
      </c>
    </row>
    <row r="1510" customFormat="false" ht="15" hidden="false" customHeight="false" outlineLevel="0" collapsed="false">
      <c r="A1510" s="0" t="s">
        <v>8</v>
      </c>
      <c r="B1510" s="0" t="s">
        <v>2197</v>
      </c>
      <c r="C1510" s="0" t="s">
        <v>3922</v>
      </c>
    </row>
    <row r="1511" customFormat="false" ht="15" hidden="false" customHeight="false" outlineLevel="0" collapsed="false">
      <c r="A1511" s="0" t="s">
        <v>8</v>
      </c>
      <c r="B1511" s="0" t="s">
        <v>2202</v>
      </c>
      <c r="C1511" s="0" t="s">
        <v>3920</v>
      </c>
      <c r="D1511" s="0" t="n">
        <v>1.5</v>
      </c>
    </row>
    <row r="1512" customFormat="false" ht="15" hidden="false" customHeight="false" outlineLevel="0" collapsed="false">
      <c r="A1512" s="0" t="s">
        <v>8</v>
      </c>
      <c r="B1512" s="0" t="s">
        <v>2202</v>
      </c>
      <c r="C1512" s="0" t="s">
        <v>3921</v>
      </c>
    </row>
    <row r="1513" customFormat="false" ht="15" hidden="false" customHeight="false" outlineLevel="0" collapsed="false">
      <c r="A1513" s="0" t="s">
        <v>8</v>
      </c>
      <c r="B1513" s="0" t="s">
        <v>2202</v>
      </c>
      <c r="C1513" s="0" t="s">
        <v>3922</v>
      </c>
    </row>
    <row r="1514" customFormat="false" ht="15" hidden="false" customHeight="false" outlineLevel="0" collapsed="false">
      <c r="A1514" s="0" t="s">
        <v>8</v>
      </c>
      <c r="B1514" s="0" t="s">
        <v>2206</v>
      </c>
      <c r="C1514" s="0" t="s">
        <v>3920</v>
      </c>
    </row>
    <row r="1515" customFormat="false" ht="15" hidden="false" customHeight="false" outlineLevel="0" collapsed="false">
      <c r="A1515" s="0" t="s">
        <v>8</v>
      </c>
      <c r="B1515" s="0" t="s">
        <v>2206</v>
      </c>
      <c r="C1515" s="0" t="s">
        <v>3921</v>
      </c>
      <c r="D1515" s="0" t="n">
        <v>25</v>
      </c>
    </row>
    <row r="1516" customFormat="false" ht="15" hidden="false" customHeight="false" outlineLevel="0" collapsed="false">
      <c r="A1516" s="0" t="s">
        <v>8</v>
      </c>
      <c r="B1516" s="0" t="s">
        <v>2206</v>
      </c>
      <c r="C1516" s="0" t="s">
        <v>3922</v>
      </c>
    </row>
    <row r="1517" customFormat="false" ht="15" hidden="false" customHeight="false" outlineLevel="0" collapsed="false">
      <c r="A1517" s="0" t="s">
        <v>8</v>
      </c>
      <c r="B1517" s="0" t="s">
        <v>2215</v>
      </c>
      <c r="C1517" s="0" t="s">
        <v>3920</v>
      </c>
      <c r="D1517" s="0" t="n">
        <v>400</v>
      </c>
    </row>
    <row r="1518" customFormat="false" ht="15" hidden="false" customHeight="false" outlineLevel="0" collapsed="false">
      <c r="A1518" s="0" t="s">
        <v>8</v>
      </c>
      <c r="B1518" s="0" t="s">
        <v>2215</v>
      </c>
      <c r="C1518" s="0" t="s">
        <v>3921</v>
      </c>
    </row>
    <row r="1519" customFormat="false" ht="15" hidden="false" customHeight="false" outlineLevel="0" collapsed="false">
      <c r="A1519" s="0" t="s">
        <v>8</v>
      </c>
      <c r="B1519" s="0" t="s">
        <v>2215</v>
      </c>
      <c r="C1519" s="0" t="s">
        <v>3922</v>
      </c>
    </row>
    <row r="1520" customFormat="false" ht="15" hidden="false" customHeight="false" outlineLevel="0" collapsed="false">
      <c r="A1520" s="0" t="s">
        <v>8</v>
      </c>
      <c r="B1520" s="0" t="s">
        <v>2226</v>
      </c>
      <c r="C1520" s="0" t="s">
        <v>3920</v>
      </c>
      <c r="D1520" s="0" t="n">
        <v>3</v>
      </c>
    </row>
    <row r="1521" customFormat="false" ht="15" hidden="false" customHeight="false" outlineLevel="0" collapsed="false">
      <c r="A1521" s="0" t="s">
        <v>8</v>
      </c>
      <c r="B1521" s="0" t="s">
        <v>2226</v>
      </c>
      <c r="C1521" s="0" t="s">
        <v>3921</v>
      </c>
    </row>
    <row r="1522" customFormat="false" ht="15" hidden="false" customHeight="false" outlineLevel="0" collapsed="false">
      <c r="A1522" s="0" t="s">
        <v>8</v>
      </c>
      <c r="B1522" s="0" t="s">
        <v>2226</v>
      </c>
      <c r="C1522" s="0" t="s">
        <v>3922</v>
      </c>
    </row>
    <row r="1523" customFormat="false" ht="15" hidden="false" customHeight="false" outlineLevel="0" collapsed="false">
      <c r="A1523" s="0" t="s">
        <v>8</v>
      </c>
      <c r="B1523" s="0" t="s">
        <v>2232</v>
      </c>
      <c r="C1523" s="0" t="s">
        <v>3920</v>
      </c>
      <c r="D1523" s="0" t="n">
        <v>200</v>
      </c>
    </row>
    <row r="1524" customFormat="false" ht="15" hidden="false" customHeight="false" outlineLevel="0" collapsed="false">
      <c r="A1524" s="0" t="s">
        <v>8</v>
      </c>
      <c r="B1524" s="0" t="s">
        <v>2232</v>
      </c>
      <c r="C1524" s="0" t="s">
        <v>3921</v>
      </c>
    </row>
    <row r="1525" customFormat="false" ht="15" hidden="false" customHeight="false" outlineLevel="0" collapsed="false">
      <c r="A1525" s="0" t="s">
        <v>8</v>
      </c>
      <c r="B1525" s="0" t="s">
        <v>2232</v>
      </c>
      <c r="C1525" s="0" t="s">
        <v>3922</v>
      </c>
    </row>
    <row r="1526" customFormat="false" ht="15" hidden="false" customHeight="false" outlineLevel="0" collapsed="false">
      <c r="A1526" s="0" t="s">
        <v>8</v>
      </c>
      <c r="B1526" s="0" t="s">
        <v>2242</v>
      </c>
      <c r="C1526" s="0" t="s">
        <v>3920</v>
      </c>
      <c r="D1526" s="0" t="n">
        <v>30</v>
      </c>
    </row>
    <row r="1527" customFormat="false" ht="15" hidden="false" customHeight="false" outlineLevel="0" collapsed="false">
      <c r="A1527" s="0" t="s">
        <v>8</v>
      </c>
      <c r="B1527" s="0" t="s">
        <v>2242</v>
      </c>
      <c r="C1527" s="0" t="s">
        <v>3921</v>
      </c>
    </row>
    <row r="1528" customFormat="false" ht="15" hidden="false" customHeight="false" outlineLevel="0" collapsed="false">
      <c r="A1528" s="0" t="s">
        <v>8</v>
      </c>
      <c r="B1528" s="0" t="s">
        <v>2242</v>
      </c>
      <c r="C1528" s="0" t="s">
        <v>3922</v>
      </c>
    </row>
    <row r="1529" customFormat="false" ht="15" hidden="false" customHeight="false" outlineLevel="0" collapsed="false">
      <c r="A1529" s="0" t="s">
        <v>8</v>
      </c>
      <c r="B1529" s="0" t="s">
        <v>2248</v>
      </c>
      <c r="C1529" s="0" t="s">
        <v>3920</v>
      </c>
    </row>
    <row r="1530" customFormat="false" ht="15" hidden="false" customHeight="false" outlineLevel="0" collapsed="false">
      <c r="A1530" s="0" t="s">
        <v>8</v>
      </c>
      <c r="B1530" s="0" t="s">
        <v>2248</v>
      </c>
      <c r="C1530" s="0" t="s">
        <v>3921</v>
      </c>
      <c r="D1530" s="0" t="n">
        <v>10</v>
      </c>
    </row>
    <row r="1531" customFormat="false" ht="15" hidden="false" customHeight="false" outlineLevel="0" collapsed="false">
      <c r="A1531" s="0" t="s">
        <v>8</v>
      </c>
      <c r="B1531" s="0" t="s">
        <v>2248</v>
      </c>
      <c r="C1531" s="0" t="s">
        <v>3922</v>
      </c>
    </row>
    <row r="1532" customFormat="false" ht="15" hidden="false" customHeight="false" outlineLevel="0" collapsed="false">
      <c r="A1532" s="0" t="s">
        <v>8</v>
      </c>
      <c r="B1532" s="0" t="s">
        <v>2256</v>
      </c>
      <c r="C1532" s="0" t="s">
        <v>3920</v>
      </c>
      <c r="D1532" s="0" t="n">
        <v>5</v>
      </c>
    </row>
    <row r="1533" customFormat="false" ht="15" hidden="false" customHeight="false" outlineLevel="0" collapsed="false">
      <c r="A1533" s="0" t="s">
        <v>8</v>
      </c>
      <c r="B1533" s="0" t="s">
        <v>2256</v>
      </c>
      <c r="C1533" s="0" t="s">
        <v>3921</v>
      </c>
    </row>
    <row r="1534" customFormat="false" ht="15" hidden="false" customHeight="false" outlineLevel="0" collapsed="false">
      <c r="A1534" s="0" t="s">
        <v>8</v>
      </c>
      <c r="B1534" s="0" t="s">
        <v>2256</v>
      </c>
      <c r="C1534" s="0" t="s">
        <v>3922</v>
      </c>
    </row>
    <row r="1535" customFormat="false" ht="15" hidden="false" customHeight="false" outlineLevel="0" collapsed="false">
      <c r="A1535" s="0" t="s">
        <v>8</v>
      </c>
      <c r="B1535" s="0" t="s">
        <v>2264</v>
      </c>
      <c r="C1535" s="0" t="s">
        <v>3920</v>
      </c>
      <c r="D1535" s="0" t="n">
        <v>3</v>
      </c>
    </row>
    <row r="1536" customFormat="false" ht="15" hidden="false" customHeight="false" outlineLevel="0" collapsed="false">
      <c r="A1536" s="0" t="s">
        <v>8</v>
      </c>
      <c r="B1536" s="0" t="s">
        <v>2264</v>
      </c>
      <c r="C1536" s="0" t="s">
        <v>3921</v>
      </c>
    </row>
    <row r="1537" customFormat="false" ht="15" hidden="false" customHeight="false" outlineLevel="0" collapsed="false">
      <c r="A1537" s="0" t="s">
        <v>8</v>
      </c>
      <c r="B1537" s="0" t="s">
        <v>2264</v>
      </c>
      <c r="C1537" s="0" t="s">
        <v>3922</v>
      </c>
    </row>
    <row r="1538" customFormat="false" ht="15" hidden="false" customHeight="false" outlineLevel="0" collapsed="false">
      <c r="A1538" s="0" t="s">
        <v>8</v>
      </c>
      <c r="B1538" s="0" t="s">
        <v>2272</v>
      </c>
      <c r="C1538" s="0" t="s">
        <v>3920</v>
      </c>
      <c r="D1538" s="0" t="n">
        <v>10</v>
      </c>
    </row>
    <row r="1539" customFormat="false" ht="15" hidden="false" customHeight="false" outlineLevel="0" collapsed="false">
      <c r="A1539" s="0" t="s">
        <v>8</v>
      </c>
      <c r="B1539" s="0" t="s">
        <v>2272</v>
      </c>
      <c r="C1539" s="0" t="s">
        <v>3921</v>
      </c>
    </row>
    <row r="1540" customFormat="false" ht="15" hidden="false" customHeight="false" outlineLevel="0" collapsed="false">
      <c r="A1540" s="0" t="s">
        <v>8</v>
      </c>
      <c r="B1540" s="0" t="s">
        <v>2272</v>
      </c>
      <c r="C1540" s="0" t="s">
        <v>3922</v>
      </c>
    </row>
    <row r="1541" customFormat="false" ht="15" hidden="false" customHeight="false" outlineLevel="0" collapsed="false">
      <c r="A1541" s="0" t="s">
        <v>8</v>
      </c>
      <c r="B1541" s="0" t="s">
        <v>2281</v>
      </c>
      <c r="C1541" s="0" t="s">
        <v>3920</v>
      </c>
    </row>
    <row r="1542" customFormat="false" ht="15" hidden="false" customHeight="false" outlineLevel="0" collapsed="false">
      <c r="A1542" s="0" t="s">
        <v>8</v>
      </c>
      <c r="B1542" s="0" t="s">
        <v>2281</v>
      </c>
      <c r="C1542" s="0" t="s">
        <v>3921</v>
      </c>
      <c r="D1542" s="0" t="n">
        <v>20</v>
      </c>
    </row>
    <row r="1543" customFormat="false" ht="15" hidden="false" customHeight="false" outlineLevel="0" collapsed="false">
      <c r="A1543" s="0" t="s">
        <v>8</v>
      </c>
      <c r="B1543" s="0" t="s">
        <v>2281</v>
      </c>
      <c r="C1543" s="0" t="s">
        <v>3922</v>
      </c>
    </row>
    <row r="1544" customFormat="false" ht="15" hidden="false" customHeight="false" outlineLevel="0" collapsed="false">
      <c r="A1544" s="0" t="s">
        <v>8</v>
      </c>
      <c r="B1544" s="0" t="s">
        <v>2286</v>
      </c>
      <c r="C1544" s="0" t="s">
        <v>3920</v>
      </c>
      <c r="D1544" s="0" t="n">
        <v>116.2</v>
      </c>
    </row>
    <row r="1545" customFormat="false" ht="15" hidden="false" customHeight="false" outlineLevel="0" collapsed="false">
      <c r="A1545" s="0" t="s">
        <v>8</v>
      </c>
      <c r="B1545" s="0" t="s">
        <v>2286</v>
      </c>
      <c r="C1545" s="0" t="s">
        <v>3921</v>
      </c>
    </row>
    <row r="1546" customFormat="false" ht="15" hidden="false" customHeight="false" outlineLevel="0" collapsed="false">
      <c r="A1546" s="0" t="s">
        <v>8</v>
      </c>
      <c r="B1546" s="0" t="s">
        <v>2286</v>
      </c>
      <c r="C1546" s="0" t="s">
        <v>3922</v>
      </c>
    </row>
    <row r="1547" customFormat="false" ht="15" hidden="false" customHeight="false" outlineLevel="0" collapsed="false">
      <c r="A1547" s="0" t="s">
        <v>8</v>
      </c>
      <c r="B1547" s="0" t="s">
        <v>2295</v>
      </c>
      <c r="C1547" s="0" t="s">
        <v>3920</v>
      </c>
      <c r="D1547" s="0" t="n">
        <v>37419500</v>
      </c>
    </row>
    <row r="1548" customFormat="false" ht="15" hidden="false" customHeight="false" outlineLevel="0" collapsed="false">
      <c r="A1548" s="0" t="s">
        <v>8</v>
      </c>
      <c r="B1548" s="0" t="s">
        <v>2295</v>
      </c>
      <c r="C1548" s="0" t="s">
        <v>3921</v>
      </c>
    </row>
    <row r="1549" customFormat="false" ht="15" hidden="false" customHeight="false" outlineLevel="0" collapsed="false">
      <c r="A1549" s="0" t="s">
        <v>8</v>
      </c>
      <c r="B1549" s="0" t="s">
        <v>2295</v>
      </c>
      <c r="C1549" s="0" t="s">
        <v>3922</v>
      </c>
    </row>
    <row r="1550" customFormat="false" ht="15" hidden="false" customHeight="false" outlineLevel="0" collapsed="false">
      <c r="A1550" s="0" t="s">
        <v>8</v>
      </c>
      <c r="B1550" s="0" t="s">
        <v>2301</v>
      </c>
      <c r="C1550" s="0" t="s">
        <v>3920</v>
      </c>
      <c r="D1550" s="0" t="n">
        <v>4348.1</v>
      </c>
    </row>
    <row r="1551" customFormat="false" ht="15" hidden="false" customHeight="false" outlineLevel="0" collapsed="false">
      <c r="A1551" s="0" t="s">
        <v>8</v>
      </c>
      <c r="B1551" s="0" t="s">
        <v>2301</v>
      </c>
      <c r="C1551" s="0" t="s">
        <v>3921</v>
      </c>
    </row>
    <row r="1552" customFormat="false" ht="15" hidden="false" customHeight="false" outlineLevel="0" collapsed="false">
      <c r="A1552" s="0" t="s">
        <v>8</v>
      </c>
      <c r="B1552" s="0" t="s">
        <v>2301</v>
      </c>
      <c r="C1552" s="0" t="s">
        <v>3922</v>
      </c>
    </row>
    <row r="1553" customFormat="false" ht="15" hidden="false" customHeight="false" outlineLevel="0" collapsed="false">
      <c r="A1553" s="0" t="s">
        <v>8</v>
      </c>
      <c r="B1553" s="0" t="s">
        <v>2309</v>
      </c>
      <c r="C1553" s="0" t="s">
        <v>3920</v>
      </c>
      <c r="D1553" s="0" t="n">
        <v>174.7</v>
      </c>
    </row>
    <row r="1554" customFormat="false" ht="15" hidden="false" customHeight="false" outlineLevel="0" collapsed="false">
      <c r="A1554" s="0" t="s">
        <v>8</v>
      </c>
      <c r="B1554" s="0" t="s">
        <v>2309</v>
      </c>
      <c r="C1554" s="0" t="s">
        <v>3921</v>
      </c>
    </row>
    <row r="1555" customFormat="false" ht="15" hidden="false" customHeight="false" outlineLevel="0" collapsed="false">
      <c r="A1555" s="0" t="s">
        <v>8</v>
      </c>
      <c r="B1555" s="0" t="s">
        <v>2309</v>
      </c>
      <c r="C1555" s="0" t="s">
        <v>3922</v>
      </c>
    </row>
    <row r="1556" customFormat="false" ht="15" hidden="false" customHeight="false" outlineLevel="0" collapsed="false">
      <c r="A1556" s="0" t="s">
        <v>8</v>
      </c>
      <c r="B1556" s="0" t="s">
        <v>2313</v>
      </c>
      <c r="C1556" s="0" t="s">
        <v>3920</v>
      </c>
      <c r="D1556" s="0" t="n">
        <v>4173.4</v>
      </c>
    </row>
    <row r="1557" customFormat="false" ht="15" hidden="false" customHeight="false" outlineLevel="0" collapsed="false">
      <c r="A1557" s="0" t="s">
        <v>8</v>
      </c>
      <c r="B1557" s="0" t="s">
        <v>2313</v>
      </c>
      <c r="C1557" s="0" t="s">
        <v>3921</v>
      </c>
    </row>
    <row r="1558" customFormat="false" ht="15" hidden="false" customHeight="false" outlineLevel="0" collapsed="false">
      <c r="A1558" s="0" t="s">
        <v>8</v>
      </c>
      <c r="B1558" s="0" t="s">
        <v>2313</v>
      </c>
      <c r="C1558" s="0" t="s">
        <v>3922</v>
      </c>
    </row>
    <row r="1559" customFormat="false" ht="15" hidden="false" customHeight="false" outlineLevel="0" collapsed="false">
      <c r="A1559" s="0" t="s">
        <v>8</v>
      </c>
      <c r="B1559" s="0" t="s">
        <v>2318</v>
      </c>
      <c r="C1559" s="0" t="s">
        <v>3920</v>
      </c>
      <c r="D1559" s="0" t="n">
        <v>5612900</v>
      </c>
    </row>
    <row r="1560" customFormat="false" ht="15" hidden="false" customHeight="false" outlineLevel="0" collapsed="false">
      <c r="A1560" s="0" t="s">
        <v>8</v>
      </c>
      <c r="B1560" s="0" t="s">
        <v>2318</v>
      </c>
      <c r="C1560" s="0" t="s">
        <v>3921</v>
      </c>
    </row>
    <row r="1561" customFormat="false" ht="15" hidden="false" customHeight="false" outlineLevel="0" collapsed="false">
      <c r="A1561" s="0" t="s">
        <v>8</v>
      </c>
      <c r="B1561" s="0" t="s">
        <v>2318</v>
      </c>
      <c r="C1561" s="0" t="s">
        <v>3922</v>
      </c>
    </row>
    <row r="1562" customFormat="false" ht="15" hidden="false" customHeight="false" outlineLevel="0" collapsed="false">
      <c r="A1562" s="0" t="s">
        <v>8</v>
      </c>
      <c r="B1562" s="0" t="s">
        <v>2325</v>
      </c>
      <c r="C1562" s="0" t="s">
        <v>3920</v>
      </c>
      <c r="D1562" s="0" t="n">
        <v>5623900</v>
      </c>
    </row>
    <row r="1563" customFormat="false" ht="15" hidden="false" customHeight="false" outlineLevel="0" collapsed="false">
      <c r="A1563" s="0" t="s">
        <v>8</v>
      </c>
      <c r="B1563" s="0" t="s">
        <v>2325</v>
      </c>
      <c r="C1563" s="0" t="s">
        <v>3921</v>
      </c>
    </row>
    <row r="1564" customFormat="false" ht="15" hidden="false" customHeight="false" outlineLevel="0" collapsed="false">
      <c r="A1564" s="0" t="s">
        <v>8</v>
      </c>
      <c r="B1564" s="0" t="s">
        <v>2325</v>
      </c>
      <c r="C1564" s="0" t="s">
        <v>3922</v>
      </c>
    </row>
    <row r="1565" customFormat="false" ht="15" hidden="false" customHeight="false" outlineLevel="0" collapsed="false">
      <c r="A1565" s="0" t="s">
        <v>8</v>
      </c>
      <c r="B1565" s="0" t="s">
        <v>2330</v>
      </c>
      <c r="C1565" s="0" t="s">
        <v>3920</v>
      </c>
      <c r="D1565" s="0" t="n">
        <v>4896.2</v>
      </c>
    </row>
    <row r="1566" customFormat="false" ht="15" hidden="false" customHeight="false" outlineLevel="0" collapsed="false">
      <c r="A1566" s="0" t="s">
        <v>8</v>
      </c>
      <c r="B1566" s="0" t="s">
        <v>2330</v>
      </c>
      <c r="C1566" s="0" t="s">
        <v>3921</v>
      </c>
    </row>
    <row r="1567" customFormat="false" ht="15" hidden="false" customHeight="false" outlineLevel="0" collapsed="false">
      <c r="A1567" s="0" t="s">
        <v>8</v>
      </c>
      <c r="B1567" s="0" t="s">
        <v>2330</v>
      </c>
      <c r="C1567" s="0" t="s">
        <v>3922</v>
      </c>
    </row>
    <row r="1568" customFormat="false" ht="15" hidden="false" customHeight="false" outlineLevel="0" collapsed="false">
      <c r="A1568" s="0" t="s">
        <v>8</v>
      </c>
      <c r="B1568" s="0" t="s">
        <v>2335</v>
      </c>
      <c r="C1568" s="0" t="s">
        <v>3920</v>
      </c>
      <c r="D1568" s="0" t="n">
        <v>29.8</v>
      </c>
    </row>
    <row r="1569" customFormat="false" ht="15" hidden="false" customHeight="false" outlineLevel="0" collapsed="false">
      <c r="A1569" s="0" t="s">
        <v>8</v>
      </c>
      <c r="B1569" s="0" t="s">
        <v>2335</v>
      </c>
      <c r="C1569" s="0" t="s">
        <v>3921</v>
      </c>
    </row>
    <row r="1570" customFormat="false" ht="15" hidden="false" customHeight="false" outlineLevel="0" collapsed="false">
      <c r="A1570" s="0" t="s">
        <v>8</v>
      </c>
      <c r="B1570" s="0" t="s">
        <v>2335</v>
      </c>
      <c r="C1570" s="0" t="s">
        <v>3922</v>
      </c>
    </row>
    <row r="1571" customFormat="false" ht="15" hidden="false" customHeight="false" outlineLevel="0" collapsed="false">
      <c r="A1571" s="0" t="s">
        <v>8</v>
      </c>
      <c r="B1571" s="0" t="s">
        <v>2343</v>
      </c>
      <c r="C1571" s="0" t="s">
        <v>3920</v>
      </c>
      <c r="D1571" s="0" t="n">
        <v>1159.46</v>
      </c>
    </row>
    <row r="1572" customFormat="false" ht="15" hidden="false" customHeight="false" outlineLevel="0" collapsed="false">
      <c r="A1572" s="0" t="s">
        <v>8</v>
      </c>
      <c r="B1572" s="0" t="s">
        <v>2343</v>
      </c>
      <c r="C1572" s="0" t="s">
        <v>3921</v>
      </c>
    </row>
    <row r="1573" customFormat="false" ht="15" hidden="false" customHeight="false" outlineLevel="0" collapsed="false">
      <c r="A1573" s="0" t="s">
        <v>8</v>
      </c>
      <c r="B1573" s="0" t="s">
        <v>2343</v>
      </c>
      <c r="C1573" s="0" t="s">
        <v>3922</v>
      </c>
    </row>
    <row r="1574" customFormat="false" ht="15" hidden="false" customHeight="false" outlineLevel="0" collapsed="false">
      <c r="A1574" s="0" t="s">
        <v>8</v>
      </c>
      <c r="B1574" s="0" t="s">
        <v>2349</v>
      </c>
      <c r="C1574" s="0" t="s">
        <v>3920</v>
      </c>
      <c r="D1574" s="0" t="n">
        <v>70</v>
      </c>
    </row>
    <row r="1575" customFormat="false" ht="15" hidden="false" customHeight="false" outlineLevel="0" collapsed="false">
      <c r="A1575" s="0" t="s">
        <v>8</v>
      </c>
      <c r="B1575" s="0" t="s">
        <v>2349</v>
      </c>
      <c r="C1575" s="0" t="s">
        <v>3921</v>
      </c>
    </row>
    <row r="1576" customFormat="false" ht="15" hidden="false" customHeight="false" outlineLevel="0" collapsed="false">
      <c r="A1576" s="0" t="s">
        <v>8</v>
      </c>
      <c r="B1576" s="0" t="s">
        <v>2349</v>
      </c>
      <c r="C1576" s="0" t="s">
        <v>3922</v>
      </c>
    </row>
    <row r="1577" customFormat="false" ht="15" hidden="false" customHeight="false" outlineLevel="0" collapsed="false">
      <c r="A1577" s="0" t="s">
        <v>8</v>
      </c>
      <c r="B1577" s="0" t="s">
        <v>2355</v>
      </c>
      <c r="C1577" s="0" t="s">
        <v>3920</v>
      </c>
      <c r="D1577" s="0" t="n">
        <v>440230190</v>
      </c>
    </row>
    <row r="1578" customFormat="false" ht="15" hidden="false" customHeight="false" outlineLevel="0" collapsed="false">
      <c r="A1578" s="0" t="s">
        <v>8</v>
      </c>
      <c r="B1578" s="0" t="s">
        <v>2355</v>
      </c>
      <c r="C1578" s="0" t="s">
        <v>3921</v>
      </c>
    </row>
    <row r="1579" customFormat="false" ht="15" hidden="false" customHeight="false" outlineLevel="0" collapsed="false">
      <c r="A1579" s="0" t="s">
        <v>8</v>
      </c>
      <c r="B1579" s="0" t="s">
        <v>2355</v>
      </c>
      <c r="C1579" s="0" t="s">
        <v>3922</v>
      </c>
    </row>
    <row r="1580" customFormat="false" ht="15" hidden="false" customHeight="false" outlineLevel="0" collapsed="false">
      <c r="A1580" s="0" t="s">
        <v>8</v>
      </c>
      <c r="B1580" s="0" t="s">
        <v>2359</v>
      </c>
      <c r="C1580" s="0" t="s">
        <v>3920</v>
      </c>
      <c r="D1580" s="0" t="n">
        <v>511.5</v>
      </c>
    </row>
    <row r="1581" customFormat="false" ht="15" hidden="false" customHeight="false" outlineLevel="0" collapsed="false">
      <c r="A1581" s="0" t="s">
        <v>8</v>
      </c>
      <c r="B1581" s="0" t="s">
        <v>2359</v>
      </c>
      <c r="C1581" s="0" t="s">
        <v>3921</v>
      </c>
    </row>
    <row r="1582" customFormat="false" ht="15" hidden="false" customHeight="false" outlineLevel="0" collapsed="false">
      <c r="A1582" s="0" t="s">
        <v>8</v>
      </c>
      <c r="B1582" s="0" t="s">
        <v>2359</v>
      </c>
      <c r="C1582" s="0" t="s">
        <v>3922</v>
      </c>
    </row>
    <row r="1583" customFormat="false" ht="15" hidden="false" customHeight="false" outlineLevel="0" collapsed="false">
      <c r="A1583" s="0" t="s">
        <v>8</v>
      </c>
      <c r="B1583" s="0" t="s">
        <v>2365</v>
      </c>
      <c r="C1583" s="0" t="s">
        <v>3920</v>
      </c>
      <c r="D1583" s="0" t="n">
        <v>528.3</v>
      </c>
    </row>
    <row r="1584" customFormat="false" ht="15" hidden="false" customHeight="false" outlineLevel="0" collapsed="false">
      <c r="A1584" s="0" t="s">
        <v>8</v>
      </c>
      <c r="B1584" s="0" t="s">
        <v>2365</v>
      </c>
      <c r="C1584" s="0" t="s">
        <v>3921</v>
      </c>
    </row>
    <row r="1585" customFormat="false" ht="15" hidden="false" customHeight="false" outlineLevel="0" collapsed="false">
      <c r="A1585" s="0" t="s">
        <v>8</v>
      </c>
      <c r="B1585" s="0" t="s">
        <v>2365</v>
      </c>
      <c r="C1585" s="0" t="s">
        <v>3922</v>
      </c>
    </row>
    <row r="1586" customFormat="false" ht="15" hidden="false" customHeight="false" outlineLevel="0" collapsed="false">
      <c r="A1586" s="0" t="s">
        <v>8</v>
      </c>
      <c r="B1586" s="0" t="s">
        <v>2371</v>
      </c>
      <c r="C1586" s="0" t="s">
        <v>3920</v>
      </c>
      <c r="D1586" s="0" t="n">
        <v>131.5</v>
      </c>
    </row>
    <row r="1587" customFormat="false" ht="15" hidden="false" customHeight="false" outlineLevel="0" collapsed="false">
      <c r="A1587" s="0" t="s">
        <v>8</v>
      </c>
      <c r="B1587" s="0" t="s">
        <v>2371</v>
      </c>
      <c r="C1587" s="0" t="s">
        <v>3921</v>
      </c>
    </row>
    <row r="1588" customFormat="false" ht="15" hidden="false" customHeight="false" outlineLevel="0" collapsed="false">
      <c r="A1588" s="0" t="s">
        <v>8</v>
      </c>
      <c r="B1588" s="0" t="s">
        <v>2371</v>
      </c>
      <c r="C1588" s="0" t="s">
        <v>3922</v>
      </c>
    </row>
    <row r="1589" customFormat="false" ht="15" hidden="false" customHeight="false" outlineLevel="0" collapsed="false">
      <c r="A1589" s="0" t="s">
        <v>8</v>
      </c>
      <c r="B1589" s="0" t="s">
        <v>2377</v>
      </c>
      <c r="C1589" s="0" t="s">
        <v>3920</v>
      </c>
      <c r="D1589" s="0" t="n">
        <v>578.9</v>
      </c>
    </row>
    <row r="1590" customFormat="false" ht="15" hidden="false" customHeight="false" outlineLevel="0" collapsed="false">
      <c r="A1590" s="0" t="s">
        <v>8</v>
      </c>
      <c r="B1590" s="0" t="s">
        <v>2377</v>
      </c>
      <c r="C1590" s="0" t="s">
        <v>3921</v>
      </c>
    </row>
    <row r="1591" customFormat="false" ht="15" hidden="false" customHeight="false" outlineLevel="0" collapsed="false">
      <c r="A1591" s="0" t="s">
        <v>8</v>
      </c>
      <c r="B1591" s="0" t="s">
        <v>2377</v>
      </c>
      <c r="C1591" s="0" t="s">
        <v>3922</v>
      </c>
    </row>
    <row r="1592" customFormat="false" ht="15" hidden="false" customHeight="false" outlineLevel="0" collapsed="false">
      <c r="A1592" s="0" t="s">
        <v>8</v>
      </c>
      <c r="B1592" s="0" t="s">
        <v>2381</v>
      </c>
      <c r="C1592" s="0" t="s">
        <v>3920</v>
      </c>
      <c r="D1592" s="0" t="n">
        <v>586</v>
      </c>
    </row>
    <row r="1593" customFormat="false" ht="15" hidden="false" customHeight="false" outlineLevel="0" collapsed="false">
      <c r="A1593" s="0" t="s">
        <v>8</v>
      </c>
      <c r="B1593" s="0" t="s">
        <v>2381</v>
      </c>
      <c r="C1593" s="0" t="s">
        <v>3921</v>
      </c>
    </row>
    <row r="1594" customFormat="false" ht="15" hidden="false" customHeight="false" outlineLevel="0" collapsed="false">
      <c r="A1594" s="0" t="s">
        <v>8</v>
      </c>
      <c r="B1594" s="0" t="s">
        <v>2381</v>
      </c>
      <c r="C1594" s="0" t="s">
        <v>3922</v>
      </c>
    </row>
    <row r="1595" customFormat="false" ht="15" hidden="false" customHeight="false" outlineLevel="0" collapsed="false">
      <c r="A1595" s="0" t="s">
        <v>8</v>
      </c>
      <c r="B1595" s="0" t="s">
        <v>2388</v>
      </c>
      <c r="C1595" s="0" t="s">
        <v>3920</v>
      </c>
      <c r="D1595" s="0" t="n">
        <v>1588</v>
      </c>
    </row>
    <row r="1596" customFormat="false" ht="15" hidden="false" customHeight="false" outlineLevel="0" collapsed="false">
      <c r="A1596" s="0" t="s">
        <v>8</v>
      </c>
      <c r="B1596" s="0" t="s">
        <v>2388</v>
      </c>
      <c r="C1596" s="0" t="s">
        <v>3921</v>
      </c>
    </row>
    <row r="1597" customFormat="false" ht="15" hidden="false" customHeight="false" outlineLevel="0" collapsed="false">
      <c r="A1597" s="0" t="s">
        <v>8</v>
      </c>
      <c r="B1597" s="0" t="s">
        <v>2388</v>
      </c>
      <c r="C1597" s="0" t="s">
        <v>3922</v>
      </c>
    </row>
    <row r="1598" customFormat="false" ht="15" hidden="false" customHeight="false" outlineLevel="0" collapsed="false">
      <c r="A1598" s="0" t="s">
        <v>8</v>
      </c>
      <c r="B1598" s="0" t="s">
        <v>2394</v>
      </c>
      <c r="C1598" s="0" t="s">
        <v>3920</v>
      </c>
      <c r="D1598" s="0" t="n">
        <v>19780000</v>
      </c>
    </row>
    <row r="1599" customFormat="false" ht="15" hidden="false" customHeight="false" outlineLevel="0" collapsed="false">
      <c r="A1599" s="0" t="s">
        <v>8</v>
      </c>
      <c r="B1599" s="0" t="s">
        <v>2394</v>
      </c>
      <c r="C1599" s="0" t="s">
        <v>3921</v>
      </c>
    </row>
    <row r="1600" customFormat="false" ht="15" hidden="false" customHeight="false" outlineLevel="0" collapsed="false">
      <c r="A1600" s="0" t="s">
        <v>8</v>
      </c>
      <c r="B1600" s="0" t="s">
        <v>2394</v>
      </c>
      <c r="C1600" s="0" t="s">
        <v>3922</v>
      </c>
    </row>
    <row r="1601" customFormat="false" ht="15" hidden="false" customHeight="false" outlineLevel="0" collapsed="false">
      <c r="A1601" s="0" t="s">
        <v>8</v>
      </c>
      <c r="B1601" s="0" t="s">
        <v>2403</v>
      </c>
      <c r="C1601" s="0" t="s">
        <v>3920</v>
      </c>
      <c r="D1601" s="0" t="n">
        <v>12.99</v>
      </c>
    </row>
    <row r="1602" customFormat="false" ht="15" hidden="false" customHeight="false" outlineLevel="0" collapsed="false">
      <c r="A1602" s="0" t="s">
        <v>8</v>
      </c>
      <c r="B1602" s="0" t="s">
        <v>2403</v>
      </c>
      <c r="C1602" s="0" t="s">
        <v>3921</v>
      </c>
    </row>
    <row r="1603" customFormat="false" ht="15" hidden="false" customHeight="false" outlineLevel="0" collapsed="false">
      <c r="A1603" s="0" t="s">
        <v>8</v>
      </c>
      <c r="B1603" s="0" t="s">
        <v>2403</v>
      </c>
      <c r="C1603" s="0" t="s">
        <v>3922</v>
      </c>
    </row>
    <row r="1604" customFormat="false" ht="15" hidden="false" customHeight="false" outlineLevel="0" collapsed="false">
      <c r="A1604" s="0" t="s">
        <v>8</v>
      </c>
      <c r="B1604" s="0" t="s">
        <v>2411</v>
      </c>
      <c r="C1604" s="0" t="s">
        <v>3920</v>
      </c>
      <c r="D1604" s="0" t="n">
        <v>31411</v>
      </c>
    </row>
    <row r="1605" customFormat="false" ht="15" hidden="false" customHeight="false" outlineLevel="0" collapsed="false">
      <c r="A1605" s="0" t="s">
        <v>8</v>
      </c>
      <c r="B1605" s="0" t="s">
        <v>2411</v>
      </c>
      <c r="C1605" s="0" t="s">
        <v>3921</v>
      </c>
    </row>
    <row r="1606" customFormat="false" ht="15" hidden="false" customHeight="false" outlineLevel="0" collapsed="false">
      <c r="A1606" s="0" t="s">
        <v>8</v>
      </c>
      <c r="B1606" s="0" t="s">
        <v>2411</v>
      </c>
      <c r="C1606" s="0" t="s">
        <v>3922</v>
      </c>
    </row>
    <row r="1607" customFormat="false" ht="15" hidden="false" customHeight="false" outlineLevel="0" collapsed="false">
      <c r="A1607" s="0" t="s">
        <v>8</v>
      </c>
      <c r="B1607" s="0" t="s">
        <v>2417</v>
      </c>
      <c r="C1607" s="0" t="s">
        <v>3920</v>
      </c>
      <c r="D1607" s="0" t="n">
        <v>31374.95</v>
      </c>
    </row>
    <row r="1608" customFormat="false" ht="15" hidden="false" customHeight="false" outlineLevel="0" collapsed="false">
      <c r="A1608" s="0" t="s">
        <v>8</v>
      </c>
      <c r="B1608" s="0" t="s">
        <v>2417</v>
      </c>
      <c r="C1608" s="0" t="s">
        <v>3921</v>
      </c>
    </row>
    <row r="1609" customFormat="false" ht="15" hidden="false" customHeight="false" outlineLevel="0" collapsed="false">
      <c r="A1609" s="0" t="s">
        <v>8</v>
      </c>
      <c r="B1609" s="0" t="s">
        <v>2417</v>
      </c>
      <c r="C1609" s="0" t="s">
        <v>3922</v>
      </c>
    </row>
    <row r="1610" customFormat="false" ht="15" hidden="false" customHeight="false" outlineLevel="0" collapsed="false">
      <c r="A1610" s="0" t="s">
        <v>8</v>
      </c>
      <c r="B1610" s="0" t="s">
        <v>2421</v>
      </c>
      <c r="C1610" s="0" t="s">
        <v>3920</v>
      </c>
    </row>
    <row r="1611" customFormat="false" ht="15" hidden="false" customHeight="false" outlineLevel="0" collapsed="false">
      <c r="A1611" s="0" t="s">
        <v>8</v>
      </c>
      <c r="B1611" s="0" t="s">
        <v>2421</v>
      </c>
      <c r="C1611" s="0" t="s">
        <v>3921</v>
      </c>
    </row>
    <row r="1612" customFormat="false" ht="15" hidden="false" customHeight="false" outlineLevel="0" collapsed="false">
      <c r="A1612" s="0" t="s">
        <v>8</v>
      </c>
      <c r="B1612" s="0" t="s">
        <v>2421</v>
      </c>
      <c r="C1612" s="0" t="s">
        <v>3922</v>
      </c>
    </row>
    <row r="1613" customFormat="false" ht="15" hidden="false" customHeight="false" outlineLevel="0" collapsed="false">
      <c r="A1613" s="0" t="s">
        <v>8</v>
      </c>
      <c r="B1613" s="0" t="s">
        <v>2428</v>
      </c>
      <c r="C1613" s="0" t="s">
        <v>3920</v>
      </c>
      <c r="D1613" s="0" t="n">
        <v>4</v>
      </c>
    </row>
    <row r="1614" customFormat="false" ht="15" hidden="false" customHeight="false" outlineLevel="0" collapsed="false">
      <c r="A1614" s="0" t="s">
        <v>8</v>
      </c>
      <c r="B1614" s="0" t="s">
        <v>2428</v>
      </c>
      <c r="C1614" s="0" t="s">
        <v>3921</v>
      </c>
    </row>
    <row r="1615" customFormat="false" ht="15" hidden="false" customHeight="false" outlineLevel="0" collapsed="false">
      <c r="A1615" s="0" t="s">
        <v>8</v>
      </c>
      <c r="B1615" s="0" t="s">
        <v>2428</v>
      </c>
      <c r="C1615" s="0" t="s">
        <v>3922</v>
      </c>
    </row>
    <row r="1616" customFormat="false" ht="15" hidden="false" customHeight="false" outlineLevel="0" collapsed="false">
      <c r="A1616" s="0" t="s">
        <v>8</v>
      </c>
      <c r="B1616" s="0" t="s">
        <v>2436</v>
      </c>
      <c r="C1616" s="0" t="s">
        <v>3920</v>
      </c>
      <c r="D1616" s="0" t="n">
        <v>55</v>
      </c>
    </row>
    <row r="1617" customFormat="false" ht="15" hidden="false" customHeight="false" outlineLevel="0" collapsed="false">
      <c r="A1617" s="0" t="s">
        <v>8</v>
      </c>
      <c r="B1617" s="0" t="s">
        <v>2436</v>
      </c>
      <c r="C1617" s="0" t="s">
        <v>3921</v>
      </c>
    </row>
    <row r="1618" customFormat="false" ht="15" hidden="false" customHeight="false" outlineLevel="0" collapsed="false">
      <c r="A1618" s="0" t="s">
        <v>8</v>
      </c>
      <c r="B1618" s="0" t="s">
        <v>2436</v>
      </c>
      <c r="C1618" s="0" t="s">
        <v>3922</v>
      </c>
    </row>
    <row r="1619" customFormat="false" ht="15" hidden="false" customHeight="false" outlineLevel="0" collapsed="false">
      <c r="A1619" s="0" t="s">
        <v>8</v>
      </c>
      <c r="B1619" s="0" t="s">
        <v>2440</v>
      </c>
      <c r="C1619" s="0" t="s">
        <v>3920</v>
      </c>
      <c r="D1619" s="0" t="n">
        <v>10954.8</v>
      </c>
    </row>
    <row r="1620" customFormat="false" ht="15" hidden="false" customHeight="false" outlineLevel="0" collapsed="false">
      <c r="A1620" s="0" t="s">
        <v>8</v>
      </c>
      <c r="B1620" s="0" t="s">
        <v>2440</v>
      </c>
      <c r="C1620" s="0" t="s">
        <v>3921</v>
      </c>
    </row>
    <row r="1621" customFormat="false" ht="15" hidden="false" customHeight="false" outlineLevel="0" collapsed="false">
      <c r="A1621" s="0" t="s">
        <v>8</v>
      </c>
      <c r="B1621" s="0" t="s">
        <v>2440</v>
      </c>
      <c r="C1621" s="0" t="s">
        <v>3922</v>
      </c>
    </row>
    <row r="1622" customFormat="false" ht="15" hidden="false" customHeight="false" outlineLevel="0" collapsed="false">
      <c r="A1622" s="0" t="s">
        <v>8</v>
      </c>
      <c r="B1622" s="0" t="s">
        <v>2444</v>
      </c>
      <c r="C1622" s="0" t="s">
        <v>3920</v>
      </c>
      <c r="D1622" s="0" t="n">
        <v>714</v>
      </c>
    </row>
    <row r="1623" customFormat="false" ht="15" hidden="false" customHeight="false" outlineLevel="0" collapsed="false">
      <c r="A1623" s="0" t="s">
        <v>8</v>
      </c>
      <c r="B1623" s="0" t="s">
        <v>2444</v>
      </c>
      <c r="C1623" s="0" t="s">
        <v>3921</v>
      </c>
    </row>
    <row r="1624" customFormat="false" ht="15" hidden="false" customHeight="false" outlineLevel="0" collapsed="false">
      <c r="A1624" s="0" t="s">
        <v>8</v>
      </c>
      <c r="B1624" s="0" t="s">
        <v>2444</v>
      </c>
      <c r="C1624" s="0" t="s">
        <v>3922</v>
      </c>
    </row>
    <row r="1625" customFormat="false" ht="15" hidden="false" customHeight="false" outlineLevel="0" collapsed="false">
      <c r="A1625" s="0" t="s">
        <v>8</v>
      </c>
      <c r="B1625" s="0" t="s">
        <v>2449</v>
      </c>
      <c r="C1625" s="0" t="s">
        <v>3920</v>
      </c>
      <c r="D1625" s="0" t="n">
        <v>21965000</v>
      </c>
    </row>
    <row r="1626" customFormat="false" ht="15" hidden="false" customHeight="false" outlineLevel="0" collapsed="false">
      <c r="A1626" s="0" t="s">
        <v>8</v>
      </c>
      <c r="B1626" s="0" t="s">
        <v>2449</v>
      </c>
      <c r="C1626" s="0" t="s">
        <v>3921</v>
      </c>
    </row>
    <row r="1627" customFormat="false" ht="15" hidden="false" customHeight="false" outlineLevel="0" collapsed="false">
      <c r="A1627" s="0" t="s">
        <v>8</v>
      </c>
      <c r="B1627" s="0" t="s">
        <v>2449</v>
      </c>
      <c r="C1627" s="0" t="s">
        <v>3922</v>
      </c>
    </row>
    <row r="1628" customFormat="false" ht="15" hidden="false" customHeight="false" outlineLevel="0" collapsed="false">
      <c r="A1628" s="0" t="s">
        <v>8</v>
      </c>
      <c r="B1628" s="0" t="s">
        <v>2457</v>
      </c>
      <c r="C1628" s="0" t="s">
        <v>3920</v>
      </c>
      <c r="D1628" s="0" t="n">
        <v>15683.01</v>
      </c>
    </row>
    <row r="1629" customFormat="false" ht="15" hidden="false" customHeight="false" outlineLevel="0" collapsed="false">
      <c r="A1629" s="0" t="s">
        <v>8</v>
      </c>
      <c r="B1629" s="0" t="s">
        <v>2457</v>
      </c>
      <c r="C1629" s="0" t="s">
        <v>3921</v>
      </c>
    </row>
    <row r="1630" customFormat="false" ht="15" hidden="false" customHeight="false" outlineLevel="0" collapsed="false">
      <c r="A1630" s="0" t="s">
        <v>8</v>
      </c>
      <c r="B1630" s="0" t="s">
        <v>2457</v>
      </c>
      <c r="C1630" s="0" t="s">
        <v>3922</v>
      </c>
    </row>
    <row r="1631" customFormat="false" ht="15" hidden="false" customHeight="false" outlineLevel="0" collapsed="false">
      <c r="A1631" s="0" t="s">
        <v>8</v>
      </c>
      <c r="B1631" s="0" t="s">
        <v>2461</v>
      </c>
      <c r="C1631" s="0" t="s">
        <v>3920</v>
      </c>
      <c r="D1631" s="0" t="n">
        <v>15664.13</v>
      </c>
    </row>
    <row r="1632" customFormat="false" ht="15" hidden="false" customHeight="false" outlineLevel="0" collapsed="false">
      <c r="A1632" s="0" t="s">
        <v>8</v>
      </c>
      <c r="B1632" s="0" t="s">
        <v>2461</v>
      </c>
      <c r="C1632" s="0" t="s">
        <v>3921</v>
      </c>
    </row>
    <row r="1633" customFormat="false" ht="15" hidden="false" customHeight="false" outlineLevel="0" collapsed="false">
      <c r="A1633" s="0" t="s">
        <v>8</v>
      </c>
      <c r="B1633" s="0" t="s">
        <v>2461</v>
      </c>
      <c r="C1633" s="0" t="s">
        <v>3922</v>
      </c>
    </row>
    <row r="1634" customFormat="false" ht="15" hidden="false" customHeight="false" outlineLevel="0" collapsed="false">
      <c r="A1634" s="0" t="s">
        <v>8</v>
      </c>
      <c r="B1634" s="0" t="s">
        <v>2465</v>
      </c>
      <c r="C1634" s="0" t="s">
        <v>3920</v>
      </c>
      <c r="D1634" s="0" t="n">
        <v>201.4</v>
      </c>
    </row>
    <row r="1635" customFormat="false" ht="15" hidden="false" customHeight="false" outlineLevel="0" collapsed="false">
      <c r="A1635" s="0" t="s">
        <v>8</v>
      </c>
      <c r="B1635" s="0" t="s">
        <v>2465</v>
      </c>
      <c r="C1635" s="0" t="s">
        <v>3921</v>
      </c>
    </row>
    <row r="1636" customFormat="false" ht="15" hidden="false" customHeight="false" outlineLevel="0" collapsed="false">
      <c r="A1636" s="0" t="s">
        <v>8</v>
      </c>
      <c r="B1636" s="0" t="s">
        <v>2465</v>
      </c>
      <c r="C1636" s="0" t="s">
        <v>3922</v>
      </c>
    </row>
    <row r="1637" customFormat="false" ht="15" hidden="false" customHeight="false" outlineLevel="0" collapsed="false">
      <c r="A1637" s="0" t="s">
        <v>8</v>
      </c>
      <c r="B1637" s="0" t="s">
        <v>2470</v>
      </c>
      <c r="C1637" s="0" t="s">
        <v>3920</v>
      </c>
      <c r="D1637" s="0" t="n">
        <v>3015.64</v>
      </c>
    </row>
    <row r="1638" customFormat="false" ht="15" hidden="false" customHeight="false" outlineLevel="0" collapsed="false">
      <c r="A1638" s="0" t="s">
        <v>8</v>
      </c>
      <c r="B1638" s="0" t="s">
        <v>2470</v>
      </c>
      <c r="C1638" s="0" t="s">
        <v>3921</v>
      </c>
    </row>
    <row r="1639" customFormat="false" ht="15" hidden="false" customHeight="false" outlineLevel="0" collapsed="false">
      <c r="A1639" s="0" t="s">
        <v>8</v>
      </c>
      <c r="B1639" s="0" t="s">
        <v>2470</v>
      </c>
      <c r="C1639" s="0" t="s">
        <v>3922</v>
      </c>
    </row>
    <row r="1640" customFormat="false" ht="15" hidden="false" customHeight="false" outlineLevel="0" collapsed="false">
      <c r="A1640" s="0" t="s">
        <v>8</v>
      </c>
      <c r="B1640" s="0" t="s">
        <v>2474</v>
      </c>
      <c r="C1640" s="0" t="s">
        <v>3920</v>
      </c>
      <c r="D1640" s="0" t="n">
        <v>3010.77</v>
      </c>
    </row>
    <row r="1641" customFormat="false" ht="15" hidden="false" customHeight="false" outlineLevel="0" collapsed="false">
      <c r="A1641" s="0" t="s">
        <v>8</v>
      </c>
      <c r="B1641" s="0" t="s">
        <v>2474</v>
      </c>
      <c r="C1641" s="0" t="s">
        <v>3921</v>
      </c>
    </row>
    <row r="1642" customFormat="false" ht="15" hidden="false" customHeight="false" outlineLevel="0" collapsed="false">
      <c r="A1642" s="0" t="s">
        <v>8</v>
      </c>
      <c r="B1642" s="0" t="s">
        <v>2474</v>
      </c>
      <c r="C1642" s="0" t="s">
        <v>3922</v>
      </c>
    </row>
    <row r="1643" customFormat="false" ht="15" hidden="false" customHeight="false" outlineLevel="0" collapsed="false">
      <c r="A1643" s="0" t="s">
        <v>8</v>
      </c>
      <c r="B1643" s="0" t="s">
        <v>2478</v>
      </c>
      <c r="C1643" s="0" t="s">
        <v>3920</v>
      </c>
      <c r="D1643" s="0" t="n">
        <v>892.5</v>
      </c>
    </row>
    <row r="1644" customFormat="false" ht="15" hidden="false" customHeight="false" outlineLevel="0" collapsed="false">
      <c r="A1644" s="0" t="s">
        <v>8</v>
      </c>
      <c r="B1644" s="0" t="s">
        <v>2478</v>
      </c>
      <c r="C1644" s="0" t="s">
        <v>3921</v>
      </c>
    </row>
    <row r="1645" customFormat="false" ht="15" hidden="false" customHeight="false" outlineLevel="0" collapsed="false">
      <c r="A1645" s="0" t="s">
        <v>8</v>
      </c>
      <c r="B1645" s="0" t="s">
        <v>2478</v>
      </c>
      <c r="C1645" s="0" t="s">
        <v>3922</v>
      </c>
    </row>
    <row r="1646" customFormat="false" ht="15" hidden="false" customHeight="false" outlineLevel="0" collapsed="false">
      <c r="A1646" s="0" t="s">
        <v>8</v>
      </c>
      <c r="B1646" s="0" t="s">
        <v>2482</v>
      </c>
      <c r="C1646" s="0" t="s">
        <v>3920</v>
      </c>
      <c r="D1646" s="0" t="n">
        <v>26365026</v>
      </c>
    </row>
    <row r="1647" customFormat="false" ht="15" hidden="false" customHeight="false" outlineLevel="0" collapsed="false">
      <c r="A1647" s="0" t="s">
        <v>8</v>
      </c>
      <c r="B1647" s="0" t="s">
        <v>2482</v>
      </c>
      <c r="C1647" s="0" t="s">
        <v>3921</v>
      </c>
    </row>
    <row r="1648" customFormat="false" ht="15" hidden="false" customHeight="false" outlineLevel="0" collapsed="false">
      <c r="A1648" s="0" t="s">
        <v>8</v>
      </c>
      <c r="B1648" s="0" t="s">
        <v>2482</v>
      </c>
      <c r="C1648" s="0" t="s">
        <v>3922</v>
      </c>
    </row>
    <row r="1649" customFormat="false" ht="15" hidden="false" customHeight="false" outlineLevel="0" collapsed="false">
      <c r="A1649" s="0" t="s">
        <v>8</v>
      </c>
      <c r="B1649" s="0" t="s">
        <v>2486</v>
      </c>
      <c r="C1649" s="0" t="s">
        <v>3920</v>
      </c>
      <c r="D1649" s="0" t="n">
        <v>60</v>
      </c>
    </row>
    <row r="1650" customFormat="false" ht="15" hidden="false" customHeight="false" outlineLevel="0" collapsed="false">
      <c r="A1650" s="0" t="s">
        <v>8</v>
      </c>
      <c r="B1650" s="0" t="s">
        <v>2486</v>
      </c>
      <c r="C1650" s="0" t="s">
        <v>3921</v>
      </c>
    </row>
    <row r="1651" customFormat="false" ht="15" hidden="false" customHeight="false" outlineLevel="0" collapsed="false">
      <c r="A1651" s="0" t="s">
        <v>8</v>
      </c>
      <c r="B1651" s="0" t="s">
        <v>2486</v>
      </c>
      <c r="C1651" s="0" t="s">
        <v>3922</v>
      </c>
    </row>
    <row r="1652" customFormat="false" ht="15" hidden="false" customHeight="false" outlineLevel="0" collapsed="false">
      <c r="A1652" s="0" t="s">
        <v>8</v>
      </c>
      <c r="B1652" s="0" t="s">
        <v>2490</v>
      </c>
      <c r="C1652" s="0" t="s">
        <v>3920</v>
      </c>
      <c r="D1652" s="0" t="n">
        <v>393.31</v>
      </c>
    </row>
    <row r="1653" customFormat="false" ht="15" hidden="false" customHeight="false" outlineLevel="0" collapsed="false">
      <c r="A1653" s="0" t="s">
        <v>8</v>
      </c>
      <c r="B1653" s="0" t="s">
        <v>2490</v>
      </c>
      <c r="C1653" s="0" t="s">
        <v>3921</v>
      </c>
    </row>
    <row r="1654" customFormat="false" ht="15" hidden="false" customHeight="false" outlineLevel="0" collapsed="false">
      <c r="A1654" s="0" t="s">
        <v>8</v>
      </c>
      <c r="B1654" s="0" t="s">
        <v>2490</v>
      </c>
      <c r="C1654" s="0" t="s">
        <v>3922</v>
      </c>
    </row>
    <row r="1655" customFormat="false" ht="15" hidden="false" customHeight="false" outlineLevel="0" collapsed="false">
      <c r="A1655" s="0" t="s">
        <v>8</v>
      </c>
      <c r="B1655" s="0" t="s">
        <v>2497</v>
      </c>
      <c r="C1655" s="0" t="s">
        <v>3920</v>
      </c>
      <c r="D1655" s="0" t="n">
        <v>2224.8</v>
      </c>
    </row>
    <row r="1656" customFormat="false" ht="15" hidden="false" customHeight="false" outlineLevel="0" collapsed="false">
      <c r="A1656" s="0" t="s">
        <v>8</v>
      </c>
      <c r="B1656" s="0" t="s">
        <v>2497</v>
      </c>
      <c r="C1656" s="0" t="s">
        <v>3921</v>
      </c>
    </row>
    <row r="1657" customFormat="false" ht="15" hidden="false" customHeight="false" outlineLevel="0" collapsed="false">
      <c r="A1657" s="0" t="s">
        <v>8</v>
      </c>
      <c r="B1657" s="0" t="s">
        <v>2497</v>
      </c>
      <c r="C1657" s="0" t="s">
        <v>3922</v>
      </c>
    </row>
    <row r="1658" customFormat="false" ht="15" hidden="false" customHeight="false" outlineLevel="0" collapsed="false">
      <c r="A1658" s="0" t="s">
        <v>8</v>
      </c>
      <c r="B1658" s="0" t="s">
        <v>2505</v>
      </c>
      <c r="C1658" s="0" t="s">
        <v>3920</v>
      </c>
      <c r="D1658" s="0" t="n">
        <v>689.5</v>
      </c>
    </row>
    <row r="1659" customFormat="false" ht="15" hidden="false" customHeight="false" outlineLevel="0" collapsed="false">
      <c r="A1659" s="0" t="s">
        <v>8</v>
      </c>
      <c r="B1659" s="0" t="s">
        <v>2505</v>
      </c>
      <c r="C1659" s="0" t="s">
        <v>3921</v>
      </c>
    </row>
    <row r="1660" customFormat="false" ht="15" hidden="false" customHeight="false" outlineLevel="0" collapsed="false">
      <c r="A1660" s="0" t="s">
        <v>8</v>
      </c>
      <c r="B1660" s="0" t="s">
        <v>2505</v>
      </c>
      <c r="C1660" s="0" t="s">
        <v>3922</v>
      </c>
    </row>
    <row r="1661" customFormat="false" ht="15" hidden="false" customHeight="false" outlineLevel="0" collapsed="false">
      <c r="A1661" s="0" t="s">
        <v>8</v>
      </c>
      <c r="B1661" s="0" t="s">
        <v>2509</v>
      </c>
      <c r="C1661" s="0" t="s">
        <v>3920</v>
      </c>
      <c r="D1661" s="0" t="n">
        <v>58.8</v>
      </c>
    </row>
    <row r="1662" customFormat="false" ht="15" hidden="false" customHeight="false" outlineLevel="0" collapsed="false">
      <c r="A1662" s="0" t="s">
        <v>8</v>
      </c>
      <c r="B1662" s="0" t="s">
        <v>2509</v>
      </c>
      <c r="C1662" s="0" t="s">
        <v>3921</v>
      </c>
    </row>
    <row r="1663" customFormat="false" ht="15" hidden="false" customHeight="false" outlineLevel="0" collapsed="false">
      <c r="A1663" s="0" t="s">
        <v>8</v>
      </c>
      <c r="B1663" s="0" t="s">
        <v>2509</v>
      </c>
      <c r="C1663" s="0" t="s">
        <v>3922</v>
      </c>
    </row>
    <row r="1664" customFormat="false" ht="15" hidden="false" customHeight="false" outlineLevel="0" collapsed="false">
      <c r="A1664" s="0" t="s">
        <v>8</v>
      </c>
      <c r="B1664" s="0" t="s">
        <v>2513</v>
      </c>
      <c r="C1664" s="0" t="s">
        <v>3920</v>
      </c>
      <c r="D1664" s="0" t="n">
        <v>360.52</v>
      </c>
    </row>
    <row r="1665" customFormat="false" ht="15" hidden="false" customHeight="false" outlineLevel="0" collapsed="false">
      <c r="A1665" s="0" t="s">
        <v>8</v>
      </c>
      <c r="B1665" s="0" t="s">
        <v>2513</v>
      </c>
      <c r="C1665" s="0" t="s">
        <v>3921</v>
      </c>
    </row>
    <row r="1666" customFormat="false" ht="15" hidden="false" customHeight="false" outlineLevel="0" collapsed="false">
      <c r="A1666" s="0" t="s">
        <v>8</v>
      </c>
      <c r="B1666" s="0" t="s">
        <v>2513</v>
      </c>
      <c r="C1666" s="0" t="s">
        <v>3922</v>
      </c>
    </row>
    <row r="1667" customFormat="false" ht="15" hidden="false" customHeight="false" outlineLevel="0" collapsed="false">
      <c r="A1667" s="0" t="s">
        <v>8</v>
      </c>
      <c r="B1667" s="0" t="s">
        <v>2518</v>
      </c>
      <c r="C1667" s="0" t="s">
        <v>3920</v>
      </c>
      <c r="D1667" s="0" t="n">
        <v>81.62</v>
      </c>
    </row>
    <row r="1668" customFormat="false" ht="15" hidden="false" customHeight="false" outlineLevel="0" collapsed="false">
      <c r="A1668" s="0" t="s">
        <v>8</v>
      </c>
      <c r="B1668" s="0" t="s">
        <v>2518</v>
      </c>
      <c r="C1668" s="0" t="s">
        <v>3921</v>
      </c>
    </row>
    <row r="1669" customFormat="false" ht="15" hidden="false" customHeight="false" outlineLevel="0" collapsed="false">
      <c r="A1669" s="0" t="s">
        <v>8</v>
      </c>
      <c r="B1669" s="0" t="s">
        <v>2518</v>
      </c>
      <c r="C1669" s="0" t="s">
        <v>3922</v>
      </c>
    </row>
    <row r="1670" customFormat="false" ht="15" hidden="false" customHeight="false" outlineLevel="0" collapsed="false">
      <c r="A1670" s="0" t="s">
        <v>8</v>
      </c>
      <c r="B1670" s="0" t="s">
        <v>2523</v>
      </c>
      <c r="C1670" s="0" t="s">
        <v>3920</v>
      </c>
      <c r="D1670" s="0" t="n">
        <v>390.6</v>
      </c>
    </row>
    <row r="1671" customFormat="false" ht="15" hidden="false" customHeight="false" outlineLevel="0" collapsed="false">
      <c r="A1671" s="0" t="s">
        <v>8</v>
      </c>
      <c r="B1671" s="0" t="s">
        <v>2523</v>
      </c>
      <c r="C1671" s="0" t="s">
        <v>3921</v>
      </c>
    </row>
    <row r="1672" customFormat="false" ht="15" hidden="false" customHeight="false" outlineLevel="0" collapsed="false">
      <c r="A1672" s="0" t="s">
        <v>8</v>
      </c>
      <c r="B1672" s="0" t="s">
        <v>2523</v>
      </c>
      <c r="C1672" s="0" t="s">
        <v>3922</v>
      </c>
    </row>
    <row r="1673" customFormat="false" ht="15" hidden="false" customHeight="false" outlineLevel="0" collapsed="false">
      <c r="A1673" s="0" t="s">
        <v>8</v>
      </c>
      <c r="B1673" s="0" t="s">
        <v>2527</v>
      </c>
      <c r="C1673" s="0" t="s">
        <v>3920</v>
      </c>
      <c r="D1673" s="0" t="n">
        <v>60</v>
      </c>
    </row>
    <row r="1674" customFormat="false" ht="15" hidden="false" customHeight="false" outlineLevel="0" collapsed="false">
      <c r="A1674" s="0" t="s">
        <v>8</v>
      </c>
      <c r="B1674" s="0" t="s">
        <v>2527</v>
      </c>
      <c r="C1674" s="0" t="s">
        <v>3921</v>
      </c>
    </row>
    <row r="1675" customFormat="false" ht="15" hidden="false" customHeight="false" outlineLevel="0" collapsed="false">
      <c r="A1675" s="0" t="s">
        <v>8</v>
      </c>
      <c r="B1675" s="0" t="s">
        <v>2527</v>
      </c>
      <c r="C1675" s="0" t="s">
        <v>3922</v>
      </c>
    </row>
    <row r="1676" customFormat="false" ht="15" hidden="false" customHeight="false" outlineLevel="0" collapsed="false">
      <c r="A1676" s="0" t="s">
        <v>8</v>
      </c>
      <c r="B1676" s="0" t="s">
        <v>2535</v>
      </c>
      <c r="C1676" s="0" t="s">
        <v>3920</v>
      </c>
    </row>
    <row r="1677" customFormat="false" ht="15" hidden="false" customHeight="false" outlineLevel="0" collapsed="false">
      <c r="A1677" s="0" t="s">
        <v>8</v>
      </c>
      <c r="B1677" s="0" t="s">
        <v>2535</v>
      </c>
      <c r="C1677" s="0" t="s">
        <v>3921</v>
      </c>
    </row>
    <row r="1678" customFormat="false" ht="15" hidden="false" customHeight="false" outlineLevel="0" collapsed="false">
      <c r="A1678" s="0" t="s">
        <v>8</v>
      </c>
      <c r="B1678" s="0" t="s">
        <v>2535</v>
      </c>
      <c r="C1678" s="0" t="s">
        <v>3922</v>
      </c>
    </row>
    <row r="1679" customFormat="false" ht="15" hidden="false" customHeight="false" outlineLevel="0" collapsed="false">
      <c r="A1679" s="0" t="s">
        <v>8</v>
      </c>
      <c r="B1679" s="0" t="s">
        <v>2543</v>
      </c>
      <c r="C1679" s="0" t="s">
        <v>3920</v>
      </c>
      <c r="D1679" s="0" t="n">
        <v>445843090</v>
      </c>
    </row>
    <row r="1680" customFormat="false" ht="15" hidden="false" customHeight="false" outlineLevel="0" collapsed="false">
      <c r="A1680" s="0" t="s">
        <v>8</v>
      </c>
      <c r="B1680" s="0" t="s">
        <v>2543</v>
      </c>
      <c r="C1680" s="0" t="s">
        <v>3921</v>
      </c>
    </row>
    <row r="1681" customFormat="false" ht="15" hidden="false" customHeight="false" outlineLevel="0" collapsed="false">
      <c r="A1681" s="0" t="s">
        <v>8</v>
      </c>
      <c r="B1681" s="0" t="s">
        <v>2543</v>
      </c>
      <c r="C1681" s="0" t="s">
        <v>3922</v>
      </c>
    </row>
    <row r="1682" customFormat="false" ht="15" hidden="false" customHeight="false" outlineLevel="0" collapsed="false">
      <c r="A1682" s="0" t="s">
        <v>8</v>
      </c>
      <c r="B1682" s="0" t="s">
        <v>2550</v>
      </c>
      <c r="C1682" s="0" t="s">
        <v>3920</v>
      </c>
      <c r="D1682" s="0" t="n">
        <v>221314605</v>
      </c>
    </row>
    <row r="1683" customFormat="false" ht="15" hidden="false" customHeight="false" outlineLevel="0" collapsed="false">
      <c r="A1683" s="0" t="s">
        <v>8</v>
      </c>
      <c r="B1683" s="0" t="s">
        <v>2550</v>
      </c>
      <c r="C1683" s="0" t="s">
        <v>3921</v>
      </c>
    </row>
    <row r="1684" customFormat="false" ht="15" hidden="false" customHeight="false" outlineLevel="0" collapsed="false">
      <c r="A1684" s="0" t="s">
        <v>8</v>
      </c>
      <c r="B1684" s="0" t="s">
        <v>2550</v>
      </c>
      <c r="C1684" s="0" t="s">
        <v>3922</v>
      </c>
    </row>
    <row r="1685" customFormat="false" ht="15" hidden="false" customHeight="false" outlineLevel="0" collapsed="false">
      <c r="A1685" s="0" t="s">
        <v>8</v>
      </c>
      <c r="B1685" s="0" t="s">
        <v>2554</v>
      </c>
      <c r="C1685" s="0" t="s">
        <v>3920</v>
      </c>
      <c r="D1685" s="0" t="n">
        <v>224528485</v>
      </c>
    </row>
    <row r="1686" customFormat="false" ht="15" hidden="false" customHeight="false" outlineLevel="0" collapsed="false">
      <c r="A1686" s="0" t="s">
        <v>8</v>
      </c>
      <c r="B1686" s="0" t="s">
        <v>2554</v>
      </c>
      <c r="C1686" s="0" t="s">
        <v>3921</v>
      </c>
    </row>
    <row r="1687" customFormat="false" ht="15" hidden="false" customHeight="false" outlineLevel="0" collapsed="false">
      <c r="A1687" s="0" t="s">
        <v>8</v>
      </c>
      <c r="B1687" s="0" t="s">
        <v>2554</v>
      </c>
      <c r="C1687" s="0" t="s">
        <v>3922</v>
      </c>
    </row>
    <row r="1688" customFormat="false" ht="15" hidden="false" customHeight="false" outlineLevel="0" collapsed="false">
      <c r="A1688" s="0" t="s">
        <v>8</v>
      </c>
      <c r="B1688" s="0" t="s">
        <v>2558</v>
      </c>
      <c r="C1688" s="0" t="s">
        <v>3920</v>
      </c>
      <c r="D1688" s="0" t="n">
        <v>487588090</v>
      </c>
    </row>
    <row r="1689" customFormat="false" ht="15" hidden="false" customHeight="false" outlineLevel="0" collapsed="false">
      <c r="A1689" s="0" t="s">
        <v>8</v>
      </c>
      <c r="B1689" s="0" t="s">
        <v>2558</v>
      </c>
      <c r="C1689" s="0" t="s">
        <v>3921</v>
      </c>
    </row>
    <row r="1690" customFormat="false" ht="15" hidden="false" customHeight="false" outlineLevel="0" collapsed="false">
      <c r="A1690" s="0" t="s">
        <v>8</v>
      </c>
      <c r="B1690" s="0" t="s">
        <v>2558</v>
      </c>
      <c r="C1690" s="0" t="s">
        <v>3922</v>
      </c>
    </row>
    <row r="1691" customFormat="false" ht="15" hidden="false" customHeight="false" outlineLevel="0" collapsed="false">
      <c r="A1691" s="0" t="s">
        <v>8</v>
      </c>
      <c r="B1691" s="0" t="s">
        <v>2563</v>
      </c>
      <c r="C1691" s="0" t="s">
        <v>3920</v>
      </c>
      <c r="D1691" s="0" t="n">
        <v>28.57</v>
      </c>
    </row>
    <row r="1692" customFormat="false" ht="15" hidden="false" customHeight="false" outlineLevel="0" collapsed="false">
      <c r="A1692" s="0" t="s">
        <v>8</v>
      </c>
      <c r="B1692" s="0" t="s">
        <v>2563</v>
      </c>
      <c r="C1692" s="0" t="s">
        <v>3921</v>
      </c>
    </row>
    <row r="1693" customFormat="false" ht="15" hidden="false" customHeight="false" outlineLevel="0" collapsed="false">
      <c r="A1693" s="0" t="s">
        <v>8</v>
      </c>
      <c r="B1693" s="0" t="s">
        <v>2563</v>
      </c>
      <c r="C1693" s="0" t="s">
        <v>3922</v>
      </c>
    </row>
    <row r="1694" customFormat="false" ht="15" hidden="false" customHeight="false" outlineLevel="0" collapsed="false">
      <c r="A1694" s="0" t="s">
        <v>8</v>
      </c>
      <c r="B1694" s="0" t="s">
        <v>2567</v>
      </c>
      <c r="C1694" s="0" t="s">
        <v>3920</v>
      </c>
      <c r="D1694" s="0" t="n">
        <v>33.03</v>
      </c>
    </row>
    <row r="1695" customFormat="false" ht="15" hidden="false" customHeight="false" outlineLevel="0" collapsed="false">
      <c r="A1695" s="0" t="s">
        <v>8</v>
      </c>
      <c r="B1695" s="0" t="s">
        <v>2567</v>
      </c>
      <c r="C1695" s="0" t="s">
        <v>3921</v>
      </c>
    </row>
    <row r="1696" customFormat="false" ht="15" hidden="false" customHeight="false" outlineLevel="0" collapsed="false">
      <c r="A1696" s="0" t="s">
        <v>8</v>
      </c>
      <c r="B1696" s="0" t="s">
        <v>2567</v>
      </c>
      <c r="C1696" s="0" t="s">
        <v>3922</v>
      </c>
    </row>
    <row r="1697" customFormat="false" ht="15" hidden="false" customHeight="false" outlineLevel="0" collapsed="false">
      <c r="A1697" s="0" t="s">
        <v>8</v>
      </c>
      <c r="B1697" s="0" t="s">
        <v>2571</v>
      </c>
      <c r="C1697" s="0" t="s">
        <v>3920</v>
      </c>
      <c r="D1697" s="0" t="n">
        <v>6.73</v>
      </c>
    </row>
    <row r="1698" customFormat="false" ht="15" hidden="false" customHeight="false" outlineLevel="0" collapsed="false">
      <c r="A1698" s="0" t="s">
        <v>8</v>
      </c>
      <c r="B1698" s="0" t="s">
        <v>2571</v>
      </c>
      <c r="C1698" s="0" t="s">
        <v>3921</v>
      </c>
    </row>
    <row r="1699" customFormat="false" ht="15" hidden="false" customHeight="false" outlineLevel="0" collapsed="false">
      <c r="A1699" s="0" t="s">
        <v>8</v>
      </c>
      <c r="B1699" s="0" t="s">
        <v>2571</v>
      </c>
      <c r="C1699" s="0" t="s">
        <v>3922</v>
      </c>
    </row>
    <row r="1700" customFormat="false" ht="15" hidden="false" customHeight="false" outlineLevel="0" collapsed="false">
      <c r="A1700" s="0" t="s">
        <v>8</v>
      </c>
      <c r="B1700" s="0" t="s">
        <v>2575</v>
      </c>
      <c r="C1700" s="0" t="s">
        <v>3920</v>
      </c>
      <c r="D1700" s="0" t="n">
        <v>4.27</v>
      </c>
    </row>
    <row r="1701" customFormat="false" ht="15" hidden="false" customHeight="false" outlineLevel="0" collapsed="false">
      <c r="A1701" s="0" t="s">
        <v>8</v>
      </c>
      <c r="B1701" s="0" t="s">
        <v>2575</v>
      </c>
      <c r="C1701" s="0" t="s">
        <v>3921</v>
      </c>
    </row>
    <row r="1702" customFormat="false" ht="15" hidden="false" customHeight="false" outlineLevel="0" collapsed="false">
      <c r="A1702" s="0" t="s">
        <v>8</v>
      </c>
      <c r="B1702" s="0" t="s">
        <v>2575</v>
      </c>
      <c r="C1702" s="0" t="s">
        <v>3922</v>
      </c>
    </row>
    <row r="1703" customFormat="false" ht="15" hidden="false" customHeight="false" outlineLevel="0" collapsed="false">
      <c r="A1703" s="0" t="s">
        <v>8</v>
      </c>
      <c r="B1703" s="0" t="s">
        <v>2579</v>
      </c>
      <c r="C1703" s="0" t="s">
        <v>3920</v>
      </c>
    </row>
    <row r="1704" customFormat="false" ht="15" hidden="false" customHeight="false" outlineLevel="0" collapsed="false">
      <c r="A1704" s="0" t="s">
        <v>8</v>
      </c>
      <c r="B1704" s="0" t="s">
        <v>2579</v>
      </c>
      <c r="C1704" s="0" t="s">
        <v>3921</v>
      </c>
      <c r="D1704" s="0" t="n">
        <v>40</v>
      </c>
    </row>
    <row r="1705" customFormat="false" ht="15" hidden="false" customHeight="false" outlineLevel="0" collapsed="false">
      <c r="A1705" s="0" t="s">
        <v>8</v>
      </c>
      <c r="B1705" s="0" t="s">
        <v>2579</v>
      </c>
      <c r="C1705" s="0" t="s">
        <v>3922</v>
      </c>
    </row>
    <row r="1706" customFormat="false" ht="15" hidden="false" customHeight="false" outlineLevel="0" collapsed="false">
      <c r="A1706" s="0" t="s">
        <v>8</v>
      </c>
      <c r="B1706" s="0" t="s">
        <v>2585</v>
      </c>
      <c r="C1706" s="0" t="s">
        <v>3920</v>
      </c>
      <c r="D1706" s="0" t="n">
        <v>696</v>
      </c>
    </row>
    <row r="1707" customFormat="false" ht="15" hidden="false" customHeight="false" outlineLevel="0" collapsed="false">
      <c r="A1707" s="0" t="s">
        <v>8</v>
      </c>
      <c r="B1707" s="0" t="s">
        <v>2585</v>
      </c>
      <c r="C1707" s="0" t="s">
        <v>3921</v>
      </c>
    </row>
    <row r="1708" customFormat="false" ht="15" hidden="false" customHeight="false" outlineLevel="0" collapsed="false">
      <c r="A1708" s="0" t="s">
        <v>8</v>
      </c>
      <c r="B1708" s="0" t="s">
        <v>2585</v>
      </c>
      <c r="C1708" s="0" t="s">
        <v>3922</v>
      </c>
    </row>
    <row r="1709" customFormat="false" ht="15" hidden="false" customHeight="false" outlineLevel="0" collapsed="false">
      <c r="A1709" s="0" t="s">
        <v>8</v>
      </c>
      <c r="B1709" s="0" t="s">
        <v>2592</v>
      </c>
      <c r="C1709" s="0" t="s">
        <v>3920</v>
      </c>
      <c r="D1709" s="0" t="n">
        <v>626.5</v>
      </c>
    </row>
    <row r="1710" customFormat="false" ht="15" hidden="false" customHeight="false" outlineLevel="0" collapsed="false">
      <c r="A1710" s="0" t="s">
        <v>8</v>
      </c>
      <c r="B1710" s="0" t="s">
        <v>2592</v>
      </c>
      <c r="C1710" s="0" t="s">
        <v>3921</v>
      </c>
    </row>
    <row r="1711" customFormat="false" ht="15" hidden="false" customHeight="false" outlineLevel="0" collapsed="false">
      <c r="A1711" s="0" t="s">
        <v>8</v>
      </c>
      <c r="B1711" s="0" t="s">
        <v>2592</v>
      </c>
      <c r="C1711" s="0" t="s">
        <v>3922</v>
      </c>
    </row>
    <row r="1712" customFormat="false" ht="15" hidden="false" customHeight="false" outlineLevel="0" collapsed="false">
      <c r="A1712" s="0" t="s">
        <v>8</v>
      </c>
      <c r="B1712" s="0" t="s">
        <v>2600</v>
      </c>
      <c r="C1712" s="0" t="s">
        <v>3920</v>
      </c>
      <c r="D1712" s="0" t="n">
        <v>3396.48</v>
      </c>
    </row>
    <row r="1713" customFormat="false" ht="15" hidden="false" customHeight="false" outlineLevel="0" collapsed="false">
      <c r="A1713" s="0" t="s">
        <v>8</v>
      </c>
      <c r="B1713" s="0" t="s">
        <v>2600</v>
      </c>
      <c r="C1713" s="0" t="s">
        <v>3921</v>
      </c>
    </row>
    <row r="1714" customFormat="false" ht="15" hidden="false" customHeight="false" outlineLevel="0" collapsed="false">
      <c r="A1714" s="0" t="s">
        <v>8</v>
      </c>
      <c r="B1714" s="0" t="s">
        <v>2600</v>
      </c>
      <c r="C1714" s="0" t="s">
        <v>3922</v>
      </c>
    </row>
    <row r="1715" customFormat="false" ht="15" hidden="false" customHeight="false" outlineLevel="0" collapsed="false">
      <c r="A1715" s="0" t="s">
        <v>8</v>
      </c>
      <c r="B1715" s="0" t="s">
        <v>2604</v>
      </c>
      <c r="C1715" s="0" t="s">
        <v>3920</v>
      </c>
      <c r="D1715" s="0" t="n">
        <v>3393.61</v>
      </c>
    </row>
    <row r="1716" customFormat="false" ht="15" hidden="false" customHeight="false" outlineLevel="0" collapsed="false">
      <c r="A1716" s="0" t="s">
        <v>8</v>
      </c>
      <c r="B1716" s="0" t="s">
        <v>2604</v>
      </c>
      <c r="C1716" s="0" t="s">
        <v>3921</v>
      </c>
    </row>
    <row r="1717" customFormat="false" ht="15" hidden="false" customHeight="false" outlineLevel="0" collapsed="false">
      <c r="A1717" s="0" t="s">
        <v>8</v>
      </c>
      <c r="B1717" s="0" t="s">
        <v>2604</v>
      </c>
      <c r="C1717" s="0" t="s">
        <v>3922</v>
      </c>
    </row>
    <row r="1718" customFormat="false" ht="15" hidden="false" customHeight="false" outlineLevel="0" collapsed="false">
      <c r="A1718" s="0" t="s">
        <v>8</v>
      </c>
      <c r="B1718" s="0" t="s">
        <v>2610</v>
      </c>
      <c r="C1718" s="0" t="s">
        <v>3920</v>
      </c>
      <c r="D1718" s="0" t="n">
        <v>2980</v>
      </c>
    </row>
    <row r="1719" customFormat="false" ht="15" hidden="false" customHeight="false" outlineLevel="0" collapsed="false">
      <c r="A1719" s="0" t="s">
        <v>8</v>
      </c>
      <c r="B1719" s="0" t="s">
        <v>2610</v>
      </c>
      <c r="C1719" s="0" t="s">
        <v>3921</v>
      </c>
    </row>
    <row r="1720" customFormat="false" ht="15" hidden="false" customHeight="false" outlineLevel="0" collapsed="false">
      <c r="A1720" s="0" t="s">
        <v>8</v>
      </c>
      <c r="B1720" s="0" t="s">
        <v>2610</v>
      </c>
      <c r="C1720" s="0" t="s">
        <v>3922</v>
      </c>
    </row>
    <row r="1721" customFormat="false" ht="15" hidden="false" customHeight="false" outlineLevel="0" collapsed="false">
      <c r="A1721" s="0" t="s">
        <v>8</v>
      </c>
      <c r="B1721" s="0" t="s">
        <v>2615</v>
      </c>
      <c r="C1721" s="0" t="s">
        <v>3920</v>
      </c>
      <c r="D1721" s="0" t="n">
        <v>116.1</v>
      </c>
    </row>
    <row r="1722" customFormat="false" ht="15" hidden="false" customHeight="false" outlineLevel="0" collapsed="false">
      <c r="A1722" s="0" t="s">
        <v>8</v>
      </c>
      <c r="B1722" s="0" t="s">
        <v>2615</v>
      </c>
      <c r="C1722" s="0" t="s">
        <v>3921</v>
      </c>
    </row>
    <row r="1723" customFormat="false" ht="15" hidden="false" customHeight="false" outlineLevel="0" collapsed="false">
      <c r="A1723" s="0" t="s">
        <v>8</v>
      </c>
      <c r="B1723" s="0" t="s">
        <v>2615</v>
      </c>
      <c r="C1723" s="0" t="s">
        <v>3922</v>
      </c>
    </row>
    <row r="1724" customFormat="false" ht="15" hidden="false" customHeight="false" outlineLevel="0" collapsed="false">
      <c r="A1724" s="0" t="s">
        <v>8</v>
      </c>
      <c r="B1724" s="0" t="s">
        <v>2620</v>
      </c>
      <c r="C1724" s="0" t="s">
        <v>3920</v>
      </c>
      <c r="D1724" s="0" t="n">
        <v>1232</v>
      </c>
    </row>
    <row r="1725" customFormat="false" ht="15" hidden="false" customHeight="false" outlineLevel="0" collapsed="false">
      <c r="A1725" s="0" t="s">
        <v>8</v>
      </c>
      <c r="B1725" s="0" t="s">
        <v>2620</v>
      </c>
      <c r="C1725" s="0" t="s">
        <v>3921</v>
      </c>
    </row>
    <row r="1726" customFormat="false" ht="15" hidden="false" customHeight="false" outlineLevel="0" collapsed="false">
      <c r="A1726" s="0" t="s">
        <v>8</v>
      </c>
      <c r="B1726" s="0" t="s">
        <v>2620</v>
      </c>
      <c r="C1726" s="0" t="s">
        <v>3922</v>
      </c>
    </row>
    <row r="1727" customFormat="false" ht="15" hidden="false" customHeight="false" outlineLevel="0" collapsed="false">
      <c r="A1727" s="0" t="s">
        <v>8</v>
      </c>
      <c r="B1727" s="0" t="s">
        <v>2626</v>
      </c>
      <c r="C1727" s="0" t="s">
        <v>3920</v>
      </c>
      <c r="D1727" s="0" t="n">
        <v>3</v>
      </c>
    </row>
    <row r="1728" customFormat="false" ht="15" hidden="false" customHeight="false" outlineLevel="0" collapsed="false">
      <c r="A1728" s="0" t="s">
        <v>8</v>
      </c>
      <c r="B1728" s="0" t="s">
        <v>2626</v>
      </c>
      <c r="C1728" s="0" t="s">
        <v>3921</v>
      </c>
    </row>
    <row r="1729" customFormat="false" ht="15" hidden="false" customHeight="false" outlineLevel="0" collapsed="false">
      <c r="A1729" s="0" t="s">
        <v>8</v>
      </c>
      <c r="B1729" s="0" t="s">
        <v>2626</v>
      </c>
      <c r="C1729" s="0" t="s">
        <v>3922</v>
      </c>
    </row>
    <row r="1730" customFormat="false" ht="15" hidden="false" customHeight="false" outlineLevel="0" collapsed="false">
      <c r="A1730" s="0" t="s">
        <v>8</v>
      </c>
      <c r="B1730" s="0" t="s">
        <v>2633</v>
      </c>
      <c r="C1730" s="0" t="s">
        <v>3920</v>
      </c>
      <c r="D1730" s="0" t="n">
        <v>2.4</v>
      </c>
    </row>
    <row r="1731" customFormat="false" ht="15" hidden="false" customHeight="false" outlineLevel="0" collapsed="false">
      <c r="A1731" s="0" t="s">
        <v>8</v>
      </c>
      <c r="B1731" s="0" t="s">
        <v>2633</v>
      </c>
      <c r="C1731" s="0" t="s">
        <v>3921</v>
      </c>
    </row>
    <row r="1732" customFormat="false" ht="15" hidden="false" customHeight="false" outlineLevel="0" collapsed="false">
      <c r="A1732" s="0" t="s">
        <v>8</v>
      </c>
      <c r="B1732" s="0" t="s">
        <v>2633</v>
      </c>
      <c r="C1732" s="0" t="s">
        <v>3922</v>
      </c>
    </row>
    <row r="1733" customFormat="false" ht="15" hidden="false" customHeight="false" outlineLevel="0" collapsed="false">
      <c r="A1733" s="0" t="s">
        <v>8</v>
      </c>
      <c r="B1733" s="0" t="s">
        <v>2639</v>
      </c>
      <c r="C1733" s="0" t="s">
        <v>3920</v>
      </c>
      <c r="D1733" s="0" t="n">
        <v>1.8</v>
      </c>
    </row>
    <row r="1734" customFormat="false" ht="15" hidden="false" customHeight="false" outlineLevel="0" collapsed="false">
      <c r="A1734" s="0" t="s">
        <v>8</v>
      </c>
      <c r="B1734" s="0" t="s">
        <v>2639</v>
      </c>
      <c r="C1734" s="0" t="s">
        <v>3921</v>
      </c>
    </row>
    <row r="1735" customFormat="false" ht="15" hidden="false" customHeight="false" outlineLevel="0" collapsed="false">
      <c r="A1735" s="0" t="s">
        <v>8</v>
      </c>
      <c r="B1735" s="0" t="s">
        <v>2639</v>
      </c>
      <c r="C1735" s="0" t="s">
        <v>3922</v>
      </c>
    </row>
    <row r="1736" customFormat="false" ht="15" hidden="false" customHeight="false" outlineLevel="0" collapsed="false">
      <c r="A1736" s="0" t="s">
        <v>8</v>
      </c>
      <c r="B1736" s="0" t="s">
        <v>2644</v>
      </c>
      <c r="C1736" s="0" t="s">
        <v>3920</v>
      </c>
      <c r="D1736" s="0" t="n">
        <v>1.6</v>
      </c>
    </row>
    <row r="1737" customFormat="false" ht="15" hidden="false" customHeight="false" outlineLevel="0" collapsed="false">
      <c r="A1737" s="0" t="s">
        <v>8</v>
      </c>
      <c r="B1737" s="0" t="s">
        <v>2644</v>
      </c>
      <c r="C1737" s="0" t="s">
        <v>3921</v>
      </c>
    </row>
    <row r="1738" customFormat="false" ht="15" hidden="false" customHeight="false" outlineLevel="0" collapsed="false">
      <c r="A1738" s="0" t="s">
        <v>8</v>
      </c>
      <c r="B1738" s="0" t="s">
        <v>2644</v>
      </c>
      <c r="C1738" s="0" t="s">
        <v>3922</v>
      </c>
      <c r="D1738" s="0" t="n">
        <v>2</v>
      </c>
    </row>
    <row r="1739" customFormat="false" ht="15" hidden="false" customHeight="false" outlineLevel="0" collapsed="false">
      <c r="A1739" s="0" t="s">
        <v>8</v>
      </c>
      <c r="B1739" s="0" t="s">
        <v>2649</v>
      </c>
      <c r="C1739" s="0" t="s">
        <v>3920</v>
      </c>
      <c r="D1739" s="0" t="n">
        <v>80</v>
      </c>
    </row>
    <row r="1740" customFormat="false" ht="15" hidden="false" customHeight="false" outlineLevel="0" collapsed="false">
      <c r="A1740" s="0" t="s">
        <v>8</v>
      </c>
      <c r="B1740" s="0" t="s">
        <v>2649</v>
      </c>
      <c r="C1740" s="0" t="s">
        <v>3921</v>
      </c>
    </row>
    <row r="1741" customFormat="false" ht="15" hidden="false" customHeight="false" outlineLevel="0" collapsed="false">
      <c r="A1741" s="0" t="s">
        <v>8</v>
      </c>
      <c r="B1741" s="0" t="s">
        <v>2649</v>
      </c>
      <c r="C1741" s="0" t="s">
        <v>3922</v>
      </c>
    </row>
    <row r="1742" customFormat="false" ht="15" hidden="false" customHeight="false" outlineLevel="0" collapsed="false">
      <c r="A1742" s="0" t="s">
        <v>8</v>
      </c>
      <c r="B1742" s="0" t="s">
        <v>2654</v>
      </c>
      <c r="C1742" s="0" t="s">
        <v>3920</v>
      </c>
    </row>
    <row r="1743" customFormat="false" ht="15" hidden="false" customHeight="false" outlineLevel="0" collapsed="false">
      <c r="A1743" s="0" t="s">
        <v>8</v>
      </c>
      <c r="B1743" s="0" t="s">
        <v>2654</v>
      </c>
      <c r="C1743" s="0" t="s">
        <v>3921</v>
      </c>
    </row>
    <row r="1744" customFormat="false" ht="15" hidden="false" customHeight="false" outlineLevel="0" collapsed="false">
      <c r="A1744" s="0" t="s">
        <v>8</v>
      </c>
      <c r="B1744" s="0" t="s">
        <v>2654</v>
      </c>
      <c r="C1744" s="0" t="s">
        <v>3922</v>
      </c>
    </row>
    <row r="1745" customFormat="false" ht="15" hidden="false" customHeight="false" outlineLevel="0" collapsed="false">
      <c r="A1745" s="0" t="s">
        <v>8</v>
      </c>
      <c r="B1745" s="0" t="s">
        <v>2661</v>
      </c>
      <c r="C1745" s="0" t="s">
        <v>3920</v>
      </c>
      <c r="D1745" s="0" t="n">
        <v>6048</v>
      </c>
    </row>
    <row r="1746" customFormat="false" ht="15" hidden="false" customHeight="false" outlineLevel="0" collapsed="false">
      <c r="A1746" s="0" t="s">
        <v>8</v>
      </c>
      <c r="B1746" s="0" t="s">
        <v>2661</v>
      </c>
      <c r="C1746" s="0" t="s">
        <v>3921</v>
      </c>
    </row>
    <row r="1747" customFormat="false" ht="15" hidden="false" customHeight="false" outlineLevel="0" collapsed="false">
      <c r="A1747" s="0" t="s">
        <v>8</v>
      </c>
      <c r="B1747" s="0" t="s">
        <v>2661</v>
      </c>
      <c r="C1747" s="0" t="s">
        <v>3922</v>
      </c>
    </row>
    <row r="1748" customFormat="false" ht="15" hidden="false" customHeight="false" outlineLevel="0" collapsed="false">
      <c r="A1748" s="0" t="s">
        <v>8</v>
      </c>
      <c r="B1748" s="0" t="s">
        <v>2671</v>
      </c>
      <c r="C1748" s="0" t="s">
        <v>3920</v>
      </c>
      <c r="D1748" s="0" t="n">
        <v>18013</v>
      </c>
    </row>
    <row r="1749" customFormat="false" ht="15" hidden="false" customHeight="false" outlineLevel="0" collapsed="false">
      <c r="A1749" s="0" t="s">
        <v>8</v>
      </c>
      <c r="B1749" s="0" t="s">
        <v>2671</v>
      </c>
      <c r="C1749" s="0" t="s">
        <v>3921</v>
      </c>
    </row>
    <row r="1750" customFormat="false" ht="15" hidden="false" customHeight="false" outlineLevel="0" collapsed="false">
      <c r="A1750" s="0" t="s">
        <v>8</v>
      </c>
      <c r="B1750" s="0" t="s">
        <v>2671</v>
      </c>
      <c r="C1750" s="0" t="s">
        <v>3922</v>
      </c>
    </row>
    <row r="1751" customFormat="false" ht="15" hidden="false" customHeight="false" outlineLevel="0" collapsed="false">
      <c r="A1751" s="0" t="s">
        <v>8</v>
      </c>
      <c r="B1751" s="0" t="s">
        <v>2678</v>
      </c>
      <c r="C1751" s="0" t="s">
        <v>3920</v>
      </c>
      <c r="D1751" s="0" t="n">
        <v>37900</v>
      </c>
    </row>
    <row r="1752" customFormat="false" ht="15" hidden="false" customHeight="false" outlineLevel="0" collapsed="false">
      <c r="A1752" s="0" t="s">
        <v>8</v>
      </c>
      <c r="B1752" s="0" t="s">
        <v>2678</v>
      </c>
      <c r="C1752" s="0" t="s">
        <v>3921</v>
      </c>
    </row>
    <row r="1753" customFormat="false" ht="15" hidden="false" customHeight="false" outlineLevel="0" collapsed="false">
      <c r="A1753" s="0" t="s">
        <v>8</v>
      </c>
      <c r="B1753" s="0" t="s">
        <v>2678</v>
      </c>
      <c r="C1753" s="0" t="s">
        <v>3922</v>
      </c>
    </row>
    <row r="1754" customFormat="false" ht="15" hidden="false" customHeight="false" outlineLevel="0" collapsed="false">
      <c r="A1754" s="0" t="s">
        <v>8</v>
      </c>
      <c r="B1754" s="0" t="s">
        <v>2684</v>
      </c>
      <c r="C1754" s="0" t="s">
        <v>3920</v>
      </c>
      <c r="D1754" s="0" t="n">
        <v>-4594</v>
      </c>
    </row>
    <row r="1755" customFormat="false" ht="15" hidden="false" customHeight="false" outlineLevel="0" collapsed="false">
      <c r="A1755" s="0" t="s">
        <v>8</v>
      </c>
      <c r="B1755" s="0" t="s">
        <v>2684</v>
      </c>
      <c r="C1755" s="0" t="s">
        <v>3921</v>
      </c>
    </row>
    <row r="1756" customFormat="false" ht="15" hidden="false" customHeight="false" outlineLevel="0" collapsed="false">
      <c r="A1756" s="0" t="s">
        <v>8</v>
      </c>
      <c r="B1756" s="0" t="s">
        <v>2684</v>
      </c>
      <c r="C1756" s="0" t="s">
        <v>3922</v>
      </c>
    </row>
    <row r="1757" customFormat="false" ht="15" hidden="false" customHeight="false" outlineLevel="0" collapsed="false">
      <c r="A1757" s="0" t="s">
        <v>8</v>
      </c>
      <c r="B1757" s="0" t="s">
        <v>2689</v>
      </c>
      <c r="C1757" s="0" t="s">
        <v>3920</v>
      </c>
      <c r="D1757" s="0" t="n">
        <v>6.1</v>
      </c>
    </row>
    <row r="1758" customFormat="false" ht="15" hidden="false" customHeight="false" outlineLevel="0" collapsed="false">
      <c r="A1758" s="0" t="s">
        <v>8</v>
      </c>
      <c r="B1758" s="0" t="s">
        <v>2689</v>
      </c>
      <c r="C1758" s="0" t="s">
        <v>3921</v>
      </c>
    </row>
    <row r="1759" customFormat="false" ht="15" hidden="false" customHeight="false" outlineLevel="0" collapsed="false">
      <c r="A1759" s="0" t="s">
        <v>8</v>
      </c>
      <c r="B1759" s="0" t="s">
        <v>2689</v>
      </c>
      <c r="C1759" s="0" t="s">
        <v>3922</v>
      </c>
    </row>
    <row r="1760" customFormat="false" ht="15" hidden="false" customHeight="false" outlineLevel="0" collapsed="false">
      <c r="A1760" s="0" t="s">
        <v>8</v>
      </c>
      <c r="B1760" s="0" t="s">
        <v>2697</v>
      </c>
      <c r="C1760" s="0" t="s">
        <v>3920</v>
      </c>
      <c r="D1760" s="0" t="n">
        <v>1567.3</v>
      </c>
    </row>
    <row r="1761" customFormat="false" ht="15" hidden="false" customHeight="false" outlineLevel="0" collapsed="false">
      <c r="A1761" s="0" t="s">
        <v>8</v>
      </c>
      <c r="B1761" s="0" t="s">
        <v>2697</v>
      </c>
      <c r="C1761" s="0" t="s">
        <v>3921</v>
      </c>
    </row>
    <row r="1762" customFormat="false" ht="15" hidden="false" customHeight="false" outlineLevel="0" collapsed="false">
      <c r="A1762" s="0" t="s">
        <v>8</v>
      </c>
      <c r="B1762" s="0" t="s">
        <v>2697</v>
      </c>
      <c r="C1762" s="0" t="s">
        <v>3922</v>
      </c>
    </row>
    <row r="1763" customFormat="false" ht="15" hidden="false" customHeight="false" outlineLevel="0" collapsed="false">
      <c r="A1763" s="0" t="s">
        <v>8</v>
      </c>
      <c r="B1763" s="0" t="s">
        <v>2702</v>
      </c>
      <c r="C1763" s="0" t="s">
        <v>3920</v>
      </c>
      <c r="D1763" s="0" t="n">
        <v>1427</v>
      </c>
    </row>
    <row r="1764" customFormat="false" ht="15" hidden="false" customHeight="false" outlineLevel="0" collapsed="false">
      <c r="A1764" s="0" t="s">
        <v>8</v>
      </c>
      <c r="B1764" s="0" t="s">
        <v>2702</v>
      </c>
      <c r="C1764" s="0" t="s">
        <v>3921</v>
      </c>
      <c r="D1764" s="0" t="n">
        <v>549</v>
      </c>
    </row>
    <row r="1765" customFormat="false" ht="15" hidden="false" customHeight="false" outlineLevel="0" collapsed="false">
      <c r="A1765" s="0" t="s">
        <v>8</v>
      </c>
      <c r="B1765" s="0" t="s">
        <v>2702</v>
      </c>
      <c r="C1765" s="0" t="s">
        <v>3922</v>
      </c>
      <c r="D1765" s="0" t="n">
        <v>1928</v>
      </c>
    </row>
    <row r="1766" customFormat="false" ht="15" hidden="false" customHeight="false" outlineLevel="0" collapsed="false">
      <c r="A1766" s="0" t="s">
        <v>8</v>
      </c>
      <c r="B1766" s="0" t="s">
        <v>2709</v>
      </c>
      <c r="C1766" s="0" t="s">
        <v>3920</v>
      </c>
      <c r="D1766" s="0" t="n">
        <v>1560</v>
      </c>
    </row>
    <row r="1767" customFormat="false" ht="15" hidden="false" customHeight="false" outlineLevel="0" collapsed="false">
      <c r="A1767" s="0" t="s">
        <v>8</v>
      </c>
      <c r="B1767" s="0" t="s">
        <v>2709</v>
      </c>
      <c r="C1767" s="0" t="s">
        <v>3921</v>
      </c>
    </row>
    <row r="1768" customFormat="false" ht="15" hidden="false" customHeight="false" outlineLevel="0" collapsed="false">
      <c r="A1768" s="0" t="s">
        <v>8</v>
      </c>
      <c r="B1768" s="0" t="s">
        <v>2709</v>
      </c>
      <c r="C1768" s="0" t="s">
        <v>3922</v>
      </c>
    </row>
    <row r="1769" customFormat="false" ht="15" hidden="false" customHeight="false" outlineLevel="0" collapsed="false">
      <c r="A1769" s="0" t="s">
        <v>8</v>
      </c>
      <c r="B1769" s="0" t="s">
        <v>2717</v>
      </c>
      <c r="C1769" s="0" t="s">
        <v>3920</v>
      </c>
      <c r="D1769" s="0" t="n">
        <v>1600</v>
      </c>
    </row>
    <row r="1770" customFormat="false" ht="15" hidden="false" customHeight="false" outlineLevel="0" collapsed="false">
      <c r="A1770" s="0" t="s">
        <v>8</v>
      </c>
      <c r="B1770" s="0" t="s">
        <v>2717</v>
      </c>
      <c r="C1770" s="0" t="s">
        <v>3921</v>
      </c>
    </row>
    <row r="1771" customFormat="false" ht="15" hidden="false" customHeight="false" outlineLevel="0" collapsed="false">
      <c r="A1771" s="0" t="s">
        <v>8</v>
      </c>
      <c r="B1771" s="0" t="s">
        <v>2717</v>
      </c>
      <c r="C1771" s="0" t="s">
        <v>3922</v>
      </c>
    </row>
    <row r="1772" customFormat="false" ht="15" hidden="false" customHeight="false" outlineLevel="0" collapsed="false">
      <c r="A1772" s="0" t="s">
        <v>8</v>
      </c>
      <c r="B1772" s="0" t="s">
        <v>2725</v>
      </c>
      <c r="C1772" s="0" t="s">
        <v>3920</v>
      </c>
      <c r="D1772" s="0" t="n">
        <v>62</v>
      </c>
    </row>
    <row r="1773" customFormat="false" ht="15" hidden="false" customHeight="false" outlineLevel="0" collapsed="false">
      <c r="A1773" s="0" t="s">
        <v>8</v>
      </c>
      <c r="B1773" s="0" t="s">
        <v>2725</v>
      </c>
      <c r="C1773" s="0" t="s">
        <v>3921</v>
      </c>
    </row>
    <row r="1774" customFormat="false" ht="15" hidden="false" customHeight="false" outlineLevel="0" collapsed="false">
      <c r="A1774" s="0" t="s">
        <v>8</v>
      </c>
      <c r="B1774" s="0" t="s">
        <v>2725</v>
      </c>
      <c r="C1774" s="0" t="s">
        <v>3922</v>
      </c>
    </row>
    <row r="1775" customFormat="false" ht="15" hidden="false" customHeight="false" outlineLevel="0" collapsed="false">
      <c r="A1775" s="0" t="s">
        <v>8</v>
      </c>
      <c r="B1775" s="0" t="s">
        <v>2733</v>
      </c>
      <c r="C1775" s="0" t="s">
        <v>3920</v>
      </c>
      <c r="D1775" s="0" t="n">
        <v>42</v>
      </c>
    </row>
    <row r="1776" customFormat="false" ht="15" hidden="false" customHeight="false" outlineLevel="0" collapsed="false">
      <c r="A1776" s="0" t="s">
        <v>8</v>
      </c>
      <c r="B1776" s="0" t="s">
        <v>2733</v>
      </c>
      <c r="C1776" s="0" t="s">
        <v>3921</v>
      </c>
    </row>
    <row r="1777" customFormat="false" ht="15" hidden="false" customHeight="false" outlineLevel="0" collapsed="false">
      <c r="A1777" s="0" t="s">
        <v>8</v>
      </c>
      <c r="B1777" s="0" t="s">
        <v>2733</v>
      </c>
      <c r="C1777" s="0" t="s">
        <v>3922</v>
      </c>
    </row>
    <row r="1778" customFormat="false" ht="15" hidden="false" customHeight="false" outlineLevel="0" collapsed="false">
      <c r="A1778" s="0" t="s">
        <v>8</v>
      </c>
      <c r="B1778" s="0" t="s">
        <v>2741</v>
      </c>
      <c r="C1778" s="0" t="s">
        <v>3920</v>
      </c>
      <c r="D1778" s="0" t="n">
        <v>1500</v>
      </c>
    </row>
    <row r="1779" customFormat="false" ht="15" hidden="false" customHeight="false" outlineLevel="0" collapsed="false">
      <c r="A1779" s="0" t="s">
        <v>8</v>
      </c>
      <c r="B1779" s="0" t="s">
        <v>2741</v>
      </c>
      <c r="C1779" s="0" t="s">
        <v>3921</v>
      </c>
    </row>
    <row r="1780" customFormat="false" ht="15" hidden="false" customHeight="false" outlineLevel="0" collapsed="false">
      <c r="A1780" s="0" t="s">
        <v>8</v>
      </c>
      <c r="B1780" s="0" t="s">
        <v>2741</v>
      </c>
      <c r="C1780" s="0" t="s">
        <v>3922</v>
      </c>
    </row>
    <row r="1781" customFormat="false" ht="15" hidden="false" customHeight="false" outlineLevel="0" collapsed="false">
      <c r="A1781" s="0" t="s">
        <v>8</v>
      </c>
      <c r="B1781" s="0" t="s">
        <v>2749</v>
      </c>
      <c r="C1781" s="0" t="s">
        <v>3920</v>
      </c>
      <c r="D1781" s="0" t="n">
        <v>2000</v>
      </c>
    </row>
    <row r="1782" customFormat="false" ht="15" hidden="false" customHeight="false" outlineLevel="0" collapsed="false">
      <c r="A1782" s="0" t="s">
        <v>8</v>
      </c>
      <c r="B1782" s="0" t="s">
        <v>2749</v>
      </c>
      <c r="C1782" s="0" t="s">
        <v>3921</v>
      </c>
    </row>
    <row r="1783" customFormat="false" ht="15" hidden="false" customHeight="false" outlineLevel="0" collapsed="false">
      <c r="A1783" s="0" t="s">
        <v>8</v>
      </c>
      <c r="B1783" s="0" t="s">
        <v>2749</v>
      </c>
      <c r="C1783" s="0" t="s">
        <v>3922</v>
      </c>
    </row>
    <row r="1784" customFormat="false" ht="15" hidden="false" customHeight="false" outlineLevel="0" collapsed="false">
      <c r="A1784" s="0" t="s">
        <v>8</v>
      </c>
      <c r="B1784" s="0" t="s">
        <v>2756</v>
      </c>
      <c r="C1784" s="0" t="s">
        <v>3920</v>
      </c>
      <c r="D1784" s="0" t="n">
        <v>236</v>
      </c>
    </row>
    <row r="1785" customFormat="false" ht="15" hidden="false" customHeight="false" outlineLevel="0" collapsed="false">
      <c r="A1785" s="0" t="s">
        <v>8</v>
      </c>
      <c r="B1785" s="0" t="s">
        <v>2756</v>
      </c>
      <c r="C1785" s="0" t="s">
        <v>3921</v>
      </c>
    </row>
    <row r="1786" customFormat="false" ht="15" hidden="false" customHeight="false" outlineLevel="0" collapsed="false">
      <c r="A1786" s="0" t="s">
        <v>8</v>
      </c>
      <c r="B1786" s="0" t="s">
        <v>2756</v>
      </c>
      <c r="C1786" s="0" t="s">
        <v>3922</v>
      </c>
    </row>
    <row r="1787" customFormat="false" ht="15" hidden="false" customHeight="false" outlineLevel="0" collapsed="false">
      <c r="A1787" s="0" t="s">
        <v>8</v>
      </c>
      <c r="B1787" s="0" t="s">
        <v>2763</v>
      </c>
      <c r="C1787" s="0" t="s">
        <v>3920</v>
      </c>
      <c r="D1787" s="0" t="n">
        <v>830.72</v>
      </c>
    </row>
    <row r="1788" customFormat="false" ht="15" hidden="false" customHeight="false" outlineLevel="0" collapsed="false">
      <c r="A1788" s="0" t="s">
        <v>8</v>
      </c>
      <c r="B1788" s="0" t="s">
        <v>2763</v>
      </c>
      <c r="C1788" s="0" t="s">
        <v>3921</v>
      </c>
    </row>
    <row r="1789" customFormat="false" ht="15" hidden="false" customHeight="false" outlineLevel="0" collapsed="false">
      <c r="A1789" s="0" t="s">
        <v>8</v>
      </c>
      <c r="B1789" s="0" t="s">
        <v>2763</v>
      </c>
      <c r="C1789" s="0" t="s">
        <v>3922</v>
      </c>
    </row>
    <row r="1790" customFormat="false" ht="15" hidden="false" customHeight="false" outlineLevel="0" collapsed="false">
      <c r="A1790" s="0" t="s">
        <v>8</v>
      </c>
      <c r="B1790" s="0" t="s">
        <v>2767</v>
      </c>
      <c r="C1790" s="0" t="s">
        <v>3920</v>
      </c>
      <c r="D1790" s="0" t="n">
        <v>352480183</v>
      </c>
    </row>
    <row r="1791" customFormat="false" ht="15" hidden="false" customHeight="false" outlineLevel="0" collapsed="false">
      <c r="A1791" s="0" t="s">
        <v>8</v>
      </c>
      <c r="B1791" s="0" t="s">
        <v>2767</v>
      </c>
      <c r="C1791" s="0" t="s">
        <v>3921</v>
      </c>
    </row>
    <row r="1792" customFormat="false" ht="15" hidden="false" customHeight="false" outlineLevel="0" collapsed="false">
      <c r="A1792" s="0" t="s">
        <v>8</v>
      </c>
      <c r="B1792" s="0" t="s">
        <v>2767</v>
      </c>
      <c r="C1792" s="0" t="s">
        <v>3922</v>
      </c>
    </row>
    <row r="1793" customFormat="false" ht="15" hidden="false" customHeight="false" outlineLevel="0" collapsed="false">
      <c r="A1793" s="0" t="s">
        <v>8</v>
      </c>
      <c r="B1793" s="0" t="s">
        <v>2775</v>
      </c>
      <c r="C1793" s="0" t="s">
        <v>3920</v>
      </c>
      <c r="D1793" s="0" t="n">
        <v>79</v>
      </c>
    </row>
    <row r="1794" customFormat="false" ht="15" hidden="false" customHeight="false" outlineLevel="0" collapsed="false">
      <c r="A1794" s="0" t="s">
        <v>8</v>
      </c>
      <c r="B1794" s="0" t="s">
        <v>2775</v>
      </c>
      <c r="C1794" s="0" t="s">
        <v>3921</v>
      </c>
    </row>
    <row r="1795" customFormat="false" ht="15" hidden="false" customHeight="false" outlineLevel="0" collapsed="false">
      <c r="A1795" s="0" t="s">
        <v>8</v>
      </c>
      <c r="B1795" s="0" t="s">
        <v>2775</v>
      </c>
      <c r="C1795" s="0" t="s">
        <v>3922</v>
      </c>
    </row>
    <row r="1796" customFormat="false" ht="15" hidden="false" customHeight="false" outlineLevel="0" collapsed="false">
      <c r="A1796" s="0" t="s">
        <v>8</v>
      </c>
      <c r="B1796" s="0" t="s">
        <v>2783</v>
      </c>
      <c r="C1796" s="0" t="s">
        <v>3920</v>
      </c>
      <c r="D1796" s="0" t="n">
        <v>-1871.6</v>
      </c>
    </row>
    <row r="1797" customFormat="false" ht="15" hidden="false" customHeight="false" outlineLevel="0" collapsed="false">
      <c r="A1797" s="0" t="s">
        <v>8</v>
      </c>
      <c r="B1797" s="0" t="s">
        <v>2783</v>
      </c>
      <c r="C1797" s="0" t="s">
        <v>3921</v>
      </c>
    </row>
    <row r="1798" customFormat="false" ht="15" hidden="false" customHeight="false" outlineLevel="0" collapsed="false">
      <c r="A1798" s="0" t="s">
        <v>8</v>
      </c>
      <c r="B1798" s="0" t="s">
        <v>2783</v>
      </c>
      <c r="C1798" s="0" t="s">
        <v>3922</v>
      </c>
    </row>
    <row r="1799" customFormat="false" ht="15" hidden="false" customHeight="false" outlineLevel="0" collapsed="false">
      <c r="A1799" s="0" t="s">
        <v>8</v>
      </c>
      <c r="B1799" s="0" t="s">
        <v>2787</v>
      </c>
      <c r="C1799" s="0" t="s">
        <v>3920</v>
      </c>
      <c r="D1799" s="0" t="n">
        <v>-250.9</v>
      </c>
    </row>
    <row r="1800" customFormat="false" ht="15" hidden="false" customHeight="false" outlineLevel="0" collapsed="false">
      <c r="A1800" s="0" t="s">
        <v>8</v>
      </c>
      <c r="B1800" s="0" t="s">
        <v>2787</v>
      </c>
      <c r="C1800" s="0" t="s">
        <v>3921</v>
      </c>
    </row>
    <row r="1801" customFormat="false" ht="15" hidden="false" customHeight="false" outlineLevel="0" collapsed="false">
      <c r="A1801" s="0" t="s">
        <v>8</v>
      </c>
      <c r="B1801" s="0" t="s">
        <v>2787</v>
      </c>
      <c r="C1801" s="0" t="s">
        <v>3922</v>
      </c>
    </row>
    <row r="1802" customFormat="false" ht="15" hidden="false" customHeight="false" outlineLevel="0" collapsed="false">
      <c r="A1802" s="0" t="s">
        <v>8</v>
      </c>
      <c r="B1802" s="0" t="s">
        <v>2792</v>
      </c>
      <c r="C1802" s="0" t="s">
        <v>3920</v>
      </c>
      <c r="D1802" s="0" t="n">
        <v>116.57</v>
      </c>
    </row>
    <row r="1803" customFormat="false" ht="15" hidden="false" customHeight="false" outlineLevel="0" collapsed="false">
      <c r="A1803" s="0" t="s">
        <v>8</v>
      </c>
      <c r="B1803" s="0" t="s">
        <v>2792</v>
      </c>
      <c r="C1803" s="0" t="s">
        <v>3921</v>
      </c>
    </row>
    <row r="1804" customFormat="false" ht="15" hidden="false" customHeight="false" outlineLevel="0" collapsed="false">
      <c r="A1804" s="0" t="s">
        <v>8</v>
      </c>
      <c r="B1804" s="0" t="s">
        <v>2792</v>
      </c>
      <c r="C1804" s="0" t="s">
        <v>3922</v>
      </c>
    </row>
    <row r="1805" customFormat="false" ht="15" hidden="false" customHeight="false" outlineLevel="0" collapsed="false">
      <c r="A1805" s="0" t="s">
        <v>8</v>
      </c>
      <c r="B1805" s="0" t="s">
        <v>2799</v>
      </c>
      <c r="C1805" s="0" t="s">
        <v>3920</v>
      </c>
      <c r="D1805" s="0" t="n">
        <v>-357.99</v>
      </c>
    </row>
    <row r="1806" customFormat="false" ht="15" hidden="false" customHeight="false" outlineLevel="0" collapsed="false">
      <c r="A1806" s="0" t="s">
        <v>8</v>
      </c>
      <c r="B1806" s="0" t="s">
        <v>2799</v>
      </c>
      <c r="C1806" s="0" t="s">
        <v>3921</v>
      </c>
    </row>
    <row r="1807" customFormat="false" ht="15" hidden="false" customHeight="false" outlineLevel="0" collapsed="false">
      <c r="A1807" s="0" t="s">
        <v>8</v>
      </c>
      <c r="B1807" s="0" t="s">
        <v>2799</v>
      </c>
      <c r="C1807" s="0" t="s">
        <v>3922</v>
      </c>
    </row>
    <row r="1808" customFormat="false" ht="15" hidden="false" customHeight="false" outlineLevel="0" collapsed="false">
      <c r="A1808" s="0" t="s">
        <v>8</v>
      </c>
      <c r="B1808" s="0" t="s">
        <v>2804</v>
      </c>
      <c r="C1808" s="0" t="s">
        <v>3920</v>
      </c>
      <c r="D1808" s="0" t="n">
        <v>1320</v>
      </c>
    </row>
    <row r="1809" customFormat="false" ht="15" hidden="false" customHeight="false" outlineLevel="0" collapsed="false">
      <c r="A1809" s="0" t="s">
        <v>8</v>
      </c>
      <c r="B1809" s="0" t="s">
        <v>2804</v>
      </c>
      <c r="C1809" s="0" t="s">
        <v>3921</v>
      </c>
    </row>
    <row r="1810" customFormat="false" ht="15" hidden="false" customHeight="false" outlineLevel="0" collapsed="false">
      <c r="A1810" s="0" t="s">
        <v>8</v>
      </c>
      <c r="B1810" s="0" t="s">
        <v>2804</v>
      </c>
      <c r="C1810" s="0" t="s">
        <v>3922</v>
      </c>
    </row>
    <row r="1811" customFormat="false" ht="15" hidden="false" customHeight="false" outlineLevel="0" collapsed="false">
      <c r="A1811" s="0" t="s">
        <v>8</v>
      </c>
      <c r="B1811" s="0" t="s">
        <v>2808</v>
      </c>
      <c r="C1811" s="0" t="s">
        <v>3920</v>
      </c>
    </row>
    <row r="1812" customFormat="false" ht="15" hidden="false" customHeight="false" outlineLevel="0" collapsed="false">
      <c r="A1812" s="0" t="s">
        <v>8</v>
      </c>
      <c r="B1812" s="0" t="s">
        <v>2808</v>
      </c>
      <c r="C1812" s="0" t="s">
        <v>3921</v>
      </c>
    </row>
    <row r="1813" customFormat="false" ht="15" hidden="false" customHeight="false" outlineLevel="0" collapsed="false">
      <c r="A1813" s="0" t="s">
        <v>8</v>
      </c>
      <c r="B1813" s="0" t="s">
        <v>2808</v>
      </c>
      <c r="C1813" s="0" t="s">
        <v>3922</v>
      </c>
    </row>
    <row r="1814" customFormat="false" ht="15" hidden="false" customHeight="false" outlineLevel="0" collapsed="false">
      <c r="A1814" s="0" t="s">
        <v>14</v>
      </c>
      <c r="B1814" s="0" t="s">
        <v>3123</v>
      </c>
      <c r="C1814" s="0" t="s">
        <v>3922</v>
      </c>
      <c r="D1814" s="0" t="n">
        <v>2025</v>
      </c>
    </row>
    <row r="1815" customFormat="false" ht="15" hidden="false" customHeight="false" outlineLevel="0" collapsed="false">
      <c r="A1815" s="0" t="s">
        <v>14</v>
      </c>
      <c r="B1815" s="0" t="s">
        <v>3123</v>
      </c>
      <c r="C1815" s="0" t="s">
        <v>3923</v>
      </c>
      <c r="D1815" s="0" t="n">
        <v>2025</v>
      </c>
    </row>
    <row r="1816" customFormat="false" ht="15" hidden="false" customHeight="false" outlineLevel="0" collapsed="false">
      <c r="A1816" s="0" t="s">
        <v>14</v>
      </c>
      <c r="B1816" s="0" t="s">
        <v>3123</v>
      </c>
      <c r="C1816" s="0" t="s">
        <v>3924</v>
      </c>
      <c r="D1816" s="0" t="n">
        <v>2025</v>
      </c>
    </row>
    <row r="1817" customFormat="false" ht="15" hidden="false" customHeight="false" outlineLevel="0" collapsed="false">
      <c r="A1817" s="0" t="s">
        <v>14</v>
      </c>
      <c r="B1817" s="0" t="s">
        <v>3130</v>
      </c>
      <c r="C1817" s="0" t="s">
        <v>3922</v>
      </c>
      <c r="D1817" s="0" t="n">
        <v>2026</v>
      </c>
    </row>
    <row r="1818" customFormat="false" ht="15" hidden="false" customHeight="false" outlineLevel="0" collapsed="false">
      <c r="A1818" s="0" t="s">
        <v>14</v>
      </c>
      <c r="B1818" s="0" t="s">
        <v>3130</v>
      </c>
      <c r="C1818" s="0" t="s">
        <v>3923</v>
      </c>
      <c r="D1818" s="0" t="n">
        <v>2026</v>
      </c>
    </row>
    <row r="1819" customFormat="false" ht="15" hidden="false" customHeight="false" outlineLevel="0" collapsed="false">
      <c r="A1819" s="0" t="s">
        <v>14</v>
      </c>
      <c r="B1819" s="0" t="s">
        <v>3130</v>
      </c>
      <c r="C1819" s="0" t="s">
        <v>3924</v>
      </c>
      <c r="D1819" s="0" t="n">
        <v>2026</v>
      </c>
    </row>
    <row r="1820" customFormat="false" ht="15" hidden="false" customHeight="false" outlineLevel="0" collapsed="false">
      <c r="A1820" s="0" t="s">
        <v>14</v>
      </c>
      <c r="B1820" s="0" t="s">
        <v>3134</v>
      </c>
      <c r="C1820" s="0" t="s">
        <v>3922</v>
      </c>
      <c r="D1820" s="0" t="n">
        <v>2027</v>
      </c>
    </row>
    <row r="1821" customFormat="false" ht="15" hidden="false" customHeight="false" outlineLevel="0" collapsed="false">
      <c r="A1821" s="0" t="s">
        <v>14</v>
      </c>
      <c r="B1821" s="0" t="s">
        <v>3134</v>
      </c>
      <c r="C1821" s="0" t="s">
        <v>3923</v>
      </c>
      <c r="D1821" s="0" t="n">
        <v>2027</v>
      </c>
    </row>
    <row r="1822" customFormat="false" ht="15" hidden="false" customHeight="false" outlineLevel="0" collapsed="false">
      <c r="A1822" s="0" t="s">
        <v>14</v>
      </c>
      <c r="B1822" s="0" t="s">
        <v>3134</v>
      </c>
      <c r="C1822" s="0" t="s">
        <v>3924</v>
      </c>
      <c r="D1822" s="0" t="n">
        <v>2027</v>
      </c>
    </row>
    <row r="1823" customFormat="false" ht="15" hidden="false" customHeight="false" outlineLevel="0" collapsed="false">
      <c r="A1823" s="0" t="s">
        <v>14</v>
      </c>
      <c r="B1823" s="0" t="s">
        <v>3137</v>
      </c>
      <c r="C1823" s="0" t="s">
        <v>3922</v>
      </c>
      <c r="D1823" s="0" t="n">
        <v>2028</v>
      </c>
    </row>
    <row r="1824" customFormat="false" ht="15" hidden="false" customHeight="false" outlineLevel="0" collapsed="false">
      <c r="A1824" s="0" t="s">
        <v>14</v>
      </c>
      <c r="B1824" s="0" t="s">
        <v>3137</v>
      </c>
      <c r="C1824" s="0" t="s">
        <v>3923</v>
      </c>
      <c r="D1824" s="0" t="n">
        <v>2028</v>
      </c>
    </row>
    <row r="1825" customFormat="false" ht="15" hidden="false" customHeight="false" outlineLevel="0" collapsed="false">
      <c r="A1825" s="0" t="s">
        <v>14</v>
      </c>
      <c r="B1825" s="0" t="s">
        <v>3137</v>
      </c>
      <c r="C1825" s="0" t="s">
        <v>3924</v>
      </c>
      <c r="D1825" s="0" t="n">
        <v>2028</v>
      </c>
    </row>
    <row r="1826" customFormat="false" ht="15" hidden="false" customHeight="false" outlineLevel="0" collapsed="false">
      <c r="A1826" s="0" t="s">
        <v>14</v>
      </c>
      <c r="B1826" s="0" t="s">
        <v>3140</v>
      </c>
      <c r="C1826" s="0" t="s">
        <v>3922</v>
      </c>
      <c r="D1826" s="0" t="n">
        <v>2029</v>
      </c>
    </row>
    <row r="1827" customFormat="false" ht="15" hidden="false" customHeight="false" outlineLevel="0" collapsed="false">
      <c r="A1827" s="0" t="s">
        <v>14</v>
      </c>
      <c r="B1827" s="0" t="s">
        <v>3140</v>
      </c>
      <c r="C1827" s="0" t="s">
        <v>3923</v>
      </c>
      <c r="D1827" s="0" t="n">
        <v>2029</v>
      </c>
    </row>
    <row r="1828" customFormat="false" ht="15" hidden="false" customHeight="false" outlineLevel="0" collapsed="false">
      <c r="A1828" s="0" t="s">
        <v>14</v>
      </c>
      <c r="B1828" s="0" t="s">
        <v>3140</v>
      </c>
      <c r="C1828" s="0" t="s">
        <v>3924</v>
      </c>
      <c r="D1828" s="0" t="n">
        <v>2029</v>
      </c>
    </row>
    <row r="1829" customFormat="false" ht="15" hidden="false" customHeight="false" outlineLevel="0" collapsed="false">
      <c r="A1829" s="0" t="s">
        <v>14</v>
      </c>
      <c r="B1829" s="0" t="s">
        <v>3143</v>
      </c>
      <c r="C1829" s="0" t="s">
        <v>3922</v>
      </c>
      <c r="D1829" s="0" t="n">
        <v>2030</v>
      </c>
    </row>
    <row r="1830" customFormat="false" ht="15" hidden="false" customHeight="false" outlineLevel="0" collapsed="false">
      <c r="A1830" s="0" t="s">
        <v>14</v>
      </c>
      <c r="B1830" s="0" t="s">
        <v>3143</v>
      </c>
      <c r="C1830" s="0" t="s">
        <v>3923</v>
      </c>
      <c r="D1830" s="0" t="n">
        <v>2030</v>
      </c>
    </row>
    <row r="1831" customFormat="false" ht="15" hidden="false" customHeight="false" outlineLevel="0" collapsed="false">
      <c r="A1831" s="0" t="s">
        <v>14</v>
      </c>
      <c r="B1831" s="0" t="s">
        <v>3143</v>
      </c>
      <c r="C1831" s="0" t="s">
        <v>3924</v>
      </c>
      <c r="D1831" s="0" t="n">
        <v>2030</v>
      </c>
    </row>
    <row r="1832" customFormat="false" ht="15" hidden="false" customHeight="false" outlineLevel="0" collapsed="false">
      <c r="A1832" s="0" t="s">
        <v>14</v>
      </c>
      <c r="B1832" s="0" t="s">
        <v>3146</v>
      </c>
      <c r="C1832" s="0" t="s">
        <v>3922</v>
      </c>
      <c r="D1832" s="0" t="n">
        <v>365</v>
      </c>
    </row>
    <row r="1833" customFormat="false" ht="15" hidden="false" customHeight="false" outlineLevel="0" collapsed="false">
      <c r="A1833" s="0" t="s">
        <v>14</v>
      </c>
      <c r="B1833" s="0" t="s">
        <v>3146</v>
      </c>
      <c r="C1833" s="0" t="s">
        <v>3923</v>
      </c>
      <c r="D1833" s="0" t="n">
        <v>365</v>
      </c>
    </row>
    <row r="1834" customFormat="false" ht="15" hidden="false" customHeight="false" outlineLevel="0" collapsed="false">
      <c r="A1834" s="0" t="s">
        <v>14</v>
      </c>
      <c r="B1834" s="0" t="s">
        <v>3146</v>
      </c>
      <c r="C1834" s="0" t="s">
        <v>3924</v>
      </c>
      <c r="D1834" s="0" t="n">
        <v>365</v>
      </c>
    </row>
    <row r="1835" customFormat="false" ht="15" hidden="false" customHeight="false" outlineLevel="0" collapsed="false">
      <c r="A1835" s="0" t="s">
        <v>14</v>
      </c>
      <c r="B1835" s="0" t="s">
        <v>3151</v>
      </c>
      <c r="C1835" s="0" t="s">
        <v>3922</v>
      </c>
      <c r="D1835" s="0" t="n">
        <v>181</v>
      </c>
    </row>
    <row r="1836" customFormat="false" ht="15" hidden="false" customHeight="false" outlineLevel="0" collapsed="false">
      <c r="A1836" s="0" t="s">
        <v>14</v>
      </c>
      <c r="B1836" s="0" t="s">
        <v>3151</v>
      </c>
      <c r="C1836" s="0" t="s">
        <v>3923</v>
      </c>
      <c r="D1836" s="0" t="n">
        <v>181</v>
      </c>
    </row>
    <row r="1837" customFormat="false" ht="15" hidden="false" customHeight="false" outlineLevel="0" collapsed="false">
      <c r="A1837" s="0" t="s">
        <v>14</v>
      </c>
      <c r="B1837" s="0" t="s">
        <v>3151</v>
      </c>
      <c r="C1837" s="0" t="s">
        <v>3924</v>
      </c>
      <c r="D1837" s="0" t="n">
        <v>181</v>
      </c>
    </row>
    <row r="1838" customFormat="false" ht="15" hidden="false" customHeight="false" outlineLevel="0" collapsed="false">
      <c r="A1838" s="0" t="s">
        <v>14</v>
      </c>
      <c r="B1838" s="0" t="s">
        <v>3155</v>
      </c>
      <c r="C1838" s="0" t="s">
        <v>3922</v>
      </c>
      <c r="D1838" s="0" t="n">
        <v>184</v>
      </c>
    </row>
    <row r="1839" customFormat="false" ht="15" hidden="false" customHeight="false" outlineLevel="0" collapsed="false">
      <c r="A1839" s="0" t="s">
        <v>14</v>
      </c>
      <c r="B1839" s="0" t="s">
        <v>3155</v>
      </c>
      <c r="C1839" s="0" t="s">
        <v>3923</v>
      </c>
      <c r="D1839" s="0" t="n">
        <v>184</v>
      </c>
    </row>
    <row r="1840" customFormat="false" ht="15" hidden="false" customHeight="false" outlineLevel="0" collapsed="false">
      <c r="A1840" s="0" t="s">
        <v>14</v>
      </c>
      <c r="B1840" s="0" t="s">
        <v>3155</v>
      </c>
      <c r="C1840" s="0" t="s">
        <v>3924</v>
      </c>
      <c r="D1840" s="0" t="n">
        <v>184</v>
      </c>
    </row>
    <row r="1841" customFormat="false" ht="15" hidden="false" customHeight="false" outlineLevel="0" collapsed="false">
      <c r="A1841" s="0" t="s">
        <v>14</v>
      </c>
      <c r="B1841" s="0" t="s">
        <v>3160</v>
      </c>
      <c r="C1841" s="0" t="s">
        <v>3922</v>
      </c>
      <c r="D1841" s="0" t="n">
        <v>12</v>
      </c>
    </row>
    <row r="1842" customFormat="false" ht="15" hidden="false" customHeight="false" outlineLevel="0" collapsed="false">
      <c r="A1842" s="0" t="s">
        <v>14</v>
      </c>
      <c r="B1842" s="0" t="s">
        <v>3160</v>
      </c>
      <c r="C1842" s="0" t="s">
        <v>3923</v>
      </c>
      <c r="D1842" s="0" t="n">
        <v>12</v>
      </c>
    </row>
    <row r="1843" customFormat="false" ht="15" hidden="false" customHeight="false" outlineLevel="0" collapsed="false">
      <c r="A1843" s="0" t="s">
        <v>14</v>
      </c>
      <c r="B1843" s="0" t="s">
        <v>3160</v>
      </c>
      <c r="C1843" s="0" t="s">
        <v>3924</v>
      </c>
      <c r="D1843" s="0" t="n">
        <v>12</v>
      </c>
    </row>
    <row r="1844" customFormat="false" ht="15" hidden="false" customHeight="false" outlineLevel="0" collapsed="false">
      <c r="A1844" s="0" t="s">
        <v>14</v>
      </c>
      <c r="B1844" s="0" t="s">
        <v>3165</v>
      </c>
      <c r="C1844" s="0" t="s">
        <v>3922</v>
      </c>
      <c r="D1844" s="0" t="n">
        <v>6</v>
      </c>
    </row>
    <row r="1845" customFormat="false" ht="15" hidden="false" customHeight="false" outlineLevel="0" collapsed="false">
      <c r="A1845" s="0" t="s">
        <v>14</v>
      </c>
      <c r="B1845" s="0" t="s">
        <v>3165</v>
      </c>
      <c r="C1845" s="0" t="s">
        <v>3923</v>
      </c>
      <c r="D1845" s="0" t="n">
        <v>6</v>
      </c>
    </row>
    <row r="1846" customFormat="false" ht="15" hidden="false" customHeight="false" outlineLevel="0" collapsed="false">
      <c r="A1846" s="0" t="s">
        <v>14</v>
      </c>
      <c r="B1846" s="0" t="s">
        <v>3165</v>
      </c>
      <c r="C1846" s="0" t="s">
        <v>3924</v>
      </c>
      <c r="D1846" s="0" t="n">
        <v>6</v>
      </c>
    </row>
    <row r="1847" customFormat="false" ht="15" hidden="false" customHeight="false" outlineLevel="0" collapsed="false">
      <c r="A1847" s="0" t="s">
        <v>14</v>
      </c>
      <c r="B1847" s="0" t="s">
        <v>3168</v>
      </c>
      <c r="C1847" s="0" t="s">
        <v>3922</v>
      </c>
      <c r="D1847" s="0" t="n">
        <v>3</v>
      </c>
    </row>
    <row r="1848" customFormat="false" ht="15" hidden="false" customHeight="false" outlineLevel="0" collapsed="false">
      <c r="A1848" s="0" t="s">
        <v>14</v>
      </c>
      <c r="B1848" s="0" t="s">
        <v>3168</v>
      </c>
      <c r="C1848" s="0" t="s">
        <v>3923</v>
      </c>
      <c r="D1848" s="0" t="n">
        <v>3</v>
      </c>
    </row>
    <row r="1849" customFormat="false" ht="15" hidden="false" customHeight="false" outlineLevel="0" collapsed="false">
      <c r="A1849" s="0" t="s">
        <v>14</v>
      </c>
      <c r="B1849" s="0" t="s">
        <v>3168</v>
      </c>
      <c r="C1849" s="0" t="s">
        <v>3924</v>
      </c>
      <c r="D1849" s="0" t="n">
        <v>3</v>
      </c>
    </row>
    <row r="1850" customFormat="false" ht="15" hidden="false" customHeight="false" outlineLevel="0" collapsed="false">
      <c r="A1850" s="0" t="s">
        <v>14</v>
      </c>
      <c r="B1850" s="0" t="s">
        <v>3172</v>
      </c>
      <c r="C1850" s="0" t="s">
        <v>3922</v>
      </c>
      <c r="D1850" s="0" t="n">
        <v>2</v>
      </c>
    </row>
    <row r="1851" customFormat="false" ht="15" hidden="false" customHeight="false" outlineLevel="0" collapsed="false">
      <c r="A1851" s="0" t="s">
        <v>14</v>
      </c>
      <c r="B1851" s="0" t="s">
        <v>3172</v>
      </c>
      <c r="C1851" s="0" t="s">
        <v>3923</v>
      </c>
      <c r="D1851" s="0" t="n">
        <v>2</v>
      </c>
    </row>
    <row r="1852" customFormat="false" ht="15" hidden="false" customHeight="false" outlineLevel="0" collapsed="false">
      <c r="A1852" s="0" t="s">
        <v>14</v>
      </c>
      <c r="B1852" s="0" t="s">
        <v>3172</v>
      </c>
      <c r="C1852" s="0" t="s">
        <v>3924</v>
      </c>
      <c r="D1852" s="0" t="n">
        <v>2</v>
      </c>
    </row>
    <row r="1853" customFormat="false" ht="15" hidden="false" customHeight="false" outlineLevel="0" collapsed="false">
      <c r="A1853" s="0" t="s">
        <v>14</v>
      </c>
      <c r="B1853" s="0" t="s">
        <v>3176</v>
      </c>
      <c r="C1853" s="0" t="s">
        <v>3922</v>
      </c>
      <c r="D1853" s="0" t="n">
        <v>100</v>
      </c>
    </row>
    <row r="1854" customFormat="false" ht="15" hidden="false" customHeight="false" outlineLevel="0" collapsed="false">
      <c r="A1854" s="0" t="s">
        <v>14</v>
      </c>
      <c r="B1854" s="0" t="s">
        <v>3176</v>
      </c>
      <c r="C1854" s="0" t="s">
        <v>3923</v>
      </c>
      <c r="D1854" s="0" t="n">
        <v>100</v>
      </c>
    </row>
    <row r="1855" customFormat="false" ht="15" hidden="false" customHeight="false" outlineLevel="0" collapsed="false">
      <c r="A1855" s="0" t="s">
        <v>14</v>
      </c>
      <c r="B1855" s="0" t="s">
        <v>3176</v>
      </c>
      <c r="C1855" s="0" t="s">
        <v>3924</v>
      </c>
      <c r="D1855" s="0" t="n">
        <v>100</v>
      </c>
    </row>
    <row r="1856" customFormat="false" ht="15" hidden="false" customHeight="false" outlineLevel="0" collapsed="false">
      <c r="A1856" s="0" t="s">
        <v>14</v>
      </c>
      <c r="B1856" s="0" t="s">
        <v>3181</v>
      </c>
      <c r="C1856" s="0" t="s">
        <v>3922</v>
      </c>
      <c r="D1856" s="0" t="n">
        <v>100</v>
      </c>
    </row>
    <row r="1857" customFormat="false" ht="15" hidden="false" customHeight="false" outlineLevel="0" collapsed="false">
      <c r="A1857" s="0" t="s">
        <v>14</v>
      </c>
      <c r="B1857" s="0" t="s">
        <v>3181</v>
      </c>
      <c r="C1857" s="0" t="s">
        <v>3923</v>
      </c>
      <c r="D1857" s="0" t="n">
        <v>100</v>
      </c>
    </row>
    <row r="1858" customFormat="false" ht="15" hidden="false" customHeight="false" outlineLevel="0" collapsed="false">
      <c r="A1858" s="0" t="s">
        <v>14</v>
      </c>
      <c r="B1858" s="0" t="s">
        <v>3181</v>
      </c>
      <c r="C1858" s="0" t="s">
        <v>3924</v>
      </c>
      <c r="D1858" s="0" t="n">
        <v>100</v>
      </c>
    </row>
    <row r="1859" customFormat="false" ht="15" hidden="false" customHeight="false" outlineLevel="0" collapsed="false">
      <c r="A1859" s="0" t="s">
        <v>14</v>
      </c>
      <c r="B1859" s="0" t="s">
        <v>3185</v>
      </c>
      <c r="C1859" s="0" t="s">
        <v>3922</v>
      </c>
      <c r="D1859" s="0" t="n">
        <v>100</v>
      </c>
    </row>
    <row r="1860" customFormat="false" ht="15" hidden="false" customHeight="false" outlineLevel="0" collapsed="false">
      <c r="A1860" s="0" t="s">
        <v>14</v>
      </c>
      <c r="B1860" s="0" t="s">
        <v>3185</v>
      </c>
      <c r="C1860" s="0" t="s">
        <v>3923</v>
      </c>
      <c r="D1860" s="0" t="n">
        <v>100</v>
      </c>
    </row>
    <row r="1861" customFormat="false" ht="15" hidden="false" customHeight="false" outlineLevel="0" collapsed="false">
      <c r="A1861" s="0" t="s">
        <v>14</v>
      </c>
      <c r="B1861" s="0" t="s">
        <v>3185</v>
      </c>
      <c r="C1861" s="0" t="s">
        <v>3924</v>
      </c>
      <c r="D1861" s="0" t="n">
        <v>100</v>
      </c>
    </row>
    <row r="1862" customFormat="false" ht="15" hidden="false" customHeight="false" outlineLevel="0" collapsed="false">
      <c r="A1862" s="0" t="s">
        <v>14</v>
      </c>
      <c r="B1862" s="0" t="s">
        <v>3189</v>
      </c>
      <c r="C1862" s="0" t="s">
        <v>3922</v>
      </c>
      <c r="D1862" s="0" t="n">
        <v>10000</v>
      </c>
    </row>
    <row r="1863" customFormat="false" ht="15" hidden="false" customHeight="false" outlineLevel="0" collapsed="false">
      <c r="A1863" s="0" t="s">
        <v>14</v>
      </c>
      <c r="B1863" s="0" t="s">
        <v>3189</v>
      </c>
      <c r="C1863" s="0" t="s">
        <v>3923</v>
      </c>
      <c r="D1863" s="0" t="n">
        <v>10000</v>
      </c>
    </row>
    <row r="1864" customFormat="false" ht="15" hidden="false" customHeight="false" outlineLevel="0" collapsed="false">
      <c r="A1864" s="0" t="s">
        <v>14</v>
      </c>
      <c r="B1864" s="0" t="s">
        <v>3189</v>
      </c>
      <c r="C1864" s="0" t="s">
        <v>3924</v>
      </c>
      <c r="D1864" s="0" t="n">
        <v>10000</v>
      </c>
    </row>
    <row r="1865" customFormat="false" ht="15" hidden="false" customHeight="false" outlineLevel="0" collapsed="false">
      <c r="A1865" s="0" t="s">
        <v>14</v>
      </c>
      <c r="B1865" s="0" t="s">
        <v>3193</v>
      </c>
      <c r="C1865" s="0" t="s">
        <v>3922</v>
      </c>
      <c r="D1865" s="0" t="n">
        <v>1000</v>
      </c>
    </row>
    <row r="1866" customFormat="false" ht="15" hidden="false" customHeight="false" outlineLevel="0" collapsed="false">
      <c r="A1866" s="0" t="s">
        <v>14</v>
      </c>
      <c r="B1866" s="0" t="s">
        <v>3193</v>
      </c>
      <c r="C1866" s="0" t="s">
        <v>3923</v>
      </c>
      <c r="D1866" s="0" t="n">
        <v>1000</v>
      </c>
    </row>
    <row r="1867" customFormat="false" ht="15" hidden="false" customHeight="false" outlineLevel="0" collapsed="false">
      <c r="A1867" s="0" t="s">
        <v>14</v>
      </c>
      <c r="B1867" s="0" t="s">
        <v>3193</v>
      </c>
      <c r="C1867" s="0" t="s">
        <v>3924</v>
      </c>
      <c r="D1867" s="0" t="n">
        <v>1000</v>
      </c>
    </row>
    <row r="1868" customFormat="false" ht="15" hidden="false" customHeight="false" outlineLevel="0" collapsed="false">
      <c r="A1868" s="0" t="s">
        <v>14</v>
      </c>
      <c r="B1868" s="0" t="s">
        <v>3197</v>
      </c>
      <c r="C1868" s="0" t="s">
        <v>3922</v>
      </c>
      <c r="D1868" s="0" t="n">
        <v>1000</v>
      </c>
    </row>
    <row r="1869" customFormat="false" ht="15" hidden="false" customHeight="false" outlineLevel="0" collapsed="false">
      <c r="A1869" s="0" t="s">
        <v>14</v>
      </c>
      <c r="B1869" s="0" t="s">
        <v>3197</v>
      </c>
      <c r="C1869" s="0" t="s">
        <v>3923</v>
      </c>
      <c r="D1869" s="0" t="n">
        <v>1000</v>
      </c>
    </row>
    <row r="1870" customFormat="false" ht="15" hidden="false" customHeight="false" outlineLevel="0" collapsed="false">
      <c r="A1870" s="0" t="s">
        <v>14</v>
      </c>
      <c r="B1870" s="0" t="s">
        <v>3197</v>
      </c>
      <c r="C1870" s="0" t="s">
        <v>3924</v>
      </c>
      <c r="D1870" s="0" t="n">
        <v>1000</v>
      </c>
    </row>
    <row r="1871" customFormat="false" ht="15" hidden="false" customHeight="false" outlineLevel="0" collapsed="false">
      <c r="A1871" s="0" t="s">
        <v>14</v>
      </c>
      <c r="B1871" s="0" t="s">
        <v>3200</v>
      </c>
      <c r="C1871" s="0" t="s">
        <v>3922</v>
      </c>
      <c r="D1871" s="0" t="n">
        <v>100</v>
      </c>
    </row>
    <row r="1872" customFormat="false" ht="15" hidden="false" customHeight="false" outlineLevel="0" collapsed="false">
      <c r="A1872" s="0" t="s">
        <v>14</v>
      </c>
      <c r="B1872" s="0" t="s">
        <v>3200</v>
      </c>
      <c r="C1872" s="0" t="s">
        <v>3923</v>
      </c>
      <c r="D1872" s="0" t="n">
        <v>100</v>
      </c>
    </row>
    <row r="1873" customFormat="false" ht="15" hidden="false" customHeight="false" outlineLevel="0" collapsed="false">
      <c r="A1873" s="0" t="s">
        <v>14</v>
      </c>
      <c r="B1873" s="0" t="s">
        <v>3200</v>
      </c>
      <c r="C1873" s="0" t="s">
        <v>3924</v>
      </c>
      <c r="D1873" s="0" t="n">
        <v>100</v>
      </c>
    </row>
    <row r="1874" customFormat="false" ht="15" hidden="false" customHeight="false" outlineLevel="0" collapsed="false">
      <c r="A1874" s="0" t="s">
        <v>14</v>
      </c>
      <c r="B1874" s="0" t="s">
        <v>3204</v>
      </c>
      <c r="C1874" s="0" t="s">
        <v>3922</v>
      </c>
      <c r="D1874" s="0" t="n">
        <v>10</v>
      </c>
    </row>
    <row r="1875" customFormat="false" ht="15" hidden="false" customHeight="false" outlineLevel="0" collapsed="false">
      <c r="A1875" s="0" t="s">
        <v>14</v>
      </c>
      <c r="B1875" s="0" t="s">
        <v>3204</v>
      </c>
      <c r="C1875" s="0" t="s">
        <v>3923</v>
      </c>
      <c r="D1875" s="0" t="n">
        <v>10</v>
      </c>
    </row>
    <row r="1876" customFormat="false" ht="15" hidden="false" customHeight="false" outlineLevel="0" collapsed="false">
      <c r="A1876" s="0" t="s">
        <v>14</v>
      </c>
      <c r="B1876" s="0" t="s">
        <v>3204</v>
      </c>
      <c r="C1876" s="0" t="s">
        <v>3924</v>
      </c>
      <c r="D1876" s="0" t="n">
        <v>10</v>
      </c>
    </row>
    <row r="1877" customFormat="false" ht="15" hidden="false" customHeight="false" outlineLevel="0" collapsed="false">
      <c r="A1877" s="0" t="s">
        <v>14</v>
      </c>
      <c r="B1877" s="0" t="s">
        <v>3208</v>
      </c>
      <c r="C1877" s="0" t="s">
        <v>3922</v>
      </c>
      <c r="D1877" s="0" t="n">
        <v>4.8</v>
      </c>
    </row>
    <row r="1878" customFormat="false" ht="15" hidden="false" customHeight="false" outlineLevel="0" collapsed="false">
      <c r="A1878" s="0" t="s">
        <v>14</v>
      </c>
      <c r="B1878" s="0" t="s">
        <v>3208</v>
      </c>
      <c r="C1878" s="0" t="s">
        <v>3923</v>
      </c>
      <c r="D1878" s="0" t="n">
        <v>4.8</v>
      </c>
    </row>
    <row r="1879" customFormat="false" ht="15" hidden="false" customHeight="false" outlineLevel="0" collapsed="false">
      <c r="A1879" s="0" t="s">
        <v>14</v>
      </c>
      <c r="B1879" s="0" t="s">
        <v>3208</v>
      </c>
      <c r="C1879" s="0" t="s">
        <v>3924</v>
      </c>
      <c r="D1879" s="0" t="n">
        <v>4.8</v>
      </c>
    </row>
    <row r="1880" customFormat="false" ht="15" hidden="false" customHeight="false" outlineLevel="0" collapsed="false">
      <c r="A1880" s="0" t="s">
        <v>14</v>
      </c>
      <c r="B1880" s="0" t="s">
        <v>3213</v>
      </c>
      <c r="C1880" s="0" t="s">
        <v>3922</v>
      </c>
      <c r="D1880" s="0" t="n">
        <v>6.7399</v>
      </c>
    </row>
    <row r="1881" customFormat="false" ht="15" hidden="false" customHeight="false" outlineLevel="0" collapsed="false">
      <c r="A1881" s="0" t="s">
        <v>14</v>
      </c>
      <c r="B1881" s="0" t="s">
        <v>3213</v>
      </c>
      <c r="C1881" s="0" t="s">
        <v>3923</v>
      </c>
      <c r="D1881" s="0" t="n">
        <v>6.4029</v>
      </c>
    </row>
    <row r="1882" customFormat="false" ht="15" hidden="false" customHeight="false" outlineLevel="0" collapsed="false">
      <c r="A1882" s="0" t="s">
        <v>14</v>
      </c>
      <c r="B1882" s="0" t="s">
        <v>3213</v>
      </c>
      <c r="C1882" s="0" t="s">
        <v>3924</v>
      </c>
      <c r="D1882" s="0" t="n">
        <v>7.0769</v>
      </c>
    </row>
    <row r="1883" customFormat="false" ht="15" hidden="false" customHeight="false" outlineLevel="0" collapsed="false">
      <c r="A1883" s="0" t="s">
        <v>14</v>
      </c>
      <c r="B1883" s="0" t="s">
        <v>3219</v>
      </c>
      <c r="C1883" s="0" t="s">
        <v>3922</v>
      </c>
      <c r="D1883" s="0" t="n">
        <v>0.85923</v>
      </c>
    </row>
    <row r="1884" customFormat="false" ht="15" hidden="false" customHeight="false" outlineLevel="0" collapsed="false">
      <c r="A1884" s="0" t="s">
        <v>14</v>
      </c>
      <c r="B1884" s="0" t="s">
        <v>3219</v>
      </c>
      <c r="C1884" s="0" t="s">
        <v>3923</v>
      </c>
      <c r="D1884" s="0" t="n">
        <v>0.81627</v>
      </c>
    </row>
    <row r="1885" customFormat="false" ht="15" hidden="false" customHeight="false" outlineLevel="0" collapsed="false">
      <c r="A1885" s="0" t="s">
        <v>14</v>
      </c>
      <c r="B1885" s="0" t="s">
        <v>3219</v>
      </c>
      <c r="C1885" s="0" t="s">
        <v>3924</v>
      </c>
      <c r="D1885" s="0" t="n">
        <v>0.90219</v>
      </c>
    </row>
    <row r="1886" customFormat="false" ht="15" hidden="false" customHeight="false" outlineLevel="0" collapsed="false">
      <c r="A1886" s="0" t="s">
        <v>14</v>
      </c>
      <c r="B1886" s="0" t="s">
        <v>3224</v>
      </c>
      <c r="C1886" s="0" t="s">
        <v>3922</v>
      </c>
      <c r="D1886" s="0" t="n">
        <v>0.6</v>
      </c>
    </row>
    <row r="1887" customFormat="false" ht="15" hidden="false" customHeight="false" outlineLevel="0" collapsed="false">
      <c r="A1887" s="0" t="s">
        <v>14</v>
      </c>
      <c r="B1887" s="0" t="s">
        <v>3224</v>
      </c>
      <c r="C1887" s="0" t="s">
        <v>3923</v>
      </c>
      <c r="D1887" s="0" t="n">
        <v>0.3</v>
      </c>
    </row>
    <row r="1888" customFormat="false" ht="15" hidden="false" customHeight="false" outlineLevel="0" collapsed="false">
      <c r="A1888" s="0" t="s">
        <v>14</v>
      </c>
      <c r="B1888" s="0" t="s">
        <v>3224</v>
      </c>
      <c r="C1888" s="0" t="s">
        <v>3924</v>
      </c>
      <c r="D1888" s="0" t="n">
        <v>0.9</v>
      </c>
    </row>
    <row r="1889" customFormat="false" ht="15" hidden="false" customHeight="false" outlineLevel="0" collapsed="false">
      <c r="A1889" s="0" t="s">
        <v>14</v>
      </c>
      <c r="B1889" s="0" t="s">
        <v>3230</v>
      </c>
      <c r="C1889" s="0" t="s">
        <v>3922</v>
      </c>
      <c r="D1889" s="0" t="n">
        <v>42</v>
      </c>
    </row>
    <row r="1890" customFormat="false" ht="15" hidden="false" customHeight="false" outlineLevel="0" collapsed="false">
      <c r="A1890" s="0" t="s">
        <v>14</v>
      </c>
      <c r="B1890" s="0" t="s">
        <v>3230</v>
      </c>
      <c r="C1890" s="0" t="s">
        <v>3923</v>
      </c>
      <c r="D1890" s="0" t="n">
        <v>42</v>
      </c>
    </row>
    <row r="1891" customFormat="false" ht="15" hidden="false" customHeight="false" outlineLevel="0" collapsed="false">
      <c r="A1891" s="0" t="s">
        <v>14</v>
      </c>
      <c r="B1891" s="0" t="s">
        <v>3230</v>
      </c>
      <c r="C1891" s="0" t="s">
        <v>3924</v>
      </c>
      <c r="D1891" s="0" t="n">
        <v>42</v>
      </c>
    </row>
    <row r="1892" customFormat="false" ht="15" hidden="false" customHeight="false" outlineLevel="0" collapsed="false">
      <c r="A1892" s="0" t="s">
        <v>14</v>
      </c>
      <c r="B1892" s="0" t="s">
        <v>3235</v>
      </c>
      <c r="C1892" s="0" t="s">
        <v>3922</v>
      </c>
      <c r="D1892" s="0" t="n">
        <v>54</v>
      </c>
    </row>
    <row r="1893" customFormat="false" ht="15" hidden="false" customHeight="false" outlineLevel="0" collapsed="false">
      <c r="A1893" s="0" t="s">
        <v>14</v>
      </c>
      <c r="B1893" s="0" t="s">
        <v>3235</v>
      </c>
      <c r="C1893" s="0" t="s">
        <v>3923</v>
      </c>
      <c r="D1893" s="0" t="n">
        <v>54</v>
      </c>
    </row>
    <row r="1894" customFormat="false" ht="15" hidden="false" customHeight="false" outlineLevel="0" collapsed="false">
      <c r="A1894" s="0" t="s">
        <v>14</v>
      </c>
      <c r="B1894" s="0" t="s">
        <v>3235</v>
      </c>
      <c r="C1894" s="0" t="s">
        <v>3924</v>
      </c>
      <c r="D1894" s="0" t="n">
        <v>54</v>
      </c>
    </row>
    <row r="1895" customFormat="false" ht="15" hidden="false" customHeight="false" outlineLevel="0" collapsed="false">
      <c r="A1895" s="0" t="s">
        <v>14</v>
      </c>
      <c r="B1895" s="0" t="s">
        <v>3239</v>
      </c>
      <c r="C1895" s="0" t="s">
        <v>3922</v>
      </c>
      <c r="D1895" s="0" t="n">
        <v>128</v>
      </c>
    </row>
    <row r="1896" customFormat="false" ht="15" hidden="false" customHeight="false" outlineLevel="0" collapsed="false">
      <c r="A1896" s="0" t="s">
        <v>14</v>
      </c>
      <c r="B1896" s="0" t="s">
        <v>3239</v>
      </c>
      <c r="C1896" s="0" t="s">
        <v>3923</v>
      </c>
      <c r="D1896" s="0" t="n">
        <v>128</v>
      </c>
    </row>
    <row r="1897" customFormat="false" ht="15" hidden="false" customHeight="false" outlineLevel="0" collapsed="false">
      <c r="A1897" s="0" t="s">
        <v>14</v>
      </c>
      <c r="B1897" s="0" t="s">
        <v>3239</v>
      </c>
      <c r="C1897" s="0" t="s">
        <v>3924</v>
      </c>
      <c r="D1897" s="0" t="n">
        <v>128</v>
      </c>
    </row>
    <row r="1898" customFormat="false" ht="15" hidden="false" customHeight="false" outlineLevel="0" collapsed="false">
      <c r="A1898" s="0" t="s">
        <v>14</v>
      </c>
      <c r="B1898" s="0" t="s">
        <v>3243</v>
      </c>
      <c r="C1898" s="0" t="s">
        <v>3922</v>
      </c>
      <c r="D1898" s="0" t="n">
        <v>0.15</v>
      </c>
    </row>
    <row r="1899" customFormat="false" ht="15" hidden="false" customHeight="false" outlineLevel="0" collapsed="false">
      <c r="A1899" s="0" t="s">
        <v>14</v>
      </c>
      <c r="B1899" s="0" t="s">
        <v>3243</v>
      </c>
      <c r="C1899" s="0" t="s">
        <v>3923</v>
      </c>
      <c r="D1899" s="0" t="n">
        <v>0.05</v>
      </c>
    </row>
    <row r="1900" customFormat="false" ht="15" hidden="false" customHeight="false" outlineLevel="0" collapsed="false">
      <c r="A1900" s="0" t="s">
        <v>14</v>
      </c>
      <c r="B1900" s="0" t="s">
        <v>3243</v>
      </c>
      <c r="C1900" s="0" t="s">
        <v>3924</v>
      </c>
      <c r="D1900" s="0" t="n">
        <v>0.3</v>
      </c>
    </row>
    <row r="1901" customFormat="false" ht="15" hidden="false" customHeight="false" outlineLevel="0" collapsed="false">
      <c r="A1901" s="0" t="s">
        <v>14</v>
      </c>
      <c r="B1901" s="0" t="s">
        <v>3248</v>
      </c>
      <c r="C1901" s="0" t="s">
        <v>3922</v>
      </c>
      <c r="D1901" s="0" t="n">
        <v>0.5</v>
      </c>
    </row>
    <row r="1902" customFormat="false" ht="15" hidden="false" customHeight="false" outlineLevel="0" collapsed="false">
      <c r="A1902" s="0" t="s">
        <v>14</v>
      </c>
      <c r="B1902" s="0" t="s">
        <v>3248</v>
      </c>
      <c r="C1902" s="0" t="s">
        <v>3923</v>
      </c>
      <c r="D1902" s="0" t="n">
        <v>0.3</v>
      </c>
    </row>
    <row r="1903" customFormat="false" ht="15" hidden="false" customHeight="false" outlineLevel="0" collapsed="false">
      <c r="A1903" s="0" t="s">
        <v>14</v>
      </c>
      <c r="B1903" s="0" t="s">
        <v>3248</v>
      </c>
      <c r="C1903" s="0" t="s">
        <v>3924</v>
      </c>
      <c r="D1903" s="0" t="n">
        <v>0.75</v>
      </c>
    </row>
    <row r="1904" customFormat="false" ht="15" hidden="false" customHeight="false" outlineLevel="0" collapsed="false">
      <c r="A1904" s="0" t="s">
        <v>14</v>
      </c>
      <c r="B1904" s="0" t="s">
        <v>3253</v>
      </c>
      <c r="C1904" s="0" t="s">
        <v>3922</v>
      </c>
      <c r="D1904" s="0" t="n">
        <v>0.25</v>
      </c>
    </row>
    <row r="1905" customFormat="false" ht="15" hidden="false" customHeight="false" outlineLevel="0" collapsed="false">
      <c r="A1905" s="0" t="s">
        <v>14</v>
      </c>
      <c r="B1905" s="0" t="s">
        <v>3253</v>
      </c>
      <c r="C1905" s="0" t="s">
        <v>3923</v>
      </c>
      <c r="D1905" s="0" t="n">
        <v>0.1</v>
      </c>
    </row>
    <row r="1906" customFormat="false" ht="15" hidden="false" customHeight="false" outlineLevel="0" collapsed="false">
      <c r="A1906" s="0" t="s">
        <v>14</v>
      </c>
      <c r="B1906" s="0" t="s">
        <v>3253</v>
      </c>
      <c r="C1906" s="0" t="s">
        <v>3924</v>
      </c>
      <c r="D1906" s="0" t="n">
        <v>0.4</v>
      </c>
    </row>
    <row r="1907" customFormat="false" ht="15" hidden="false" customHeight="false" outlineLevel="0" collapsed="false">
      <c r="A1907" s="0" t="s">
        <v>14</v>
      </c>
      <c r="B1907" s="0" t="s">
        <v>3258</v>
      </c>
      <c r="C1907" s="0" t="s">
        <v>3922</v>
      </c>
      <c r="D1907" s="0" t="n">
        <v>0.6</v>
      </c>
    </row>
    <row r="1908" customFormat="false" ht="15" hidden="false" customHeight="false" outlineLevel="0" collapsed="false">
      <c r="A1908" s="0" t="s">
        <v>14</v>
      </c>
      <c r="B1908" s="0" t="s">
        <v>3258</v>
      </c>
      <c r="C1908" s="0" t="s">
        <v>3923</v>
      </c>
      <c r="D1908" s="0" t="n">
        <v>0.4</v>
      </c>
    </row>
    <row r="1909" customFormat="false" ht="15" hidden="false" customHeight="false" outlineLevel="0" collapsed="false">
      <c r="A1909" s="0" t="s">
        <v>14</v>
      </c>
      <c r="B1909" s="0" t="s">
        <v>3258</v>
      </c>
      <c r="C1909" s="0" t="s">
        <v>3924</v>
      </c>
      <c r="D1909" s="0" t="n">
        <v>0.8</v>
      </c>
    </row>
    <row r="1910" customFormat="false" ht="15" hidden="false" customHeight="false" outlineLevel="0" collapsed="false">
      <c r="A1910" s="0" t="s">
        <v>14</v>
      </c>
      <c r="B1910" s="0" t="s">
        <v>3263</v>
      </c>
      <c r="C1910" s="0" t="s">
        <v>3922</v>
      </c>
      <c r="D1910" s="0" t="n">
        <v>0.7</v>
      </c>
    </row>
    <row r="1911" customFormat="false" ht="15" hidden="false" customHeight="false" outlineLevel="0" collapsed="false">
      <c r="A1911" s="0" t="s">
        <v>14</v>
      </c>
      <c r="B1911" s="0" t="s">
        <v>3263</v>
      </c>
      <c r="C1911" s="0" t="s">
        <v>3923</v>
      </c>
      <c r="D1911" s="0" t="n">
        <v>0.5</v>
      </c>
    </row>
    <row r="1912" customFormat="false" ht="15" hidden="false" customHeight="false" outlineLevel="0" collapsed="false">
      <c r="A1912" s="0" t="s">
        <v>14</v>
      </c>
      <c r="B1912" s="0" t="s">
        <v>3263</v>
      </c>
      <c r="C1912" s="0" t="s">
        <v>3924</v>
      </c>
      <c r="D1912" s="0" t="n">
        <v>0.85</v>
      </c>
    </row>
    <row r="1913" customFormat="false" ht="15" hidden="false" customHeight="false" outlineLevel="0" collapsed="false">
      <c r="A1913" s="0" t="s">
        <v>14</v>
      </c>
      <c r="B1913" s="0" t="s">
        <v>3267</v>
      </c>
      <c r="C1913" s="0" t="s">
        <v>3922</v>
      </c>
      <c r="D1913" s="0" t="n">
        <v>0.7</v>
      </c>
    </row>
    <row r="1914" customFormat="false" ht="15" hidden="false" customHeight="false" outlineLevel="0" collapsed="false">
      <c r="A1914" s="0" t="s">
        <v>14</v>
      </c>
      <c r="B1914" s="0" t="s">
        <v>3267</v>
      </c>
      <c r="C1914" s="0" t="s">
        <v>3923</v>
      </c>
      <c r="D1914" s="0" t="n">
        <v>0.5</v>
      </c>
    </row>
    <row r="1915" customFormat="false" ht="15" hidden="false" customHeight="false" outlineLevel="0" collapsed="false">
      <c r="A1915" s="0" t="s">
        <v>14</v>
      </c>
      <c r="B1915" s="0" t="s">
        <v>3267</v>
      </c>
      <c r="C1915" s="0" t="s">
        <v>3924</v>
      </c>
      <c r="D1915" s="0" t="n">
        <v>0.85</v>
      </c>
    </row>
    <row r="1916" customFormat="false" ht="15" hidden="false" customHeight="false" outlineLevel="0" collapsed="false">
      <c r="A1916" s="0" t="s">
        <v>14</v>
      </c>
      <c r="B1916" s="0" t="s">
        <v>3271</v>
      </c>
      <c r="C1916" s="0" t="s">
        <v>3922</v>
      </c>
      <c r="D1916" s="0" t="n">
        <v>-0.2</v>
      </c>
    </row>
    <row r="1917" customFormat="false" ht="15" hidden="false" customHeight="false" outlineLevel="0" collapsed="false">
      <c r="A1917" s="0" t="s">
        <v>14</v>
      </c>
      <c r="B1917" s="0" t="s">
        <v>3271</v>
      </c>
      <c r="C1917" s="0" t="s">
        <v>3923</v>
      </c>
      <c r="D1917" s="0" t="n">
        <v>-0.4</v>
      </c>
    </row>
    <row r="1918" customFormat="false" ht="15" hidden="false" customHeight="false" outlineLevel="0" collapsed="false">
      <c r="A1918" s="0" t="s">
        <v>14</v>
      </c>
      <c r="B1918" s="0" t="s">
        <v>3271</v>
      </c>
      <c r="C1918" s="0" t="s">
        <v>3924</v>
      </c>
      <c r="D1918" s="0" t="n">
        <v>0.2</v>
      </c>
    </row>
    <row r="1919" customFormat="false" ht="15" hidden="false" customHeight="false" outlineLevel="0" collapsed="false">
      <c r="A1919" s="0" t="s">
        <v>14</v>
      </c>
      <c r="B1919" s="0" t="s">
        <v>3277</v>
      </c>
      <c r="C1919" s="0" t="s">
        <v>3922</v>
      </c>
      <c r="D1919" s="0" t="n">
        <v>-0.2</v>
      </c>
    </row>
    <row r="1920" customFormat="false" ht="15" hidden="false" customHeight="false" outlineLevel="0" collapsed="false">
      <c r="A1920" s="0" t="s">
        <v>14</v>
      </c>
      <c r="B1920" s="0" t="s">
        <v>3277</v>
      </c>
      <c r="C1920" s="0" t="s">
        <v>3923</v>
      </c>
      <c r="D1920" s="0" t="n">
        <v>-0.4</v>
      </c>
    </row>
    <row r="1921" customFormat="false" ht="15" hidden="false" customHeight="false" outlineLevel="0" collapsed="false">
      <c r="A1921" s="0" t="s">
        <v>14</v>
      </c>
      <c r="B1921" s="0" t="s">
        <v>3277</v>
      </c>
      <c r="C1921" s="0" t="s">
        <v>3924</v>
      </c>
      <c r="D1921" s="0" t="n">
        <v>0.2</v>
      </c>
    </row>
    <row r="1922" customFormat="false" ht="15" hidden="false" customHeight="false" outlineLevel="0" collapsed="false">
      <c r="A1922" s="0" t="s">
        <v>14</v>
      </c>
      <c r="B1922" s="0" t="s">
        <v>3281</v>
      </c>
      <c r="C1922" s="0" t="s">
        <v>3922</v>
      </c>
      <c r="D1922" s="0" t="n">
        <v>20</v>
      </c>
    </row>
    <row r="1923" customFormat="false" ht="15" hidden="false" customHeight="false" outlineLevel="0" collapsed="false">
      <c r="A1923" s="0" t="s">
        <v>14</v>
      </c>
      <c r="B1923" s="0" t="s">
        <v>3281</v>
      </c>
      <c r="C1923" s="0" t="s">
        <v>3923</v>
      </c>
      <c r="D1923" s="0" t="n">
        <v>5</v>
      </c>
    </row>
    <row r="1924" customFormat="false" ht="15" hidden="false" customHeight="false" outlineLevel="0" collapsed="false">
      <c r="A1924" s="0" t="s">
        <v>14</v>
      </c>
      <c r="B1924" s="0" t="s">
        <v>3281</v>
      </c>
      <c r="C1924" s="0" t="s">
        <v>3924</v>
      </c>
      <c r="D1924" s="0" t="n">
        <v>50</v>
      </c>
    </row>
    <row r="1925" customFormat="false" ht="15" hidden="false" customHeight="false" outlineLevel="0" collapsed="false">
      <c r="A1925" s="0" t="s">
        <v>14</v>
      </c>
      <c r="B1925" s="0" t="s">
        <v>3287</v>
      </c>
      <c r="C1925" s="0" t="s">
        <v>3922</v>
      </c>
      <c r="D1925" s="0" t="n">
        <v>1.3</v>
      </c>
    </row>
    <row r="1926" customFormat="false" ht="15" hidden="false" customHeight="false" outlineLevel="0" collapsed="false">
      <c r="A1926" s="0" t="s">
        <v>14</v>
      </c>
      <c r="B1926" s="0" t="s">
        <v>3287</v>
      </c>
      <c r="C1926" s="0" t="s">
        <v>3923</v>
      </c>
      <c r="D1926" s="0" t="n">
        <v>0.5</v>
      </c>
    </row>
    <row r="1927" customFormat="false" ht="15" hidden="false" customHeight="false" outlineLevel="0" collapsed="false">
      <c r="A1927" s="0" t="s">
        <v>14</v>
      </c>
      <c r="B1927" s="0" t="s">
        <v>3287</v>
      </c>
      <c r="C1927" s="0" t="s">
        <v>3924</v>
      </c>
      <c r="D1927" s="0" t="n">
        <v>3</v>
      </c>
    </row>
    <row r="1928" customFormat="false" ht="15" hidden="false" customHeight="false" outlineLevel="0" collapsed="false">
      <c r="A1928" s="0" t="s">
        <v>14</v>
      </c>
      <c r="B1928" s="0" t="s">
        <v>3293</v>
      </c>
      <c r="C1928" s="0" t="s">
        <v>3922</v>
      </c>
      <c r="D1928" s="0" t="n">
        <v>0.1</v>
      </c>
    </row>
    <row r="1929" customFormat="false" ht="15" hidden="false" customHeight="false" outlineLevel="0" collapsed="false">
      <c r="A1929" s="0" t="s">
        <v>14</v>
      </c>
      <c r="B1929" s="0" t="s">
        <v>3293</v>
      </c>
      <c r="C1929" s="0" t="s">
        <v>3923</v>
      </c>
      <c r="D1929" s="0" t="n">
        <v>0</v>
      </c>
    </row>
    <row r="1930" customFormat="false" ht="15" hidden="false" customHeight="false" outlineLevel="0" collapsed="false">
      <c r="A1930" s="0" t="s">
        <v>14</v>
      </c>
      <c r="B1930" s="0" t="s">
        <v>3293</v>
      </c>
      <c r="C1930" s="0" t="s">
        <v>3924</v>
      </c>
      <c r="D1930" s="0" t="n">
        <v>0.3</v>
      </c>
    </row>
    <row r="1931" customFormat="false" ht="15" hidden="false" customHeight="false" outlineLevel="0" collapsed="false">
      <c r="A1931" s="0" t="s">
        <v>14</v>
      </c>
      <c r="B1931" s="0" t="s">
        <v>3298</v>
      </c>
      <c r="C1931" s="0" t="s">
        <v>3922</v>
      </c>
      <c r="D1931" s="0" t="n">
        <v>0.8</v>
      </c>
    </row>
    <row r="1932" customFormat="false" ht="15" hidden="false" customHeight="false" outlineLevel="0" collapsed="false">
      <c r="A1932" s="0" t="s">
        <v>14</v>
      </c>
      <c r="B1932" s="0" t="s">
        <v>3298</v>
      </c>
      <c r="C1932" s="0" t="s">
        <v>3923</v>
      </c>
      <c r="D1932" s="0" t="n">
        <v>0.4</v>
      </c>
    </row>
    <row r="1933" customFormat="false" ht="15" hidden="false" customHeight="false" outlineLevel="0" collapsed="false">
      <c r="A1933" s="0" t="s">
        <v>14</v>
      </c>
      <c r="B1933" s="0" t="s">
        <v>3298</v>
      </c>
      <c r="C1933" s="0" t="s">
        <v>3924</v>
      </c>
      <c r="D1933" s="0" t="n">
        <v>1.6</v>
      </c>
    </row>
    <row r="1934" customFormat="false" ht="15" hidden="false" customHeight="false" outlineLevel="0" collapsed="false">
      <c r="A1934" s="0" t="s">
        <v>14</v>
      </c>
      <c r="B1934" s="0" t="s">
        <v>3303</v>
      </c>
      <c r="C1934" s="0" t="s">
        <v>3922</v>
      </c>
      <c r="D1934" s="0" t="n">
        <v>0.5</v>
      </c>
    </row>
    <row r="1935" customFormat="false" ht="15" hidden="false" customHeight="false" outlineLevel="0" collapsed="false">
      <c r="A1935" s="0" t="s">
        <v>14</v>
      </c>
      <c r="B1935" s="0" t="s">
        <v>3303</v>
      </c>
      <c r="C1935" s="0" t="s">
        <v>3923</v>
      </c>
      <c r="D1935" s="0" t="n">
        <v>0.25</v>
      </c>
    </row>
    <row r="1936" customFormat="false" ht="15" hidden="false" customHeight="false" outlineLevel="0" collapsed="false">
      <c r="A1936" s="0" t="s">
        <v>14</v>
      </c>
      <c r="B1936" s="0" t="s">
        <v>3303</v>
      </c>
      <c r="C1936" s="0" t="s">
        <v>3924</v>
      </c>
      <c r="D1936" s="0" t="n">
        <v>1</v>
      </c>
    </row>
    <row r="1937" customFormat="false" ht="15" hidden="false" customHeight="false" outlineLevel="0" collapsed="false">
      <c r="A1937" s="0" t="s">
        <v>14</v>
      </c>
      <c r="B1937" s="0" t="s">
        <v>3306</v>
      </c>
      <c r="C1937" s="0" t="s">
        <v>3922</v>
      </c>
      <c r="D1937" s="0" t="n">
        <v>0.35</v>
      </c>
    </row>
    <row r="1938" customFormat="false" ht="15" hidden="false" customHeight="false" outlineLevel="0" collapsed="false">
      <c r="A1938" s="0" t="s">
        <v>14</v>
      </c>
      <c r="B1938" s="0" t="s">
        <v>3306</v>
      </c>
      <c r="C1938" s="0" t="s">
        <v>3923</v>
      </c>
      <c r="D1938" s="0" t="n">
        <v>0.175</v>
      </c>
    </row>
    <row r="1939" customFormat="false" ht="15" hidden="false" customHeight="false" outlineLevel="0" collapsed="false">
      <c r="A1939" s="0" t="s">
        <v>14</v>
      </c>
      <c r="B1939" s="0" t="s">
        <v>3306</v>
      </c>
      <c r="C1939" s="0" t="s">
        <v>3924</v>
      </c>
      <c r="D1939" s="0" t="n">
        <v>0.7</v>
      </c>
    </row>
    <row r="1940" customFormat="false" ht="15" hidden="false" customHeight="false" outlineLevel="0" collapsed="false">
      <c r="A1940" s="0" t="s">
        <v>14</v>
      </c>
      <c r="B1940" s="0" t="s">
        <v>3309</v>
      </c>
      <c r="C1940" s="0" t="s">
        <v>3922</v>
      </c>
      <c r="D1940" s="0" t="n">
        <v>0.25</v>
      </c>
    </row>
    <row r="1941" customFormat="false" ht="15" hidden="false" customHeight="false" outlineLevel="0" collapsed="false">
      <c r="A1941" s="0" t="s">
        <v>14</v>
      </c>
      <c r="B1941" s="0" t="s">
        <v>3309</v>
      </c>
      <c r="C1941" s="0" t="s">
        <v>3923</v>
      </c>
      <c r="D1941" s="0" t="n">
        <v>0.125</v>
      </c>
    </row>
    <row r="1942" customFormat="false" ht="15" hidden="false" customHeight="false" outlineLevel="0" collapsed="false">
      <c r="A1942" s="0" t="s">
        <v>14</v>
      </c>
      <c r="B1942" s="0" t="s">
        <v>3309</v>
      </c>
      <c r="C1942" s="0" t="s">
        <v>3924</v>
      </c>
      <c r="D1942" s="0" t="n">
        <v>0.5</v>
      </c>
    </row>
    <row r="1943" customFormat="false" ht="15" hidden="false" customHeight="false" outlineLevel="0" collapsed="false">
      <c r="A1943" s="0" t="s">
        <v>14</v>
      </c>
      <c r="B1943" s="0" t="s">
        <v>3312</v>
      </c>
      <c r="C1943" s="0" t="s">
        <v>3922</v>
      </c>
      <c r="D1943" s="0" t="n">
        <v>0.15</v>
      </c>
    </row>
    <row r="1944" customFormat="false" ht="15" hidden="false" customHeight="false" outlineLevel="0" collapsed="false">
      <c r="A1944" s="0" t="s">
        <v>14</v>
      </c>
      <c r="B1944" s="0" t="s">
        <v>3312</v>
      </c>
      <c r="C1944" s="0" t="s">
        <v>3923</v>
      </c>
      <c r="D1944" s="0" t="n">
        <v>0.05</v>
      </c>
    </row>
    <row r="1945" customFormat="false" ht="15" hidden="false" customHeight="false" outlineLevel="0" collapsed="false">
      <c r="A1945" s="0" t="s">
        <v>14</v>
      </c>
      <c r="B1945" s="0" t="s">
        <v>3312</v>
      </c>
      <c r="C1945" s="0" t="s">
        <v>3924</v>
      </c>
      <c r="D1945" s="0" t="n">
        <v>0.25</v>
      </c>
    </row>
    <row r="1946" customFormat="false" ht="15" hidden="false" customHeight="false" outlineLevel="0" collapsed="false">
      <c r="A1946" s="0" t="s">
        <v>14</v>
      </c>
      <c r="B1946" s="0" t="s">
        <v>3317</v>
      </c>
      <c r="C1946" s="0" t="s">
        <v>3922</v>
      </c>
      <c r="D1946" s="0" t="n">
        <v>-0.7</v>
      </c>
    </row>
    <row r="1947" customFormat="false" ht="15" hidden="false" customHeight="false" outlineLevel="0" collapsed="false">
      <c r="A1947" s="0" t="s">
        <v>14</v>
      </c>
      <c r="B1947" s="0" t="s">
        <v>3317</v>
      </c>
      <c r="C1947" s="0" t="s">
        <v>3923</v>
      </c>
      <c r="D1947" s="0" t="n">
        <v>-1.05</v>
      </c>
    </row>
    <row r="1948" customFormat="false" ht="15" hidden="false" customHeight="false" outlineLevel="0" collapsed="false">
      <c r="A1948" s="0" t="s">
        <v>14</v>
      </c>
      <c r="B1948" s="0" t="s">
        <v>3317</v>
      </c>
      <c r="C1948" s="0" t="s">
        <v>3924</v>
      </c>
      <c r="D1948" s="0" t="n">
        <v>-0.35</v>
      </c>
    </row>
    <row r="1949" customFormat="false" ht="15" hidden="false" customHeight="false" outlineLevel="0" collapsed="false">
      <c r="A1949" s="0" t="s">
        <v>14</v>
      </c>
      <c r="B1949" s="0" t="s">
        <v>3323</v>
      </c>
      <c r="C1949" s="0" t="s">
        <v>3922</v>
      </c>
      <c r="D1949" s="0" t="n">
        <v>-0.3</v>
      </c>
    </row>
    <row r="1950" customFormat="false" ht="15" hidden="false" customHeight="false" outlineLevel="0" collapsed="false">
      <c r="A1950" s="0" t="s">
        <v>14</v>
      </c>
      <c r="B1950" s="0" t="s">
        <v>3323</v>
      </c>
      <c r="C1950" s="0" t="s">
        <v>3923</v>
      </c>
      <c r="D1950" s="0" t="n">
        <v>-0.45</v>
      </c>
    </row>
    <row r="1951" customFormat="false" ht="15" hidden="false" customHeight="false" outlineLevel="0" collapsed="false">
      <c r="A1951" s="0" t="s">
        <v>14</v>
      </c>
      <c r="B1951" s="0" t="s">
        <v>3323</v>
      </c>
      <c r="C1951" s="0" t="s">
        <v>3924</v>
      </c>
      <c r="D1951" s="0" t="n">
        <v>-0.15</v>
      </c>
    </row>
    <row r="1952" customFormat="false" ht="15" hidden="false" customHeight="false" outlineLevel="0" collapsed="false">
      <c r="A1952" s="0" t="s">
        <v>14</v>
      </c>
      <c r="B1952" s="0" t="s">
        <v>3327</v>
      </c>
      <c r="C1952" s="0" t="s">
        <v>3922</v>
      </c>
      <c r="D1952" s="0" t="n">
        <v>0.3</v>
      </c>
    </row>
    <row r="1953" customFormat="false" ht="15" hidden="false" customHeight="false" outlineLevel="0" collapsed="false">
      <c r="A1953" s="0" t="s">
        <v>14</v>
      </c>
      <c r="B1953" s="0" t="s">
        <v>3327</v>
      </c>
      <c r="C1953" s="0" t="s">
        <v>3923</v>
      </c>
      <c r="D1953" s="0" t="n">
        <v>0.1</v>
      </c>
    </row>
    <row r="1954" customFormat="false" ht="15" hidden="false" customHeight="false" outlineLevel="0" collapsed="false">
      <c r="A1954" s="0" t="s">
        <v>14</v>
      </c>
      <c r="B1954" s="0" t="s">
        <v>3327</v>
      </c>
      <c r="C1954" s="0" t="s">
        <v>3924</v>
      </c>
      <c r="D1954" s="0" t="n">
        <v>1</v>
      </c>
    </row>
    <row r="1955" customFormat="false" ht="15" hidden="false" customHeight="false" outlineLevel="0" collapsed="false">
      <c r="A1955" s="0" t="s">
        <v>14</v>
      </c>
      <c r="B1955" s="0" t="s">
        <v>3332</v>
      </c>
      <c r="C1955" s="0" t="s">
        <v>3922</v>
      </c>
      <c r="D1955" s="0" t="n">
        <v>1</v>
      </c>
    </row>
    <row r="1956" customFormat="false" ht="15" hidden="false" customHeight="false" outlineLevel="0" collapsed="false">
      <c r="A1956" s="0" t="s">
        <v>14</v>
      </c>
      <c r="B1956" s="0" t="s">
        <v>3332</v>
      </c>
      <c r="C1956" s="0" t="s">
        <v>3923</v>
      </c>
      <c r="D1956" s="0" t="n">
        <v>0.7</v>
      </c>
    </row>
    <row r="1957" customFormat="false" ht="15" hidden="false" customHeight="false" outlineLevel="0" collapsed="false">
      <c r="A1957" s="0" t="s">
        <v>14</v>
      </c>
      <c r="B1957" s="0" t="s">
        <v>3332</v>
      </c>
      <c r="C1957" s="0" t="s">
        <v>3924</v>
      </c>
      <c r="D1957" s="0" t="n">
        <v>1.5</v>
      </c>
    </row>
    <row r="1958" customFormat="false" ht="15" hidden="false" customHeight="false" outlineLevel="0" collapsed="false">
      <c r="A1958" s="0" t="s">
        <v>14</v>
      </c>
      <c r="B1958" s="0" t="s">
        <v>3337</v>
      </c>
      <c r="C1958" s="0" t="s">
        <v>3922</v>
      </c>
      <c r="D1958" s="0" t="n">
        <v>0.15</v>
      </c>
    </row>
    <row r="1959" customFormat="false" ht="15" hidden="false" customHeight="false" outlineLevel="0" collapsed="false">
      <c r="A1959" s="0" t="s">
        <v>14</v>
      </c>
      <c r="B1959" s="0" t="s">
        <v>3337</v>
      </c>
      <c r="C1959" s="0" t="s">
        <v>3923</v>
      </c>
      <c r="D1959" s="0" t="n">
        <v>0.05</v>
      </c>
    </row>
    <row r="1960" customFormat="false" ht="15" hidden="false" customHeight="false" outlineLevel="0" collapsed="false">
      <c r="A1960" s="0" t="s">
        <v>14</v>
      </c>
      <c r="B1960" s="0" t="s">
        <v>3337</v>
      </c>
      <c r="C1960" s="0" t="s">
        <v>3924</v>
      </c>
      <c r="D1960" s="0" t="n">
        <v>0.3</v>
      </c>
    </row>
    <row r="1961" customFormat="false" ht="15" hidden="false" customHeight="false" outlineLevel="0" collapsed="false">
      <c r="A1961" s="0" t="s">
        <v>14</v>
      </c>
      <c r="B1961" s="0" t="s">
        <v>3342</v>
      </c>
      <c r="C1961" s="0" t="s">
        <v>3922</v>
      </c>
      <c r="D1961" s="0" t="n">
        <v>0.5</v>
      </c>
    </row>
    <row r="1962" customFormat="false" ht="15" hidden="false" customHeight="false" outlineLevel="0" collapsed="false">
      <c r="A1962" s="0" t="s">
        <v>14</v>
      </c>
      <c r="B1962" s="0" t="s">
        <v>3342</v>
      </c>
      <c r="C1962" s="0" t="s">
        <v>3923</v>
      </c>
      <c r="D1962" s="0" t="n">
        <v>0</v>
      </c>
    </row>
    <row r="1963" customFormat="false" ht="15" hidden="false" customHeight="false" outlineLevel="0" collapsed="false">
      <c r="A1963" s="0" t="s">
        <v>14</v>
      </c>
      <c r="B1963" s="0" t="s">
        <v>3342</v>
      </c>
      <c r="C1963" s="0" t="s">
        <v>3924</v>
      </c>
      <c r="D1963" s="0" t="n">
        <v>1.5</v>
      </c>
    </row>
    <row r="1964" customFormat="false" ht="15" hidden="false" customHeight="false" outlineLevel="0" collapsed="false">
      <c r="A1964" s="0" t="s">
        <v>14</v>
      </c>
      <c r="B1964" s="0" t="s">
        <v>3347</v>
      </c>
      <c r="C1964" s="0" t="s">
        <v>3922</v>
      </c>
      <c r="D1964" s="0" t="n">
        <v>0.5</v>
      </c>
    </row>
    <row r="1965" customFormat="false" ht="15" hidden="false" customHeight="false" outlineLevel="0" collapsed="false">
      <c r="A1965" s="0" t="s">
        <v>14</v>
      </c>
      <c r="B1965" s="0" t="s">
        <v>3347</v>
      </c>
      <c r="C1965" s="0" t="s">
        <v>3923</v>
      </c>
      <c r="D1965" s="0" t="n">
        <v>0.2</v>
      </c>
    </row>
    <row r="1966" customFormat="false" ht="15" hidden="false" customHeight="false" outlineLevel="0" collapsed="false">
      <c r="A1966" s="0" t="s">
        <v>14</v>
      </c>
      <c r="B1966" s="0" t="s">
        <v>3347</v>
      </c>
      <c r="C1966" s="0" t="s">
        <v>3924</v>
      </c>
      <c r="D1966" s="0" t="n">
        <v>1</v>
      </c>
    </row>
    <row r="1967" customFormat="false" ht="15" hidden="false" customHeight="false" outlineLevel="0" collapsed="false">
      <c r="A1967" s="0" t="s">
        <v>14</v>
      </c>
      <c r="B1967" s="0" t="s">
        <v>3352</v>
      </c>
      <c r="C1967" s="0" t="s">
        <v>3922</v>
      </c>
      <c r="D1967" s="0" t="n">
        <v>0.3</v>
      </c>
    </row>
    <row r="1968" customFormat="false" ht="15" hidden="false" customHeight="false" outlineLevel="0" collapsed="false">
      <c r="A1968" s="0" t="s">
        <v>14</v>
      </c>
      <c r="B1968" s="0" t="s">
        <v>3352</v>
      </c>
      <c r="C1968" s="0" t="s">
        <v>3923</v>
      </c>
      <c r="D1968" s="0" t="n">
        <v>0.1</v>
      </c>
    </row>
    <row r="1969" customFormat="false" ht="15" hidden="false" customHeight="false" outlineLevel="0" collapsed="false">
      <c r="A1969" s="0" t="s">
        <v>14</v>
      </c>
      <c r="B1969" s="0" t="s">
        <v>3352</v>
      </c>
      <c r="C1969" s="0" t="s">
        <v>3924</v>
      </c>
      <c r="D1969" s="0" t="n">
        <v>0.6</v>
      </c>
    </row>
    <row r="1970" customFormat="false" ht="15" hidden="false" customHeight="false" outlineLevel="0" collapsed="false">
      <c r="A1970" s="0" t="s">
        <v>14</v>
      </c>
      <c r="B1970" s="0" t="s">
        <v>3355</v>
      </c>
      <c r="C1970" s="0" t="s">
        <v>3922</v>
      </c>
      <c r="D1970" s="0" t="n">
        <v>0.2</v>
      </c>
    </row>
    <row r="1971" customFormat="false" ht="15" hidden="false" customHeight="false" outlineLevel="0" collapsed="false">
      <c r="A1971" s="0" t="s">
        <v>14</v>
      </c>
      <c r="B1971" s="0" t="s">
        <v>3355</v>
      </c>
      <c r="C1971" s="0" t="s">
        <v>3923</v>
      </c>
      <c r="D1971" s="0" t="n">
        <v>0.05</v>
      </c>
    </row>
    <row r="1972" customFormat="false" ht="15" hidden="false" customHeight="false" outlineLevel="0" collapsed="false">
      <c r="A1972" s="0" t="s">
        <v>14</v>
      </c>
      <c r="B1972" s="0" t="s">
        <v>3355</v>
      </c>
      <c r="C1972" s="0" t="s">
        <v>3924</v>
      </c>
      <c r="D1972" s="0" t="n">
        <v>0.4</v>
      </c>
    </row>
    <row r="1973" customFormat="false" ht="15" hidden="false" customHeight="false" outlineLevel="0" collapsed="false">
      <c r="A1973" s="0" t="s">
        <v>14</v>
      </c>
      <c r="B1973" s="0" t="s">
        <v>3358</v>
      </c>
      <c r="C1973" s="0" t="s">
        <v>3922</v>
      </c>
      <c r="D1973" s="0" t="n">
        <v>0.15</v>
      </c>
    </row>
    <row r="1974" customFormat="false" ht="15" hidden="false" customHeight="false" outlineLevel="0" collapsed="false">
      <c r="A1974" s="0" t="s">
        <v>14</v>
      </c>
      <c r="B1974" s="0" t="s">
        <v>3358</v>
      </c>
      <c r="C1974" s="0" t="s">
        <v>3923</v>
      </c>
      <c r="D1974" s="0" t="n">
        <v>0</v>
      </c>
    </row>
    <row r="1975" customFormat="false" ht="15" hidden="false" customHeight="false" outlineLevel="0" collapsed="false">
      <c r="A1975" s="0" t="s">
        <v>14</v>
      </c>
      <c r="B1975" s="0" t="s">
        <v>3358</v>
      </c>
      <c r="C1975" s="0" t="s">
        <v>3924</v>
      </c>
      <c r="D1975" s="0" t="n">
        <v>0.3</v>
      </c>
    </row>
    <row r="1976" customFormat="false" ht="15" hidden="false" customHeight="false" outlineLevel="0" collapsed="false">
      <c r="A1976" s="0" t="s">
        <v>14</v>
      </c>
      <c r="B1976" s="0" t="s">
        <v>3360</v>
      </c>
      <c r="C1976" s="0" t="s">
        <v>3922</v>
      </c>
      <c r="D1976" s="0" t="n">
        <v>0.6</v>
      </c>
    </row>
    <row r="1977" customFormat="false" ht="15" hidden="false" customHeight="false" outlineLevel="0" collapsed="false">
      <c r="A1977" s="0" t="s">
        <v>14</v>
      </c>
      <c r="B1977" s="0" t="s">
        <v>3360</v>
      </c>
      <c r="C1977" s="0" t="s">
        <v>3923</v>
      </c>
      <c r="D1977" s="0" t="n">
        <v>0.4</v>
      </c>
    </row>
    <row r="1978" customFormat="false" ht="15" hidden="false" customHeight="false" outlineLevel="0" collapsed="false">
      <c r="A1978" s="0" t="s">
        <v>14</v>
      </c>
      <c r="B1978" s="0" t="s">
        <v>3360</v>
      </c>
      <c r="C1978" s="0" t="s">
        <v>3924</v>
      </c>
      <c r="D1978" s="0" t="n">
        <v>0.8</v>
      </c>
    </row>
    <row r="1979" customFormat="false" ht="15" hidden="false" customHeight="false" outlineLevel="0" collapsed="false">
      <c r="A1979" s="0" t="s">
        <v>14</v>
      </c>
      <c r="B1979" s="0" t="s">
        <v>3364</v>
      </c>
      <c r="C1979" s="0" t="s">
        <v>3922</v>
      </c>
      <c r="D1979" s="0" t="n">
        <v>0.3</v>
      </c>
    </row>
    <row r="1980" customFormat="false" ht="15" hidden="false" customHeight="false" outlineLevel="0" collapsed="false">
      <c r="A1980" s="0" t="s">
        <v>14</v>
      </c>
      <c r="B1980" s="0" t="s">
        <v>3364</v>
      </c>
      <c r="C1980" s="0" t="s">
        <v>3923</v>
      </c>
      <c r="D1980" s="0" t="n">
        <v>0.15</v>
      </c>
    </row>
    <row r="1981" customFormat="false" ht="15" hidden="false" customHeight="false" outlineLevel="0" collapsed="false">
      <c r="A1981" s="0" t="s">
        <v>14</v>
      </c>
      <c r="B1981" s="0" t="s">
        <v>3364</v>
      </c>
      <c r="C1981" s="0" t="s">
        <v>3924</v>
      </c>
      <c r="D1981" s="0" t="n">
        <v>0.45</v>
      </c>
    </row>
    <row r="1982" customFormat="false" ht="15" hidden="false" customHeight="false" outlineLevel="0" collapsed="false">
      <c r="A1982" s="0" t="s">
        <v>14</v>
      </c>
      <c r="B1982" s="0" t="s">
        <v>3369</v>
      </c>
      <c r="C1982" s="0" t="s">
        <v>3922</v>
      </c>
      <c r="D1982" s="0" t="n">
        <v>0.3</v>
      </c>
    </row>
    <row r="1983" customFormat="false" ht="15" hidden="false" customHeight="false" outlineLevel="0" collapsed="false">
      <c r="A1983" s="0" t="s">
        <v>14</v>
      </c>
      <c r="B1983" s="0" t="s">
        <v>3369</v>
      </c>
      <c r="C1983" s="0" t="s">
        <v>3923</v>
      </c>
      <c r="D1983" s="0" t="n">
        <v>0.1</v>
      </c>
    </row>
    <row r="1984" customFormat="false" ht="15" hidden="false" customHeight="false" outlineLevel="0" collapsed="false">
      <c r="A1984" s="0" t="s">
        <v>14</v>
      </c>
      <c r="B1984" s="0" t="s">
        <v>3369</v>
      </c>
      <c r="C1984" s="0" t="s">
        <v>3924</v>
      </c>
      <c r="D1984" s="0" t="n">
        <v>0.5</v>
      </c>
    </row>
    <row r="1985" customFormat="false" ht="15" hidden="false" customHeight="false" outlineLevel="0" collapsed="false">
      <c r="A1985" s="0" t="s">
        <v>14</v>
      </c>
      <c r="B1985" s="0" t="s">
        <v>3374</v>
      </c>
      <c r="C1985" s="0" t="s">
        <v>3922</v>
      </c>
      <c r="D1985" s="0" t="n">
        <v>0.2</v>
      </c>
    </row>
    <row r="1986" customFormat="false" ht="15" hidden="false" customHeight="false" outlineLevel="0" collapsed="false">
      <c r="A1986" s="0" t="s">
        <v>14</v>
      </c>
      <c r="B1986" s="0" t="s">
        <v>3374</v>
      </c>
      <c r="C1986" s="0" t="s">
        <v>3923</v>
      </c>
      <c r="D1986" s="0" t="n">
        <v>0.1</v>
      </c>
    </row>
    <row r="1987" customFormat="false" ht="15" hidden="false" customHeight="false" outlineLevel="0" collapsed="false">
      <c r="A1987" s="0" t="s">
        <v>14</v>
      </c>
      <c r="B1987" s="0" t="s">
        <v>3374</v>
      </c>
      <c r="C1987" s="0" t="s">
        <v>3924</v>
      </c>
      <c r="D1987" s="0" t="n">
        <v>0.3</v>
      </c>
    </row>
    <row r="1988" customFormat="false" ht="15" hidden="false" customHeight="false" outlineLevel="0" collapsed="false">
      <c r="A1988" s="0" t="s">
        <v>14</v>
      </c>
      <c r="B1988" s="0" t="s">
        <v>3379</v>
      </c>
      <c r="C1988" s="0" t="s">
        <v>3922</v>
      </c>
      <c r="D1988" s="0" t="n">
        <v>0</v>
      </c>
    </row>
    <row r="1989" customFormat="false" ht="15" hidden="false" customHeight="false" outlineLevel="0" collapsed="false">
      <c r="A1989" s="0" t="s">
        <v>14</v>
      </c>
      <c r="B1989" s="0" t="s">
        <v>3379</v>
      </c>
      <c r="C1989" s="0" t="s">
        <v>3923</v>
      </c>
      <c r="D1989" s="0" t="n">
        <v>-0.2</v>
      </c>
    </row>
    <row r="1990" customFormat="false" ht="15" hidden="false" customHeight="false" outlineLevel="0" collapsed="false">
      <c r="A1990" s="0" t="s">
        <v>14</v>
      </c>
      <c r="B1990" s="0" t="s">
        <v>3379</v>
      </c>
      <c r="C1990" s="0" t="s">
        <v>3924</v>
      </c>
      <c r="D1990" s="0" t="n">
        <v>0.2</v>
      </c>
    </row>
    <row r="1991" customFormat="false" ht="15" hidden="false" customHeight="false" outlineLevel="0" collapsed="false">
      <c r="A1991" s="0" t="s">
        <v>14</v>
      </c>
      <c r="B1991" s="0" t="s">
        <v>3384</v>
      </c>
      <c r="C1991" s="0" t="s">
        <v>3922</v>
      </c>
      <c r="D1991" s="0" t="n">
        <v>0.15</v>
      </c>
    </row>
    <row r="1992" customFormat="false" ht="15" hidden="false" customHeight="false" outlineLevel="0" collapsed="false">
      <c r="A1992" s="0" t="s">
        <v>14</v>
      </c>
      <c r="B1992" s="0" t="s">
        <v>3384</v>
      </c>
      <c r="C1992" s="0" t="s">
        <v>3923</v>
      </c>
      <c r="D1992" s="0" t="n">
        <v>0.05</v>
      </c>
    </row>
    <row r="1993" customFormat="false" ht="15" hidden="false" customHeight="false" outlineLevel="0" collapsed="false">
      <c r="A1993" s="0" t="s">
        <v>14</v>
      </c>
      <c r="B1993" s="0" t="s">
        <v>3384</v>
      </c>
      <c r="C1993" s="0" t="s">
        <v>3924</v>
      </c>
      <c r="D1993" s="0" t="n">
        <v>0.4</v>
      </c>
    </row>
    <row r="1994" customFormat="false" ht="15" hidden="false" customHeight="false" outlineLevel="0" collapsed="false">
      <c r="A1994" s="0" t="s">
        <v>14</v>
      </c>
      <c r="B1994" s="0" t="s">
        <v>3388</v>
      </c>
      <c r="C1994" s="0" t="s">
        <v>3922</v>
      </c>
      <c r="D1994" s="0" t="n">
        <v>17.5</v>
      </c>
    </row>
    <row r="1995" customFormat="false" ht="15" hidden="false" customHeight="false" outlineLevel="0" collapsed="false">
      <c r="A1995" s="0" t="s">
        <v>14</v>
      </c>
      <c r="B1995" s="0" t="s">
        <v>3388</v>
      </c>
      <c r="C1995" s="0" t="s">
        <v>3923</v>
      </c>
      <c r="D1995" s="0" t="n">
        <v>15</v>
      </c>
    </row>
    <row r="1996" customFormat="false" ht="15" hidden="false" customHeight="false" outlineLevel="0" collapsed="false">
      <c r="A1996" s="0" t="s">
        <v>14</v>
      </c>
      <c r="B1996" s="0" t="s">
        <v>3388</v>
      </c>
      <c r="C1996" s="0" t="s">
        <v>3924</v>
      </c>
      <c r="D1996" s="0" t="n">
        <v>20</v>
      </c>
    </row>
    <row r="1997" customFormat="false" ht="15" hidden="false" customHeight="false" outlineLevel="0" collapsed="false">
      <c r="A1997" s="0" t="s">
        <v>14</v>
      </c>
      <c r="B1997" s="0" t="s">
        <v>3393</v>
      </c>
      <c r="C1997" s="0" t="s">
        <v>3922</v>
      </c>
      <c r="D1997" s="0" t="n">
        <v>20</v>
      </c>
    </row>
    <row r="1998" customFormat="false" ht="15" hidden="false" customHeight="false" outlineLevel="0" collapsed="false">
      <c r="A1998" s="0" t="s">
        <v>14</v>
      </c>
      <c r="B1998" s="0" t="s">
        <v>3393</v>
      </c>
      <c r="C1998" s="0" t="s">
        <v>3923</v>
      </c>
      <c r="D1998" s="0" t="n">
        <v>10</v>
      </c>
    </row>
    <row r="1999" customFormat="false" ht="15" hidden="false" customHeight="false" outlineLevel="0" collapsed="false">
      <c r="A1999" s="0" t="s">
        <v>14</v>
      </c>
      <c r="B1999" s="0" t="s">
        <v>3393</v>
      </c>
      <c r="C1999" s="0" t="s">
        <v>3924</v>
      </c>
      <c r="D1999" s="0" t="n">
        <v>40</v>
      </c>
    </row>
    <row r="2000" customFormat="false" ht="15" hidden="false" customHeight="false" outlineLevel="0" collapsed="false">
      <c r="A2000" s="0" t="s">
        <v>14</v>
      </c>
      <c r="B2000" s="0" t="s">
        <v>3399</v>
      </c>
      <c r="C2000" s="0" t="s">
        <v>3922</v>
      </c>
      <c r="D2000" s="0" t="n">
        <v>0.9</v>
      </c>
    </row>
    <row r="2001" customFormat="false" ht="15" hidden="false" customHeight="false" outlineLevel="0" collapsed="false">
      <c r="A2001" s="0" t="s">
        <v>14</v>
      </c>
      <c r="B2001" s="0" t="s">
        <v>3399</v>
      </c>
      <c r="C2001" s="0" t="s">
        <v>3923</v>
      </c>
      <c r="D2001" s="0" t="n">
        <v>0.7</v>
      </c>
    </row>
    <row r="2002" customFormat="false" ht="15" hidden="false" customHeight="false" outlineLevel="0" collapsed="false">
      <c r="A2002" s="0" t="s">
        <v>14</v>
      </c>
      <c r="B2002" s="0" t="s">
        <v>3399</v>
      </c>
      <c r="C2002" s="0" t="s">
        <v>3924</v>
      </c>
      <c r="D2002" s="0" t="n">
        <v>1</v>
      </c>
    </row>
    <row r="2003" customFormat="false" ht="15" hidden="false" customHeight="false" outlineLevel="0" collapsed="false">
      <c r="A2003" s="0" t="s">
        <v>14</v>
      </c>
      <c r="B2003" s="0" t="s">
        <v>3404</v>
      </c>
      <c r="C2003" s="0" t="s">
        <v>3922</v>
      </c>
      <c r="D2003" s="0" t="n">
        <v>10</v>
      </c>
    </row>
    <row r="2004" customFormat="false" ht="15" hidden="false" customHeight="false" outlineLevel="0" collapsed="false">
      <c r="A2004" s="0" t="s">
        <v>14</v>
      </c>
      <c r="B2004" s="0" t="s">
        <v>3404</v>
      </c>
      <c r="C2004" s="0" t="s">
        <v>3923</v>
      </c>
      <c r="D2004" s="0" t="n">
        <v>3</v>
      </c>
    </row>
    <row r="2005" customFormat="false" ht="15" hidden="false" customHeight="false" outlineLevel="0" collapsed="false">
      <c r="A2005" s="0" t="s">
        <v>14</v>
      </c>
      <c r="B2005" s="0" t="s">
        <v>3404</v>
      </c>
      <c r="C2005" s="0" t="s">
        <v>3924</v>
      </c>
      <c r="D2005" s="0" t="n">
        <v>30</v>
      </c>
    </row>
    <row r="2006" customFormat="false" ht="15" hidden="false" customHeight="false" outlineLevel="0" collapsed="false">
      <c r="A2006" s="0" t="s">
        <v>14</v>
      </c>
      <c r="B2006" s="0" t="s">
        <v>3410</v>
      </c>
      <c r="C2006" s="0" t="s">
        <v>3922</v>
      </c>
      <c r="D2006" s="0" t="n">
        <v>0.1</v>
      </c>
    </row>
    <row r="2007" customFormat="false" ht="15" hidden="false" customHeight="false" outlineLevel="0" collapsed="false">
      <c r="A2007" s="0" t="s">
        <v>14</v>
      </c>
      <c r="B2007" s="0" t="s">
        <v>3410</v>
      </c>
      <c r="C2007" s="0" t="s">
        <v>3923</v>
      </c>
      <c r="D2007" s="0" t="n">
        <v>-0.2</v>
      </c>
    </row>
    <row r="2008" customFormat="false" ht="15" hidden="false" customHeight="false" outlineLevel="0" collapsed="false">
      <c r="A2008" s="0" t="s">
        <v>14</v>
      </c>
      <c r="B2008" s="0" t="s">
        <v>3410</v>
      </c>
      <c r="C2008" s="0" t="s">
        <v>3924</v>
      </c>
      <c r="D2008" s="0" t="n">
        <v>0.5</v>
      </c>
    </row>
    <row r="2009" customFormat="false" ht="15" hidden="false" customHeight="false" outlineLevel="0" collapsed="false">
      <c r="A2009" s="0" t="s">
        <v>14</v>
      </c>
      <c r="B2009" s="0" t="s">
        <v>3416</v>
      </c>
      <c r="C2009" s="0" t="s">
        <v>3922</v>
      </c>
      <c r="D2009" s="0" t="n">
        <v>1</v>
      </c>
    </row>
    <row r="2010" customFormat="false" ht="15" hidden="false" customHeight="false" outlineLevel="0" collapsed="false">
      <c r="A2010" s="0" t="s">
        <v>14</v>
      </c>
      <c r="B2010" s="0" t="s">
        <v>3416</v>
      </c>
      <c r="C2010" s="0" t="s">
        <v>3923</v>
      </c>
      <c r="D2010" s="0" t="n">
        <v>0.3</v>
      </c>
    </row>
    <row r="2011" customFormat="false" ht="15" hidden="false" customHeight="false" outlineLevel="0" collapsed="false">
      <c r="A2011" s="0" t="s">
        <v>14</v>
      </c>
      <c r="B2011" s="0" t="s">
        <v>3416</v>
      </c>
      <c r="C2011" s="0" t="s">
        <v>3924</v>
      </c>
      <c r="D2011" s="0" t="n">
        <v>3</v>
      </c>
    </row>
    <row r="2012" customFormat="false" ht="15" hidden="false" customHeight="false" outlineLevel="0" collapsed="false">
      <c r="A2012" s="0" t="s">
        <v>14</v>
      </c>
      <c r="B2012" s="0" t="s">
        <v>3422</v>
      </c>
      <c r="C2012" s="0" t="s">
        <v>3922</v>
      </c>
      <c r="D2012" s="0" t="n">
        <v>3</v>
      </c>
    </row>
    <row r="2013" customFormat="false" ht="15" hidden="false" customHeight="false" outlineLevel="0" collapsed="false">
      <c r="A2013" s="0" t="s">
        <v>14</v>
      </c>
      <c r="B2013" s="0" t="s">
        <v>3422</v>
      </c>
      <c r="C2013" s="0" t="s">
        <v>3923</v>
      </c>
      <c r="D2013" s="0" t="n">
        <v>1</v>
      </c>
    </row>
    <row r="2014" customFormat="false" ht="15" hidden="false" customHeight="false" outlineLevel="0" collapsed="false">
      <c r="A2014" s="0" t="s">
        <v>14</v>
      </c>
      <c r="B2014" s="0" t="s">
        <v>3422</v>
      </c>
      <c r="C2014" s="0" t="s">
        <v>3924</v>
      </c>
      <c r="D2014" s="0" t="n">
        <v>10</v>
      </c>
    </row>
    <row r="2015" customFormat="false" ht="15" hidden="false" customHeight="false" outlineLevel="0" collapsed="false">
      <c r="A2015" s="0" t="s">
        <v>14</v>
      </c>
      <c r="B2015" s="0" t="s">
        <v>3427</v>
      </c>
      <c r="C2015" s="0" t="s">
        <v>3922</v>
      </c>
      <c r="D2015" s="0" t="n">
        <v>0.3</v>
      </c>
    </row>
    <row r="2016" customFormat="false" ht="15" hidden="false" customHeight="false" outlineLevel="0" collapsed="false">
      <c r="A2016" s="0" t="s">
        <v>14</v>
      </c>
      <c r="B2016" s="0" t="s">
        <v>3427</v>
      </c>
      <c r="C2016" s="0" t="s">
        <v>3923</v>
      </c>
      <c r="D2016" s="0" t="n">
        <v>0.1</v>
      </c>
    </row>
    <row r="2017" customFormat="false" ht="15" hidden="false" customHeight="false" outlineLevel="0" collapsed="false">
      <c r="A2017" s="0" t="s">
        <v>14</v>
      </c>
      <c r="B2017" s="0" t="s">
        <v>3427</v>
      </c>
      <c r="C2017" s="0" t="s">
        <v>3924</v>
      </c>
      <c r="D2017" s="0" t="n">
        <v>0.6</v>
      </c>
    </row>
    <row r="2018" customFormat="false" ht="15" hidden="false" customHeight="false" outlineLevel="0" collapsed="false">
      <c r="A2018" s="0" t="s">
        <v>14</v>
      </c>
      <c r="B2018" s="0" t="s">
        <v>3431</v>
      </c>
      <c r="C2018" s="0" t="s">
        <v>3922</v>
      </c>
      <c r="D2018" s="0" t="n">
        <v>1</v>
      </c>
    </row>
    <row r="2019" customFormat="false" ht="15" hidden="false" customHeight="false" outlineLevel="0" collapsed="false">
      <c r="A2019" s="0" t="s">
        <v>14</v>
      </c>
      <c r="B2019" s="0" t="s">
        <v>3431</v>
      </c>
      <c r="C2019" s="0" t="s">
        <v>3923</v>
      </c>
      <c r="D2019" s="0" t="n">
        <v>0</v>
      </c>
    </row>
    <row r="2020" customFormat="false" ht="15" hidden="false" customHeight="false" outlineLevel="0" collapsed="false">
      <c r="A2020" s="0" t="s">
        <v>14</v>
      </c>
      <c r="B2020" s="0" t="s">
        <v>3431</v>
      </c>
      <c r="C2020" s="0" t="s">
        <v>3924</v>
      </c>
      <c r="D2020" s="0" t="n">
        <v>1</v>
      </c>
    </row>
    <row r="2021" customFormat="false" ht="15" hidden="false" customHeight="false" outlineLevel="0" collapsed="false">
      <c r="A2021" s="0" t="s">
        <v>14</v>
      </c>
      <c r="B2021" s="0" t="s">
        <v>3436</v>
      </c>
      <c r="C2021" s="0" t="s">
        <v>3922</v>
      </c>
      <c r="D2021" s="0" t="n">
        <v>0</v>
      </c>
    </row>
    <row r="2022" customFormat="false" ht="15" hidden="false" customHeight="false" outlineLevel="0" collapsed="false">
      <c r="A2022" s="0" t="s">
        <v>14</v>
      </c>
      <c r="B2022" s="0" t="s">
        <v>3436</v>
      </c>
      <c r="C2022" s="0" t="s">
        <v>3923</v>
      </c>
      <c r="D2022" s="0" t="n">
        <v>-0.2</v>
      </c>
    </row>
    <row r="2023" customFormat="false" ht="15" hidden="false" customHeight="false" outlineLevel="0" collapsed="false">
      <c r="A2023" s="0" t="s">
        <v>14</v>
      </c>
      <c r="B2023" s="0" t="s">
        <v>3436</v>
      </c>
      <c r="C2023" s="0" t="s">
        <v>3924</v>
      </c>
      <c r="D2023" s="0" t="n">
        <v>0.2</v>
      </c>
    </row>
    <row r="2024" customFormat="false" ht="15" hidden="false" customHeight="false" outlineLevel="0" collapsed="false">
      <c r="A2024" s="0" t="s">
        <v>14</v>
      </c>
      <c r="B2024" s="0" t="s">
        <v>3441</v>
      </c>
      <c r="C2024" s="0" t="s">
        <v>3922</v>
      </c>
      <c r="D2024" s="0" t="n">
        <v>0</v>
      </c>
    </row>
    <row r="2025" customFormat="false" ht="15" hidden="false" customHeight="false" outlineLevel="0" collapsed="false">
      <c r="A2025" s="0" t="s">
        <v>14</v>
      </c>
      <c r="B2025" s="0" t="s">
        <v>3441</v>
      </c>
      <c r="C2025" s="0" t="s">
        <v>3923</v>
      </c>
      <c r="D2025" s="0" t="n">
        <v>0</v>
      </c>
    </row>
    <row r="2026" customFormat="false" ht="15" hidden="false" customHeight="false" outlineLevel="0" collapsed="false">
      <c r="A2026" s="0" t="s">
        <v>14</v>
      </c>
      <c r="B2026" s="0" t="s">
        <v>3441</v>
      </c>
      <c r="C2026" s="0" t="s">
        <v>3924</v>
      </c>
      <c r="D2026" s="0" t="n">
        <v>0</v>
      </c>
    </row>
    <row r="2027" customFormat="false" ht="15" hidden="false" customHeight="false" outlineLevel="0" collapsed="false">
      <c r="A2027" s="0" t="s">
        <v>14</v>
      </c>
      <c r="B2027" s="0" t="s">
        <v>3447</v>
      </c>
      <c r="C2027" s="0" t="s">
        <v>3922</v>
      </c>
      <c r="D2027" s="0" t="n">
        <v>1</v>
      </c>
    </row>
    <row r="2028" customFormat="false" ht="15" hidden="false" customHeight="false" outlineLevel="0" collapsed="false">
      <c r="A2028" s="0" t="s">
        <v>14</v>
      </c>
      <c r="B2028" s="0" t="s">
        <v>3447</v>
      </c>
      <c r="C2028" s="0" t="s">
        <v>3923</v>
      </c>
      <c r="D2028" s="0" t="n">
        <v>1</v>
      </c>
    </row>
    <row r="2029" customFormat="false" ht="15" hidden="false" customHeight="false" outlineLevel="0" collapsed="false">
      <c r="A2029" s="0" t="s">
        <v>14</v>
      </c>
      <c r="B2029" s="0" t="s">
        <v>3447</v>
      </c>
      <c r="C2029" s="0" t="s">
        <v>3924</v>
      </c>
      <c r="D2029" s="0" t="n">
        <v>1</v>
      </c>
    </row>
    <row r="2030" customFormat="false" ht="15" hidden="false" customHeight="false" outlineLevel="0" collapsed="false">
      <c r="A2030" s="0" t="s">
        <v>14</v>
      </c>
      <c r="B2030" s="0" t="s">
        <v>3452</v>
      </c>
      <c r="C2030" s="0" t="s">
        <v>3922</v>
      </c>
      <c r="D2030" s="0" t="n">
        <v>0.25</v>
      </c>
    </row>
    <row r="2031" customFormat="false" ht="15" hidden="false" customHeight="false" outlineLevel="0" collapsed="false">
      <c r="A2031" s="0" t="s">
        <v>14</v>
      </c>
      <c r="B2031" s="0" t="s">
        <v>3452</v>
      </c>
      <c r="C2031" s="0" t="s">
        <v>3923</v>
      </c>
      <c r="D2031" s="0" t="n">
        <v>0.25</v>
      </c>
    </row>
    <row r="2032" customFormat="false" ht="15" hidden="false" customHeight="false" outlineLevel="0" collapsed="false">
      <c r="A2032" s="0" t="s">
        <v>14</v>
      </c>
      <c r="B2032" s="0" t="s">
        <v>3452</v>
      </c>
      <c r="C2032" s="0" t="s">
        <v>3924</v>
      </c>
      <c r="D2032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2026-10-08T01:28:27Z</dcterms:created>
  <dc:creator>openpyxl</dc:creator>
  <dc:description/>
  <dc:language>en-US</dc:language>
  <cp:lastModifiedBy/>
  <dcterms:modified xsi:type="dcterms:W3CDTF">2026-10-08T01:28:27Z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